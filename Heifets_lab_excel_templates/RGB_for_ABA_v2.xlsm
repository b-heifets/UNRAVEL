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thy/Documents/#Heifets_lab_data/#Lightsheet_microscopy_data/Atlas_LUTs/"/>
    </mc:Choice>
  </mc:AlternateContent>
  <xr:revisionPtr revIDLastSave="0" documentId="13_ncr:1_{AC4C3C29-293A-4644-9B49-CACBCA8F12BF}" xr6:coauthVersionLast="47" xr6:coauthVersionMax="47" xr10:uidLastSave="{00000000-0000-0000-0000-000000000000}"/>
  <bookViews>
    <workbookView xWindow="940" yWindow="1900" windowWidth="33000" windowHeight="18920" activeTab="3" xr2:uid="{6E8B1D44-8386-C146-92A6-ED2243CBC1E7}"/>
  </bookViews>
  <sheets>
    <sheet name="Sheet1" sheetId="1" r:id="rId1"/>
    <sheet name="RGB for ABA" sheetId="2" r:id="rId2"/>
    <sheet name="RGB for ABA v2" sheetId="5" r:id="rId3"/>
    <sheet name="mmc2 w RGB " sheetId="7" r:id="rId4"/>
    <sheet name="mmc2 w RGB  IDPathSort" sheetId="8" r:id="rId5"/>
    <sheet name="FSL CorrectedGubraAtlas IDsRGBs" sheetId="3" r:id="rId6"/>
    <sheet name="ITKsnap CorrGubraAtlas IDsRBG " sheetId="4" r:id="rId7"/>
  </sheets>
  <functionGroups builtInGroupCount="19"/>
  <definedNames>
    <definedName name="_xlnm._FilterDatabase" localSheetId="2" hidden="1">'RGB for ABA v2'!#REF!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1009" i="5" l="1"/>
  <c r="AA2" i="5"/>
  <c r="G1193" i="4" l="1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374" i="5"/>
  <c r="AA375" i="5"/>
  <c r="AA376" i="5"/>
  <c r="AA377" i="5"/>
  <c r="AA378" i="5"/>
  <c r="AA379" i="5"/>
  <c r="AA380" i="5"/>
  <c r="AA381" i="5"/>
  <c r="AA382" i="5"/>
  <c r="AA383" i="5"/>
  <c r="AA384" i="5"/>
  <c r="AA385" i="5"/>
  <c r="AA386" i="5"/>
  <c r="AA387" i="5"/>
  <c r="AA388" i="5"/>
  <c r="AA389" i="5"/>
  <c r="AA390" i="5"/>
  <c r="AA391" i="5"/>
  <c r="AA392" i="5"/>
  <c r="AA393" i="5"/>
  <c r="AA394" i="5"/>
  <c r="AA395" i="5"/>
  <c r="AA396" i="5"/>
  <c r="AA397" i="5"/>
  <c r="AA398" i="5"/>
  <c r="AA399" i="5"/>
  <c r="AA400" i="5"/>
  <c r="AA401" i="5"/>
  <c r="AA402" i="5"/>
  <c r="AA403" i="5"/>
  <c r="AA404" i="5"/>
  <c r="AA405" i="5"/>
  <c r="AA406" i="5"/>
  <c r="AA407" i="5"/>
  <c r="AA408" i="5"/>
  <c r="AA409" i="5"/>
  <c r="AA410" i="5"/>
  <c r="AA411" i="5"/>
  <c r="AA412" i="5"/>
  <c r="AA413" i="5"/>
  <c r="AA414" i="5"/>
  <c r="AA415" i="5"/>
  <c r="AA416" i="5"/>
  <c r="AA417" i="5"/>
  <c r="AA418" i="5"/>
  <c r="AA419" i="5"/>
  <c r="AA420" i="5"/>
  <c r="AA421" i="5"/>
  <c r="AA422" i="5"/>
  <c r="AA423" i="5"/>
  <c r="AA424" i="5"/>
  <c r="AA425" i="5"/>
  <c r="AA426" i="5"/>
  <c r="AA427" i="5"/>
  <c r="AA428" i="5"/>
  <c r="AA429" i="5"/>
  <c r="AA430" i="5"/>
  <c r="AA431" i="5"/>
  <c r="AA432" i="5"/>
  <c r="AA433" i="5"/>
  <c r="AA434" i="5"/>
  <c r="AA435" i="5"/>
  <c r="AA436" i="5"/>
  <c r="AA437" i="5"/>
  <c r="AA438" i="5"/>
  <c r="AA439" i="5"/>
  <c r="AA440" i="5"/>
  <c r="AA441" i="5"/>
  <c r="AA442" i="5"/>
  <c r="AA443" i="5"/>
  <c r="AA444" i="5"/>
  <c r="AA445" i="5"/>
  <c r="AA446" i="5"/>
  <c r="AA447" i="5"/>
  <c r="AA448" i="5"/>
  <c r="AA449" i="5"/>
  <c r="AA450" i="5"/>
  <c r="AA451" i="5"/>
  <c r="AA452" i="5"/>
  <c r="AA453" i="5"/>
  <c r="AA454" i="5"/>
  <c r="AA455" i="5"/>
  <c r="AA456" i="5"/>
  <c r="AA457" i="5"/>
  <c r="AA458" i="5"/>
  <c r="AA459" i="5"/>
  <c r="AA460" i="5"/>
  <c r="AA461" i="5"/>
  <c r="AA462" i="5"/>
  <c r="AA463" i="5"/>
  <c r="AA464" i="5"/>
  <c r="AA465" i="5"/>
  <c r="AA466" i="5"/>
  <c r="AA467" i="5"/>
  <c r="AA468" i="5"/>
  <c r="AA469" i="5"/>
  <c r="AA470" i="5"/>
  <c r="AA471" i="5"/>
  <c r="AA472" i="5"/>
  <c r="AA473" i="5"/>
  <c r="AA474" i="5"/>
  <c r="AA475" i="5"/>
  <c r="AA476" i="5"/>
  <c r="AA477" i="5"/>
  <c r="AA478" i="5"/>
  <c r="AA479" i="5"/>
  <c r="AA480" i="5"/>
  <c r="AA481" i="5"/>
  <c r="AA482" i="5"/>
  <c r="AA483" i="5"/>
  <c r="AA484" i="5"/>
  <c r="AA485" i="5"/>
  <c r="AA486" i="5"/>
  <c r="AA487" i="5"/>
  <c r="AA488" i="5"/>
  <c r="AA489" i="5"/>
  <c r="AA490" i="5"/>
  <c r="AA491" i="5"/>
  <c r="AA492" i="5"/>
  <c r="AA493" i="5"/>
  <c r="AA494" i="5"/>
  <c r="AA495" i="5"/>
  <c r="AA496" i="5"/>
  <c r="AA497" i="5"/>
  <c r="AA498" i="5"/>
  <c r="AA499" i="5"/>
  <c r="AA500" i="5"/>
  <c r="AA501" i="5"/>
  <c r="AA502" i="5"/>
  <c r="AA503" i="5"/>
  <c r="AA504" i="5"/>
  <c r="AA505" i="5"/>
  <c r="AA506" i="5"/>
  <c r="AA507" i="5"/>
  <c r="AA508" i="5"/>
  <c r="AA509" i="5"/>
  <c r="AA510" i="5"/>
  <c r="AA511" i="5"/>
  <c r="AA512" i="5"/>
  <c r="AA513" i="5"/>
  <c r="AA514" i="5"/>
  <c r="AA515" i="5"/>
  <c r="AA516" i="5"/>
  <c r="AA517" i="5"/>
  <c r="AA518" i="5"/>
  <c r="AA519" i="5"/>
  <c r="AA520" i="5"/>
  <c r="AA521" i="5"/>
  <c r="AA522" i="5"/>
  <c r="AA523" i="5"/>
  <c r="AA524" i="5"/>
  <c r="AA525" i="5"/>
  <c r="AA526" i="5"/>
  <c r="AA527" i="5"/>
  <c r="AA528" i="5"/>
  <c r="AA529" i="5"/>
  <c r="AA530" i="5"/>
  <c r="AA531" i="5"/>
  <c r="AA532" i="5"/>
  <c r="AA533" i="5"/>
  <c r="AA534" i="5"/>
  <c r="AA535" i="5"/>
  <c r="AA536" i="5"/>
  <c r="AA537" i="5"/>
  <c r="AA538" i="5"/>
  <c r="AA539" i="5"/>
  <c r="AA540" i="5"/>
  <c r="AA541" i="5"/>
  <c r="AA542" i="5"/>
  <c r="AA543" i="5"/>
  <c r="AA544" i="5"/>
  <c r="AA545" i="5"/>
  <c r="AA546" i="5"/>
  <c r="AA547" i="5"/>
  <c r="AA548" i="5"/>
  <c r="AA549" i="5"/>
  <c r="AA550" i="5"/>
  <c r="AA551" i="5"/>
  <c r="AA552" i="5"/>
  <c r="AA553" i="5"/>
  <c r="AA554" i="5"/>
  <c r="AA555" i="5"/>
  <c r="AA556" i="5"/>
  <c r="AA557" i="5"/>
  <c r="AA558" i="5"/>
  <c r="AA559" i="5"/>
  <c r="AA560" i="5"/>
  <c r="AA561" i="5"/>
  <c r="AA562" i="5"/>
  <c r="AA563" i="5"/>
  <c r="AA564" i="5"/>
  <c r="AA565" i="5"/>
  <c r="AA566" i="5"/>
  <c r="AA567" i="5"/>
  <c r="AA568" i="5"/>
  <c r="AA569" i="5"/>
  <c r="AA570" i="5"/>
  <c r="AA571" i="5"/>
  <c r="AA572" i="5"/>
  <c r="AA573" i="5"/>
  <c r="AA574" i="5"/>
  <c r="AA575" i="5"/>
  <c r="AA576" i="5"/>
  <c r="AA577" i="5"/>
  <c r="AA578" i="5"/>
  <c r="AA579" i="5"/>
  <c r="AA580" i="5"/>
  <c r="AA581" i="5"/>
  <c r="AA582" i="5"/>
  <c r="AA583" i="5"/>
  <c r="AA584" i="5"/>
  <c r="AA585" i="5"/>
  <c r="AA586" i="5"/>
  <c r="AA587" i="5"/>
  <c r="AA588" i="5"/>
  <c r="AA589" i="5"/>
  <c r="AA590" i="5"/>
  <c r="AA591" i="5"/>
  <c r="AA592" i="5"/>
  <c r="AA593" i="5"/>
  <c r="AA594" i="5"/>
  <c r="AA595" i="5"/>
  <c r="AA596" i="5"/>
  <c r="AA597" i="5"/>
  <c r="AA598" i="5"/>
  <c r="AA599" i="5"/>
  <c r="AA600" i="5"/>
  <c r="AA601" i="5"/>
  <c r="AA602" i="5"/>
  <c r="AA603" i="5"/>
  <c r="AA604" i="5"/>
  <c r="AA605" i="5"/>
  <c r="AA606" i="5"/>
  <c r="AA607" i="5"/>
  <c r="AA608" i="5"/>
  <c r="AA609" i="5"/>
  <c r="AA610" i="5"/>
  <c r="AA611" i="5"/>
  <c r="AA612" i="5"/>
  <c r="AA613" i="5"/>
  <c r="AA614" i="5"/>
  <c r="AA615" i="5"/>
  <c r="AA616" i="5"/>
  <c r="AA617" i="5"/>
  <c r="AA618" i="5"/>
  <c r="AA619" i="5"/>
  <c r="AA620" i="5"/>
  <c r="AA621" i="5"/>
  <c r="AA622" i="5"/>
  <c r="AA623" i="5"/>
  <c r="AA624" i="5"/>
  <c r="AA625" i="5"/>
  <c r="AA626" i="5"/>
  <c r="AA627" i="5"/>
  <c r="AA628" i="5"/>
  <c r="AA629" i="5"/>
  <c r="AA630" i="5"/>
  <c r="AA631" i="5"/>
  <c r="AA632" i="5"/>
  <c r="AA633" i="5"/>
  <c r="AA634" i="5"/>
  <c r="AA635" i="5"/>
  <c r="AA636" i="5"/>
  <c r="AA637" i="5"/>
  <c r="AA638" i="5"/>
  <c r="AA639" i="5"/>
  <c r="AA640" i="5"/>
  <c r="AA641" i="5"/>
  <c r="AA642" i="5"/>
  <c r="AA643" i="5"/>
  <c r="AA644" i="5"/>
  <c r="AA645" i="5"/>
  <c r="AA646" i="5"/>
  <c r="AA647" i="5"/>
  <c r="AA648" i="5"/>
  <c r="AA649" i="5"/>
  <c r="AA650" i="5"/>
  <c r="AA651" i="5"/>
  <c r="AA652" i="5"/>
  <c r="AA653" i="5"/>
  <c r="AA654" i="5"/>
  <c r="AA655" i="5"/>
  <c r="AA656" i="5"/>
  <c r="AA657" i="5"/>
  <c r="AA658" i="5"/>
  <c r="AA659" i="5"/>
  <c r="AA660" i="5"/>
  <c r="AA661" i="5"/>
  <c r="AA662" i="5"/>
  <c r="AA663" i="5"/>
  <c r="AA664" i="5"/>
  <c r="AA665" i="5"/>
  <c r="AA666" i="5"/>
  <c r="AA667" i="5"/>
  <c r="AA668" i="5"/>
  <c r="AA669" i="5"/>
  <c r="AA670" i="5"/>
  <c r="AA671" i="5"/>
  <c r="AA672" i="5"/>
  <c r="AA673" i="5"/>
  <c r="AA674" i="5"/>
  <c r="AA675" i="5"/>
  <c r="AA676" i="5"/>
  <c r="AA677" i="5"/>
  <c r="AA678" i="5"/>
  <c r="AA679" i="5"/>
  <c r="AA680" i="5"/>
  <c r="AA681" i="5"/>
  <c r="AA682" i="5"/>
  <c r="AA683" i="5"/>
  <c r="AA684" i="5"/>
  <c r="AA685" i="5"/>
  <c r="AA686" i="5"/>
  <c r="AA687" i="5"/>
  <c r="AA688" i="5"/>
  <c r="AA689" i="5"/>
  <c r="AA690" i="5"/>
  <c r="AA691" i="5"/>
  <c r="AA692" i="5"/>
  <c r="AA693" i="5"/>
  <c r="AA694" i="5"/>
  <c r="AA695" i="5"/>
  <c r="AA696" i="5"/>
  <c r="AA697" i="5"/>
  <c r="AA698" i="5"/>
  <c r="AA699" i="5"/>
  <c r="AA700" i="5"/>
  <c r="AA701" i="5"/>
  <c r="AA702" i="5"/>
  <c r="AA703" i="5"/>
  <c r="AA704" i="5"/>
  <c r="AA705" i="5"/>
  <c r="AA706" i="5"/>
  <c r="AA707" i="5"/>
  <c r="AA708" i="5"/>
  <c r="AA709" i="5"/>
  <c r="AA710" i="5"/>
  <c r="AA711" i="5"/>
  <c r="AA712" i="5"/>
  <c r="AA713" i="5"/>
  <c r="AA714" i="5"/>
  <c r="AA715" i="5"/>
  <c r="AA716" i="5"/>
  <c r="AA717" i="5"/>
  <c r="AA718" i="5"/>
  <c r="AA719" i="5"/>
  <c r="AA720" i="5"/>
  <c r="AA721" i="5"/>
  <c r="AA722" i="5"/>
  <c r="AA723" i="5"/>
  <c r="AA724" i="5"/>
  <c r="AA725" i="5"/>
  <c r="AA726" i="5"/>
  <c r="AA727" i="5"/>
  <c r="AA728" i="5"/>
  <c r="AA729" i="5"/>
  <c r="AA730" i="5"/>
  <c r="AA731" i="5"/>
  <c r="AA732" i="5"/>
  <c r="AA733" i="5"/>
  <c r="AA734" i="5"/>
  <c r="AA735" i="5"/>
  <c r="AA736" i="5"/>
  <c r="AA737" i="5"/>
  <c r="AA738" i="5"/>
  <c r="AA739" i="5"/>
  <c r="AA740" i="5"/>
  <c r="AA741" i="5"/>
  <c r="AA742" i="5"/>
  <c r="AA743" i="5"/>
  <c r="AA744" i="5"/>
  <c r="AA745" i="5"/>
  <c r="AA746" i="5"/>
  <c r="AA747" i="5"/>
  <c r="AA748" i="5"/>
  <c r="AA749" i="5"/>
  <c r="AA750" i="5"/>
  <c r="AA751" i="5"/>
  <c r="AA752" i="5"/>
  <c r="AA753" i="5"/>
  <c r="AA754" i="5"/>
  <c r="AA755" i="5"/>
  <c r="AA756" i="5"/>
  <c r="AA757" i="5"/>
  <c r="AA758" i="5"/>
  <c r="AA759" i="5"/>
  <c r="AA760" i="5"/>
  <c r="AA761" i="5"/>
  <c r="AA762" i="5"/>
  <c r="AA763" i="5"/>
  <c r="AA764" i="5"/>
  <c r="AA765" i="5"/>
  <c r="AA766" i="5"/>
  <c r="AA767" i="5"/>
  <c r="AA768" i="5"/>
  <c r="AA769" i="5"/>
  <c r="AA770" i="5"/>
  <c r="AA771" i="5"/>
  <c r="AA772" i="5"/>
  <c r="AA773" i="5"/>
  <c r="AA774" i="5"/>
  <c r="AA775" i="5"/>
  <c r="AA776" i="5"/>
  <c r="AA777" i="5"/>
  <c r="AA778" i="5"/>
  <c r="AA779" i="5"/>
  <c r="AA780" i="5"/>
  <c r="AA781" i="5"/>
  <c r="AA782" i="5"/>
  <c r="AA783" i="5"/>
  <c r="AA784" i="5"/>
  <c r="AA785" i="5"/>
  <c r="AA786" i="5"/>
  <c r="AA787" i="5"/>
  <c r="AA788" i="5"/>
  <c r="AA789" i="5"/>
  <c r="AA790" i="5"/>
  <c r="AA791" i="5"/>
  <c r="AA792" i="5"/>
  <c r="AA793" i="5"/>
  <c r="AA794" i="5"/>
  <c r="AA795" i="5"/>
  <c r="AA796" i="5"/>
  <c r="AA797" i="5"/>
  <c r="AA798" i="5"/>
  <c r="AA799" i="5"/>
  <c r="AA800" i="5"/>
  <c r="AA801" i="5"/>
  <c r="AA802" i="5"/>
  <c r="AA803" i="5"/>
  <c r="AA804" i="5"/>
  <c r="AA805" i="5"/>
  <c r="AA806" i="5"/>
  <c r="AA807" i="5"/>
  <c r="AA808" i="5"/>
  <c r="AA809" i="5"/>
  <c r="AA810" i="5"/>
  <c r="AA811" i="5"/>
  <c r="AA812" i="5"/>
  <c r="AA813" i="5"/>
  <c r="AA814" i="5"/>
  <c r="AA815" i="5"/>
  <c r="AA816" i="5"/>
  <c r="AA817" i="5"/>
  <c r="AA818" i="5"/>
  <c r="AA819" i="5"/>
  <c r="AA820" i="5"/>
  <c r="AA821" i="5"/>
  <c r="AA822" i="5"/>
  <c r="AA823" i="5"/>
  <c r="AA824" i="5"/>
  <c r="AA825" i="5"/>
  <c r="AA826" i="5"/>
  <c r="AA827" i="5"/>
  <c r="AA828" i="5"/>
  <c r="AA829" i="5"/>
  <c r="AA830" i="5"/>
  <c r="AA831" i="5"/>
  <c r="AA832" i="5"/>
  <c r="AA833" i="5"/>
  <c r="AA834" i="5"/>
  <c r="AA835" i="5"/>
  <c r="AA836" i="5"/>
  <c r="AA837" i="5"/>
  <c r="AA838" i="5"/>
  <c r="AA839" i="5"/>
  <c r="AA840" i="5"/>
  <c r="AA841" i="5"/>
  <c r="AA842" i="5"/>
  <c r="AA843" i="5"/>
  <c r="AA844" i="5"/>
  <c r="AA845" i="5"/>
  <c r="AA846" i="5"/>
  <c r="AA847" i="5"/>
  <c r="AA848" i="5"/>
  <c r="AA849" i="5"/>
  <c r="AA850" i="5"/>
  <c r="AA851" i="5"/>
  <c r="AA852" i="5"/>
  <c r="AA853" i="5"/>
  <c r="AA854" i="5"/>
  <c r="AA855" i="5"/>
  <c r="AA856" i="5"/>
  <c r="AA857" i="5"/>
  <c r="AA858" i="5"/>
  <c r="AA859" i="5"/>
  <c r="AA860" i="5"/>
  <c r="AA861" i="5"/>
  <c r="AA862" i="5"/>
  <c r="AA863" i="5"/>
  <c r="AA864" i="5"/>
  <c r="AA865" i="5"/>
  <c r="AA866" i="5"/>
  <c r="AA867" i="5"/>
  <c r="AA868" i="5"/>
  <c r="AA869" i="5"/>
  <c r="AA870" i="5"/>
  <c r="AA871" i="5"/>
  <c r="AA872" i="5"/>
  <c r="AA873" i="5"/>
  <c r="AA874" i="5"/>
  <c r="AA875" i="5"/>
  <c r="AA876" i="5"/>
  <c r="AA877" i="5"/>
  <c r="AA878" i="5"/>
  <c r="AA879" i="5"/>
  <c r="AA880" i="5"/>
  <c r="AA881" i="5"/>
  <c r="AA882" i="5"/>
  <c r="AA883" i="5"/>
  <c r="AA884" i="5"/>
  <c r="AA885" i="5"/>
  <c r="AA886" i="5"/>
  <c r="AA887" i="5"/>
  <c r="AA888" i="5"/>
  <c r="AA889" i="5"/>
  <c r="AA890" i="5"/>
  <c r="AA891" i="5"/>
  <c r="AA892" i="5"/>
  <c r="AA893" i="5"/>
  <c r="AA894" i="5"/>
  <c r="AA895" i="5"/>
  <c r="AA896" i="5"/>
  <c r="AA897" i="5"/>
  <c r="AA898" i="5"/>
  <c r="AA899" i="5"/>
  <c r="AA900" i="5"/>
  <c r="AA901" i="5"/>
  <c r="AA902" i="5"/>
  <c r="AA903" i="5"/>
  <c r="AA904" i="5"/>
  <c r="AA905" i="5"/>
  <c r="AA906" i="5"/>
  <c r="AA907" i="5"/>
  <c r="AA908" i="5"/>
  <c r="AA909" i="5"/>
  <c r="AA910" i="5"/>
  <c r="AA911" i="5"/>
  <c r="AA912" i="5"/>
  <c r="AA913" i="5"/>
  <c r="AA914" i="5"/>
  <c r="AA915" i="5"/>
  <c r="AA916" i="5"/>
  <c r="AA917" i="5"/>
  <c r="AA918" i="5"/>
  <c r="AA919" i="5"/>
  <c r="AA920" i="5"/>
  <c r="AA921" i="5"/>
  <c r="AA922" i="5"/>
  <c r="AA923" i="5"/>
  <c r="AA924" i="5"/>
  <c r="AA925" i="5"/>
  <c r="AA926" i="5"/>
  <c r="AA927" i="5"/>
  <c r="AA928" i="5"/>
  <c r="AA929" i="5"/>
  <c r="AA930" i="5"/>
  <c r="AA931" i="5"/>
  <c r="AA932" i="5"/>
  <c r="AA933" i="5"/>
  <c r="AA934" i="5"/>
  <c r="AA935" i="5"/>
  <c r="AA936" i="5"/>
  <c r="AA937" i="5"/>
  <c r="AA938" i="5"/>
  <c r="AA939" i="5"/>
  <c r="AA940" i="5"/>
  <c r="AA941" i="5"/>
  <c r="AA942" i="5"/>
  <c r="AA943" i="5"/>
  <c r="AA944" i="5"/>
  <c r="AA945" i="5"/>
  <c r="AA946" i="5"/>
  <c r="AA947" i="5"/>
  <c r="AA948" i="5"/>
  <c r="AA949" i="5"/>
  <c r="AA950" i="5"/>
  <c r="AA951" i="5"/>
  <c r="AA952" i="5"/>
  <c r="AA953" i="5"/>
  <c r="AA954" i="5"/>
  <c r="AA955" i="5"/>
  <c r="AA956" i="5"/>
  <c r="AA957" i="5"/>
  <c r="AA958" i="5"/>
  <c r="AA959" i="5"/>
  <c r="AA960" i="5"/>
  <c r="AA961" i="5"/>
  <c r="AA962" i="5"/>
  <c r="AA963" i="5"/>
  <c r="AA964" i="5"/>
  <c r="AA965" i="5"/>
  <c r="AA966" i="5"/>
  <c r="AA967" i="5"/>
  <c r="AA968" i="5"/>
  <c r="AA969" i="5"/>
  <c r="AA970" i="5"/>
  <c r="AA971" i="5"/>
  <c r="AA972" i="5"/>
  <c r="AA973" i="5"/>
  <c r="AA974" i="5"/>
  <c r="AA975" i="5"/>
  <c r="AA976" i="5"/>
  <c r="AA977" i="5"/>
  <c r="AA978" i="5"/>
  <c r="AA979" i="5"/>
  <c r="AA980" i="5"/>
  <c r="AA981" i="5"/>
  <c r="AA982" i="5"/>
  <c r="AA983" i="5"/>
  <c r="AA984" i="5"/>
  <c r="AA985" i="5"/>
  <c r="AA986" i="5"/>
  <c r="AA987" i="5"/>
  <c r="AA988" i="5"/>
  <c r="AA989" i="5"/>
  <c r="AA990" i="5"/>
  <c r="AA991" i="5"/>
  <c r="AA992" i="5"/>
  <c r="AA993" i="5"/>
  <c r="AA994" i="5"/>
  <c r="AA995" i="5"/>
  <c r="AA996" i="5"/>
  <c r="AA997" i="5"/>
  <c r="AA998" i="5"/>
  <c r="AA999" i="5"/>
  <c r="AA1000" i="5"/>
  <c r="AA1001" i="5"/>
  <c r="AA1002" i="5"/>
  <c r="AA1003" i="5"/>
  <c r="AA1004" i="5"/>
  <c r="AA1005" i="5"/>
  <c r="AA1006" i="5"/>
  <c r="AA1007" i="5"/>
  <c r="AA1008" i="5"/>
  <c r="AA1010" i="5"/>
  <c r="AA1011" i="5"/>
  <c r="AA1012" i="5"/>
  <c r="AA1013" i="5"/>
  <c r="AA1014" i="5"/>
  <c r="AA1015" i="5"/>
  <c r="AA1016" i="5"/>
  <c r="AA1017" i="5"/>
  <c r="AA1018" i="5"/>
  <c r="AA1019" i="5"/>
  <c r="AA1020" i="5"/>
  <c r="AA1021" i="5"/>
  <c r="AA1022" i="5"/>
  <c r="AA1023" i="5"/>
  <c r="AA1024" i="5"/>
  <c r="AA1025" i="5"/>
  <c r="AA1026" i="5"/>
  <c r="AA1027" i="5"/>
  <c r="AA1028" i="5"/>
  <c r="AA1029" i="5"/>
  <c r="AA1030" i="5"/>
  <c r="AA1031" i="5"/>
  <c r="AA1032" i="5"/>
  <c r="AA1033" i="5"/>
  <c r="AA1034" i="5"/>
  <c r="AA1035" i="5"/>
  <c r="AA1036" i="5"/>
  <c r="AA1037" i="5"/>
  <c r="AA1038" i="5"/>
  <c r="AA1039" i="5"/>
  <c r="AA1040" i="5"/>
  <c r="AA1041" i="5"/>
  <c r="AA1042" i="5"/>
  <c r="AA1043" i="5"/>
  <c r="AA1044" i="5"/>
  <c r="AA1045" i="5"/>
  <c r="AA1046" i="5"/>
  <c r="AA1047" i="5"/>
  <c r="AA1048" i="5"/>
  <c r="AA1049" i="5"/>
  <c r="AA1050" i="5"/>
  <c r="AA1051" i="5"/>
  <c r="AA1052" i="5"/>
  <c r="AA1053" i="5"/>
  <c r="AA1054" i="5"/>
  <c r="AA1055" i="5"/>
  <c r="AA1056" i="5"/>
  <c r="AA1057" i="5"/>
  <c r="AA1058" i="5"/>
  <c r="AA1059" i="5"/>
  <c r="AA1060" i="5"/>
  <c r="AA1061" i="5"/>
  <c r="AA1062" i="5"/>
  <c r="AA1063" i="5"/>
  <c r="AA1064" i="5"/>
  <c r="AA1065" i="5"/>
  <c r="AA1066" i="5"/>
  <c r="AA1067" i="5"/>
  <c r="AA1068" i="5"/>
  <c r="AA1069" i="5"/>
  <c r="AA1070" i="5"/>
  <c r="AA1071" i="5"/>
  <c r="AA1072" i="5"/>
  <c r="AA1073" i="5"/>
  <c r="AA1074" i="5"/>
  <c r="AA1075" i="5"/>
  <c r="AA1076" i="5"/>
  <c r="AA1077" i="5"/>
  <c r="AA1078" i="5"/>
  <c r="AA1079" i="5"/>
  <c r="AA1080" i="5"/>
  <c r="AA1081" i="5"/>
  <c r="AA1082" i="5"/>
  <c r="AA1083" i="5"/>
  <c r="AA1084" i="5"/>
  <c r="AA1085" i="5"/>
  <c r="AA1086" i="5"/>
  <c r="AA1087" i="5"/>
  <c r="AA1088" i="5"/>
  <c r="AA1089" i="5"/>
  <c r="AA1090" i="5"/>
  <c r="AA1091" i="5"/>
  <c r="AA1092" i="5"/>
  <c r="AA1093" i="5"/>
  <c r="AA1094" i="5"/>
  <c r="AA1095" i="5"/>
  <c r="AA1096" i="5"/>
  <c r="AA1097" i="5"/>
  <c r="AA1098" i="5"/>
  <c r="AA1099" i="5"/>
  <c r="AA1100" i="5"/>
  <c r="AA1101" i="5"/>
  <c r="AA1102" i="5"/>
  <c r="AA1103" i="5"/>
  <c r="AA1104" i="5"/>
  <c r="AA1105" i="5"/>
  <c r="AA1106" i="5"/>
  <c r="AA1107" i="5"/>
  <c r="AA1108" i="5"/>
  <c r="AA1109" i="5"/>
  <c r="AA1110" i="5"/>
  <c r="AA1111" i="5"/>
  <c r="AA1112" i="5"/>
  <c r="AA1113" i="5"/>
  <c r="AA1114" i="5"/>
  <c r="AA1115" i="5"/>
  <c r="AA1116" i="5"/>
  <c r="AA1117" i="5"/>
  <c r="AA1118" i="5"/>
  <c r="AA1119" i="5"/>
  <c r="AA1120" i="5"/>
  <c r="AA1121" i="5"/>
  <c r="AA1122" i="5"/>
  <c r="AA1123" i="5"/>
  <c r="AA1124" i="5"/>
  <c r="AA1125" i="5"/>
  <c r="AA1126" i="5"/>
  <c r="AA1127" i="5"/>
  <c r="AA1128" i="5"/>
  <c r="AA1129" i="5"/>
  <c r="AA1130" i="5"/>
  <c r="AA1131" i="5"/>
  <c r="AA1132" i="5"/>
  <c r="AA1133" i="5"/>
  <c r="AA1134" i="5"/>
  <c r="AA1135" i="5"/>
  <c r="AA1136" i="5"/>
  <c r="AA1137" i="5"/>
  <c r="AA1138" i="5"/>
  <c r="AA1139" i="5"/>
  <c r="AA1140" i="5"/>
  <c r="AA1141" i="5"/>
  <c r="AA1142" i="5"/>
  <c r="AA1143" i="5"/>
  <c r="AA1144" i="5"/>
  <c r="AA1145" i="5"/>
  <c r="AA1146" i="5"/>
  <c r="AA1147" i="5"/>
  <c r="AA1148" i="5"/>
  <c r="AA1149" i="5"/>
  <c r="AA1150" i="5"/>
  <c r="AA1151" i="5"/>
  <c r="AA1152" i="5"/>
  <c r="AA1153" i="5"/>
  <c r="AA1154" i="5"/>
  <c r="AA1155" i="5"/>
  <c r="AA1156" i="5"/>
  <c r="AA1157" i="5"/>
  <c r="AA1158" i="5"/>
  <c r="AA1159" i="5"/>
  <c r="AA1160" i="5"/>
  <c r="AA1161" i="5"/>
  <c r="AA1162" i="5"/>
  <c r="AA1163" i="5"/>
  <c r="AA1164" i="5"/>
  <c r="AA1165" i="5"/>
  <c r="AA1166" i="5"/>
  <c r="AA1167" i="5"/>
  <c r="AA1168" i="5"/>
  <c r="AA1169" i="5"/>
  <c r="AA1170" i="5"/>
  <c r="AA1171" i="5"/>
  <c r="AA1172" i="5"/>
  <c r="AA1173" i="5"/>
  <c r="AA1174" i="5"/>
  <c r="AA1175" i="5"/>
  <c r="AA1176" i="5"/>
  <c r="AA1177" i="5"/>
  <c r="AA1178" i="5"/>
  <c r="AA1179" i="5"/>
  <c r="AA1180" i="5"/>
  <c r="AA1181" i="5"/>
  <c r="AA1182" i="5"/>
  <c r="AA1183" i="5"/>
  <c r="AA1184" i="5"/>
  <c r="AA1185" i="5"/>
  <c r="AA1186" i="5"/>
  <c r="AA1187" i="5"/>
  <c r="AA1188" i="5"/>
  <c r="AA1189" i="5"/>
  <c r="AA1190" i="5"/>
  <c r="AA1191" i="5"/>
  <c r="AA1192" i="5"/>
  <c r="AA1193" i="5"/>
  <c r="AA1194" i="5"/>
  <c r="AA1195" i="5"/>
  <c r="AA1196" i="5"/>
  <c r="AA1197" i="5"/>
  <c r="AA1198" i="5"/>
  <c r="AA1199" i="5"/>
  <c r="AA1200" i="5"/>
  <c r="AA1201" i="5"/>
  <c r="AA1202" i="5"/>
  <c r="AA1203" i="5"/>
  <c r="AA1204" i="5"/>
  <c r="AA1205" i="5"/>
  <c r="AA1206" i="5"/>
  <c r="AA1207" i="5"/>
  <c r="AA1208" i="5"/>
  <c r="AA1209" i="5"/>
  <c r="AA1210" i="5"/>
  <c r="AA1211" i="5"/>
  <c r="AA1212" i="5"/>
  <c r="AA1213" i="5"/>
  <c r="AA1214" i="5"/>
  <c r="AA1215" i="5"/>
  <c r="AA1216" i="5"/>
  <c r="AA1217" i="5"/>
  <c r="AA1218" i="5"/>
  <c r="AA1219" i="5"/>
  <c r="AA1220" i="5"/>
  <c r="AA1221" i="5"/>
  <c r="AA1222" i="5"/>
  <c r="AA1223" i="5"/>
  <c r="AA1224" i="5"/>
  <c r="AA1225" i="5"/>
  <c r="AA1226" i="5"/>
  <c r="AA1227" i="5"/>
  <c r="AA1228" i="5"/>
  <c r="AA1229" i="5"/>
  <c r="AA1230" i="5"/>
  <c r="AA1231" i="5"/>
  <c r="AA1232" i="5"/>
  <c r="AA1233" i="5"/>
  <c r="AA1234" i="5"/>
  <c r="AA1235" i="5"/>
  <c r="AA1236" i="5"/>
  <c r="AA1237" i="5"/>
  <c r="AA1238" i="5"/>
  <c r="AA1239" i="5"/>
  <c r="AA1240" i="5"/>
  <c r="AA1241" i="5"/>
  <c r="AA1242" i="5"/>
  <c r="AA1243" i="5"/>
  <c r="AA1244" i="5"/>
  <c r="AA1245" i="5"/>
  <c r="AA1246" i="5"/>
  <c r="AA1247" i="5"/>
  <c r="AA1248" i="5"/>
  <c r="AA1249" i="5"/>
  <c r="AA1250" i="5"/>
  <c r="AA1251" i="5"/>
  <c r="AA1252" i="5"/>
  <c r="AA1253" i="5"/>
  <c r="AA1254" i="5"/>
  <c r="AA1255" i="5"/>
  <c r="AA1256" i="5"/>
  <c r="AA1257" i="5"/>
  <c r="AA1258" i="5"/>
  <c r="AA1259" i="5"/>
  <c r="AA1260" i="5"/>
  <c r="AA1261" i="5"/>
  <c r="AA1262" i="5"/>
  <c r="AA1263" i="5"/>
  <c r="AA1264" i="5"/>
  <c r="AA1265" i="5"/>
  <c r="AA1266" i="5"/>
  <c r="AA1267" i="5"/>
  <c r="AA1268" i="5"/>
  <c r="AA1269" i="5"/>
  <c r="AA1270" i="5"/>
  <c r="AA1271" i="5"/>
  <c r="AA1272" i="5"/>
  <c r="AA1273" i="5"/>
  <c r="AA1274" i="5"/>
  <c r="AA1275" i="5"/>
  <c r="AA1276" i="5"/>
  <c r="AA1277" i="5"/>
  <c r="AA1278" i="5"/>
  <c r="AA1279" i="5"/>
  <c r="AA1280" i="5"/>
  <c r="AA1281" i="5"/>
  <c r="AA1282" i="5"/>
  <c r="AA1283" i="5"/>
  <c r="AA1284" i="5"/>
  <c r="AA1285" i="5"/>
  <c r="AA1286" i="5"/>
  <c r="AA1287" i="5"/>
  <c r="AA1288" i="5"/>
  <c r="AA1289" i="5"/>
  <c r="AA1290" i="5"/>
  <c r="AA1291" i="5"/>
  <c r="AA1292" i="5"/>
  <c r="AA1293" i="5"/>
  <c r="AA1294" i="5"/>
  <c r="AA1295" i="5"/>
  <c r="AA1296" i="5"/>
  <c r="AA1297" i="5"/>
  <c r="AA1298" i="5"/>
  <c r="AA1299" i="5"/>
  <c r="AA1300" i="5"/>
  <c r="AA1301" i="5"/>
  <c r="AA1302" i="5"/>
  <c r="AA1303" i="5"/>
  <c r="AA1304" i="5"/>
  <c r="AA1305" i="5"/>
  <c r="AA1306" i="5"/>
  <c r="AA1307" i="5"/>
  <c r="AA1308" i="5"/>
  <c r="AA1309" i="5"/>
  <c r="AA1310" i="5"/>
  <c r="AA1311" i="5"/>
  <c r="AA1312" i="5"/>
  <c r="AA1313" i="5"/>
  <c r="AA1314" i="5"/>
  <c r="AA1315" i="5"/>
  <c r="AA1316" i="5"/>
  <c r="AA1317" i="5"/>
  <c r="AA1318" i="5"/>
  <c r="AA1319" i="5"/>
  <c r="AA1320" i="5"/>
  <c r="AA1321" i="5"/>
  <c r="AA1322" i="5"/>
  <c r="AA1323" i="5"/>
  <c r="AA1324" i="5"/>
  <c r="AA1325" i="5"/>
  <c r="AA1326" i="5"/>
  <c r="AA1327" i="5"/>
  <c r="AA1328" i="5"/>
  <c r="K1328" i="5"/>
  <c r="M1328" i="5" s="1"/>
  <c r="J1328" i="5"/>
  <c r="L1328" i="5" s="1"/>
  <c r="D1328" i="5"/>
  <c r="E1328" i="5" s="1"/>
  <c r="K1327" i="5"/>
  <c r="M1327" i="5" s="1"/>
  <c r="J1327" i="5"/>
  <c r="L1327" i="5" s="1"/>
  <c r="D1327" i="5"/>
  <c r="G1327" i="5" s="1"/>
  <c r="K1326" i="5"/>
  <c r="M1326" i="5" s="1"/>
  <c r="J1326" i="5"/>
  <c r="L1326" i="5" s="1"/>
  <c r="D1326" i="5"/>
  <c r="K1325" i="5"/>
  <c r="M1325" i="5" s="1"/>
  <c r="J1325" i="5"/>
  <c r="L1325" i="5" s="1"/>
  <c r="D1325" i="5"/>
  <c r="K1324" i="5"/>
  <c r="M1324" i="5" s="1"/>
  <c r="J1324" i="5"/>
  <c r="L1324" i="5" s="1"/>
  <c r="D1324" i="5"/>
  <c r="H1324" i="5" s="1"/>
  <c r="K1323" i="5"/>
  <c r="M1323" i="5" s="1"/>
  <c r="J1323" i="5"/>
  <c r="L1323" i="5" s="1"/>
  <c r="D1323" i="5"/>
  <c r="F1323" i="5" s="1"/>
  <c r="K1322" i="5"/>
  <c r="M1322" i="5" s="1"/>
  <c r="J1322" i="5"/>
  <c r="L1322" i="5" s="1"/>
  <c r="D1322" i="5"/>
  <c r="K1321" i="5"/>
  <c r="M1321" i="5" s="1"/>
  <c r="J1321" i="5"/>
  <c r="L1321" i="5" s="1"/>
  <c r="D1321" i="5"/>
  <c r="K1320" i="5"/>
  <c r="M1320" i="5" s="1"/>
  <c r="J1320" i="5"/>
  <c r="L1320" i="5" s="1"/>
  <c r="G1320" i="5"/>
  <c r="F1320" i="5"/>
  <c r="D1320" i="5"/>
  <c r="K1319" i="5"/>
  <c r="M1319" i="5" s="1"/>
  <c r="J1319" i="5"/>
  <c r="L1319" i="5" s="1"/>
  <c r="D1319" i="5"/>
  <c r="G1319" i="5" s="1"/>
  <c r="K1318" i="5"/>
  <c r="M1318" i="5" s="1"/>
  <c r="J1318" i="5"/>
  <c r="L1318" i="5" s="1"/>
  <c r="D1318" i="5"/>
  <c r="K1317" i="5"/>
  <c r="M1317" i="5" s="1"/>
  <c r="J1317" i="5"/>
  <c r="L1317" i="5" s="1"/>
  <c r="D1317" i="5"/>
  <c r="K1316" i="5"/>
  <c r="M1316" i="5" s="1"/>
  <c r="J1316" i="5"/>
  <c r="L1316" i="5" s="1"/>
  <c r="D1316" i="5"/>
  <c r="K1315" i="5"/>
  <c r="M1315" i="5" s="1"/>
  <c r="J1315" i="5"/>
  <c r="L1315" i="5" s="1"/>
  <c r="D1315" i="5"/>
  <c r="K1314" i="5"/>
  <c r="M1314" i="5" s="1"/>
  <c r="J1314" i="5"/>
  <c r="L1314" i="5" s="1"/>
  <c r="D1314" i="5"/>
  <c r="H1314" i="5" s="1"/>
  <c r="L1313" i="5"/>
  <c r="K1313" i="5"/>
  <c r="M1313" i="5" s="1"/>
  <c r="J1313" i="5"/>
  <c r="D1313" i="5"/>
  <c r="K1312" i="5"/>
  <c r="M1312" i="5" s="1"/>
  <c r="J1312" i="5"/>
  <c r="L1312" i="5" s="1"/>
  <c r="D1312" i="5"/>
  <c r="H1312" i="5" s="1"/>
  <c r="K1311" i="5"/>
  <c r="M1311" i="5" s="1"/>
  <c r="J1311" i="5"/>
  <c r="L1311" i="5" s="1"/>
  <c r="D1311" i="5"/>
  <c r="K1310" i="5"/>
  <c r="M1310" i="5" s="1"/>
  <c r="J1310" i="5"/>
  <c r="L1310" i="5" s="1"/>
  <c r="D1310" i="5"/>
  <c r="G1310" i="5" s="1"/>
  <c r="K1309" i="5"/>
  <c r="M1309" i="5" s="1"/>
  <c r="J1309" i="5"/>
  <c r="L1309" i="5" s="1"/>
  <c r="D1309" i="5"/>
  <c r="K1308" i="5"/>
  <c r="M1308" i="5" s="1"/>
  <c r="J1308" i="5"/>
  <c r="L1308" i="5" s="1"/>
  <c r="D1308" i="5"/>
  <c r="K1307" i="5"/>
  <c r="M1307" i="5" s="1"/>
  <c r="J1307" i="5"/>
  <c r="L1307" i="5" s="1"/>
  <c r="D1307" i="5"/>
  <c r="K1306" i="5"/>
  <c r="M1306" i="5" s="1"/>
  <c r="J1306" i="5"/>
  <c r="L1306" i="5" s="1"/>
  <c r="D1306" i="5"/>
  <c r="H1306" i="5" s="1"/>
  <c r="K1305" i="5"/>
  <c r="M1305" i="5" s="1"/>
  <c r="J1305" i="5"/>
  <c r="L1305" i="5" s="1"/>
  <c r="D1305" i="5"/>
  <c r="K1304" i="5"/>
  <c r="M1304" i="5" s="1"/>
  <c r="J1304" i="5"/>
  <c r="L1304" i="5" s="1"/>
  <c r="D1304" i="5"/>
  <c r="K1303" i="5"/>
  <c r="M1303" i="5" s="1"/>
  <c r="J1303" i="5"/>
  <c r="L1303" i="5" s="1"/>
  <c r="D1303" i="5"/>
  <c r="K1302" i="5"/>
  <c r="M1302" i="5" s="1"/>
  <c r="J1302" i="5"/>
  <c r="L1302" i="5" s="1"/>
  <c r="D1302" i="5"/>
  <c r="H1302" i="5" s="1"/>
  <c r="K1301" i="5"/>
  <c r="M1301" i="5" s="1"/>
  <c r="J1301" i="5"/>
  <c r="L1301" i="5" s="1"/>
  <c r="D1301" i="5"/>
  <c r="K1300" i="5"/>
  <c r="M1300" i="5" s="1"/>
  <c r="J1300" i="5"/>
  <c r="L1300" i="5" s="1"/>
  <c r="D1300" i="5"/>
  <c r="G1300" i="5" s="1"/>
  <c r="K1299" i="5"/>
  <c r="M1299" i="5" s="1"/>
  <c r="J1299" i="5"/>
  <c r="L1299" i="5" s="1"/>
  <c r="D1299" i="5"/>
  <c r="K1298" i="5"/>
  <c r="M1298" i="5" s="1"/>
  <c r="J1298" i="5"/>
  <c r="L1298" i="5" s="1"/>
  <c r="D1298" i="5"/>
  <c r="K1297" i="5"/>
  <c r="M1297" i="5" s="1"/>
  <c r="J1297" i="5"/>
  <c r="L1297" i="5" s="1"/>
  <c r="D1297" i="5"/>
  <c r="K1296" i="5"/>
  <c r="M1296" i="5" s="1"/>
  <c r="J1296" i="5"/>
  <c r="L1296" i="5" s="1"/>
  <c r="D1296" i="5"/>
  <c r="K1295" i="5"/>
  <c r="M1295" i="5" s="1"/>
  <c r="J1295" i="5"/>
  <c r="L1295" i="5" s="1"/>
  <c r="D1295" i="5"/>
  <c r="K1294" i="5"/>
  <c r="M1294" i="5" s="1"/>
  <c r="J1294" i="5"/>
  <c r="L1294" i="5" s="1"/>
  <c r="D1294" i="5"/>
  <c r="K1293" i="5"/>
  <c r="M1293" i="5" s="1"/>
  <c r="J1293" i="5"/>
  <c r="L1293" i="5" s="1"/>
  <c r="D1293" i="5"/>
  <c r="K1292" i="5"/>
  <c r="M1292" i="5" s="1"/>
  <c r="J1292" i="5"/>
  <c r="L1292" i="5" s="1"/>
  <c r="D1292" i="5"/>
  <c r="H1292" i="5" s="1"/>
  <c r="K1291" i="5"/>
  <c r="M1291" i="5" s="1"/>
  <c r="J1291" i="5"/>
  <c r="L1291" i="5" s="1"/>
  <c r="D1291" i="5"/>
  <c r="F1291" i="5" s="1"/>
  <c r="K1290" i="5"/>
  <c r="M1290" i="5" s="1"/>
  <c r="J1290" i="5"/>
  <c r="L1290" i="5" s="1"/>
  <c r="D1290" i="5"/>
  <c r="H1290" i="5" s="1"/>
  <c r="K1289" i="5"/>
  <c r="M1289" i="5" s="1"/>
  <c r="J1289" i="5"/>
  <c r="L1289" i="5" s="1"/>
  <c r="D1289" i="5"/>
  <c r="K1288" i="5"/>
  <c r="M1288" i="5" s="1"/>
  <c r="J1288" i="5"/>
  <c r="L1288" i="5" s="1"/>
  <c r="D1288" i="5"/>
  <c r="K1287" i="5"/>
  <c r="M1287" i="5" s="1"/>
  <c r="J1287" i="5"/>
  <c r="L1287" i="5" s="1"/>
  <c r="D1287" i="5"/>
  <c r="K1286" i="5"/>
  <c r="M1286" i="5" s="1"/>
  <c r="J1286" i="5"/>
  <c r="L1286" i="5" s="1"/>
  <c r="D1286" i="5"/>
  <c r="H1286" i="5" s="1"/>
  <c r="K1285" i="5"/>
  <c r="M1285" i="5" s="1"/>
  <c r="J1285" i="5"/>
  <c r="L1285" i="5" s="1"/>
  <c r="D1285" i="5"/>
  <c r="K1284" i="5"/>
  <c r="M1284" i="5" s="1"/>
  <c r="J1284" i="5"/>
  <c r="L1284" i="5" s="1"/>
  <c r="D1284" i="5"/>
  <c r="H1284" i="5" s="1"/>
  <c r="K1283" i="5"/>
  <c r="M1283" i="5" s="1"/>
  <c r="J1283" i="5"/>
  <c r="L1283" i="5" s="1"/>
  <c r="D1283" i="5"/>
  <c r="K1282" i="5"/>
  <c r="M1282" i="5" s="1"/>
  <c r="J1282" i="5"/>
  <c r="L1282" i="5" s="1"/>
  <c r="D1282" i="5"/>
  <c r="H1282" i="5" s="1"/>
  <c r="K1281" i="5"/>
  <c r="M1281" i="5" s="1"/>
  <c r="J1281" i="5"/>
  <c r="L1281" i="5" s="1"/>
  <c r="D1281" i="5"/>
  <c r="H1281" i="5" s="1"/>
  <c r="K1280" i="5"/>
  <c r="M1280" i="5" s="1"/>
  <c r="J1280" i="5"/>
  <c r="L1280" i="5" s="1"/>
  <c r="D1280" i="5"/>
  <c r="H1280" i="5" s="1"/>
  <c r="K1279" i="5"/>
  <c r="M1279" i="5" s="1"/>
  <c r="J1279" i="5"/>
  <c r="L1279" i="5" s="1"/>
  <c r="D1279" i="5"/>
  <c r="G1279" i="5" s="1"/>
  <c r="K1278" i="5"/>
  <c r="M1278" i="5" s="1"/>
  <c r="J1278" i="5"/>
  <c r="L1278" i="5" s="1"/>
  <c r="D1278" i="5"/>
  <c r="K1277" i="5"/>
  <c r="M1277" i="5" s="1"/>
  <c r="J1277" i="5"/>
  <c r="L1277" i="5" s="1"/>
  <c r="D1277" i="5"/>
  <c r="K1276" i="5"/>
  <c r="M1276" i="5" s="1"/>
  <c r="J1276" i="5"/>
  <c r="L1276" i="5" s="1"/>
  <c r="D1276" i="5"/>
  <c r="H1276" i="5" s="1"/>
  <c r="K1275" i="5"/>
  <c r="M1275" i="5" s="1"/>
  <c r="J1275" i="5"/>
  <c r="L1275" i="5" s="1"/>
  <c r="D1275" i="5"/>
  <c r="K1274" i="5"/>
  <c r="M1274" i="5" s="1"/>
  <c r="J1274" i="5"/>
  <c r="L1274" i="5" s="1"/>
  <c r="D1274" i="5"/>
  <c r="H1274" i="5" s="1"/>
  <c r="K1273" i="5"/>
  <c r="M1273" i="5" s="1"/>
  <c r="J1273" i="5"/>
  <c r="L1273" i="5" s="1"/>
  <c r="D1273" i="5"/>
  <c r="K1272" i="5"/>
  <c r="M1272" i="5" s="1"/>
  <c r="J1272" i="5"/>
  <c r="L1272" i="5" s="1"/>
  <c r="F1272" i="5"/>
  <c r="D1272" i="5"/>
  <c r="H1272" i="5" s="1"/>
  <c r="L1271" i="5"/>
  <c r="K1271" i="5"/>
  <c r="M1271" i="5" s="1"/>
  <c r="J1271" i="5"/>
  <c r="D1271" i="5"/>
  <c r="K1270" i="5"/>
  <c r="M1270" i="5" s="1"/>
  <c r="J1270" i="5"/>
  <c r="L1270" i="5" s="1"/>
  <c r="D1270" i="5"/>
  <c r="K1269" i="5"/>
  <c r="M1269" i="5" s="1"/>
  <c r="J1269" i="5"/>
  <c r="L1269" i="5" s="1"/>
  <c r="D1269" i="5"/>
  <c r="I1269" i="5" s="1"/>
  <c r="K1268" i="5"/>
  <c r="M1268" i="5" s="1"/>
  <c r="J1268" i="5"/>
  <c r="L1268" i="5" s="1"/>
  <c r="D1268" i="5"/>
  <c r="H1268" i="5" s="1"/>
  <c r="K1267" i="5"/>
  <c r="M1267" i="5" s="1"/>
  <c r="J1267" i="5"/>
  <c r="L1267" i="5" s="1"/>
  <c r="D1267" i="5"/>
  <c r="H1267" i="5" s="1"/>
  <c r="K1266" i="5"/>
  <c r="M1266" i="5" s="1"/>
  <c r="J1266" i="5"/>
  <c r="L1266" i="5" s="1"/>
  <c r="D1266" i="5"/>
  <c r="G1266" i="5" s="1"/>
  <c r="K1265" i="5"/>
  <c r="M1265" i="5" s="1"/>
  <c r="J1265" i="5"/>
  <c r="L1265" i="5" s="1"/>
  <c r="D1265" i="5"/>
  <c r="I1265" i="5" s="1"/>
  <c r="K1264" i="5"/>
  <c r="M1264" i="5" s="1"/>
  <c r="J1264" i="5"/>
  <c r="L1264" i="5" s="1"/>
  <c r="D1264" i="5"/>
  <c r="K1263" i="5"/>
  <c r="M1263" i="5" s="1"/>
  <c r="J1263" i="5"/>
  <c r="L1263" i="5" s="1"/>
  <c r="D1263" i="5"/>
  <c r="K1262" i="5"/>
  <c r="M1262" i="5" s="1"/>
  <c r="J1262" i="5"/>
  <c r="L1262" i="5" s="1"/>
  <c r="D1262" i="5"/>
  <c r="K1261" i="5"/>
  <c r="M1261" i="5" s="1"/>
  <c r="J1261" i="5"/>
  <c r="L1261" i="5" s="1"/>
  <c r="D1261" i="5"/>
  <c r="F1261" i="5" s="1"/>
  <c r="K1260" i="5"/>
  <c r="M1260" i="5" s="1"/>
  <c r="J1260" i="5"/>
  <c r="L1260" i="5" s="1"/>
  <c r="D1260" i="5"/>
  <c r="K1259" i="5"/>
  <c r="M1259" i="5" s="1"/>
  <c r="J1259" i="5"/>
  <c r="L1259" i="5" s="1"/>
  <c r="G1259" i="5"/>
  <c r="D1259" i="5"/>
  <c r="F1259" i="5" s="1"/>
  <c r="K1258" i="5"/>
  <c r="M1258" i="5" s="1"/>
  <c r="J1258" i="5"/>
  <c r="L1258" i="5" s="1"/>
  <c r="E1258" i="5"/>
  <c r="D1258" i="5"/>
  <c r="H1258" i="5" s="1"/>
  <c r="K1257" i="5"/>
  <c r="M1257" i="5" s="1"/>
  <c r="J1257" i="5"/>
  <c r="L1257" i="5" s="1"/>
  <c r="D1257" i="5"/>
  <c r="F1257" i="5" s="1"/>
  <c r="K1256" i="5"/>
  <c r="M1256" i="5" s="1"/>
  <c r="J1256" i="5"/>
  <c r="L1256" i="5" s="1"/>
  <c r="D1256" i="5"/>
  <c r="K1255" i="5"/>
  <c r="M1255" i="5" s="1"/>
  <c r="J1255" i="5"/>
  <c r="L1255" i="5" s="1"/>
  <c r="D1255" i="5"/>
  <c r="F1255" i="5" s="1"/>
  <c r="K1254" i="5"/>
  <c r="M1254" i="5" s="1"/>
  <c r="J1254" i="5"/>
  <c r="L1254" i="5" s="1"/>
  <c r="D1254" i="5"/>
  <c r="I1254" i="5" s="1"/>
  <c r="K1253" i="5"/>
  <c r="M1253" i="5" s="1"/>
  <c r="J1253" i="5"/>
  <c r="L1253" i="5" s="1"/>
  <c r="D1253" i="5"/>
  <c r="K1252" i="5"/>
  <c r="M1252" i="5" s="1"/>
  <c r="J1252" i="5"/>
  <c r="L1252" i="5" s="1"/>
  <c r="D1252" i="5"/>
  <c r="H1252" i="5" s="1"/>
  <c r="K1251" i="5"/>
  <c r="M1251" i="5" s="1"/>
  <c r="J1251" i="5"/>
  <c r="L1251" i="5" s="1"/>
  <c r="D1251" i="5"/>
  <c r="K1250" i="5"/>
  <c r="M1250" i="5" s="1"/>
  <c r="J1250" i="5"/>
  <c r="L1250" i="5" s="1"/>
  <c r="D1250" i="5"/>
  <c r="H1250" i="5" s="1"/>
  <c r="K1249" i="5"/>
  <c r="M1249" i="5" s="1"/>
  <c r="J1249" i="5"/>
  <c r="L1249" i="5" s="1"/>
  <c r="H1249" i="5"/>
  <c r="D1249" i="5"/>
  <c r="K1248" i="5"/>
  <c r="M1248" i="5" s="1"/>
  <c r="J1248" i="5"/>
  <c r="L1248" i="5" s="1"/>
  <c r="D1248" i="5"/>
  <c r="K1247" i="5"/>
  <c r="M1247" i="5" s="1"/>
  <c r="J1247" i="5"/>
  <c r="L1247" i="5" s="1"/>
  <c r="D1247" i="5"/>
  <c r="K1246" i="5"/>
  <c r="M1246" i="5" s="1"/>
  <c r="J1246" i="5"/>
  <c r="L1246" i="5" s="1"/>
  <c r="D1246" i="5"/>
  <c r="K1245" i="5"/>
  <c r="M1245" i="5" s="1"/>
  <c r="J1245" i="5"/>
  <c r="L1245" i="5" s="1"/>
  <c r="D1245" i="5"/>
  <c r="K1244" i="5"/>
  <c r="M1244" i="5" s="1"/>
  <c r="J1244" i="5"/>
  <c r="L1244" i="5" s="1"/>
  <c r="G1244" i="5"/>
  <c r="D1244" i="5"/>
  <c r="H1244" i="5" s="1"/>
  <c r="K1243" i="5"/>
  <c r="M1243" i="5" s="1"/>
  <c r="J1243" i="5"/>
  <c r="L1243" i="5" s="1"/>
  <c r="D1243" i="5"/>
  <c r="H1243" i="5" s="1"/>
  <c r="K1242" i="5"/>
  <c r="M1242" i="5" s="1"/>
  <c r="J1242" i="5"/>
  <c r="L1242" i="5" s="1"/>
  <c r="D1242" i="5"/>
  <c r="H1242" i="5" s="1"/>
  <c r="K1241" i="5"/>
  <c r="M1241" i="5" s="1"/>
  <c r="J1241" i="5"/>
  <c r="L1241" i="5" s="1"/>
  <c r="D1241" i="5"/>
  <c r="K1240" i="5"/>
  <c r="M1240" i="5" s="1"/>
  <c r="J1240" i="5"/>
  <c r="L1240" i="5" s="1"/>
  <c r="D1240" i="5"/>
  <c r="K1239" i="5"/>
  <c r="M1239" i="5" s="1"/>
  <c r="J1239" i="5"/>
  <c r="L1239" i="5" s="1"/>
  <c r="D1239" i="5"/>
  <c r="K1238" i="5"/>
  <c r="M1238" i="5" s="1"/>
  <c r="J1238" i="5"/>
  <c r="L1238" i="5" s="1"/>
  <c r="D1238" i="5"/>
  <c r="K1237" i="5"/>
  <c r="M1237" i="5" s="1"/>
  <c r="J1237" i="5"/>
  <c r="L1237" i="5" s="1"/>
  <c r="D1237" i="5"/>
  <c r="F1237" i="5" s="1"/>
  <c r="K1236" i="5"/>
  <c r="M1236" i="5" s="1"/>
  <c r="J1236" i="5"/>
  <c r="L1236" i="5" s="1"/>
  <c r="D1236" i="5"/>
  <c r="H1236" i="5" s="1"/>
  <c r="K1235" i="5"/>
  <c r="M1235" i="5" s="1"/>
  <c r="J1235" i="5"/>
  <c r="L1235" i="5" s="1"/>
  <c r="D1235" i="5"/>
  <c r="K1234" i="5"/>
  <c r="M1234" i="5" s="1"/>
  <c r="J1234" i="5"/>
  <c r="L1234" i="5" s="1"/>
  <c r="D1234" i="5"/>
  <c r="G1234" i="5" s="1"/>
  <c r="K1233" i="5"/>
  <c r="M1233" i="5" s="1"/>
  <c r="J1233" i="5"/>
  <c r="L1233" i="5" s="1"/>
  <c r="D1233" i="5"/>
  <c r="K1232" i="5"/>
  <c r="M1232" i="5" s="1"/>
  <c r="J1232" i="5"/>
  <c r="L1232" i="5" s="1"/>
  <c r="D1232" i="5"/>
  <c r="K1231" i="5"/>
  <c r="M1231" i="5" s="1"/>
  <c r="J1231" i="5"/>
  <c r="L1231" i="5" s="1"/>
  <c r="D1231" i="5"/>
  <c r="F1231" i="5" s="1"/>
  <c r="K1230" i="5"/>
  <c r="M1230" i="5" s="1"/>
  <c r="J1230" i="5"/>
  <c r="L1230" i="5" s="1"/>
  <c r="D1230" i="5"/>
  <c r="K1229" i="5"/>
  <c r="M1229" i="5" s="1"/>
  <c r="J1229" i="5"/>
  <c r="L1229" i="5" s="1"/>
  <c r="D1229" i="5"/>
  <c r="F1229" i="5" s="1"/>
  <c r="K1228" i="5"/>
  <c r="M1228" i="5" s="1"/>
  <c r="J1228" i="5"/>
  <c r="L1228" i="5" s="1"/>
  <c r="D1228" i="5"/>
  <c r="K1227" i="5"/>
  <c r="M1227" i="5" s="1"/>
  <c r="J1227" i="5"/>
  <c r="L1227" i="5" s="1"/>
  <c r="D1227" i="5"/>
  <c r="G1227" i="5" s="1"/>
  <c r="K1226" i="5"/>
  <c r="M1226" i="5" s="1"/>
  <c r="J1226" i="5"/>
  <c r="L1226" i="5" s="1"/>
  <c r="D1226" i="5"/>
  <c r="K1225" i="5"/>
  <c r="M1225" i="5" s="1"/>
  <c r="J1225" i="5"/>
  <c r="L1225" i="5" s="1"/>
  <c r="D1225" i="5"/>
  <c r="K1224" i="5"/>
  <c r="M1224" i="5" s="1"/>
  <c r="J1224" i="5"/>
  <c r="L1224" i="5" s="1"/>
  <c r="D1224" i="5"/>
  <c r="K1223" i="5"/>
  <c r="M1223" i="5" s="1"/>
  <c r="J1223" i="5"/>
  <c r="L1223" i="5" s="1"/>
  <c r="D1223" i="5"/>
  <c r="K1222" i="5"/>
  <c r="M1222" i="5" s="1"/>
  <c r="J1222" i="5"/>
  <c r="L1222" i="5" s="1"/>
  <c r="D1222" i="5"/>
  <c r="H1222" i="5" s="1"/>
  <c r="K1221" i="5"/>
  <c r="M1221" i="5" s="1"/>
  <c r="J1221" i="5"/>
  <c r="L1221" i="5" s="1"/>
  <c r="D1221" i="5"/>
  <c r="K1220" i="5"/>
  <c r="M1220" i="5" s="1"/>
  <c r="J1220" i="5"/>
  <c r="L1220" i="5" s="1"/>
  <c r="F1220" i="5"/>
  <c r="D1220" i="5"/>
  <c r="H1220" i="5" s="1"/>
  <c r="K1219" i="5"/>
  <c r="M1219" i="5" s="1"/>
  <c r="J1219" i="5"/>
  <c r="L1219" i="5" s="1"/>
  <c r="D1219" i="5"/>
  <c r="G1219" i="5" s="1"/>
  <c r="K1218" i="5"/>
  <c r="M1218" i="5" s="1"/>
  <c r="J1218" i="5"/>
  <c r="L1218" i="5" s="1"/>
  <c r="D1218" i="5"/>
  <c r="K1217" i="5"/>
  <c r="M1217" i="5" s="1"/>
  <c r="J1217" i="5"/>
  <c r="L1217" i="5" s="1"/>
  <c r="D1217" i="5"/>
  <c r="K1216" i="5"/>
  <c r="M1216" i="5" s="1"/>
  <c r="J1216" i="5"/>
  <c r="L1216" i="5" s="1"/>
  <c r="D1216" i="5"/>
  <c r="E1216" i="5" s="1"/>
  <c r="K1215" i="5"/>
  <c r="M1215" i="5" s="1"/>
  <c r="J1215" i="5"/>
  <c r="L1215" i="5" s="1"/>
  <c r="F1215" i="5"/>
  <c r="D1215" i="5"/>
  <c r="K1214" i="5"/>
  <c r="M1214" i="5" s="1"/>
  <c r="J1214" i="5"/>
  <c r="L1214" i="5" s="1"/>
  <c r="D1214" i="5"/>
  <c r="F1214" i="5" s="1"/>
  <c r="K1213" i="5"/>
  <c r="M1213" i="5" s="1"/>
  <c r="J1213" i="5"/>
  <c r="L1213" i="5" s="1"/>
  <c r="D1213" i="5"/>
  <c r="I1213" i="5" s="1"/>
  <c r="K1212" i="5"/>
  <c r="M1212" i="5" s="1"/>
  <c r="J1212" i="5"/>
  <c r="L1212" i="5" s="1"/>
  <c r="D1212" i="5"/>
  <c r="E1212" i="5" s="1"/>
  <c r="K1211" i="5"/>
  <c r="M1211" i="5" s="1"/>
  <c r="J1211" i="5"/>
  <c r="L1211" i="5" s="1"/>
  <c r="D1211" i="5"/>
  <c r="F1211" i="5" s="1"/>
  <c r="K1210" i="5"/>
  <c r="M1210" i="5" s="1"/>
  <c r="J1210" i="5"/>
  <c r="L1210" i="5" s="1"/>
  <c r="D1210" i="5"/>
  <c r="K1209" i="5"/>
  <c r="M1209" i="5" s="1"/>
  <c r="J1209" i="5"/>
  <c r="L1209" i="5" s="1"/>
  <c r="D1209" i="5"/>
  <c r="E1209" i="5" s="1"/>
  <c r="K1208" i="5"/>
  <c r="M1208" i="5" s="1"/>
  <c r="J1208" i="5"/>
  <c r="L1208" i="5" s="1"/>
  <c r="D1208" i="5"/>
  <c r="E1208" i="5" s="1"/>
  <c r="K1207" i="5"/>
  <c r="M1207" i="5" s="1"/>
  <c r="J1207" i="5"/>
  <c r="L1207" i="5" s="1"/>
  <c r="D1207" i="5"/>
  <c r="F1207" i="5" s="1"/>
  <c r="K1206" i="5"/>
  <c r="M1206" i="5" s="1"/>
  <c r="J1206" i="5"/>
  <c r="L1206" i="5" s="1"/>
  <c r="I1206" i="5"/>
  <c r="D1206" i="5"/>
  <c r="H1206" i="5" s="1"/>
  <c r="K1205" i="5"/>
  <c r="M1205" i="5" s="1"/>
  <c r="J1205" i="5"/>
  <c r="L1205" i="5" s="1"/>
  <c r="D1205" i="5"/>
  <c r="E1205" i="5" s="1"/>
  <c r="K1204" i="5"/>
  <c r="M1204" i="5" s="1"/>
  <c r="J1204" i="5"/>
  <c r="L1204" i="5" s="1"/>
  <c r="D1204" i="5"/>
  <c r="K1203" i="5"/>
  <c r="M1203" i="5" s="1"/>
  <c r="J1203" i="5"/>
  <c r="L1203" i="5" s="1"/>
  <c r="D1203" i="5"/>
  <c r="K1202" i="5"/>
  <c r="M1202" i="5" s="1"/>
  <c r="J1202" i="5"/>
  <c r="L1202" i="5" s="1"/>
  <c r="H1202" i="5"/>
  <c r="D1202" i="5"/>
  <c r="K1201" i="5"/>
  <c r="M1201" i="5" s="1"/>
  <c r="J1201" i="5"/>
  <c r="L1201" i="5" s="1"/>
  <c r="H1201" i="5"/>
  <c r="D1201" i="5"/>
  <c r="I1201" i="5" s="1"/>
  <c r="K1200" i="5"/>
  <c r="M1200" i="5" s="1"/>
  <c r="J1200" i="5"/>
  <c r="L1200" i="5" s="1"/>
  <c r="D1200" i="5"/>
  <c r="E1200" i="5" s="1"/>
  <c r="M1199" i="5"/>
  <c r="K1199" i="5"/>
  <c r="J1199" i="5"/>
  <c r="L1199" i="5" s="1"/>
  <c r="D1199" i="5"/>
  <c r="G1199" i="5" s="1"/>
  <c r="K1198" i="5"/>
  <c r="M1198" i="5" s="1"/>
  <c r="J1198" i="5"/>
  <c r="L1198" i="5" s="1"/>
  <c r="D1198" i="5"/>
  <c r="I1198" i="5" s="1"/>
  <c r="K1197" i="5"/>
  <c r="M1197" i="5" s="1"/>
  <c r="J1197" i="5"/>
  <c r="L1197" i="5" s="1"/>
  <c r="D1197" i="5"/>
  <c r="G1197" i="5" s="1"/>
  <c r="K1196" i="5"/>
  <c r="M1196" i="5" s="1"/>
  <c r="J1196" i="5"/>
  <c r="L1196" i="5" s="1"/>
  <c r="D1196" i="5"/>
  <c r="G1196" i="5" s="1"/>
  <c r="K1195" i="5"/>
  <c r="M1195" i="5" s="1"/>
  <c r="J1195" i="5"/>
  <c r="L1195" i="5" s="1"/>
  <c r="D1195" i="5"/>
  <c r="K1194" i="5"/>
  <c r="M1194" i="5" s="1"/>
  <c r="J1194" i="5"/>
  <c r="L1194" i="5" s="1"/>
  <c r="D1194" i="5"/>
  <c r="K1193" i="5"/>
  <c r="M1193" i="5" s="1"/>
  <c r="J1193" i="5"/>
  <c r="L1193" i="5" s="1"/>
  <c r="D1193" i="5"/>
  <c r="K1192" i="5"/>
  <c r="M1192" i="5" s="1"/>
  <c r="J1192" i="5"/>
  <c r="L1192" i="5" s="1"/>
  <c r="D1192" i="5"/>
  <c r="G1192" i="5" s="1"/>
  <c r="K1191" i="5"/>
  <c r="M1191" i="5" s="1"/>
  <c r="J1191" i="5"/>
  <c r="L1191" i="5" s="1"/>
  <c r="D1191" i="5"/>
  <c r="F1191" i="5" s="1"/>
  <c r="K1190" i="5"/>
  <c r="M1190" i="5" s="1"/>
  <c r="J1190" i="5"/>
  <c r="L1190" i="5" s="1"/>
  <c r="D1190" i="5"/>
  <c r="H1190" i="5" s="1"/>
  <c r="K1189" i="5"/>
  <c r="M1189" i="5" s="1"/>
  <c r="J1189" i="5"/>
  <c r="L1189" i="5" s="1"/>
  <c r="D1189" i="5"/>
  <c r="K1188" i="5"/>
  <c r="M1188" i="5" s="1"/>
  <c r="J1188" i="5"/>
  <c r="L1188" i="5" s="1"/>
  <c r="D1188" i="5"/>
  <c r="G1188" i="5" s="1"/>
  <c r="K1187" i="5"/>
  <c r="M1187" i="5" s="1"/>
  <c r="J1187" i="5"/>
  <c r="L1187" i="5" s="1"/>
  <c r="D1187" i="5"/>
  <c r="F1187" i="5" s="1"/>
  <c r="K1186" i="5"/>
  <c r="M1186" i="5" s="1"/>
  <c r="J1186" i="5"/>
  <c r="L1186" i="5" s="1"/>
  <c r="D1186" i="5"/>
  <c r="G1186" i="5" s="1"/>
  <c r="K1185" i="5"/>
  <c r="M1185" i="5" s="1"/>
  <c r="J1185" i="5"/>
  <c r="L1185" i="5" s="1"/>
  <c r="D1185" i="5"/>
  <c r="F1185" i="5" s="1"/>
  <c r="K1184" i="5"/>
  <c r="M1184" i="5" s="1"/>
  <c r="J1184" i="5"/>
  <c r="L1184" i="5" s="1"/>
  <c r="D1184" i="5"/>
  <c r="K1183" i="5"/>
  <c r="M1183" i="5" s="1"/>
  <c r="J1183" i="5"/>
  <c r="L1183" i="5" s="1"/>
  <c r="D1183" i="5"/>
  <c r="G1183" i="5" s="1"/>
  <c r="K1182" i="5"/>
  <c r="M1182" i="5" s="1"/>
  <c r="J1182" i="5"/>
  <c r="L1182" i="5" s="1"/>
  <c r="D1182" i="5"/>
  <c r="G1182" i="5" s="1"/>
  <c r="K1181" i="5"/>
  <c r="M1181" i="5" s="1"/>
  <c r="J1181" i="5"/>
  <c r="L1181" i="5" s="1"/>
  <c r="D1181" i="5"/>
  <c r="G1181" i="5" s="1"/>
  <c r="K1180" i="5"/>
  <c r="M1180" i="5" s="1"/>
  <c r="J1180" i="5"/>
  <c r="L1180" i="5" s="1"/>
  <c r="D1180" i="5"/>
  <c r="K1179" i="5"/>
  <c r="M1179" i="5" s="1"/>
  <c r="J1179" i="5"/>
  <c r="L1179" i="5" s="1"/>
  <c r="D1179" i="5"/>
  <c r="E1179" i="5" s="1"/>
  <c r="K1178" i="5"/>
  <c r="M1178" i="5" s="1"/>
  <c r="J1178" i="5"/>
  <c r="L1178" i="5" s="1"/>
  <c r="D1178" i="5"/>
  <c r="K1177" i="5"/>
  <c r="M1177" i="5" s="1"/>
  <c r="J1177" i="5"/>
  <c r="L1177" i="5" s="1"/>
  <c r="D1177" i="5"/>
  <c r="I1177" i="5" s="1"/>
  <c r="K1176" i="5"/>
  <c r="M1176" i="5" s="1"/>
  <c r="J1176" i="5"/>
  <c r="L1176" i="5" s="1"/>
  <c r="D1176" i="5"/>
  <c r="K1175" i="5"/>
  <c r="M1175" i="5" s="1"/>
  <c r="J1175" i="5"/>
  <c r="L1175" i="5" s="1"/>
  <c r="D1175" i="5"/>
  <c r="G1175" i="5" s="1"/>
  <c r="K1174" i="5"/>
  <c r="M1174" i="5" s="1"/>
  <c r="J1174" i="5"/>
  <c r="L1174" i="5" s="1"/>
  <c r="D1174" i="5"/>
  <c r="H1174" i="5" s="1"/>
  <c r="K1173" i="5"/>
  <c r="M1173" i="5" s="1"/>
  <c r="J1173" i="5"/>
  <c r="L1173" i="5" s="1"/>
  <c r="D1173" i="5"/>
  <c r="E1173" i="5" s="1"/>
  <c r="K1172" i="5"/>
  <c r="M1172" i="5" s="1"/>
  <c r="J1172" i="5"/>
  <c r="L1172" i="5" s="1"/>
  <c r="D1172" i="5"/>
  <c r="K1171" i="5"/>
  <c r="M1171" i="5" s="1"/>
  <c r="J1171" i="5"/>
  <c r="L1171" i="5" s="1"/>
  <c r="D1171" i="5"/>
  <c r="K1170" i="5"/>
  <c r="M1170" i="5" s="1"/>
  <c r="J1170" i="5"/>
  <c r="L1170" i="5" s="1"/>
  <c r="D1170" i="5"/>
  <c r="K1169" i="5"/>
  <c r="M1169" i="5" s="1"/>
  <c r="J1169" i="5"/>
  <c r="L1169" i="5" s="1"/>
  <c r="F1169" i="5"/>
  <c r="D1169" i="5"/>
  <c r="G1169" i="5" s="1"/>
  <c r="K1168" i="5"/>
  <c r="M1168" i="5" s="1"/>
  <c r="J1168" i="5"/>
  <c r="L1168" i="5" s="1"/>
  <c r="D1168" i="5"/>
  <c r="H1168" i="5" s="1"/>
  <c r="K1167" i="5"/>
  <c r="M1167" i="5" s="1"/>
  <c r="J1167" i="5"/>
  <c r="L1167" i="5" s="1"/>
  <c r="D1167" i="5"/>
  <c r="K1166" i="5"/>
  <c r="M1166" i="5" s="1"/>
  <c r="J1166" i="5"/>
  <c r="L1166" i="5" s="1"/>
  <c r="D1166" i="5"/>
  <c r="E1166" i="5" s="1"/>
  <c r="K1165" i="5"/>
  <c r="M1165" i="5" s="1"/>
  <c r="J1165" i="5"/>
  <c r="L1165" i="5" s="1"/>
  <c r="D1165" i="5"/>
  <c r="K1164" i="5"/>
  <c r="M1164" i="5" s="1"/>
  <c r="J1164" i="5"/>
  <c r="L1164" i="5" s="1"/>
  <c r="D1164" i="5"/>
  <c r="H1164" i="5" s="1"/>
  <c r="K1163" i="5"/>
  <c r="M1163" i="5" s="1"/>
  <c r="J1163" i="5"/>
  <c r="L1163" i="5" s="1"/>
  <c r="D1163" i="5"/>
  <c r="K1162" i="5"/>
  <c r="M1162" i="5" s="1"/>
  <c r="J1162" i="5"/>
  <c r="L1162" i="5" s="1"/>
  <c r="D1162" i="5"/>
  <c r="K1161" i="5"/>
  <c r="M1161" i="5" s="1"/>
  <c r="J1161" i="5"/>
  <c r="L1161" i="5" s="1"/>
  <c r="D1161" i="5"/>
  <c r="H1161" i="5" s="1"/>
  <c r="K1160" i="5"/>
  <c r="M1160" i="5" s="1"/>
  <c r="J1160" i="5"/>
  <c r="L1160" i="5" s="1"/>
  <c r="D1160" i="5"/>
  <c r="K1159" i="5"/>
  <c r="M1159" i="5" s="1"/>
  <c r="J1159" i="5"/>
  <c r="L1159" i="5" s="1"/>
  <c r="E1159" i="5"/>
  <c r="D1159" i="5"/>
  <c r="H1159" i="5" s="1"/>
  <c r="K1158" i="5"/>
  <c r="M1158" i="5" s="1"/>
  <c r="J1158" i="5"/>
  <c r="L1158" i="5" s="1"/>
  <c r="D1158" i="5"/>
  <c r="H1158" i="5" s="1"/>
  <c r="K1157" i="5"/>
  <c r="M1157" i="5" s="1"/>
  <c r="J1157" i="5"/>
  <c r="L1157" i="5" s="1"/>
  <c r="I1157" i="5"/>
  <c r="H1157" i="5"/>
  <c r="D1157" i="5"/>
  <c r="K1156" i="5"/>
  <c r="M1156" i="5" s="1"/>
  <c r="J1156" i="5"/>
  <c r="L1156" i="5" s="1"/>
  <c r="D1156" i="5"/>
  <c r="K1155" i="5"/>
  <c r="M1155" i="5" s="1"/>
  <c r="J1155" i="5"/>
  <c r="L1155" i="5" s="1"/>
  <c r="D1155" i="5"/>
  <c r="K1154" i="5"/>
  <c r="M1154" i="5" s="1"/>
  <c r="J1154" i="5"/>
  <c r="L1154" i="5" s="1"/>
  <c r="D1154" i="5"/>
  <c r="K1153" i="5"/>
  <c r="M1153" i="5" s="1"/>
  <c r="J1153" i="5"/>
  <c r="L1153" i="5" s="1"/>
  <c r="I1153" i="5"/>
  <c r="H1153" i="5"/>
  <c r="D1153" i="5"/>
  <c r="F1153" i="5" s="1"/>
  <c r="K1152" i="5"/>
  <c r="M1152" i="5" s="1"/>
  <c r="J1152" i="5"/>
  <c r="L1152" i="5" s="1"/>
  <c r="D1152" i="5"/>
  <c r="K1151" i="5"/>
  <c r="M1151" i="5" s="1"/>
  <c r="J1151" i="5"/>
  <c r="L1151" i="5" s="1"/>
  <c r="D1151" i="5"/>
  <c r="K1150" i="5"/>
  <c r="M1150" i="5" s="1"/>
  <c r="J1150" i="5"/>
  <c r="L1150" i="5" s="1"/>
  <c r="D1150" i="5"/>
  <c r="G1150" i="5" s="1"/>
  <c r="K1149" i="5"/>
  <c r="M1149" i="5" s="1"/>
  <c r="J1149" i="5"/>
  <c r="L1149" i="5" s="1"/>
  <c r="D1149" i="5"/>
  <c r="K1148" i="5"/>
  <c r="M1148" i="5" s="1"/>
  <c r="J1148" i="5"/>
  <c r="L1148" i="5" s="1"/>
  <c r="D1148" i="5"/>
  <c r="K1147" i="5"/>
  <c r="M1147" i="5" s="1"/>
  <c r="J1147" i="5"/>
  <c r="L1147" i="5" s="1"/>
  <c r="D1147" i="5"/>
  <c r="I1147" i="5" s="1"/>
  <c r="L1146" i="5"/>
  <c r="K1146" i="5"/>
  <c r="M1146" i="5" s="1"/>
  <c r="J1146" i="5"/>
  <c r="D1146" i="5"/>
  <c r="K1145" i="5"/>
  <c r="M1145" i="5" s="1"/>
  <c r="J1145" i="5"/>
  <c r="L1145" i="5" s="1"/>
  <c r="D1145" i="5"/>
  <c r="E1145" i="5" s="1"/>
  <c r="K1144" i="5"/>
  <c r="M1144" i="5" s="1"/>
  <c r="J1144" i="5"/>
  <c r="L1144" i="5" s="1"/>
  <c r="D1144" i="5"/>
  <c r="I1144" i="5" s="1"/>
  <c r="K1143" i="5"/>
  <c r="M1143" i="5" s="1"/>
  <c r="J1143" i="5"/>
  <c r="L1143" i="5" s="1"/>
  <c r="D1143" i="5"/>
  <c r="K1142" i="5"/>
  <c r="M1142" i="5" s="1"/>
  <c r="J1142" i="5"/>
  <c r="L1142" i="5" s="1"/>
  <c r="D1142" i="5"/>
  <c r="E1142" i="5" s="1"/>
  <c r="K1141" i="5"/>
  <c r="M1141" i="5" s="1"/>
  <c r="J1141" i="5"/>
  <c r="L1141" i="5" s="1"/>
  <c r="D1141" i="5"/>
  <c r="H1141" i="5" s="1"/>
  <c r="K1140" i="5"/>
  <c r="M1140" i="5" s="1"/>
  <c r="J1140" i="5"/>
  <c r="L1140" i="5" s="1"/>
  <c r="D1140" i="5"/>
  <c r="F1140" i="5" s="1"/>
  <c r="K1139" i="5"/>
  <c r="M1139" i="5" s="1"/>
  <c r="J1139" i="5"/>
  <c r="L1139" i="5" s="1"/>
  <c r="D1139" i="5"/>
  <c r="K1138" i="5"/>
  <c r="M1138" i="5" s="1"/>
  <c r="J1138" i="5"/>
  <c r="L1138" i="5" s="1"/>
  <c r="D1138" i="5"/>
  <c r="G1138" i="5" s="1"/>
  <c r="K1137" i="5"/>
  <c r="M1137" i="5" s="1"/>
  <c r="J1137" i="5"/>
  <c r="L1137" i="5" s="1"/>
  <c r="G1137" i="5"/>
  <c r="E1137" i="5"/>
  <c r="D1137" i="5"/>
  <c r="K1136" i="5"/>
  <c r="M1136" i="5" s="1"/>
  <c r="J1136" i="5"/>
  <c r="L1136" i="5" s="1"/>
  <c r="D1136" i="5"/>
  <c r="K1135" i="5"/>
  <c r="M1135" i="5" s="1"/>
  <c r="J1135" i="5"/>
  <c r="L1135" i="5" s="1"/>
  <c r="D1135" i="5"/>
  <c r="I1135" i="5" s="1"/>
  <c r="K1134" i="5"/>
  <c r="M1134" i="5" s="1"/>
  <c r="J1134" i="5"/>
  <c r="L1134" i="5" s="1"/>
  <c r="D1134" i="5"/>
  <c r="G1134" i="5" s="1"/>
  <c r="K1133" i="5"/>
  <c r="M1133" i="5" s="1"/>
  <c r="J1133" i="5"/>
  <c r="L1133" i="5" s="1"/>
  <c r="D1133" i="5"/>
  <c r="H1133" i="5" s="1"/>
  <c r="K1132" i="5"/>
  <c r="M1132" i="5" s="1"/>
  <c r="J1132" i="5"/>
  <c r="L1132" i="5" s="1"/>
  <c r="D1132" i="5"/>
  <c r="F1132" i="5" s="1"/>
  <c r="K1131" i="5"/>
  <c r="M1131" i="5" s="1"/>
  <c r="J1131" i="5"/>
  <c r="L1131" i="5" s="1"/>
  <c r="D1131" i="5"/>
  <c r="K1130" i="5"/>
  <c r="M1130" i="5" s="1"/>
  <c r="J1130" i="5"/>
  <c r="L1130" i="5" s="1"/>
  <c r="D1130" i="5"/>
  <c r="G1130" i="5" s="1"/>
  <c r="L1129" i="5"/>
  <c r="K1129" i="5"/>
  <c r="M1129" i="5" s="1"/>
  <c r="J1129" i="5"/>
  <c r="D1129" i="5"/>
  <c r="H1129" i="5" s="1"/>
  <c r="K1128" i="5"/>
  <c r="M1128" i="5" s="1"/>
  <c r="J1128" i="5"/>
  <c r="L1128" i="5" s="1"/>
  <c r="D1128" i="5"/>
  <c r="H1128" i="5" s="1"/>
  <c r="K1127" i="5"/>
  <c r="M1127" i="5" s="1"/>
  <c r="J1127" i="5"/>
  <c r="L1127" i="5" s="1"/>
  <c r="D1127" i="5"/>
  <c r="K1126" i="5"/>
  <c r="M1126" i="5" s="1"/>
  <c r="J1126" i="5"/>
  <c r="L1126" i="5" s="1"/>
  <c r="D1126" i="5"/>
  <c r="G1126" i="5" s="1"/>
  <c r="K1125" i="5"/>
  <c r="M1125" i="5" s="1"/>
  <c r="J1125" i="5"/>
  <c r="L1125" i="5" s="1"/>
  <c r="D1125" i="5"/>
  <c r="G1125" i="5" s="1"/>
  <c r="K1124" i="5"/>
  <c r="M1124" i="5" s="1"/>
  <c r="J1124" i="5"/>
  <c r="L1124" i="5" s="1"/>
  <c r="D1124" i="5"/>
  <c r="H1124" i="5" s="1"/>
  <c r="K1123" i="5"/>
  <c r="M1123" i="5" s="1"/>
  <c r="J1123" i="5"/>
  <c r="L1123" i="5" s="1"/>
  <c r="D1123" i="5"/>
  <c r="E1123" i="5" s="1"/>
  <c r="K1122" i="5"/>
  <c r="M1122" i="5" s="1"/>
  <c r="J1122" i="5"/>
  <c r="L1122" i="5" s="1"/>
  <c r="D1122" i="5"/>
  <c r="G1122" i="5" s="1"/>
  <c r="K1121" i="5"/>
  <c r="M1121" i="5" s="1"/>
  <c r="J1121" i="5"/>
  <c r="L1121" i="5" s="1"/>
  <c r="D1121" i="5"/>
  <c r="G1121" i="5" s="1"/>
  <c r="K1120" i="5"/>
  <c r="M1120" i="5" s="1"/>
  <c r="J1120" i="5"/>
  <c r="L1120" i="5" s="1"/>
  <c r="D1120" i="5"/>
  <c r="G1120" i="5" s="1"/>
  <c r="K1119" i="5"/>
  <c r="M1119" i="5" s="1"/>
  <c r="J1119" i="5"/>
  <c r="L1119" i="5" s="1"/>
  <c r="D1119" i="5"/>
  <c r="I1119" i="5" s="1"/>
  <c r="K1118" i="5"/>
  <c r="M1118" i="5" s="1"/>
  <c r="J1118" i="5"/>
  <c r="L1118" i="5" s="1"/>
  <c r="D1118" i="5"/>
  <c r="G1118" i="5" s="1"/>
  <c r="K1117" i="5"/>
  <c r="M1117" i="5" s="1"/>
  <c r="J1117" i="5"/>
  <c r="L1117" i="5" s="1"/>
  <c r="D1117" i="5"/>
  <c r="K1116" i="5"/>
  <c r="M1116" i="5" s="1"/>
  <c r="J1116" i="5"/>
  <c r="L1116" i="5" s="1"/>
  <c r="D1116" i="5"/>
  <c r="H1116" i="5" s="1"/>
  <c r="K1115" i="5"/>
  <c r="M1115" i="5" s="1"/>
  <c r="J1115" i="5"/>
  <c r="L1115" i="5" s="1"/>
  <c r="D1115" i="5"/>
  <c r="E1115" i="5" s="1"/>
  <c r="K1114" i="5"/>
  <c r="M1114" i="5" s="1"/>
  <c r="J1114" i="5"/>
  <c r="L1114" i="5" s="1"/>
  <c r="D1114" i="5"/>
  <c r="K1113" i="5"/>
  <c r="M1113" i="5" s="1"/>
  <c r="J1113" i="5"/>
  <c r="L1113" i="5" s="1"/>
  <c r="D1113" i="5"/>
  <c r="H1113" i="5" s="1"/>
  <c r="K1112" i="5"/>
  <c r="M1112" i="5" s="1"/>
  <c r="J1112" i="5"/>
  <c r="L1112" i="5" s="1"/>
  <c r="D1112" i="5"/>
  <c r="E1112" i="5" s="1"/>
  <c r="K1111" i="5"/>
  <c r="M1111" i="5" s="1"/>
  <c r="J1111" i="5"/>
  <c r="L1111" i="5" s="1"/>
  <c r="D1111" i="5"/>
  <c r="K1110" i="5"/>
  <c r="M1110" i="5" s="1"/>
  <c r="J1110" i="5"/>
  <c r="L1110" i="5" s="1"/>
  <c r="H1110" i="5"/>
  <c r="D1110" i="5"/>
  <c r="K1109" i="5"/>
  <c r="M1109" i="5" s="1"/>
  <c r="J1109" i="5"/>
  <c r="L1109" i="5" s="1"/>
  <c r="D1109" i="5"/>
  <c r="K1108" i="5"/>
  <c r="M1108" i="5" s="1"/>
  <c r="J1108" i="5"/>
  <c r="L1108" i="5" s="1"/>
  <c r="D1108" i="5"/>
  <c r="G1108" i="5" s="1"/>
  <c r="L1107" i="5"/>
  <c r="K1107" i="5"/>
  <c r="M1107" i="5" s="1"/>
  <c r="J1107" i="5"/>
  <c r="D1107" i="5"/>
  <c r="E1107" i="5" s="1"/>
  <c r="K1106" i="5"/>
  <c r="M1106" i="5" s="1"/>
  <c r="J1106" i="5"/>
  <c r="L1106" i="5" s="1"/>
  <c r="D1106" i="5"/>
  <c r="K1105" i="5"/>
  <c r="M1105" i="5" s="1"/>
  <c r="J1105" i="5"/>
  <c r="L1105" i="5" s="1"/>
  <c r="D1105" i="5"/>
  <c r="K1104" i="5"/>
  <c r="M1104" i="5" s="1"/>
  <c r="J1104" i="5"/>
  <c r="L1104" i="5" s="1"/>
  <c r="D1104" i="5"/>
  <c r="I1104" i="5" s="1"/>
  <c r="K1103" i="5"/>
  <c r="M1103" i="5" s="1"/>
  <c r="J1103" i="5"/>
  <c r="L1103" i="5" s="1"/>
  <c r="D1103" i="5"/>
  <c r="F1103" i="5" s="1"/>
  <c r="K1102" i="5"/>
  <c r="M1102" i="5" s="1"/>
  <c r="J1102" i="5"/>
  <c r="L1102" i="5" s="1"/>
  <c r="D1102" i="5"/>
  <c r="G1102" i="5" s="1"/>
  <c r="K1101" i="5"/>
  <c r="M1101" i="5" s="1"/>
  <c r="J1101" i="5"/>
  <c r="L1101" i="5" s="1"/>
  <c r="D1101" i="5"/>
  <c r="K1100" i="5"/>
  <c r="M1100" i="5" s="1"/>
  <c r="J1100" i="5"/>
  <c r="L1100" i="5" s="1"/>
  <c r="D1100" i="5"/>
  <c r="G1100" i="5" s="1"/>
  <c r="K1099" i="5"/>
  <c r="M1099" i="5" s="1"/>
  <c r="J1099" i="5"/>
  <c r="L1099" i="5" s="1"/>
  <c r="D1099" i="5"/>
  <c r="E1099" i="5" s="1"/>
  <c r="K1098" i="5"/>
  <c r="M1098" i="5" s="1"/>
  <c r="J1098" i="5"/>
  <c r="L1098" i="5" s="1"/>
  <c r="D1098" i="5"/>
  <c r="K1097" i="5"/>
  <c r="M1097" i="5" s="1"/>
  <c r="J1097" i="5"/>
  <c r="L1097" i="5" s="1"/>
  <c r="D1097" i="5"/>
  <c r="I1097" i="5" s="1"/>
  <c r="K1096" i="5"/>
  <c r="M1096" i="5" s="1"/>
  <c r="J1096" i="5"/>
  <c r="L1096" i="5" s="1"/>
  <c r="D1096" i="5"/>
  <c r="I1096" i="5" s="1"/>
  <c r="K1095" i="5"/>
  <c r="M1095" i="5" s="1"/>
  <c r="J1095" i="5"/>
  <c r="L1095" i="5" s="1"/>
  <c r="H1095" i="5"/>
  <c r="D1095" i="5"/>
  <c r="E1095" i="5" s="1"/>
  <c r="K1094" i="5"/>
  <c r="M1094" i="5" s="1"/>
  <c r="J1094" i="5"/>
  <c r="L1094" i="5" s="1"/>
  <c r="H1094" i="5"/>
  <c r="D1094" i="5"/>
  <c r="G1094" i="5" s="1"/>
  <c r="K1093" i="5"/>
  <c r="M1093" i="5" s="1"/>
  <c r="J1093" i="5"/>
  <c r="L1093" i="5" s="1"/>
  <c r="D1093" i="5"/>
  <c r="I1093" i="5" s="1"/>
  <c r="L1092" i="5"/>
  <c r="K1092" i="5"/>
  <c r="M1092" i="5" s="1"/>
  <c r="J1092" i="5"/>
  <c r="D1092" i="5"/>
  <c r="G1092" i="5" s="1"/>
  <c r="K1091" i="5"/>
  <c r="M1091" i="5" s="1"/>
  <c r="J1091" i="5"/>
  <c r="L1091" i="5" s="1"/>
  <c r="E1091" i="5"/>
  <c r="D1091" i="5"/>
  <c r="H1091" i="5" s="1"/>
  <c r="K1090" i="5"/>
  <c r="M1090" i="5" s="1"/>
  <c r="J1090" i="5"/>
  <c r="L1090" i="5" s="1"/>
  <c r="D1090" i="5"/>
  <c r="I1090" i="5" s="1"/>
  <c r="K1089" i="5"/>
  <c r="M1089" i="5" s="1"/>
  <c r="J1089" i="5"/>
  <c r="L1089" i="5" s="1"/>
  <c r="D1089" i="5"/>
  <c r="K1088" i="5"/>
  <c r="M1088" i="5" s="1"/>
  <c r="J1088" i="5"/>
  <c r="L1088" i="5" s="1"/>
  <c r="D1088" i="5"/>
  <c r="G1088" i="5" s="1"/>
  <c r="K1087" i="5"/>
  <c r="M1087" i="5" s="1"/>
  <c r="J1087" i="5"/>
  <c r="L1087" i="5" s="1"/>
  <c r="D1087" i="5"/>
  <c r="F1087" i="5" s="1"/>
  <c r="K1086" i="5"/>
  <c r="M1086" i="5" s="1"/>
  <c r="J1086" i="5"/>
  <c r="L1086" i="5" s="1"/>
  <c r="D1086" i="5"/>
  <c r="E1086" i="5" s="1"/>
  <c r="K1085" i="5"/>
  <c r="M1085" i="5" s="1"/>
  <c r="J1085" i="5"/>
  <c r="L1085" i="5" s="1"/>
  <c r="D1085" i="5"/>
  <c r="K1084" i="5"/>
  <c r="M1084" i="5" s="1"/>
  <c r="J1084" i="5"/>
  <c r="L1084" i="5" s="1"/>
  <c r="D1084" i="5"/>
  <c r="H1084" i="5" s="1"/>
  <c r="K1083" i="5"/>
  <c r="M1083" i="5" s="1"/>
  <c r="J1083" i="5"/>
  <c r="L1083" i="5" s="1"/>
  <c r="D1083" i="5"/>
  <c r="H1083" i="5" s="1"/>
  <c r="K1082" i="5"/>
  <c r="M1082" i="5" s="1"/>
  <c r="J1082" i="5"/>
  <c r="L1082" i="5" s="1"/>
  <c r="D1082" i="5"/>
  <c r="K1081" i="5"/>
  <c r="M1081" i="5" s="1"/>
  <c r="J1081" i="5"/>
  <c r="L1081" i="5" s="1"/>
  <c r="D1081" i="5"/>
  <c r="I1081" i="5" s="1"/>
  <c r="K1080" i="5"/>
  <c r="M1080" i="5" s="1"/>
  <c r="J1080" i="5"/>
  <c r="L1080" i="5" s="1"/>
  <c r="D1080" i="5"/>
  <c r="F1080" i="5" s="1"/>
  <c r="K1079" i="5"/>
  <c r="M1079" i="5" s="1"/>
  <c r="J1079" i="5"/>
  <c r="L1079" i="5" s="1"/>
  <c r="D1079" i="5"/>
  <c r="H1079" i="5" s="1"/>
  <c r="K1078" i="5"/>
  <c r="M1078" i="5" s="1"/>
  <c r="J1078" i="5"/>
  <c r="L1078" i="5" s="1"/>
  <c r="D1078" i="5"/>
  <c r="K1077" i="5"/>
  <c r="M1077" i="5" s="1"/>
  <c r="J1077" i="5"/>
  <c r="L1077" i="5" s="1"/>
  <c r="D1077" i="5"/>
  <c r="K1076" i="5"/>
  <c r="M1076" i="5" s="1"/>
  <c r="J1076" i="5"/>
  <c r="L1076" i="5" s="1"/>
  <c r="D1076" i="5"/>
  <c r="K1075" i="5"/>
  <c r="M1075" i="5" s="1"/>
  <c r="J1075" i="5"/>
  <c r="L1075" i="5" s="1"/>
  <c r="D1075" i="5"/>
  <c r="K1074" i="5"/>
  <c r="M1074" i="5" s="1"/>
  <c r="J1074" i="5"/>
  <c r="L1074" i="5" s="1"/>
  <c r="D1074" i="5"/>
  <c r="E1074" i="5" s="1"/>
  <c r="K1073" i="5"/>
  <c r="M1073" i="5" s="1"/>
  <c r="J1073" i="5"/>
  <c r="L1073" i="5" s="1"/>
  <c r="D1073" i="5"/>
  <c r="F1073" i="5" s="1"/>
  <c r="K1072" i="5"/>
  <c r="M1072" i="5" s="1"/>
  <c r="J1072" i="5"/>
  <c r="L1072" i="5" s="1"/>
  <c r="D1072" i="5"/>
  <c r="K1071" i="5"/>
  <c r="M1071" i="5" s="1"/>
  <c r="J1071" i="5"/>
  <c r="L1071" i="5" s="1"/>
  <c r="D1071" i="5"/>
  <c r="E1071" i="5" s="1"/>
  <c r="K1070" i="5"/>
  <c r="M1070" i="5" s="1"/>
  <c r="J1070" i="5"/>
  <c r="L1070" i="5" s="1"/>
  <c r="D1070" i="5"/>
  <c r="L1069" i="5"/>
  <c r="K1069" i="5"/>
  <c r="M1069" i="5" s="1"/>
  <c r="J1069" i="5"/>
  <c r="D1069" i="5"/>
  <c r="K1068" i="5"/>
  <c r="M1068" i="5" s="1"/>
  <c r="J1068" i="5"/>
  <c r="L1068" i="5" s="1"/>
  <c r="D1068" i="5"/>
  <c r="K1067" i="5"/>
  <c r="M1067" i="5" s="1"/>
  <c r="J1067" i="5"/>
  <c r="L1067" i="5" s="1"/>
  <c r="D1067" i="5"/>
  <c r="K1066" i="5"/>
  <c r="M1066" i="5" s="1"/>
  <c r="J1066" i="5"/>
  <c r="L1066" i="5" s="1"/>
  <c r="D1066" i="5"/>
  <c r="K1065" i="5"/>
  <c r="M1065" i="5" s="1"/>
  <c r="J1065" i="5"/>
  <c r="L1065" i="5" s="1"/>
  <c r="D1065" i="5"/>
  <c r="L1064" i="5"/>
  <c r="K1064" i="5"/>
  <c r="M1064" i="5" s="1"/>
  <c r="J1064" i="5"/>
  <c r="D1064" i="5"/>
  <c r="I1064" i="5" s="1"/>
  <c r="K1063" i="5"/>
  <c r="M1063" i="5" s="1"/>
  <c r="J1063" i="5"/>
  <c r="L1063" i="5" s="1"/>
  <c r="D1063" i="5"/>
  <c r="G1063" i="5" s="1"/>
  <c r="K1062" i="5"/>
  <c r="M1062" i="5" s="1"/>
  <c r="J1062" i="5"/>
  <c r="L1062" i="5" s="1"/>
  <c r="D1062" i="5"/>
  <c r="K1061" i="5"/>
  <c r="M1061" i="5" s="1"/>
  <c r="J1061" i="5"/>
  <c r="L1061" i="5" s="1"/>
  <c r="D1061" i="5"/>
  <c r="E1061" i="5" s="1"/>
  <c r="K1060" i="5"/>
  <c r="M1060" i="5" s="1"/>
  <c r="J1060" i="5"/>
  <c r="L1060" i="5" s="1"/>
  <c r="D1060" i="5"/>
  <c r="G1060" i="5" s="1"/>
  <c r="K1059" i="5"/>
  <c r="M1059" i="5" s="1"/>
  <c r="J1059" i="5"/>
  <c r="L1059" i="5" s="1"/>
  <c r="D1059" i="5"/>
  <c r="K1058" i="5"/>
  <c r="M1058" i="5" s="1"/>
  <c r="J1058" i="5"/>
  <c r="L1058" i="5" s="1"/>
  <c r="D1058" i="5"/>
  <c r="I1058" i="5" s="1"/>
  <c r="K1057" i="5"/>
  <c r="M1057" i="5" s="1"/>
  <c r="J1057" i="5"/>
  <c r="L1057" i="5" s="1"/>
  <c r="D1057" i="5"/>
  <c r="K1056" i="5"/>
  <c r="M1056" i="5" s="1"/>
  <c r="J1056" i="5"/>
  <c r="L1056" i="5" s="1"/>
  <c r="D1056" i="5"/>
  <c r="E1056" i="5" s="1"/>
  <c r="K1055" i="5"/>
  <c r="M1055" i="5" s="1"/>
  <c r="J1055" i="5"/>
  <c r="L1055" i="5" s="1"/>
  <c r="D1055" i="5"/>
  <c r="K1054" i="5"/>
  <c r="M1054" i="5" s="1"/>
  <c r="J1054" i="5"/>
  <c r="L1054" i="5" s="1"/>
  <c r="D1054" i="5"/>
  <c r="H1054" i="5" s="1"/>
  <c r="K1053" i="5"/>
  <c r="M1053" i="5" s="1"/>
  <c r="J1053" i="5"/>
  <c r="L1053" i="5" s="1"/>
  <c r="D1053" i="5"/>
  <c r="K1052" i="5"/>
  <c r="M1052" i="5" s="1"/>
  <c r="J1052" i="5"/>
  <c r="L1052" i="5" s="1"/>
  <c r="D1052" i="5"/>
  <c r="K1051" i="5"/>
  <c r="M1051" i="5" s="1"/>
  <c r="J1051" i="5"/>
  <c r="L1051" i="5" s="1"/>
  <c r="D1051" i="5"/>
  <c r="G1051" i="5" s="1"/>
  <c r="K1050" i="5"/>
  <c r="M1050" i="5" s="1"/>
  <c r="J1050" i="5"/>
  <c r="L1050" i="5" s="1"/>
  <c r="D1050" i="5"/>
  <c r="H1050" i="5" s="1"/>
  <c r="K1049" i="5"/>
  <c r="M1049" i="5" s="1"/>
  <c r="J1049" i="5"/>
  <c r="L1049" i="5" s="1"/>
  <c r="D1049" i="5"/>
  <c r="I1049" i="5" s="1"/>
  <c r="K1048" i="5"/>
  <c r="M1048" i="5" s="1"/>
  <c r="J1048" i="5"/>
  <c r="L1048" i="5" s="1"/>
  <c r="D1048" i="5"/>
  <c r="K1047" i="5"/>
  <c r="M1047" i="5" s="1"/>
  <c r="J1047" i="5"/>
  <c r="L1047" i="5" s="1"/>
  <c r="D1047" i="5"/>
  <c r="H1047" i="5" s="1"/>
  <c r="K1046" i="5"/>
  <c r="M1046" i="5" s="1"/>
  <c r="J1046" i="5"/>
  <c r="L1046" i="5" s="1"/>
  <c r="D1046" i="5"/>
  <c r="K1045" i="5"/>
  <c r="M1045" i="5" s="1"/>
  <c r="J1045" i="5"/>
  <c r="L1045" i="5" s="1"/>
  <c r="I1045" i="5"/>
  <c r="G1045" i="5"/>
  <c r="E1045" i="5"/>
  <c r="D1045" i="5"/>
  <c r="H1045" i="5" s="1"/>
  <c r="K1044" i="5"/>
  <c r="M1044" i="5" s="1"/>
  <c r="J1044" i="5"/>
  <c r="L1044" i="5" s="1"/>
  <c r="D1044" i="5"/>
  <c r="K1043" i="5"/>
  <c r="M1043" i="5" s="1"/>
  <c r="J1043" i="5"/>
  <c r="L1043" i="5" s="1"/>
  <c r="D1043" i="5"/>
  <c r="E1043" i="5" s="1"/>
  <c r="K1042" i="5"/>
  <c r="M1042" i="5" s="1"/>
  <c r="J1042" i="5"/>
  <c r="L1042" i="5" s="1"/>
  <c r="D1042" i="5"/>
  <c r="E1042" i="5" s="1"/>
  <c r="K1041" i="5"/>
  <c r="M1041" i="5" s="1"/>
  <c r="J1041" i="5"/>
  <c r="L1041" i="5" s="1"/>
  <c r="D1041" i="5"/>
  <c r="K1040" i="5"/>
  <c r="M1040" i="5" s="1"/>
  <c r="J1040" i="5"/>
  <c r="L1040" i="5" s="1"/>
  <c r="D1040" i="5"/>
  <c r="K1039" i="5"/>
  <c r="M1039" i="5" s="1"/>
  <c r="J1039" i="5"/>
  <c r="L1039" i="5" s="1"/>
  <c r="D1039" i="5"/>
  <c r="F1039" i="5" s="1"/>
  <c r="K1038" i="5"/>
  <c r="M1038" i="5" s="1"/>
  <c r="J1038" i="5"/>
  <c r="L1038" i="5" s="1"/>
  <c r="D1038" i="5"/>
  <c r="K1037" i="5"/>
  <c r="M1037" i="5" s="1"/>
  <c r="J1037" i="5"/>
  <c r="L1037" i="5" s="1"/>
  <c r="D1037" i="5"/>
  <c r="I1037" i="5" s="1"/>
  <c r="K1036" i="5"/>
  <c r="M1036" i="5" s="1"/>
  <c r="J1036" i="5"/>
  <c r="L1036" i="5" s="1"/>
  <c r="D1036" i="5"/>
  <c r="K1035" i="5"/>
  <c r="M1035" i="5" s="1"/>
  <c r="J1035" i="5"/>
  <c r="L1035" i="5" s="1"/>
  <c r="H1035" i="5"/>
  <c r="D1035" i="5"/>
  <c r="F1035" i="5" s="1"/>
  <c r="K1034" i="5"/>
  <c r="M1034" i="5" s="1"/>
  <c r="J1034" i="5"/>
  <c r="L1034" i="5" s="1"/>
  <c r="D1034" i="5"/>
  <c r="I1034" i="5" s="1"/>
  <c r="K1033" i="5"/>
  <c r="M1033" i="5" s="1"/>
  <c r="J1033" i="5"/>
  <c r="L1033" i="5" s="1"/>
  <c r="D1033" i="5"/>
  <c r="K1032" i="5"/>
  <c r="M1032" i="5" s="1"/>
  <c r="J1032" i="5"/>
  <c r="L1032" i="5" s="1"/>
  <c r="D1032" i="5"/>
  <c r="K1031" i="5"/>
  <c r="M1031" i="5" s="1"/>
  <c r="J1031" i="5"/>
  <c r="L1031" i="5" s="1"/>
  <c r="D1031" i="5"/>
  <c r="E1031" i="5" s="1"/>
  <c r="K1030" i="5"/>
  <c r="M1030" i="5" s="1"/>
  <c r="J1030" i="5"/>
  <c r="L1030" i="5" s="1"/>
  <c r="D1030" i="5"/>
  <c r="K1029" i="5"/>
  <c r="M1029" i="5" s="1"/>
  <c r="J1029" i="5"/>
  <c r="L1029" i="5" s="1"/>
  <c r="D1029" i="5"/>
  <c r="E1029" i="5" s="1"/>
  <c r="K1028" i="5"/>
  <c r="M1028" i="5" s="1"/>
  <c r="J1028" i="5"/>
  <c r="L1028" i="5" s="1"/>
  <c r="D1028" i="5"/>
  <c r="H1028" i="5" s="1"/>
  <c r="M1027" i="5"/>
  <c r="K1027" i="5"/>
  <c r="J1027" i="5"/>
  <c r="L1027" i="5" s="1"/>
  <c r="D1027" i="5"/>
  <c r="I1027" i="5" s="1"/>
  <c r="K1026" i="5"/>
  <c r="M1026" i="5" s="1"/>
  <c r="J1026" i="5"/>
  <c r="L1026" i="5" s="1"/>
  <c r="D1026" i="5"/>
  <c r="K1025" i="5"/>
  <c r="M1025" i="5" s="1"/>
  <c r="J1025" i="5"/>
  <c r="L1025" i="5" s="1"/>
  <c r="H1025" i="5"/>
  <c r="D1025" i="5"/>
  <c r="I1025" i="5" s="1"/>
  <c r="K1024" i="5"/>
  <c r="M1024" i="5" s="1"/>
  <c r="J1024" i="5"/>
  <c r="L1024" i="5" s="1"/>
  <c r="D1024" i="5"/>
  <c r="H1024" i="5" s="1"/>
  <c r="K1023" i="5"/>
  <c r="M1023" i="5" s="1"/>
  <c r="J1023" i="5"/>
  <c r="L1023" i="5" s="1"/>
  <c r="D1023" i="5"/>
  <c r="K1022" i="5"/>
  <c r="M1022" i="5" s="1"/>
  <c r="J1022" i="5"/>
  <c r="L1022" i="5" s="1"/>
  <c r="D1022" i="5"/>
  <c r="G1022" i="5" s="1"/>
  <c r="K1021" i="5"/>
  <c r="M1021" i="5" s="1"/>
  <c r="J1021" i="5"/>
  <c r="L1021" i="5" s="1"/>
  <c r="D1021" i="5"/>
  <c r="F1021" i="5" s="1"/>
  <c r="K1020" i="5"/>
  <c r="M1020" i="5" s="1"/>
  <c r="J1020" i="5"/>
  <c r="L1020" i="5" s="1"/>
  <c r="D1020" i="5"/>
  <c r="K1019" i="5"/>
  <c r="M1019" i="5" s="1"/>
  <c r="J1019" i="5"/>
  <c r="L1019" i="5" s="1"/>
  <c r="D1019" i="5"/>
  <c r="I1019" i="5" s="1"/>
  <c r="K1018" i="5"/>
  <c r="M1018" i="5" s="1"/>
  <c r="J1018" i="5"/>
  <c r="L1018" i="5" s="1"/>
  <c r="D1018" i="5"/>
  <c r="G1018" i="5" s="1"/>
  <c r="K1017" i="5"/>
  <c r="M1017" i="5" s="1"/>
  <c r="J1017" i="5"/>
  <c r="L1017" i="5" s="1"/>
  <c r="D1017" i="5"/>
  <c r="K1016" i="5"/>
  <c r="M1016" i="5" s="1"/>
  <c r="J1016" i="5"/>
  <c r="L1016" i="5" s="1"/>
  <c r="D1016" i="5"/>
  <c r="G1016" i="5" s="1"/>
  <c r="K1015" i="5"/>
  <c r="M1015" i="5" s="1"/>
  <c r="J1015" i="5"/>
  <c r="L1015" i="5" s="1"/>
  <c r="D1015" i="5"/>
  <c r="K1014" i="5"/>
  <c r="M1014" i="5" s="1"/>
  <c r="J1014" i="5"/>
  <c r="L1014" i="5" s="1"/>
  <c r="D1014" i="5"/>
  <c r="K1013" i="5"/>
  <c r="M1013" i="5" s="1"/>
  <c r="J1013" i="5"/>
  <c r="L1013" i="5" s="1"/>
  <c r="D1013" i="5"/>
  <c r="K1012" i="5"/>
  <c r="M1012" i="5" s="1"/>
  <c r="J1012" i="5"/>
  <c r="L1012" i="5" s="1"/>
  <c r="D1012" i="5"/>
  <c r="H1012" i="5" s="1"/>
  <c r="K1011" i="5"/>
  <c r="M1011" i="5" s="1"/>
  <c r="J1011" i="5"/>
  <c r="L1011" i="5" s="1"/>
  <c r="D1011" i="5"/>
  <c r="I1011" i="5" s="1"/>
  <c r="K1010" i="5"/>
  <c r="M1010" i="5" s="1"/>
  <c r="J1010" i="5"/>
  <c r="L1010" i="5" s="1"/>
  <c r="D1010" i="5"/>
  <c r="H1010" i="5" s="1"/>
  <c r="K1009" i="5"/>
  <c r="M1009" i="5" s="1"/>
  <c r="J1009" i="5"/>
  <c r="L1009" i="5" s="1"/>
  <c r="D1009" i="5"/>
  <c r="K1008" i="5"/>
  <c r="M1008" i="5" s="1"/>
  <c r="J1008" i="5"/>
  <c r="L1008" i="5" s="1"/>
  <c r="D1008" i="5"/>
  <c r="I1008" i="5" s="1"/>
  <c r="K1007" i="5"/>
  <c r="M1007" i="5" s="1"/>
  <c r="J1007" i="5"/>
  <c r="L1007" i="5" s="1"/>
  <c r="D1007" i="5"/>
  <c r="I1007" i="5" s="1"/>
  <c r="K1006" i="5"/>
  <c r="M1006" i="5" s="1"/>
  <c r="J1006" i="5"/>
  <c r="L1006" i="5" s="1"/>
  <c r="D1006" i="5"/>
  <c r="I1006" i="5" s="1"/>
  <c r="K1005" i="5"/>
  <c r="M1005" i="5" s="1"/>
  <c r="J1005" i="5"/>
  <c r="L1005" i="5" s="1"/>
  <c r="D1005" i="5"/>
  <c r="K1004" i="5"/>
  <c r="M1004" i="5" s="1"/>
  <c r="J1004" i="5"/>
  <c r="L1004" i="5" s="1"/>
  <c r="D1004" i="5"/>
  <c r="I1004" i="5" s="1"/>
  <c r="K1003" i="5"/>
  <c r="M1003" i="5" s="1"/>
  <c r="J1003" i="5"/>
  <c r="L1003" i="5" s="1"/>
  <c r="D1003" i="5"/>
  <c r="I1003" i="5" s="1"/>
  <c r="M1002" i="5"/>
  <c r="K1002" i="5"/>
  <c r="J1002" i="5"/>
  <c r="L1002" i="5" s="1"/>
  <c r="D1002" i="5"/>
  <c r="K1001" i="5"/>
  <c r="M1001" i="5" s="1"/>
  <c r="J1001" i="5"/>
  <c r="L1001" i="5" s="1"/>
  <c r="D1001" i="5"/>
  <c r="H1001" i="5" s="1"/>
  <c r="K1000" i="5"/>
  <c r="M1000" i="5" s="1"/>
  <c r="J1000" i="5"/>
  <c r="L1000" i="5" s="1"/>
  <c r="D1000" i="5"/>
  <c r="K999" i="5"/>
  <c r="M999" i="5" s="1"/>
  <c r="J999" i="5"/>
  <c r="L999" i="5" s="1"/>
  <c r="D999" i="5"/>
  <c r="K998" i="5"/>
  <c r="M998" i="5" s="1"/>
  <c r="J998" i="5"/>
  <c r="L998" i="5" s="1"/>
  <c r="D998" i="5"/>
  <c r="I998" i="5" s="1"/>
  <c r="K997" i="5"/>
  <c r="M997" i="5" s="1"/>
  <c r="J997" i="5"/>
  <c r="L997" i="5" s="1"/>
  <c r="D997" i="5"/>
  <c r="F997" i="5" s="1"/>
  <c r="K996" i="5"/>
  <c r="M996" i="5" s="1"/>
  <c r="J996" i="5"/>
  <c r="L996" i="5" s="1"/>
  <c r="D996" i="5"/>
  <c r="I996" i="5" s="1"/>
  <c r="K995" i="5"/>
  <c r="M995" i="5" s="1"/>
  <c r="J995" i="5"/>
  <c r="L995" i="5" s="1"/>
  <c r="D995" i="5"/>
  <c r="I995" i="5" s="1"/>
  <c r="K994" i="5"/>
  <c r="M994" i="5" s="1"/>
  <c r="J994" i="5"/>
  <c r="L994" i="5" s="1"/>
  <c r="D994" i="5"/>
  <c r="K993" i="5"/>
  <c r="M993" i="5" s="1"/>
  <c r="J993" i="5"/>
  <c r="L993" i="5" s="1"/>
  <c r="D993" i="5"/>
  <c r="G993" i="5" s="1"/>
  <c r="K992" i="5"/>
  <c r="M992" i="5" s="1"/>
  <c r="J992" i="5"/>
  <c r="L992" i="5" s="1"/>
  <c r="D992" i="5"/>
  <c r="I992" i="5" s="1"/>
  <c r="K991" i="5"/>
  <c r="M991" i="5" s="1"/>
  <c r="J991" i="5"/>
  <c r="L991" i="5" s="1"/>
  <c r="D991" i="5"/>
  <c r="F991" i="5" s="1"/>
  <c r="K990" i="5"/>
  <c r="M990" i="5" s="1"/>
  <c r="J990" i="5"/>
  <c r="L990" i="5" s="1"/>
  <c r="D990" i="5"/>
  <c r="K989" i="5"/>
  <c r="M989" i="5" s="1"/>
  <c r="J989" i="5"/>
  <c r="L989" i="5" s="1"/>
  <c r="D989" i="5"/>
  <c r="I989" i="5" s="1"/>
  <c r="K988" i="5"/>
  <c r="M988" i="5" s="1"/>
  <c r="J988" i="5"/>
  <c r="L988" i="5" s="1"/>
  <c r="D988" i="5"/>
  <c r="I988" i="5" s="1"/>
  <c r="K987" i="5"/>
  <c r="M987" i="5" s="1"/>
  <c r="J987" i="5"/>
  <c r="L987" i="5" s="1"/>
  <c r="D987" i="5"/>
  <c r="I987" i="5" s="1"/>
  <c r="K986" i="5"/>
  <c r="M986" i="5" s="1"/>
  <c r="J986" i="5"/>
  <c r="L986" i="5" s="1"/>
  <c r="D986" i="5"/>
  <c r="K985" i="5"/>
  <c r="M985" i="5" s="1"/>
  <c r="J985" i="5"/>
  <c r="L985" i="5" s="1"/>
  <c r="D985" i="5"/>
  <c r="K984" i="5"/>
  <c r="M984" i="5" s="1"/>
  <c r="J984" i="5"/>
  <c r="L984" i="5" s="1"/>
  <c r="D984" i="5"/>
  <c r="K983" i="5"/>
  <c r="M983" i="5" s="1"/>
  <c r="J983" i="5"/>
  <c r="L983" i="5" s="1"/>
  <c r="D983" i="5"/>
  <c r="I983" i="5" s="1"/>
  <c r="K982" i="5"/>
  <c r="M982" i="5" s="1"/>
  <c r="J982" i="5"/>
  <c r="L982" i="5" s="1"/>
  <c r="D982" i="5"/>
  <c r="F982" i="5" s="1"/>
  <c r="K981" i="5"/>
  <c r="M981" i="5" s="1"/>
  <c r="J981" i="5"/>
  <c r="L981" i="5" s="1"/>
  <c r="D981" i="5"/>
  <c r="G981" i="5" s="1"/>
  <c r="K980" i="5"/>
  <c r="M980" i="5" s="1"/>
  <c r="J980" i="5"/>
  <c r="L980" i="5" s="1"/>
  <c r="D980" i="5"/>
  <c r="H980" i="5" s="1"/>
  <c r="K979" i="5"/>
  <c r="M979" i="5" s="1"/>
  <c r="J979" i="5"/>
  <c r="L979" i="5" s="1"/>
  <c r="D979" i="5"/>
  <c r="I979" i="5" s="1"/>
  <c r="K978" i="5"/>
  <c r="M978" i="5" s="1"/>
  <c r="J978" i="5"/>
  <c r="L978" i="5" s="1"/>
  <c r="D978" i="5"/>
  <c r="K977" i="5"/>
  <c r="M977" i="5" s="1"/>
  <c r="J977" i="5"/>
  <c r="L977" i="5" s="1"/>
  <c r="D977" i="5"/>
  <c r="I977" i="5" s="1"/>
  <c r="M976" i="5"/>
  <c r="K976" i="5"/>
  <c r="J976" i="5"/>
  <c r="L976" i="5" s="1"/>
  <c r="D976" i="5"/>
  <c r="K975" i="5"/>
  <c r="M975" i="5" s="1"/>
  <c r="J975" i="5"/>
  <c r="L975" i="5" s="1"/>
  <c r="D975" i="5"/>
  <c r="H975" i="5" s="1"/>
  <c r="K974" i="5"/>
  <c r="M974" i="5" s="1"/>
  <c r="J974" i="5"/>
  <c r="L974" i="5" s="1"/>
  <c r="D974" i="5"/>
  <c r="K973" i="5"/>
  <c r="M973" i="5" s="1"/>
  <c r="J973" i="5"/>
  <c r="L973" i="5" s="1"/>
  <c r="D973" i="5"/>
  <c r="K972" i="5"/>
  <c r="M972" i="5" s="1"/>
  <c r="J972" i="5"/>
  <c r="L972" i="5" s="1"/>
  <c r="D972" i="5"/>
  <c r="I972" i="5" s="1"/>
  <c r="L971" i="5"/>
  <c r="K971" i="5"/>
  <c r="M971" i="5" s="1"/>
  <c r="J971" i="5"/>
  <c r="D971" i="5"/>
  <c r="K970" i="5"/>
  <c r="M970" i="5" s="1"/>
  <c r="J970" i="5"/>
  <c r="L970" i="5" s="1"/>
  <c r="D970" i="5"/>
  <c r="E970" i="5" s="1"/>
  <c r="K969" i="5"/>
  <c r="M969" i="5" s="1"/>
  <c r="J969" i="5"/>
  <c r="L969" i="5" s="1"/>
  <c r="D969" i="5"/>
  <c r="I969" i="5" s="1"/>
  <c r="K968" i="5"/>
  <c r="M968" i="5" s="1"/>
  <c r="J968" i="5"/>
  <c r="L968" i="5" s="1"/>
  <c r="D968" i="5"/>
  <c r="L967" i="5"/>
  <c r="K967" i="5"/>
  <c r="M967" i="5" s="1"/>
  <c r="J967" i="5"/>
  <c r="D967" i="5"/>
  <c r="E967" i="5" s="1"/>
  <c r="K966" i="5"/>
  <c r="M966" i="5" s="1"/>
  <c r="J966" i="5"/>
  <c r="L966" i="5" s="1"/>
  <c r="D966" i="5"/>
  <c r="K965" i="5"/>
  <c r="M965" i="5" s="1"/>
  <c r="J965" i="5"/>
  <c r="L965" i="5" s="1"/>
  <c r="G965" i="5"/>
  <c r="D965" i="5"/>
  <c r="F965" i="5" s="1"/>
  <c r="K964" i="5"/>
  <c r="M964" i="5" s="1"/>
  <c r="J964" i="5"/>
  <c r="L964" i="5" s="1"/>
  <c r="D964" i="5"/>
  <c r="K963" i="5"/>
  <c r="M963" i="5" s="1"/>
  <c r="J963" i="5"/>
  <c r="L963" i="5" s="1"/>
  <c r="D963" i="5"/>
  <c r="I963" i="5" s="1"/>
  <c r="K962" i="5"/>
  <c r="M962" i="5" s="1"/>
  <c r="J962" i="5"/>
  <c r="L962" i="5" s="1"/>
  <c r="D962" i="5"/>
  <c r="E962" i="5" s="1"/>
  <c r="K961" i="5"/>
  <c r="M961" i="5" s="1"/>
  <c r="J961" i="5"/>
  <c r="L961" i="5" s="1"/>
  <c r="D961" i="5"/>
  <c r="K960" i="5"/>
  <c r="M960" i="5" s="1"/>
  <c r="J960" i="5"/>
  <c r="L960" i="5" s="1"/>
  <c r="H960" i="5"/>
  <c r="D960" i="5"/>
  <c r="I960" i="5" s="1"/>
  <c r="K959" i="5"/>
  <c r="M959" i="5" s="1"/>
  <c r="J959" i="5"/>
  <c r="L959" i="5" s="1"/>
  <c r="D959" i="5"/>
  <c r="K958" i="5"/>
  <c r="M958" i="5" s="1"/>
  <c r="J958" i="5"/>
  <c r="L958" i="5" s="1"/>
  <c r="D958" i="5"/>
  <c r="K957" i="5"/>
  <c r="M957" i="5" s="1"/>
  <c r="J957" i="5"/>
  <c r="L957" i="5" s="1"/>
  <c r="D957" i="5"/>
  <c r="K956" i="5"/>
  <c r="M956" i="5" s="1"/>
  <c r="J956" i="5"/>
  <c r="L956" i="5" s="1"/>
  <c r="D956" i="5"/>
  <c r="H956" i="5" s="1"/>
  <c r="K955" i="5"/>
  <c r="M955" i="5" s="1"/>
  <c r="J955" i="5"/>
  <c r="L955" i="5" s="1"/>
  <c r="D955" i="5"/>
  <c r="K954" i="5"/>
  <c r="M954" i="5" s="1"/>
  <c r="J954" i="5"/>
  <c r="L954" i="5" s="1"/>
  <c r="D954" i="5"/>
  <c r="F954" i="5" s="1"/>
  <c r="K953" i="5"/>
  <c r="M953" i="5" s="1"/>
  <c r="J953" i="5"/>
  <c r="L953" i="5" s="1"/>
  <c r="D953" i="5"/>
  <c r="K952" i="5"/>
  <c r="M952" i="5" s="1"/>
  <c r="J952" i="5"/>
  <c r="L952" i="5" s="1"/>
  <c r="D952" i="5"/>
  <c r="K951" i="5"/>
  <c r="M951" i="5" s="1"/>
  <c r="J951" i="5"/>
  <c r="L951" i="5" s="1"/>
  <c r="D951" i="5"/>
  <c r="E951" i="5" s="1"/>
  <c r="K950" i="5"/>
  <c r="M950" i="5" s="1"/>
  <c r="J950" i="5"/>
  <c r="L950" i="5" s="1"/>
  <c r="D950" i="5"/>
  <c r="K949" i="5"/>
  <c r="M949" i="5" s="1"/>
  <c r="J949" i="5"/>
  <c r="L949" i="5" s="1"/>
  <c r="D949" i="5"/>
  <c r="H949" i="5" s="1"/>
  <c r="K948" i="5"/>
  <c r="M948" i="5" s="1"/>
  <c r="J948" i="5"/>
  <c r="L948" i="5" s="1"/>
  <c r="D948" i="5"/>
  <c r="I948" i="5" s="1"/>
  <c r="K947" i="5"/>
  <c r="M947" i="5" s="1"/>
  <c r="J947" i="5"/>
  <c r="L947" i="5" s="1"/>
  <c r="D947" i="5"/>
  <c r="E947" i="5" s="1"/>
  <c r="K946" i="5"/>
  <c r="M946" i="5" s="1"/>
  <c r="J946" i="5"/>
  <c r="L946" i="5" s="1"/>
  <c r="D946" i="5"/>
  <c r="G946" i="5" s="1"/>
  <c r="K945" i="5"/>
  <c r="M945" i="5" s="1"/>
  <c r="J945" i="5"/>
  <c r="L945" i="5" s="1"/>
  <c r="D945" i="5"/>
  <c r="I945" i="5" s="1"/>
  <c r="K944" i="5"/>
  <c r="M944" i="5" s="1"/>
  <c r="J944" i="5"/>
  <c r="L944" i="5" s="1"/>
  <c r="D944" i="5"/>
  <c r="I944" i="5" s="1"/>
  <c r="K943" i="5"/>
  <c r="M943" i="5" s="1"/>
  <c r="J943" i="5"/>
  <c r="L943" i="5" s="1"/>
  <c r="D943" i="5"/>
  <c r="K942" i="5"/>
  <c r="M942" i="5" s="1"/>
  <c r="J942" i="5"/>
  <c r="L942" i="5" s="1"/>
  <c r="D942" i="5"/>
  <c r="K941" i="5"/>
  <c r="M941" i="5" s="1"/>
  <c r="J941" i="5"/>
  <c r="L941" i="5" s="1"/>
  <c r="D941" i="5"/>
  <c r="K940" i="5"/>
  <c r="M940" i="5" s="1"/>
  <c r="J940" i="5"/>
  <c r="L940" i="5" s="1"/>
  <c r="D940" i="5"/>
  <c r="K939" i="5"/>
  <c r="M939" i="5" s="1"/>
  <c r="J939" i="5"/>
  <c r="L939" i="5" s="1"/>
  <c r="D939" i="5"/>
  <c r="K938" i="5"/>
  <c r="M938" i="5" s="1"/>
  <c r="J938" i="5"/>
  <c r="L938" i="5" s="1"/>
  <c r="D938" i="5"/>
  <c r="G938" i="5" s="1"/>
  <c r="K937" i="5"/>
  <c r="M937" i="5" s="1"/>
  <c r="J937" i="5"/>
  <c r="L937" i="5" s="1"/>
  <c r="D937" i="5"/>
  <c r="K936" i="5"/>
  <c r="M936" i="5" s="1"/>
  <c r="J936" i="5"/>
  <c r="L936" i="5" s="1"/>
  <c r="D936" i="5"/>
  <c r="K935" i="5"/>
  <c r="M935" i="5" s="1"/>
  <c r="J935" i="5"/>
  <c r="L935" i="5" s="1"/>
  <c r="D935" i="5"/>
  <c r="K934" i="5"/>
  <c r="M934" i="5" s="1"/>
  <c r="J934" i="5"/>
  <c r="L934" i="5" s="1"/>
  <c r="D934" i="5"/>
  <c r="K933" i="5"/>
  <c r="M933" i="5" s="1"/>
  <c r="J933" i="5"/>
  <c r="L933" i="5" s="1"/>
  <c r="D933" i="5"/>
  <c r="F933" i="5" s="1"/>
  <c r="K932" i="5"/>
  <c r="M932" i="5" s="1"/>
  <c r="J932" i="5"/>
  <c r="L932" i="5" s="1"/>
  <c r="D932" i="5"/>
  <c r="G932" i="5" s="1"/>
  <c r="K931" i="5"/>
  <c r="M931" i="5" s="1"/>
  <c r="J931" i="5"/>
  <c r="L931" i="5" s="1"/>
  <c r="D931" i="5"/>
  <c r="I931" i="5" s="1"/>
  <c r="K930" i="5"/>
  <c r="M930" i="5" s="1"/>
  <c r="J930" i="5"/>
  <c r="L930" i="5" s="1"/>
  <c r="D930" i="5"/>
  <c r="K929" i="5"/>
  <c r="M929" i="5" s="1"/>
  <c r="J929" i="5"/>
  <c r="L929" i="5" s="1"/>
  <c r="D929" i="5"/>
  <c r="I929" i="5" s="1"/>
  <c r="K928" i="5"/>
  <c r="M928" i="5" s="1"/>
  <c r="J928" i="5"/>
  <c r="L928" i="5" s="1"/>
  <c r="D928" i="5"/>
  <c r="G928" i="5" s="1"/>
  <c r="K927" i="5"/>
  <c r="M927" i="5" s="1"/>
  <c r="J927" i="5"/>
  <c r="L927" i="5" s="1"/>
  <c r="D927" i="5"/>
  <c r="K926" i="5"/>
  <c r="M926" i="5" s="1"/>
  <c r="J926" i="5"/>
  <c r="L926" i="5" s="1"/>
  <c r="D926" i="5"/>
  <c r="F926" i="5" s="1"/>
  <c r="K925" i="5"/>
  <c r="M925" i="5" s="1"/>
  <c r="J925" i="5"/>
  <c r="L925" i="5" s="1"/>
  <c r="D925" i="5"/>
  <c r="F925" i="5" s="1"/>
  <c r="K924" i="5"/>
  <c r="M924" i="5" s="1"/>
  <c r="J924" i="5"/>
  <c r="L924" i="5" s="1"/>
  <c r="D924" i="5"/>
  <c r="K923" i="5"/>
  <c r="M923" i="5" s="1"/>
  <c r="J923" i="5"/>
  <c r="L923" i="5" s="1"/>
  <c r="D923" i="5"/>
  <c r="K922" i="5"/>
  <c r="M922" i="5" s="1"/>
  <c r="J922" i="5"/>
  <c r="L922" i="5" s="1"/>
  <c r="D922" i="5"/>
  <c r="F922" i="5" s="1"/>
  <c r="K921" i="5"/>
  <c r="M921" i="5" s="1"/>
  <c r="J921" i="5"/>
  <c r="L921" i="5" s="1"/>
  <c r="D921" i="5"/>
  <c r="G921" i="5" s="1"/>
  <c r="K920" i="5"/>
  <c r="M920" i="5" s="1"/>
  <c r="J920" i="5"/>
  <c r="L920" i="5" s="1"/>
  <c r="D920" i="5"/>
  <c r="K919" i="5"/>
  <c r="M919" i="5" s="1"/>
  <c r="J919" i="5"/>
  <c r="L919" i="5" s="1"/>
  <c r="D919" i="5"/>
  <c r="E919" i="5" s="1"/>
  <c r="K918" i="5"/>
  <c r="M918" i="5" s="1"/>
  <c r="J918" i="5"/>
  <c r="L918" i="5" s="1"/>
  <c r="D918" i="5"/>
  <c r="K917" i="5"/>
  <c r="M917" i="5" s="1"/>
  <c r="J917" i="5"/>
  <c r="L917" i="5" s="1"/>
  <c r="D917" i="5"/>
  <c r="F917" i="5" s="1"/>
  <c r="K916" i="5"/>
  <c r="M916" i="5" s="1"/>
  <c r="J916" i="5"/>
  <c r="L916" i="5" s="1"/>
  <c r="D916" i="5"/>
  <c r="I916" i="5" s="1"/>
  <c r="K915" i="5"/>
  <c r="M915" i="5" s="1"/>
  <c r="J915" i="5"/>
  <c r="L915" i="5" s="1"/>
  <c r="D915" i="5"/>
  <c r="E915" i="5" s="1"/>
  <c r="K914" i="5"/>
  <c r="M914" i="5" s="1"/>
  <c r="J914" i="5"/>
  <c r="L914" i="5" s="1"/>
  <c r="D914" i="5"/>
  <c r="G914" i="5" s="1"/>
  <c r="K913" i="5"/>
  <c r="M913" i="5" s="1"/>
  <c r="J913" i="5"/>
  <c r="L913" i="5" s="1"/>
  <c r="D913" i="5"/>
  <c r="K912" i="5"/>
  <c r="M912" i="5" s="1"/>
  <c r="J912" i="5"/>
  <c r="L912" i="5" s="1"/>
  <c r="D912" i="5"/>
  <c r="K911" i="5"/>
  <c r="M911" i="5" s="1"/>
  <c r="J911" i="5"/>
  <c r="L911" i="5" s="1"/>
  <c r="D911" i="5"/>
  <c r="I911" i="5" s="1"/>
  <c r="K910" i="5"/>
  <c r="M910" i="5" s="1"/>
  <c r="J910" i="5"/>
  <c r="L910" i="5" s="1"/>
  <c r="D910" i="5"/>
  <c r="G910" i="5" s="1"/>
  <c r="K909" i="5"/>
  <c r="M909" i="5" s="1"/>
  <c r="J909" i="5"/>
  <c r="L909" i="5" s="1"/>
  <c r="D909" i="5"/>
  <c r="K908" i="5"/>
  <c r="M908" i="5" s="1"/>
  <c r="J908" i="5"/>
  <c r="L908" i="5" s="1"/>
  <c r="D908" i="5"/>
  <c r="K907" i="5"/>
  <c r="M907" i="5" s="1"/>
  <c r="J907" i="5"/>
  <c r="L907" i="5" s="1"/>
  <c r="D907" i="5"/>
  <c r="K906" i="5"/>
  <c r="M906" i="5" s="1"/>
  <c r="J906" i="5"/>
  <c r="L906" i="5" s="1"/>
  <c r="D906" i="5"/>
  <c r="K905" i="5"/>
  <c r="M905" i="5" s="1"/>
  <c r="J905" i="5"/>
  <c r="L905" i="5" s="1"/>
  <c r="D905" i="5"/>
  <c r="K904" i="5"/>
  <c r="M904" i="5" s="1"/>
  <c r="J904" i="5"/>
  <c r="L904" i="5" s="1"/>
  <c r="D904" i="5"/>
  <c r="G904" i="5" s="1"/>
  <c r="K903" i="5"/>
  <c r="M903" i="5" s="1"/>
  <c r="J903" i="5"/>
  <c r="L903" i="5" s="1"/>
  <c r="D903" i="5"/>
  <c r="E903" i="5" s="1"/>
  <c r="K902" i="5"/>
  <c r="M902" i="5" s="1"/>
  <c r="J902" i="5"/>
  <c r="L902" i="5" s="1"/>
  <c r="D902" i="5"/>
  <c r="K901" i="5"/>
  <c r="M901" i="5" s="1"/>
  <c r="J901" i="5"/>
  <c r="L901" i="5" s="1"/>
  <c r="D901" i="5"/>
  <c r="K900" i="5"/>
  <c r="M900" i="5" s="1"/>
  <c r="J900" i="5"/>
  <c r="L900" i="5" s="1"/>
  <c r="D900" i="5"/>
  <c r="G900" i="5" s="1"/>
  <c r="K899" i="5"/>
  <c r="M899" i="5" s="1"/>
  <c r="J899" i="5"/>
  <c r="L899" i="5" s="1"/>
  <c r="D899" i="5"/>
  <c r="K898" i="5"/>
  <c r="M898" i="5" s="1"/>
  <c r="J898" i="5"/>
  <c r="L898" i="5" s="1"/>
  <c r="D898" i="5"/>
  <c r="H898" i="5" s="1"/>
  <c r="K897" i="5"/>
  <c r="M897" i="5" s="1"/>
  <c r="J897" i="5"/>
  <c r="L897" i="5" s="1"/>
  <c r="D897" i="5"/>
  <c r="K896" i="5"/>
  <c r="M896" i="5" s="1"/>
  <c r="J896" i="5"/>
  <c r="L896" i="5" s="1"/>
  <c r="D896" i="5"/>
  <c r="G896" i="5" s="1"/>
  <c r="K895" i="5"/>
  <c r="M895" i="5" s="1"/>
  <c r="J895" i="5"/>
  <c r="L895" i="5" s="1"/>
  <c r="D895" i="5"/>
  <c r="F895" i="5" s="1"/>
  <c r="K894" i="5"/>
  <c r="M894" i="5" s="1"/>
  <c r="J894" i="5"/>
  <c r="L894" i="5" s="1"/>
  <c r="D894" i="5"/>
  <c r="H894" i="5" s="1"/>
  <c r="K893" i="5"/>
  <c r="M893" i="5" s="1"/>
  <c r="J893" i="5"/>
  <c r="L893" i="5" s="1"/>
  <c r="D893" i="5"/>
  <c r="K892" i="5"/>
  <c r="M892" i="5" s="1"/>
  <c r="J892" i="5"/>
  <c r="L892" i="5" s="1"/>
  <c r="D892" i="5"/>
  <c r="K891" i="5"/>
  <c r="M891" i="5" s="1"/>
  <c r="J891" i="5"/>
  <c r="L891" i="5" s="1"/>
  <c r="D891" i="5"/>
  <c r="K890" i="5"/>
  <c r="M890" i="5" s="1"/>
  <c r="J890" i="5"/>
  <c r="L890" i="5" s="1"/>
  <c r="D890" i="5"/>
  <c r="G890" i="5" s="1"/>
  <c r="K889" i="5"/>
  <c r="M889" i="5" s="1"/>
  <c r="J889" i="5"/>
  <c r="L889" i="5" s="1"/>
  <c r="D889" i="5"/>
  <c r="G889" i="5" s="1"/>
  <c r="K888" i="5"/>
  <c r="M888" i="5" s="1"/>
  <c r="J888" i="5"/>
  <c r="L888" i="5" s="1"/>
  <c r="D888" i="5"/>
  <c r="K887" i="5"/>
  <c r="M887" i="5" s="1"/>
  <c r="J887" i="5"/>
  <c r="L887" i="5" s="1"/>
  <c r="D887" i="5"/>
  <c r="I887" i="5" s="1"/>
  <c r="K886" i="5"/>
  <c r="M886" i="5" s="1"/>
  <c r="J886" i="5"/>
  <c r="L886" i="5" s="1"/>
  <c r="D886" i="5"/>
  <c r="K885" i="5"/>
  <c r="M885" i="5" s="1"/>
  <c r="J885" i="5"/>
  <c r="L885" i="5" s="1"/>
  <c r="D885" i="5"/>
  <c r="F885" i="5" s="1"/>
  <c r="K884" i="5"/>
  <c r="M884" i="5" s="1"/>
  <c r="J884" i="5"/>
  <c r="L884" i="5" s="1"/>
  <c r="D884" i="5"/>
  <c r="K883" i="5"/>
  <c r="M883" i="5" s="1"/>
  <c r="J883" i="5"/>
  <c r="L883" i="5" s="1"/>
  <c r="D883" i="5"/>
  <c r="I883" i="5" s="1"/>
  <c r="K882" i="5"/>
  <c r="M882" i="5" s="1"/>
  <c r="J882" i="5"/>
  <c r="L882" i="5" s="1"/>
  <c r="D882" i="5"/>
  <c r="H882" i="5" s="1"/>
  <c r="K881" i="5"/>
  <c r="M881" i="5" s="1"/>
  <c r="J881" i="5"/>
  <c r="L881" i="5" s="1"/>
  <c r="D881" i="5"/>
  <c r="K880" i="5"/>
  <c r="M880" i="5" s="1"/>
  <c r="J880" i="5"/>
  <c r="L880" i="5" s="1"/>
  <c r="G880" i="5"/>
  <c r="D880" i="5"/>
  <c r="H880" i="5" s="1"/>
  <c r="K879" i="5"/>
  <c r="M879" i="5" s="1"/>
  <c r="J879" i="5"/>
  <c r="L879" i="5" s="1"/>
  <c r="D879" i="5"/>
  <c r="F879" i="5" s="1"/>
  <c r="K878" i="5"/>
  <c r="M878" i="5" s="1"/>
  <c r="J878" i="5"/>
  <c r="L878" i="5" s="1"/>
  <c r="D878" i="5"/>
  <c r="I878" i="5" s="1"/>
  <c r="M877" i="5"/>
  <c r="K877" i="5"/>
  <c r="J877" i="5"/>
  <c r="L877" i="5" s="1"/>
  <c r="D877" i="5"/>
  <c r="K876" i="5"/>
  <c r="M876" i="5" s="1"/>
  <c r="J876" i="5"/>
  <c r="L876" i="5" s="1"/>
  <c r="D876" i="5"/>
  <c r="I876" i="5" s="1"/>
  <c r="K875" i="5"/>
  <c r="M875" i="5" s="1"/>
  <c r="J875" i="5"/>
  <c r="L875" i="5" s="1"/>
  <c r="D875" i="5"/>
  <c r="I875" i="5" s="1"/>
  <c r="K874" i="5"/>
  <c r="M874" i="5" s="1"/>
  <c r="J874" i="5"/>
  <c r="L874" i="5" s="1"/>
  <c r="D874" i="5"/>
  <c r="K873" i="5"/>
  <c r="M873" i="5" s="1"/>
  <c r="J873" i="5"/>
  <c r="L873" i="5" s="1"/>
  <c r="D873" i="5"/>
  <c r="F873" i="5" s="1"/>
  <c r="K872" i="5"/>
  <c r="M872" i="5" s="1"/>
  <c r="J872" i="5"/>
  <c r="L872" i="5" s="1"/>
  <c r="D872" i="5"/>
  <c r="K871" i="5"/>
  <c r="M871" i="5" s="1"/>
  <c r="J871" i="5"/>
  <c r="L871" i="5" s="1"/>
  <c r="I871" i="5"/>
  <c r="D871" i="5"/>
  <c r="K870" i="5"/>
  <c r="M870" i="5" s="1"/>
  <c r="J870" i="5"/>
  <c r="L870" i="5" s="1"/>
  <c r="D870" i="5"/>
  <c r="I870" i="5" s="1"/>
  <c r="K869" i="5"/>
  <c r="M869" i="5" s="1"/>
  <c r="J869" i="5"/>
  <c r="L869" i="5" s="1"/>
  <c r="D869" i="5"/>
  <c r="E869" i="5" s="1"/>
  <c r="K868" i="5"/>
  <c r="M868" i="5" s="1"/>
  <c r="J868" i="5"/>
  <c r="L868" i="5" s="1"/>
  <c r="D868" i="5"/>
  <c r="I868" i="5" s="1"/>
  <c r="K867" i="5"/>
  <c r="M867" i="5" s="1"/>
  <c r="J867" i="5"/>
  <c r="L867" i="5" s="1"/>
  <c r="D867" i="5"/>
  <c r="I867" i="5" s="1"/>
  <c r="K866" i="5"/>
  <c r="M866" i="5" s="1"/>
  <c r="J866" i="5"/>
  <c r="L866" i="5" s="1"/>
  <c r="D866" i="5"/>
  <c r="I866" i="5" s="1"/>
  <c r="K865" i="5"/>
  <c r="M865" i="5" s="1"/>
  <c r="J865" i="5"/>
  <c r="L865" i="5" s="1"/>
  <c r="D865" i="5"/>
  <c r="I865" i="5" s="1"/>
  <c r="K864" i="5"/>
  <c r="M864" i="5" s="1"/>
  <c r="J864" i="5"/>
  <c r="L864" i="5" s="1"/>
  <c r="D864" i="5"/>
  <c r="I864" i="5" s="1"/>
  <c r="K863" i="5"/>
  <c r="M863" i="5" s="1"/>
  <c r="J863" i="5"/>
  <c r="L863" i="5" s="1"/>
  <c r="D863" i="5"/>
  <c r="K862" i="5"/>
  <c r="M862" i="5" s="1"/>
  <c r="J862" i="5"/>
  <c r="L862" i="5" s="1"/>
  <c r="D862" i="5"/>
  <c r="I862" i="5" s="1"/>
  <c r="K861" i="5"/>
  <c r="M861" i="5" s="1"/>
  <c r="J861" i="5"/>
  <c r="L861" i="5" s="1"/>
  <c r="D861" i="5"/>
  <c r="E861" i="5" s="1"/>
  <c r="K860" i="5"/>
  <c r="M860" i="5" s="1"/>
  <c r="J860" i="5"/>
  <c r="L860" i="5" s="1"/>
  <c r="D860" i="5"/>
  <c r="H860" i="5" s="1"/>
  <c r="K859" i="5"/>
  <c r="M859" i="5" s="1"/>
  <c r="J859" i="5"/>
  <c r="L859" i="5" s="1"/>
  <c r="D859" i="5"/>
  <c r="K858" i="5"/>
  <c r="M858" i="5" s="1"/>
  <c r="J858" i="5"/>
  <c r="L858" i="5" s="1"/>
  <c r="D858" i="5"/>
  <c r="K857" i="5"/>
  <c r="M857" i="5" s="1"/>
  <c r="J857" i="5"/>
  <c r="L857" i="5" s="1"/>
  <c r="D857" i="5"/>
  <c r="F857" i="5" s="1"/>
  <c r="K856" i="5"/>
  <c r="M856" i="5" s="1"/>
  <c r="J856" i="5"/>
  <c r="L856" i="5" s="1"/>
  <c r="D856" i="5"/>
  <c r="L855" i="5"/>
  <c r="K855" i="5"/>
  <c r="M855" i="5" s="1"/>
  <c r="J855" i="5"/>
  <c r="D855" i="5"/>
  <c r="K854" i="5"/>
  <c r="M854" i="5" s="1"/>
  <c r="J854" i="5"/>
  <c r="L854" i="5" s="1"/>
  <c r="D854" i="5"/>
  <c r="G854" i="5" s="1"/>
  <c r="K853" i="5"/>
  <c r="M853" i="5" s="1"/>
  <c r="J853" i="5"/>
  <c r="L853" i="5" s="1"/>
  <c r="D853" i="5"/>
  <c r="F853" i="5" s="1"/>
  <c r="K852" i="5"/>
  <c r="M852" i="5" s="1"/>
  <c r="J852" i="5"/>
  <c r="L852" i="5" s="1"/>
  <c r="D852" i="5"/>
  <c r="I852" i="5" s="1"/>
  <c r="K851" i="5"/>
  <c r="M851" i="5" s="1"/>
  <c r="J851" i="5"/>
  <c r="L851" i="5" s="1"/>
  <c r="I851" i="5"/>
  <c r="D851" i="5"/>
  <c r="E851" i="5" s="1"/>
  <c r="K850" i="5"/>
  <c r="M850" i="5" s="1"/>
  <c r="J850" i="5"/>
  <c r="L850" i="5" s="1"/>
  <c r="D850" i="5"/>
  <c r="H850" i="5" s="1"/>
  <c r="K849" i="5"/>
  <c r="M849" i="5" s="1"/>
  <c r="J849" i="5"/>
  <c r="L849" i="5" s="1"/>
  <c r="G849" i="5"/>
  <c r="D849" i="5"/>
  <c r="I849" i="5" s="1"/>
  <c r="K848" i="5"/>
  <c r="M848" i="5" s="1"/>
  <c r="J848" i="5"/>
  <c r="L848" i="5" s="1"/>
  <c r="D848" i="5"/>
  <c r="K847" i="5"/>
  <c r="M847" i="5" s="1"/>
  <c r="J847" i="5"/>
  <c r="L847" i="5" s="1"/>
  <c r="D847" i="5"/>
  <c r="F847" i="5" s="1"/>
  <c r="K846" i="5"/>
  <c r="M846" i="5" s="1"/>
  <c r="J846" i="5"/>
  <c r="L846" i="5" s="1"/>
  <c r="D846" i="5"/>
  <c r="I846" i="5" s="1"/>
  <c r="K845" i="5"/>
  <c r="M845" i="5" s="1"/>
  <c r="J845" i="5"/>
  <c r="L845" i="5" s="1"/>
  <c r="D845" i="5"/>
  <c r="I845" i="5" s="1"/>
  <c r="K844" i="5"/>
  <c r="M844" i="5" s="1"/>
  <c r="J844" i="5"/>
  <c r="L844" i="5" s="1"/>
  <c r="D844" i="5"/>
  <c r="I844" i="5" s="1"/>
  <c r="K843" i="5"/>
  <c r="M843" i="5" s="1"/>
  <c r="J843" i="5"/>
  <c r="L843" i="5" s="1"/>
  <c r="D843" i="5"/>
  <c r="K842" i="5"/>
  <c r="M842" i="5" s="1"/>
  <c r="J842" i="5"/>
  <c r="L842" i="5" s="1"/>
  <c r="D842" i="5"/>
  <c r="I842" i="5" s="1"/>
  <c r="K841" i="5"/>
  <c r="M841" i="5" s="1"/>
  <c r="J841" i="5"/>
  <c r="L841" i="5" s="1"/>
  <c r="D841" i="5"/>
  <c r="E841" i="5" s="1"/>
  <c r="K840" i="5"/>
  <c r="M840" i="5" s="1"/>
  <c r="J840" i="5"/>
  <c r="L840" i="5" s="1"/>
  <c r="D840" i="5"/>
  <c r="I840" i="5" s="1"/>
  <c r="K839" i="5"/>
  <c r="M839" i="5" s="1"/>
  <c r="J839" i="5"/>
  <c r="L839" i="5" s="1"/>
  <c r="D839" i="5"/>
  <c r="I839" i="5" s="1"/>
  <c r="K838" i="5"/>
  <c r="M838" i="5" s="1"/>
  <c r="J838" i="5"/>
  <c r="L838" i="5" s="1"/>
  <c r="D838" i="5"/>
  <c r="I838" i="5" s="1"/>
  <c r="K837" i="5"/>
  <c r="M837" i="5" s="1"/>
  <c r="J837" i="5"/>
  <c r="L837" i="5" s="1"/>
  <c r="D837" i="5"/>
  <c r="G837" i="5" s="1"/>
  <c r="K836" i="5"/>
  <c r="M836" i="5" s="1"/>
  <c r="J836" i="5"/>
  <c r="L836" i="5" s="1"/>
  <c r="D836" i="5"/>
  <c r="I836" i="5" s="1"/>
  <c r="K835" i="5"/>
  <c r="M835" i="5" s="1"/>
  <c r="J835" i="5"/>
  <c r="L835" i="5" s="1"/>
  <c r="D835" i="5"/>
  <c r="I835" i="5" s="1"/>
  <c r="K834" i="5"/>
  <c r="M834" i="5" s="1"/>
  <c r="J834" i="5"/>
  <c r="L834" i="5" s="1"/>
  <c r="D834" i="5"/>
  <c r="K833" i="5"/>
  <c r="M833" i="5" s="1"/>
  <c r="J833" i="5"/>
  <c r="L833" i="5" s="1"/>
  <c r="D833" i="5"/>
  <c r="K832" i="5"/>
  <c r="M832" i="5" s="1"/>
  <c r="J832" i="5"/>
  <c r="L832" i="5" s="1"/>
  <c r="D832" i="5"/>
  <c r="K831" i="5"/>
  <c r="M831" i="5" s="1"/>
  <c r="J831" i="5"/>
  <c r="L831" i="5" s="1"/>
  <c r="D831" i="5"/>
  <c r="K830" i="5"/>
  <c r="M830" i="5" s="1"/>
  <c r="J830" i="5"/>
  <c r="L830" i="5" s="1"/>
  <c r="D830" i="5"/>
  <c r="G830" i="5" s="1"/>
  <c r="K829" i="5"/>
  <c r="M829" i="5" s="1"/>
  <c r="J829" i="5"/>
  <c r="L829" i="5" s="1"/>
  <c r="E829" i="5"/>
  <c r="D829" i="5"/>
  <c r="I829" i="5" s="1"/>
  <c r="K828" i="5"/>
  <c r="M828" i="5" s="1"/>
  <c r="J828" i="5"/>
  <c r="L828" i="5" s="1"/>
  <c r="D828" i="5"/>
  <c r="F828" i="5" s="1"/>
  <c r="K827" i="5"/>
  <c r="M827" i="5" s="1"/>
  <c r="J827" i="5"/>
  <c r="L827" i="5" s="1"/>
  <c r="D827" i="5"/>
  <c r="G827" i="5" s="1"/>
  <c r="K826" i="5"/>
  <c r="M826" i="5" s="1"/>
  <c r="J826" i="5"/>
  <c r="L826" i="5" s="1"/>
  <c r="D826" i="5"/>
  <c r="G826" i="5" s="1"/>
  <c r="K825" i="5"/>
  <c r="M825" i="5" s="1"/>
  <c r="J825" i="5"/>
  <c r="L825" i="5" s="1"/>
  <c r="D825" i="5"/>
  <c r="I825" i="5" s="1"/>
  <c r="K824" i="5"/>
  <c r="M824" i="5" s="1"/>
  <c r="J824" i="5"/>
  <c r="L824" i="5" s="1"/>
  <c r="D824" i="5"/>
  <c r="F824" i="5" s="1"/>
  <c r="K823" i="5"/>
  <c r="M823" i="5" s="1"/>
  <c r="J823" i="5"/>
  <c r="L823" i="5" s="1"/>
  <c r="D823" i="5"/>
  <c r="I823" i="5" s="1"/>
  <c r="K822" i="5"/>
  <c r="M822" i="5" s="1"/>
  <c r="J822" i="5"/>
  <c r="L822" i="5" s="1"/>
  <c r="D822" i="5"/>
  <c r="K821" i="5"/>
  <c r="M821" i="5" s="1"/>
  <c r="J821" i="5"/>
  <c r="L821" i="5" s="1"/>
  <c r="D821" i="5"/>
  <c r="I821" i="5" s="1"/>
  <c r="K820" i="5"/>
  <c r="M820" i="5" s="1"/>
  <c r="J820" i="5"/>
  <c r="L820" i="5" s="1"/>
  <c r="D820" i="5"/>
  <c r="F820" i="5" s="1"/>
  <c r="K819" i="5"/>
  <c r="M819" i="5" s="1"/>
  <c r="J819" i="5"/>
  <c r="L819" i="5" s="1"/>
  <c r="D819" i="5"/>
  <c r="G819" i="5" s="1"/>
  <c r="K818" i="5"/>
  <c r="M818" i="5" s="1"/>
  <c r="J818" i="5"/>
  <c r="L818" i="5" s="1"/>
  <c r="D818" i="5"/>
  <c r="H818" i="5" s="1"/>
  <c r="K817" i="5"/>
  <c r="M817" i="5" s="1"/>
  <c r="J817" i="5"/>
  <c r="L817" i="5" s="1"/>
  <c r="D817" i="5"/>
  <c r="H817" i="5" s="1"/>
  <c r="K816" i="5"/>
  <c r="M816" i="5" s="1"/>
  <c r="J816" i="5"/>
  <c r="L816" i="5" s="1"/>
  <c r="D816" i="5"/>
  <c r="E816" i="5" s="1"/>
  <c r="K815" i="5"/>
  <c r="M815" i="5" s="1"/>
  <c r="J815" i="5"/>
  <c r="L815" i="5" s="1"/>
  <c r="D815" i="5"/>
  <c r="G815" i="5" s="1"/>
  <c r="K814" i="5"/>
  <c r="M814" i="5" s="1"/>
  <c r="J814" i="5"/>
  <c r="L814" i="5" s="1"/>
  <c r="D814" i="5"/>
  <c r="K813" i="5"/>
  <c r="M813" i="5" s="1"/>
  <c r="J813" i="5"/>
  <c r="L813" i="5" s="1"/>
  <c r="D813" i="5"/>
  <c r="K812" i="5"/>
  <c r="M812" i="5" s="1"/>
  <c r="J812" i="5"/>
  <c r="L812" i="5" s="1"/>
  <c r="D812" i="5"/>
  <c r="F812" i="5" s="1"/>
  <c r="K811" i="5"/>
  <c r="M811" i="5" s="1"/>
  <c r="J811" i="5"/>
  <c r="L811" i="5" s="1"/>
  <c r="D811" i="5"/>
  <c r="K810" i="5"/>
  <c r="M810" i="5" s="1"/>
  <c r="J810" i="5"/>
  <c r="L810" i="5" s="1"/>
  <c r="D810" i="5"/>
  <c r="G810" i="5" s="1"/>
  <c r="K809" i="5"/>
  <c r="M809" i="5" s="1"/>
  <c r="J809" i="5"/>
  <c r="L809" i="5" s="1"/>
  <c r="D809" i="5"/>
  <c r="H809" i="5" s="1"/>
  <c r="K808" i="5"/>
  <c r="M808" i="5" s="1"/>
  <c r="J808" i="5"/>
  <c r="L808" i="5" s="1"/>
  <c r="D808" i="5"/>
  <c r="H808" i="5" s="1"/>
  <c r="L807" i="5"/>
  <c r="K807" i="5"/>
  <c r="M807" i="5" s="1"/>
  <c r="J807" i="5"/>
  <c r="D807" i="5"/>
  <c r="K806" i="5"/>
  <c r="M806" i="5" s="1"/>
  <c r="J806" i="5"/>
  <c r="L806" i="5" s="1"/>
  <c r="D806" i="5"/>
  <c r="K805" i="5"/>
  <c r="M805" i="5" s="1"/>
  <c r="J805" i="5"/>
  <c r="L805" i="5" s="1"/>
  <c r="D805" i="5"/>
  <c r="K804" i="5"/>
  <c r="M804" i="5" s="1"/>
  <c r="J804" i="5"/>
  <c r="L804" i="5" s="1"/>
  <c r="H804" i="5"/>
  <c r="D804" i="5"/>
  <c r="F804" i="5" s="1"/>
  <c r="K803" i="5"/>
  <c r="M803" i="5" s="1"/>
  <c r="J803" i="5"/>
  <c r="L803" i="5" s="1"/>
  <c r="G803" i="5"/>
  <c r="D803" i="5"/>
  <c r="I803" i="5" s="1"/>
  <c r="K802" i="5"/>
  <c r="M802" i="5" s="1"/>
  <c r="J802" i="5"/>
  <c r="L802" i="5" s="1"/>
  <c r="D802" i="5"/>
  <c r="G802" i="5" s="1"/>
  <c r="K801" i="5"/>
  <c r="M801" i="5" s="1"/>
  <c r="J801" i="5"/>
  <c r="L801" i="5" s="1"/>
  <c r="D801" i="5"/>
  <c r="I801" i="5" s="1"/>
  <c r="K800" i="5"/>
  <c r="M800" i="5" s="1"/>
  <c r="J800" i="5"/>
  <c r="L800" i="5" s="1"/>
  <c r="D800" i="5"/>
  <c r="F800" i="5" s="1"/>
  <c r="K799" i="5"/>
  <c r="M799" i="5" s="1"/>
  <c r="J799" i="5"/>
  <c r="L799" i="5" s="1"/>
  <c r="G799" i="5"/>
  <c r="D799" i="5"/>
  <c r="K798" i="5"/>
  <c r="M798" i="5" s="1"/>
  <c r="J798" i="5"/>
  <c r="L798" i="5" s="1"/>
  <c r="D798" i="5"/>
  <c r="G798" i="5" s="1"/>
  <c r="K797" i="5"/>
  <c r="M797" i="5" s="1"/>
  <c r="J797" i="5"/>
  <c r="L797" i="5" s="1"/>
  <c r="H797" i="5"/>
  <c r="D797" i="5"/>
  <c r="K796" i="5"/>
  <c r="M796" i="5" s="1"/>
  <c r="J796" i="5"/>
  <c r="L796" i="5" s="1"/>
  <c r="D796" i="5"/>
  <c r="K795" i="5"/>
  <c r="M795" i="5" s="1"/>
  <c r="J795" i="5"/>
  <c r="L795" i="5" s="1"/>
  <c r="D795" i="5"/>
  <c r="K794" i="5"/>
  <c r="M794" i="5" s="1"/>
  <c r="J794" i="5"/>
  <c r="L794" i="5" s="1"/>
  <c r="D794" i="5"/>
  <c r="K793" i="5"/>
  <c r="M793" i="5" s="1"/>
  <c r="J793" i="5"/>
  <c r="L793" i="5" s="1"/>
  <c r="D793" i="5"/>
  <c r="K792" i="5"/>
  <c r="M792" i="5" s="1"/>
  <c r="J792" i="5"/>
  <c r="L792" i="5" s="1"/>
  <c r="D792" i="5"/>
  <c r="K791" i="5"/>
  <c r="M791" i="5" s="1"/>
  <c r="J791" i="5"/>
  <c r="L791" i="5" s="1"/>
  <c r="D791" i="5"/>
  <c r="K790" i="5"/>
  <c r="M790" i="5" s="1"/>
  <c r="J790" i="5"/>
  <c r="L790" i="5" s="1"/>
  <c r="D790" i="5"/>
  <c r="H790" i="5" s="1"/>
  <c r="K789" i="5"/>
  <c r="M789" i="5" s="1"/>
  <c r="J789" i="5"/>
  <c r="L789" i="5" s="1"/>
  <c r="D789" i="5"/>
  <c r="K788" i="5"/>
  <c r="M788" i="5" s="1"/>
  <c r="J788" i="5"/>
  <c r="L788" i="5" s="1"/>
  <c r="D788" i="5"/>
  <c r="K787" i="5"/>
  <c r="M787" i="5" s="1"/>
  <c r="J787" i="5"/>
  <c r="L787" i="5" s="1"/>
  <c r="D787" i="5"/>
  <c r="I787" i="5" s="1"/>
  <c r="K786" i="5"/>
  <c r="M786" i="5" s="1"/>
  <c r="J786" i="5"/>
  <c r="L786" i="5" s="1"/>
  <c r="H786" i="5"/>
  <c r="D786" i="5"/>
  <c r="K785" i="5"/>
  <c r="M785" i="5" s="1"/>
  <c r="J785" i="5"/>
  <c r="L785" i="5" s="1"/>
  <c r="D785" i="5"/>
  <c r="K784" i="5"/>
  <c r="M784" i="5" s="1"/>
  <c r="J784" i="5"/>
  <c r="L784" i="5" s="1"/>
  <c r="D784" i="5"/>
  <c r="F784" i="5" s="1"/>
  <c r="K783" i="5"/>
  <c r="M783" i="5" s="1"/>
  <c r="J783" i="5"/>
  <c r="L783" i="5" s="1"/>
  <c r="D783" i="5"/>
  <c r="G783" i="5" s="1"/>
  <c r="K782" i="5"/>
  <c r="M782" i="5" s="1"/>
  <c r="J782" i="5"/>
  <c r="L782" i="5" s="1"/>
  <c r="D782" i="5"/>
  <c r="E782" i="5" s="1"/>
  <c r="K781" i="5"/>
  <c r="M781" i="5" s="1"/>
  <c r="J781" i="5"/>
  <c r="L781" i="5" s="1"/>
  <c r="D781" i="5"/>
  <c r="E781" i="5" s="1"/>
  <c r="K780" i="5"/>
  <c r="M780" i="5" s="1"/>
  <c r="J780" i="5"/>
  <c r="L780" i="5" s="1"/>
  <c r="D780" i="5"/>
  <c r="K779" i="5"/>
  <c r="M779" i="5" s="1"/>
  <c r="J779" i="5"/>
  <c r="L779" i="5" s="1"/>
  <c r="D779" i="5"/>
  <c r="K778" i="5"/>
  <c r="M778" i="5" s="1"/>
  <c r="J778" i="5"/>
  <c r="L778" i="5" s="1"/>
  <c r="D778" i="5"/>
  <c r="K777" i="5"/>
  <c r="M777" i="5" s="1"/>
  <c r="J777" i="5"/>
  <c r="L777" i="5" s="1"/>
  <c r="D777" i="5"/>
  <c r="I777" i="5" s="1"/>
  <c r="K776" i="5"/>
  <c r="M776" i="5" s="1"/>
  <c r="J776" i="5"/>
  <c r="L776" i="5" s="1"/>
  <c r="D776" i="5"/>
  <c r="K775" i="5"/>
  <c r="M775" i="5" s="1"/>
  <c r="J775" i="5"/>
  <c r="L775" i="5" s="1"/>
  <c r="D775" i="5"/>
  <c r="I775" i="5" s="1"/>
  <c r="K774" i="5"/>
  <c r="M774" i="5" s="1"/>
  <c r="J774" i="5"/>
  <c r="L774" i="5" s="1"/>
  <c r="H774" i="5"/>
  <c r="D774" i="5"/>
  <c r="G774" i="5" s="1"/>
  <c r="K773" i="5"/>
  <c r="M773" i="5" s="1"/>
  <c r="J773" i="5"/>
  <c r="L773" i="5" s="1"/>
  <c r="D773" i="5"/>
  <c r="K772" i="5"/>
  <c r="M772" i="5" s="1"/>
  <c r="J772" i="5"/>
  <c r="L772" i="5" s="1"/>
  <c r="D772" i="5"/>
  <c r="K771" i="5"/>
  <c r="M771" i="5" s="1"/>
  <c r="J771" i="5"/>
  <c r="L771" i="5" s="1"/>
  <c r="D771" i="5"/>
  <c r="I771" i="5" s="1"/>
  <c r="K770" i="5"/>
  <c r="M770" i="5" s="1"/>
  <c r="J770" i="5"/>
  <c r="L770" i="5" s="1"/>
  <c r="D770" i="5"/>
  <c r="K769" i="5"/>
  <c r="M769" i="5" s="1"/>
  <c r="J769" i="5"/>
  <c r="L769" i="5" s="1"/>
  <c r="D769" i="5"/>
  <c r="K768" i="5"/>
  <c r="M768" i="5" s="1"/>
  <c r="J768" i="5"/>
  <c r="L768" i="5" s="1"/>
  <c r="D768" i="5"/>
  <c r="F768" i="5" s="1"/>
  <c r="K767" i="5"/>
  <c r="M767" i="5" s="1"/>
  <c r="J767" i="5"/>
  <c r="L767" i="5" s="1"/>
  <c r="D767" i="5"/>
  <c r="K766" i="5"/>
  <c r="M766" i="5" s="1"/>
  <c r="J766" i="5"/>
  <c r="L766" i="5" s="1"/>
  <c r="D766" i="5"/>
  <c r="I766" i="5" s="1"/>
  <c r="K765" i="5"/>
  <c r="M765" i="5" s="1"/>
  <c r="J765" i="5"/>
  <c r="L765" i="5" s="1"/>
  <c r="D765" i="5"/>
  <c r="I765" i="5" s="1"/>
  <c r="K764" i="5"/>
  <c r="M764" i="5" s="1"/>
  <c r="J764" i="5"/>
  <c r="L764" i="5" s="1"/>
  <c r="D764" i="5"/>
  <c r="F764" i="5" s="1"/>
  <c r="K763" i="5"/>
  <c r="M763" i="5" s="1"/>
  <c r="J763" i="5"/>
  <c r="L763" i="5" s="1"/>
  <c r="D763" i="5"/>
  <c r="K762" i="5"/>
  <c r="M762" i="5" s="1"/>
  <c r="J762" i="5"/>
  <c r="L762" i="5" s="1"/>
  <c r="D762" i="5"/>
  <c r="I762" i="5" s="1"/>
  <c r="K761" i="5"/>
  <c r="M761" i="5" s="1"/>
  <c r="J761" i="5"/>
  <c r="L761" i="5" s="1"/>
  <c r="D761" i="5"/>
  <c r="K760" i="5"/>
  <c r="M760" i="5" s="1"/>
  <c r="J760" i="5"/>
  <c r="L760" i="5" s="1"/>
  <c r="D760" i="5"/>
  <c r="K759" i="5"/>
  <c r="M759" i="5" s="1"/>
  <c r="J759" i="5"/>
  <c r="L759" i="5" s="1"/>
  <c r="D759" i="5"/>
  <c r="K758" i="5"/>
  <c r="M758" i="5" s="1"/>
  <c r="J758" i="5"/>
  <c r="L758" i="5" s="1"/>
  <c r="D758" i="5"/>
  <c r="K757" i="5"/>
  <c r="M757" i="5" s="1"/>
  <c r="J757" i="5"/>
  <c r="L757" i="5" s="1"/>
  <c r="D757" i="5"/>
  <c r="K756" i="5"/>
  <c r="M756" i="5" s="1"/>
  <c r="J756" i="5"/>
  <c r="L756" i="5" s="1"/>
  <c r="D756" i="5"/>
  <c r="K755" i="5"/>
  <c r="M755" i="5" s="1"/>
  <c r="J755" i="5"/>
  <c r="L755" i="5" s="1"/>
  <c r="D755" i="5"/>
  <c r="K754" i="5"/>
  <c r="M754" i="5" s="1"/>
  <c r="J754" i="5"/>
  <c r="L754" i="5" s="1"/>
  <c r="D754" i="5"/>
  <c r="I754" i="5" s="1"/>
  <c r="K753" i="5"/>
  <c r="M753" i="5" s="1"/>
  <c r="J753" i="5"/>
  <c r="L753" i="5" s="1"/>
  <c r="D753" i="5"/>
  <c r="K752" i="5"/>
  <c r="M752" i="5" s="1"/>
  <c r="J752" i="5"/>
  <c r="L752" i="5" s="1"/>
  <c r="D752" i="5"/>
  <c r="G752" i="5" s="1"/>
  <c r="K751" i="5"/>
  <c r="M751" i="5" s="1"/>
  <c r="J751" i="5"/>
  <c r="L751" i="5" s="1"/>
  <c r="D751" i="5"/>
  <c r="K750" i="5"/>
  <c r="M750" i="5" s="1"/>
  <c r="J750" i="5"/>
  <c r="L750" i="5" s="1"/>
  <c r="I750" i="5"/>
  <c r="D750" i="5"/>
  <c r="K749" i="5"/>
  <c r="M749" i="5" s="1"/>
  <c r="J749" i="5"/>
  <c r="L749" i="5" s="1"/>
  <c r="D749" i="5"/>
  <c r="K748" i="5"/>
  <c r="M748" i="5" s="1"/>
  <c r="J748" i="5"/>
  <c r="L748" i="5" s="1"/>
  <c r="D748" i="5"/>
  <c r="E748" i="5" s="1"/>
  <c r="M747" i="5"/>
  <c r="K747" i="5"/>
  <c r="J747" i="5"/>
  <c r="L747" i="5" s="1"/>
  <c r="D747" i="5"/>
  <c r="F747" i="5" s="1"/>
  <c r="K746" i="5"/>
  <c r="M746" i="5" s="1"/>
  <c r="J746" i="5"/>
  <c r="L746" i="5" s="1"/>
  <c r="D746" i="5"/>
  <c r="K745" i="5"/>
  <c r="M745" i="5" s="1"/>
  <c r="J745" i="5"/>
  <c r="L745" i="5" s="1"/>
  <c r="D745" i="5"/>
  <c r="K744" i="5"/>
  <c r="M744" i="5" s="1"/>
  <c r="J744" i="5"/>
  <c r="L744" i="5" s="1"/>
  <c r="D744" i="5"/>
  <c r="K743" i="5"/>
  <c r="M743" i="5" s="1"/>
  <c r="J743" i="5"/>
  <c r="L743" i="5" s="1"/>
  <c r="D743" i="5"/>
  <c r="K742" i="5"/>
  <c r="M742" i="5" s="1"/>
  <c r="J742" i="5"/>
  <c r="L742" i="5" s="1"/>
  <c r="D742" i="5"/>
  <c r="E742" i="5" s="1"/>
  <c r="K741" i="5"/>
  <c r="M741" i="5" s="1"/>
  <c r="J741" i="5"/>
  <c r="L741" i="5" s="1"/>
  <c r="D741" i="5"/>
  <c r="I741" i="5" s="1"/>
  <c r="K740" i="5"/>
  <c r="M740" i="5" s="1"/>
  <c r="J740" i="5"/>
  <c r="L740" i="5" s="1"/>
  <c r="D740" i="5"/>
  <c r="I740" i="5" s="1"/>
  <c r="K739" i="5"/>
  <c r="M739" i="5" s="1"/>
  <c r="J739" i="5"/>
  <c r="L739" i="5" s="1"/>
  <c r="D739" i="5"/>
  <c r="G739" i="5" s="1"/>
  <c r="K738" i="5"/>
  <c r="M738" i="5" s="1"/>
  <c r="J738" i="5"/>
  <c r="L738" i="5" s="1"/>
  <c r="D738" i="5"/>
  <c r="K737" i="5"/>
  <c r="M737" i="5" s="1"/>
  <c r="J737" i="5"/>
  <c r="L737" i="5" s="1"/>
  <c r="D737" i="5"/>
  <c r="H737" i="5" s="1"/>
  <c r="K736" i="5"/>
  <c r="M736" i="5" s="1"/>
  <c r="J736" i="5"/>
  <c r="L736" i="5" s="1"/>
  <c r="D736" i="5"/>
  <c r="K735" i="5"/>
  <c r="M735" i="5" s="1"/>
  <c r="J735" i="5"/>
  <c r="L735" i="5" s="1"/>
  <c r="D735" i="5"/>
  <c r="F735" i="5" s="1"/>
  <c r="K734" i="5"/>
  <c r="M734" i="5" s="1"/>
  <c r="J734" i="5"/>
  <c r="L734" i="5" s="1"/>
  <c r="D734" i="5"/>
  <c r="K733" i="5"/>
  <c r="M733" i="5" s="1"/>
  <c r="J733" i="5"/>
  <c r="L733" i="5" s="1"/>
  <c r="D733" i="5"/>
  <c r="G733" i="5" s="1"/>
  <c r="K732" i="5"/>
  <c r="M732" i="5" s="1"/>
  <c r="J732" i="5"/>
  <c r="L732" i="5" s="1"/>
  <c r="D732" i="5"/>
  <c r="K731" i="5"/>
  <c r="M731" i="5" s="1"/>
  <c r="J731" i="5"/>
  <c r="L731" i="5" s="1"/>
  <c r="D731" i="5"/>
  <c r="K730" i="5"/>
  <c r="M730" i="5" s="1"/>
  <c r="J730" i="5"/>
  <c r="L730" i="5" s="1"/>
  <c r="D730" i="5"/>
  <c r="H730" i="5" s="1"/>
  <c r="K729" i="5"/>
  <c r="M729" i="5" s="1"/>
  <c r="J729" i="5"/>
  <c r="L729" i="5" s="1"/>
  <c r="D729" i="5"/>
  <c r="K728" i="5"/>
  <c r="M728" i="5" s="1"/>
  <c r="J728" i="5"/>
  <c r="L728" i="5" s="1"/>
  <c r="D728" i="5"/>
  <c r="K727" i="5"/>
  <c r="M727" i="5" s="1"/>
  <c r="J727" i="5"/>
  <c r="L727" i="5" s="1"/>
  <c r="D727" i="5"/>
  <c r="K726" i="5"/>
  <c r="M726" i="5" s="1"/>
  <c r="J726" i="5"/>
  <c r="L726" i="5" s="1"/>
  <c r="H726" i="5"/>
  <c r="D726" i="5"/>
  <c r="K725" i="5"/>
  <c r="M725" i="5" s="1"/>
  <c r="J725" i="5"/>
  <c r="L725" i="5" s="1"/>
  <c r="D725" i="5"/>
  <c r="I725" i="5" s="1"/>
  <c r="K724" i="5"/>
  <c r="M724" i="5" s="1"/>
  <c r="J724" i="5"/>
  <c r="L724" i="5" s="1"/>
  <c r="D724" i="5"/>
  <c r="H724" i="5" s="1"/>
  <c r="K723" i="5"/>
  <c r="M723" i="5" s="1"/>
  <c r="J723" i="5"/>
  <c r="L723" i="5" s="1"/>
  <c r="D723" i="5"/>
  <c r="K722" i="5"/>
  <c r="M722" i="5" s="1"/>
  <c r="J722" i="5"/>
  <c r="L722" i="5" s="1"/>
  <c r="D722" i="5"/>
  <c r="K721" i="5"/>
  <c r="M721" i="5" s="1"/>
  <c r="J721" i="5"/>
  <c r="L721" i="5" s="1"/>
  <c r="H721" i="5"/>
  <c r="D721" i="5"/>
  <c r="G721" i="5" s="1"/>
  <c r="K720" i="5"/>
  <c r="M720" i="5" s="1"/>
  <c r="J720" i="5"/>
  <c r="L720" i="5" s="1"/>
  <c r="D720" i="5"/>
  <c r="H720" i="5" s="1"/>
  <c r="K719" i="5"/>
  <c r="M719" i="5" s="1"/>
  <c r="J719" i="5"/>
  <c r="L719" i="5" s="1"/>
  <c r="D719" i="5"/>
  <c r="K718" i="5"/>
  <c r="M718" i="5" s="1"/>
  <c r="J718" i="5"/>
  <c r="L718" i="5" s="1"/>
  <c r="D718" i="5"/>
  <c r="K717" i="5"/>
  <c r="M717" i="5" s="1"/>
  <c r="J717" i="5"/>
  <c r="L717" i="5" s="1"/>
  <c r="D717" i="5"/>
  <c r="L716" i="5"/>
  <c r="K716" i="5"/>
  <c r="M716" i="5" s="1"/>
  <c r="J716" i="5"/>
  <c r="D716" i="5"/>
  <c r="H716" i="5" s="1"/>
  <c r="K715" i="5"/>
  <c r="M715" i="5" s="1"/>
  <c r="J715" i="5"/>
  <c r="L715" i="5" s="1"/>
  <c r="D715" i="5"/>
  <c r="F715" i="5" s="1"/>
  <c r="K714" i="5"/>
  <c r="M714" i="5" s="1"/>
  <c r="J714" i="5"/>
  <c r="L714" i="5" s="1"/>
  <c r="D714" i="5"/>
  <c r="F714" i="5" s="1"/>
  <c r="K713" i="5"/>
  <c r="M713" i="5" s="1"/>
  <c r="J713" i="5"/>
  <c r="L713" i="5" s="1"/>
  <c r="D713" i="5"/>
  <c r="K712" i="5"/>
  <c r="M712" i="5" s="1"/>
  <c r="J712" i="5"/>
  <c r="L712" i="5" s="1"/>
  <c r="D712" i="5"/>
  <c r="H712" i="5" s="1"/>
  <c r="K711" i="5"/>
  <c r="M711" i="5" s="1"/>
  <c r="J711" i="5"/>
  <c r="L711" i="5" s="1"/>
  <c r="D711" i="5"/>
  <c r="F711" i="5" s="1"/>
  <c r="K710" i="5"/>
  <c r="M710" i="5" s="1"/>
  <c r="J710" i="5"/>
  <c r="L710" i="5" s="1"/>
  <c r="D710" i="5"/>
  <c r="K709" i="5"/>
  <c r="M709" i="5" s="1"/>
  <c r="J709" i="5"/>
  <c r="L709" i="5" s="1"/>
  <c r="D709" i="5"/>
  <c r="K708" i="5"/>
  <c r="M708" i="5" s="1"/>
  <c r="J708" i="5"/>
  <c r="L708" i="5" s="1"/>
  <c r="D708" i="5"/>
  <c r="K707" i="5"/>
  <c r="M707" i="5" s="1"/>
  <c r="J707" i="5"/>
  <c r="L707" i="5" s="1"/>
  <c r="D707" i="5"/>
  <c r="K706" i="5"/>
  <c r="M706" i="5" s="1"/>
  <c r="J706" i="5"/>
  <c r="L706" i="5" s="1"/>
  <c r="D706" i="5"/>
  <c r="K705" i="5"/>
  <c r="M705" i="5" s="1"/>
  <c r="J705" i="5"/>
  <c r="L705" i="5" s="1"/>
  <c r="D705" i="5"/>
  <c r="H705" i="5" s="1"/>
  <c r="K704" i="5"/>
  <c r="M704" i="5" s="1"/>
  <c r="J704" i="5"/>
  <c r="L704" i="5" s="1"/>
  <c r="D704" i="5"/>
  <c r="K703" i="5"/>
  <c r="M703" i="5" s="1"/>
  <c r="J703" i="5"/>
  <c r="L703" i="5" s="1"/>
  <c r="D703" i="5"/>
  <c r="F703" i="5" s="1"/>
  <c r="K702" i="5"/>
  <c r="M702" i="5" s="1"/>
  <c r="J702" i="5"/>
  <c r="L702" i="5" s="1"/>
  <c r="D702" i="5"/>
  <c r="K701" i="5"/>
  <c r="M701" i="5" s="1"/>
  <c r="J701" i="5"/>
  <c r="L701" i="5" s="1"/>
  <c r="D701" i="5"/>
  <c r="K700" i="5"/>
  <c r="M700" i="5" s="1"/>
  <c r="J700" i="5"/>
  <c r="L700" i="5" s="1"/>
  <c r="D700" i="5"/>
  <c r="H700" i="5" s="1"/>
  <c r="K699" i="5"/>
  <c r="M699" i="5" s="1"/>
  <c r="J699" i="5"/>
  <c r="L699" i="5" s="1"/>
  <c r="D699" i="5"/>
  <c r="K698" i="5"/>
  <c r="M698" i="5" s="1"/>
  <c r="J698" i="5"/>
  <c r="L698" i="5" s="1"/>
  <c r="D698" i="5"/>
  <c r="K697" i="5"/>
  <c r="M697" i="5" s="1"/>
  <c r="J697" i="5"/>
  <c r="L697" i="5" s="1"/>
  <c r="D697" i="5"/>
  <c r="K696" i="5"/>
  <c r="M696" i="5" s="1"/>
  <c r="J696" i="5"/>
  <c r="L696" i="5" s="1"/>
  <c r="D696" i="5"/>
  <c r="H696" i="5" s="1"/>
  <c r="K695" i="5"/>
  <c r="M695" i="5" s="1"/>
  <c r="J695" i="5"/>
  <c r="L695" i="5" s="1"/>
  <c r="D695" i="5"/>
  <c r="K694" i="5"/>
  <c r="M694" i="5" s="1"/>
  <c r="J694" i="5"/>
  <c r="L694" i="5" s="1"/>
  <c r="D694" i="5"/>
  <c r="G694" i="5" s="1"/>
  <c r="K693" i="5"/>
  <c r="M693" i="5" s="1"/>
  <c r="J693" i="5"/>
  <c r="L693" i="5" s="1"/>
  <c r="D693" i="5"/>
  <c r="H693" i="5" s="1"/>
  <c r="K692" i="5"/>
  <c r="M692" i="5" s="1"/>
  <c r="J692" i="5"/>
  <c r="L692" i="5" s="1"/>
  <c r="D692" i="5"/>
  <c r="F692" i="5" s="1"/>
  <c r="K691" i="5"/>
  <c r="M691" i="5" s="1"/>
  <c r="J691" i="5"/>
  <c r="L691" i="5" s="1"/>
  <c r="D691" i="5"/>
  <c r="E691" i="5" s="1"/>
  <c r="K690" i="5"/>
  <c r="M690" i="5" s="1"/>
  <c r="J690" i="5"/>
  <c r="L690" i="5" s="1"/>
  <c r="D690" i="5"/>
  <c r="K689" i="5"/>
  <c r="M689" i="5" s="1"/>
  <c r="J689" i="5"/>
  <c r="L689" i="5" s="1"/>
  <c r="D689" i="5"/>
  <c r="K688" i="5"/>
  <c r="M688" i="5" s="1"/>
  <c r="J688" i="5"/>
  <c r="L688" i="5" s="1"/>
  <c r="D688" i="5"/>
  <c r="H688" i="5" s="1"/>
  <c r="K687" i="5"/>
  <c r="M687" i="5" s="1"/>
  <c r="J687" i="5"/>
  <c r="L687" i="5" s="1"/>
  <c r="D687" i="5"/>
  <c r="H687" i="5" s="1"/>
  <c r="K686" i="5"/>
  <c r="M686" i="5" s="1"/>
  <c r="J686" i="5"/>
  <c r="L686" i="5" s="1"/>
  <c r="D686" i="5"/>
  <c r="H686" i="5" s="1"/>
  <c r="K685" i="5"/>
  <c r="M685" i="5" s="1"/>
  <c r="J685" i="5"/>
  <c r="L685" i="5" s="1"/>
  <c r="D685" i="5"/>
  <c r="H685" i="5" s="1"/>
  <c r="K684" i="5"/>
  <c r="M684" i="5" s="1"/>
  <c r="J684" i="5"/>
  <c r="L684" i="5" s="1"/>
  <c r="D684" i="5"/>
  <c r="K683" i="5"/>
  <c r="M683" i="5" s="1"/>
  <c r="J683" i="5"/>
  <c r="L683" i="5" s="1"/>
  <c r="D683" i="5"/>
  <c r="E683" i="5" s="1"/>
  <c r="K682" i="5"/>
  <c r="M682" i="5" s="1"/>
  <c r="J682" i="5"/>
  <c r="L682" i="5" s="1"/>
  <c r="D682" i="5"/>
  <c r="K681" i="5"/>
  <c r="M681" i="5" s="1"/>
  <c r="J681" i="5"/>
  <c r="L681" i="5" s="1"/>
  <c r="D681" i="5"/>
  <c r="K680" i="5"/>
  <c r="M680" i="5" s="1"/>
  <c r="J680" i="5"/>
  <c r="L680" i="5" s="1"/>
  <c r="D680" i="5"/>
  <c r="H680" i="5" s="1"/>
  <c r="K679" i="5"/>
  <c r="M679" i="5" s="1"/>
  <c r="J679" i="5"/>
  <c r="L679" i="5" s="1"/>
  <c r="D679" i="5"/>
  <c r="H679" i="5" s="1"/>
  <c r="K678" i="5"/>
  <c r="M678" i="5" s="1"/>
  <c r="J678" i="5"/>
  <c r="L678" i="5" s="1"/>
  <c r="D678" i="5"/>
  <c r="F678" i="5" s="1"/>
  <c r="K677" i="5"/>
  <c r="M677" i="5" s="1"/>
  <c r="J677" i="5"/>
  <c r="L677" i="5" s="1"/>
  <c r="D677" i="5"/>
  <c r="H677" i="5" s="1"/>
  <c r="K676" i="5"/>
  <c r="M676" i="5" s="1"/>
  <c r="J676" i="5"/>
  <c r="L676" i="5" s="1"/>
  <c r="D676" i="5"/>
  <c r="H676" i="5" s="1"/>
  <c r="K675" i="5"/>
  <c r="M675" i="5" s="1"/>
  <c r="J675" i="5"/>
  <c r="L675" i="5" s="1"/>
  <c r="D675" i="5"/>
  <c r="K674" i="5"/>
  <c r="M674" i="5" s="1"/>
  <c r="J674" i="5"/>
  <c r="L674" i="5" s="1"/>
  <c r="D674" i="5"/>
  <c r="K673" i="5"/>
  <c r="M673" i="5" s="1"/>
  <c r="J673" i="5"/>
  <c r="L673" i="5" s="1"/>
  <c r="D673" i="5"/>
  <c r="K672" i="5"/>
  <c r="M672" i="5" s="1"/>
  <c r="J672" i="5"/>
  <c r="L672" i="5" s="1"/>
  <c r="D672" i="5"/>
  <c r="H672" i="5" s="1"/>
  <c r="K671" i="5"/>
  <c r="M671" i="5" s="1"/>
  <c r="J671" i="5"/>
  <c r="L671" i="5" s="1"/>
  <c r="D671" i="5"/>
  <c r="F671" i="5" s="1"/>
  <c r="K670" i="5"/>
  <c r="M670" i="5" s="1"/>
  <c r="J670" i="5"/>
  <c r="L670" i="5" s="1"/>
  <c r="D670" i="5"/>
  <c r="G670" i="5" s="1"/>
  <c r="K669" i="5"/>
  <c r="M669" i="5" s="1"/>
  <c r="J669" i="5"/>
  <c r="L669" i="5" s="1"/>
  <c r="D669" i="5"/>
  <c r="H669" i="5" s="1"/>
  <c r="K668" i="5"/>
  <c r="M668" i="5" s="1"/>
  <c r="J668" i="5"/>
  <c r="L668" i="5" s="1"/>
  <c r="D668" i="5"/>
  <c r="H668" i="5" s="1"/>
  <c r="K667" i="5"/>
  <c r="M667" i="5" s="1"/>
  <c r="J667" i="5"/>
  <c r="L667" i="5" s="1"/>
  <c r="D667" i="5"/>
  <c r="F667" i="5" s="1"/>
  <c r="K666" i="5"/>
  <c r="M666" i="5" s="1"/>
  <c r="J666" i="5"/>
  <c r="L666" i="5" s="1"/>
  <c r="D666" i="5"/>
  <c r="K665" i="5"/>
  <c r="M665" i="5" s="1"/>
  <c r="J665" i="5"/>
  <c r="L665" i="5" s="1"/>
  <c r="D665" i="5"/>
  <c r="K664" i="5"/>
  <c r="M664" i="5" s="1"/>
  <c r="J664" i="5"/>
  <c r="L664" i="5" s="1"/>
  <c r="D664" i="5"/>
  <c r="H664" i="5" s="1"/>
  <c r="K663" i="5"/>
  <c r="M663" i="5" s="1"/>
  <c r="J663" i="5"/>
  <c r="L663" i="5" s="1"/>
  <c r="D663" i="5"/>
  <c r="H663" i="5" s="1"/>
  <c r="K662" i="5"/>
  <c r="M662" i="5" s="1"/>
  <c r="J662" i="5"/>
  <c r="L662" i="5" s="1"/>
  <c r="D662" i="5"/>
  <c r="H662" i="5" s="1"/>
  <c r="K661" i="5"/>
  <c r="M661" i="5" s="1"/>
  <c r="J661" i="5"/>
  <c r="L661" i="5" s="1"/>
  <c r="D661" i="5"/>
  <c r="H661" i="5" s="1"/>
  <c r="K660" i="5"/>
  <c r="M660" i="5" s="1"/>
  <c r="J660" i="5"/>
  <c r="L660" i="5" s="1"/>
  <c r="D660" i="5"/>
  <c r="H660" i="5" s="1"/>
  <c r="K659" i="5"/>
  <c r="M659" i="5" s="1"/>
  <c r="J659" i="5"/>
  <c r="L659" i="5" s="1"/>
  <c r="D659" i="5"/>
  <c r="F659" i="5" s="1"/>
  <c r="K658" i="5"/>
  <c r="M658" i="5" s="1"/>
  <c r="J658" i="5"/>
  <c r="L658" i="5" s="1"/>
  <c r="D658" i="5"/>
  <c r="K657" i="5"/>
  <c r="M657" i="5" s="1"/>
  <c r="J657" i="5"/>
  <c r="L657" i="5" s="1"/>
  <c r="D657" i="5"/>
  <c r="K656" i="5"/>
  <c r="M656" i="5" s="1"/>
  <c r="J656" i="5"/>
  <c r="L656" i="5" s="1"/>
  <c r="D656" i="5"/>
  <c r="H656" i="5" s="1"/>
  <c r="K655" i="5"/>
  <c r="M655" i="5" s="1"/>
  <c r="J655" i="5"/>
  <c r="L655" i="5" s="1"/>
  <c r="D655" i="5"/>
  <c r="H655" i="5" s="1"/>
  <c r="K654" i="5"/>
  <c r="M654" i="5" s="1"/>
  <c r="J654" i="5"/>
  <c r="L654" i="5" s="1"/>
  <c r="D654" i="5"/>
  <c r="H654" i="5" s="1"/>
  <c r="K653" i="5"/>
  <c r="M653" i="5" s="1"/>
  <c r="J653" i="5"/>
  <c r="L653" i="5" s="1"/>
  <c r="D653" i="5"/>
  <c r="H653" i="5" s="1"/>
  <c r="K652" i="5"/>
  <c r="M652" i="5" s="1"/>
  <c r="J652" i="5"/>
  <c r="L652" i="5" s="1"/>
  <c r="D652" i="5"/>
  <c r="H652" i="5" s="1"/>
  <c r="K651" i="5"/>
  <c r="M651" i="5" s="1"/>
  <c r="J651" i="5"/>
  <c r="L651" i="5" s="1"/>
  <c r="D651" i="5"/>
  <c r="F651" i="5" s="1"/>
  <c r="K650" i="5"/>
  <c r="M650" i="5" s="1"/>
  <c r="J650" i="5"/>
  <c r="L650" i="5" s="1"/>
  <c r="D650" i="5"/>
  <c r="K649" i="5"/>
  <c r="M649" i="5" s="1"/>
  <c r="J649" i="5"/>
  <c r="L649" i="5" s="1"/>
  <c r="D649" i="5"/>
  <c r="K648" i="5"/>
  <c r="M648" i="5" s="1"/>
  <c r="J648" i="5"/>
  <c r="L648" i="5" s="1"/>
  <c r="D648" i="5"/>
  <c r="H648" i="5" s="1"/>
  <c r="K647" i="5"/>
  <c r="M647" i="5" s="1"/>
  <c r="J647" i="5"/>
  <c r="L647" i="5" s="1"/>
  <c r="D647" i="5"/>
  <c r="F647" i="5" s="1"/>
  <c r="K646" i="5"/>
  <c r="M646" i="5" s="1"/>
  <c r="J646" i="5"/>
  <c r="L646" i="5" s="1"/>
  <c r="D646" i="5"/>
  <c r="K645" i="5"/>
  <c r="M645" i="5" s="1"/>
  <c r="J645" i="5"/>
  <c r="L645" i="5" s="1"/>
  <c r="D645" i="5"/>
  <c r="H645" i="5" s="1"/>
  <c r="K644" i="5"/>
  <c r="M644" i="5" s="1"/>
  <c r="J644" i="5"/>
  <c r="L644" i="5" s="1"/>
  <c r="D644" i="5"/>
  <c r="F644" i="5" s="1"/>
  <c r="K643" i="5"/>
  <c r="M643" i="5" s="1"/>
  <c r="J643" i="5"/>
  <c r="L643" i="5" s="1"/>
  <c r="D643" i="5"/>
  <c r="I643" i="5" s="1"/>
  <c r="K642" i="5"/>
  <c r="M642" i="5" s="1"/>
  <c r="J642" i="5"/>
  <c r="L642" i="5" s="1"/>
  <c r="D642" i="5"/>
  <c r="E642" i="5" s="1"/>
  <c r="K641" i="5"/>
  <c r="M641" i="5" s="1"/>
  <c r="J641" i="5"/>
  <c r="L641" i="5" s="1"/>
  <c r="D641" i="5"/>
  <c r="H641" i="5" s="1"/>
  <c r="K640" i="5"/>
  <c r="M640" i="5" s="1"/>
  <c r="J640" i="5"/>
  <c r="L640" i="5" s="1"/>
  <c r="D640" i="5"/>
  <c r="F640" i="5" s="1"/>
  <c r="K639" i="5"/>
  <c r="M639" i="5" s="1"/>
  <c r="J639" i="5"/>
  <c r="L639" i="5" s="1"/>
  <c r="D639" i="5"/>
  <c r="I639" i="5" s="1"/>
  <c r="K638" i="5"/>
  <c r="M638" i="5" s="1"/>
  <c r="J638" i="5"/>
  <c r="L638" i="5" s="1"/>
  <c r="D638" i="5"/>
  <c r="E638" i="5" s="1"/>
  <c r="K637" i="5"/>
  <c r="M637" i="5" s="1"/>
  <c r="J637" i="5"/>
  <c r="L637" i="5" s="1"/>
  <c r="D637" i="5"/>
  <c r="H637" i="5" s="1"/>
  <c r="K636" i="5"/>
  <c r="M636" i="5" s="1"/>
  <c r="J636" i="5"/>
  <c r="L636" i="5" s="1"/>
  <c r="D636" i="5"/>
  <c r="F636" i="5" s="1"/>
  <c r="K635" i="5"/>
  <c r="M635" i="5" s="1"/>
  <c r="J635" i="5"/>
  <c r="L635" i="5" s="1"/>
  <c r="D635" i="5"/>
  <c r="I635" i="5" s="1"/>
  <c r="K634" i="5"/>
  <c r="M634" i="5" s="1"/>
  <c r="J634" i="5"/>
  <c r="L634" i="5" s="1"/>
  <c r="D634" i="5"/>
  <c r="E634" i="5" s="1"/>
  <c r="K633" i="5"/>
  <c r="M633" i="5" s="1"/>
  <c r="J633" i="5"/>
  <c r="L633" i="5" s="1"/>
  <c r="D633" i="5"/>
  <c r="H633" i="5" s="1"/>
  <c r="K632" i="5"/>
  <c r="M632" i="5" s="1"/>
  <c r="J632" i="5"/>
  <c r="L632" i="5" s="1"/>
  <c r="D632" i="5"/>
  <c r="F632" i="5" s="1"/>
  <c r="K631" i="5"/>
  <c r="M631" i="5" s="1"/>
  <c r="J631" i="5"/>
  <c r="L631" i="5" s="1"/>
  <c r="D631" i="5"/>
  <c r="I631" i="5" s="1"/>
  <c r="K630" i="5"/>
  <c r="M630" i="5" s="1"/>
  <c r="J630" i="5"/>
  <c r="L630" i="5" s="1"/>
  <c r="H630" i="5"/>
  <c r="D630" i="5"/>
  <c r="E630" i="5" s="1"/>
  <c r="K629" i="5"/>
  <c r="M629" i="5" s="1"/>
  <c r="J629" i="5"/>
  <c r="L629" i="5" s="1"/>
  <c r="D629" i="5"/>
  <c r="I629" i="5" s="1"/>
  <c r="K628" i="5"/>
  <c r="M628" i="5" s="1"/>
  <c r="J628" i="5"/>
  <c r="L628" i="5" s="1"/>
  <c r="D628" i="5"/>
  <c r="H628" i="5" s="1"/>
  <c r="K627" i="5"/>
  <c r="M627" i="5" s="1"/>
  <c r="J627" i="5"/>
  <c r="L627" i="5" s="1"/>
  <c r="D627" i="5"/>
  <c r="I627" i="5" s="1"/>
  <c r="K626" i="5"/>
  <c r="M626" i="5" s="1"/>
  <c r="J626" i="5"/>
  <c r="L626" i="5" s="1"/>
  <c r="D626" i="5"/>
  <c r="K625" i="5"/>
  <c r="M625" i="5" s="1"/>
  <c r="J625" i="5"/>
  <c r="L625" i="5" s="1"/>
  <c r="D625" i="5"/>
  <c r="K624" i="5"/>
  <c r="M624" i="5" s="1"/>
  <c r="J624" i="5"/>
  <c r="L624" i="5" s="1"/>
  <c r="D624" i="5"/>
  <c r="K623" i="5"/>
  <c r="M623" i="5" s="1"/>
  <c r="J623" i="5"/>
  <c r="L623" i="5" s="1"/>
  <c r="G623" i="5"/>
  <c r="F623" i="5"/>
  <c r="D623" i="5"/>
  <c r="E623" i="5" s="1"/>
  <c r="K622" i="5"/>
  <c r="M622" i="5" s="1"/>
  <c r="J622" i="5"/>
  <c r="L622" i="5" s="1"/>
  <c r="D622" i="5"/>
  <c r="E622" i="5" s="1"/>
  <c r="K621" i="5"/>
  <c r="M621" i="5" s="1"/>
  <c r="J621" i="5"/>
  <c r="L621" i="5" s="1"/>
  <c r="D621" i="5"/>
  <c r="G621" i="5" s="1"/>
  <c r="K620" i="5"/>
  <c r="M620" i="5" s="1"/>
  <c r="J620" i="5"/>
  <c r="L620" i="5" s="1"/>
  <c r="D620" i="5"/>
  <c r="I620" i="5" s="1"/>
  <c r="K619" i="5"/>
  <c r="M619" i="5" s="1"/>
  <c r="J619" i="5"/>
  <c r="L619" i="5" s="1"/>
  <c r="D619" i="5"/>
  <c r="I619" i="5" s="1"/>
  <c r="K618" i="5"/>
  <c r="M618" i="5" s="1"/>
  <c r="J618" i="5"/>
  <c r="L618" i="5" s="1"/>
  <c r="F618" i="5"/>
  <c r="D618" i="5"/>
  <c r="E618" i="5" s="1"/>
  <c r="K617" i="5"/>
  <c r="M617" i="5" s="1"/>
  <c r="J617" i="5"/>
  <c r="L617" i="5" s="1"/>
  <c r="D617" i="5"/>
  <c r="G617" i="5" s="1"/>
  <c r="K616" i="5"/>
  <c r="M616" i="5" s="1"/>
  <c r="J616" i="5"/>
  <c r="L616" i="5" s="1"/>
  <c r="D616" i="5"/>
  <c r="K615" i="5"/>
  <c r="M615" i="5" s="1"/>
  <c r="J615" i="5"/>
  <c r="L615" i="5" s="1"/>
  <c r="D615" i="5"/>
  <c r="G615" i="5" s="1"/>
  <c r="K614" i="5"/>
  <c r="M614" i="5" s="1"/>
  <c r="J614" i="5"/>
  <c r="L614" i="5" s="1"/>
  <c r="D614" i="5"/>
  <c r="E614" i="5" s="1"/>
  <c r="K613" i="5"/>
  <c r="M613" i="5" s="1"/>
  <c r="J613" i="5"/>
  <c r="L613" i="5" s="1"/>
  <c r="D613" i="5"/>
  <c r="K612" i="5"/>
  <c r="M612" i="5" s="1"/>
  <c r="J612" i="5"/>
  <c r="L612" i="5" s="1"/>
  <c r="D612" i="5"/>
  <c r="I612" i="5" s="1"/>
  <c r="K611" i="5"/>
  <c r="M611" i="5" s="1"/>
  <c r="J611" i="5"/>
  <c r="L611" i="5" s="1"/>
  <c r="D611" i="5"/>
  <c r="I611" i="5" s="1"/>
  <c r="K610" i="5"/>
  <c r="M610" i="5" s="1"/>
  <c r="J610" i="5"/>
  <c r="L610" i="5" s="1"/>
  <c r="D610" i="5"/>
  <c r="E610" i="5" s="1"/>
  <c r="K609" i="5"/>
  <c r="M609" i="5" s="1"/>
  <c r="J609" i="5"/>
  <c r="L609" i="5" s="1"/>
  <c r="D609" i="5"/>
  <c r="G609" i="5" s="1"/>
  <c r="K608" i="5"/>
  <c r="M608" i="5" s="1"/>
  <c r="J608" i="5"/>
  <c r="L608" i="5" s="1"/>
  <c r="D608" i="5"/>
  <c r="G608" i="5" s="1"/>
  <c r="K607" i="5"/>
  <c r="M607" i="5" s="1"/>
  <c r="J607" i="5"/>
  <c r="L607" i="5" s="1"/>
  <c r="D607" i="5"/>
  <c r="I607" i="5" s="1"/>
  <c r="K606" i="5"/>
  <c r="M606" i="5" s="1"/>
  <c r="J606" i="5"/>
  <c r="L606" i="5" s="1"/>
  <c r="D606" i="5"/>
  <c r="E606" i="5" s="1"/>
  <c r="K605" i="5"/>
  <c r="M605" i="5" s="1"/>
  <c r="J605" i="5"/>
  <c r="L605" i="5" s="1"/>
  <c r="D605" i="5"/>
  <c r="G605" i="5" s="1"/>
  <c r="K604" i="5"/>
  <c r="M604" i="5" s="1"/>
  <c r="J604" i="5"/>
  <c r="L604" i="5" s="1"/>
  <c r="D604" i="5"/>
  <c r="F604" i="5" s="1"/>
  <c r="K603" i="5"/>
  <c r="M603" i="5" s="1"/>
  <c r="J603" i="5"/>
  <c r="L603" i="5" s="1"/>
  <c r="D603" i="5"/>
  <c r="G603" i="5" s="1"/>
  <c r="K602" i="5"/>
  <c r="M602" i="5" s="1"/>
  <c r="J602" i="5"/>
  <c r="L602" i="5" s="1"/>
  <c r="D602" i="5"/>
  <c r="E602" i="5" s="1"/>
  <c r="K601" i="5"/>
  <c r="M601" i="5" s="1"/>
  <c r="J601" i="5"/>
  <c r="L601" i="5" s="1"/>
  <c r="D601" i="5"/>
  <c r="G601" i="5" s="1"/>
  <c r="K600" i="5"/>
  <c r="M600" i="5" s="1"/>
  <c r="J600" i="5"/>
  <c r="L600" i="5" s="1"/>
  <c r="D600" i="5"/>
  <c r="I600" i="5" s="1"/>
  <c r="K599" i="5"/>
  <c r="M599" i="5" s="1"/>
  <c r="J599" i="5"/>
  <c r="L599" i="5" s="1"/>
  <c r="D599" i="5"/>
  <c r="G599" i="5" s="1"/>
  <c r="K598" i="5"/>
  <c r="M598" i="5" s="1"/>
  <c r="J598" i="5"/>
  <c r="L598" i="5" s="1"/>
  <c r="D598" i="5"/>
  <c r="E598" i="5" s="1"/>
  <c r="K597" i="5"/>
  <c r="M597" i="5" s="1"/>
  <c r="J597" i="5"/>
  <c r="L597" i="5" s="1"/>
  <c r="D597" i="5"/>
  <c r="K596" i="5"/>
  <c r="M596" i="5" s="1"/>
  <c r="J596" i="5"/>
  <c r="L596" i="5" s="1"/>
  <c r="D596" i="5"/>
  <c r="I596" i="5" s="1"/>
  <c r="K595" i="5"/>
  <c r="M595" i="5" s="1"/>
  <c r="J595" i="5"/>
  <c r="L595" i="5" s="1"/>
  <c r="D595" i="5"/>
  <c r="H595" i="5" s="1"/>
  <c r="K594" i="5"/>
  <c r="M594" i="5" s="1"/>
  <c r="J594" i="5"/>
  <c r="L594" i="5" s="1"/>
  <c r="D594" i="5"/>
  <c r="E594" i="5" s="1"/>
  <c r="K593" i="5"/>
  <c r="M593" i="5" s="1"/>
  <c r="J593" i="5"/>
  <c r="L593" i="5" s="1"/>
  <c r="D593" i="5"/>
  <c r="H593" i="5" s="1"/>
  <c r="K592" i="5"/>
  <c r="M592" i="5" s="1"/>
  <c r="J592" i="5"/>
  <c r="L592" i="5" s="1"/>
  <c r="D592" i="5"/>
  <c r="I592" i="5" s="1"/>
  <c r="K591" i="5"/>
  <c r="M591" i="5" s="1"/>
  <c r="J591" i="5"/>
  <c r="L591" i="5" s="1"/>
  <c r="D591" i="5"/>
  <c r="H591" i="5" s="1"/>
  <c r="K590" i="5"/>
  <c r="M590" i="5" s="1"/>
  <c r="J590" i="5"/>
  <c r="L590" i="5" s="1"/>
  <c r="H590" i="5"/>
  <c r="D590" i="5"/>
  <c r="I590" i="5" s="1"/>
  <c r="K589" i="5"/>
  <c r="M589" i="5" s="1"/>
  <c r="J589" i="5"/>
  <c r="L589" i="5" s="1"/>
  <c r="D589" i="5"/>
  <c r="H589" i="5" s="1"/>
  <c r="K588" i="5"/>
  <c r="M588" i="5" s="1"/>
  <c r="J588" i="5"/>
  <c r="L588" i="5" s="1"/>
  <c r="D588" i="5"/>
  <c r="H588" i="5" s="1"/>
  <c r="K587" i="5"/>
  <c r="M587" i="5" s="1"/>
  <c r="J587" i="5"/>
  <c r="L587" i="5" s="1"/>
  <c r="D587" i="5"/>
  <c r="K586" i="5"/>
  <c r="M586" i="5" s="1"/>
  <c r="J586" i="5"/>
  <c r="L586" i="5" s="1"/>
  <c r="D586" i="5"/>
  <c r="I586" i="5" s="1"/>
  <c r="K585" i="5"/>
  <c r="M585" i="5" s="1"/>
  <c r="J585" i="5"/>
  <c r="L585" i="5" s="1"/>
  <c r="D585" i="5"/>
  <c r="K584" i="5"/>
  <c r="M584" i="5" s="1"/>
  <c r="J584" i="5"/>
  <c r="L584" i="5" s="1"/>
  <c r="F584" i="5"/>
  <c r="D584" i="5"/>
  <c r="K583" i="5"/>
  <c r="M583" i="5" s="1"/>
  <c r="J583" i="5"/>
  <c r="L583" i="5" s="1"/>
  <c r="D583" i="5"/>
  <c r="H583" i="5" s="1"/>
  <c r="K582" i="5"/>
  <c r="M582" i="5" s="1"/>
  <c r="J582" i="5"/>
  <c r="L582" i="5" s="1"/>
  <c r="D582" i="5"/>
  <c r="I582" i="5" s="1"/>
  <c r="K581" i="5"/>
  <c r="M581" i="5" s="1"/>
  <c r="J581" i="5"/>
  <c r="L581" i="5" s="1"/>
  <c r="D581" i="5"/>
  <c r="K580" i="5"/>
  <c r="M580" i="5" s="1"/>
  <c r="J580" i="5"/>
  <c r="L580" i="5" s="1"/>
  <c r="D580" i="5"/>
  <c r="K579" i="5"/>
  <c r="M579" i="5" s="1"/>
  <c r="J579" i="5"/>
  <c r="L579" i="5" s="1"/>
  <c r="D579" i="5"/>
  <c r="K578" i="5"/>
  <c r="M578" i="5" s="1"/>
  <c r="J578" i="5"/>
  <c r="L578" i="5" s="1"/>
  <c r="D578" i="5"/>
  <c r="K577" i="5"/>
  <c r="M577" i="5" s="1"/>
  <c r="J577" i="5"/>
  <c r="L577" i="5" s="1"/>
  <c r="D577" i="5"/>
  <c r="H577" i="5" s="1"/>
  <c r="K576" i="5"/>
  <c r="M576" i="5" s="1"/>
  <c r="J576" i="5"/>
  <c r="L576" i="5" s="1"/>
  <c r="D576" i="5"/>
  <c r="H576" i="5" s="1"/>
  <c r="K575" i="5"/>
  <c r="M575" i="5" s="1"/>
  <c r="J575" i="5"/>
  <c r="L575" i="5" s="1"/>
  <c r="D575" i="5"/>
  <c r="M574" i="5"/>
  <c r="K574" i="5"/>
  <c r="J574" i="5"/>
  <c r="L574" i="5" s="1"/>
  <c r="D574" i="5"/>
  <c r="E574" i="5" s="1"/>
  <c r="K573" i="5"/>
  <c r="M573" i="5" s="1"/>
  <c r="J573" i="5"/>
  <c r="L573" i="5" s="1"/>
  <c r="D573" i="5"/>
  <c r="H573" i="5" s="1"/>
  <c r="K572" i="5"/>
  <c r="M572" i="5" s="1"/>
  <c r="J572" i="5"/>
  <c r="L572" i="5" s="1"/>
  <c r="D572" i="5"/>
  <c r="H572" i="5" s="1"/>
  <c r="L571" i="5"/>
  <c r="K571" i="5"/>
  <c r="M571" i="5" s="1"/>
  <c r="J571" i="5"/>
  <c r="H571" i="5"/>
  <c r="D571" i="5"/>
  <c r="G571" i="5" s="1"/>
  <c r="K570" i="5"/>
  <c r="M570" i="5" s="1"/>
  <c r="J570" i="5"/>
  <c r="L570" i="5" s="1"/>
  <c r="D570" i="5"/>
  <c r="F570" i="5" s="1"/>
  <c r="K569" i="5"/>
  <c r="M569" i="5" s="1"/>
  <c r="J569" i="5"/>
  <c r="L569" i="5" s="1"/>
  <c r="D569" i="5"/>
  <c r="H569" i="5" s="1"/>
  <c r="K568" i="5"/>
  <c r="M568" i="5" s="1"/>
  <c r="J568" i="5"/>
  <c r="L568" i="5" s="1"/>
  <c r="D568" i="5"/>
  <c r="H568" i="5" s="1"/>
  <c r="K567" i="5"/>
  <c r="M567" i="5" s="1"/>
  <c r="J567" i="5"/>
  <c r="L567" i="5" s="1"/>
  <c r="D567" i="5"/>
  <c r="K566" i="5"/>
  <c r="M566" i="5" s="1"/>
  <c r="J566" i="5"/>
  <c r="L566" i="5" s="1"/>
  <c r="D566" i="5"/>
  <c r="K565" i="5"/>
  <c r="M565" i="5" s="1"/>
  <c r="J565" i="5"/>
  <c r="L565" i="5" s="1"/>
  <c r="D565" i="5"/>
  <c r="K564" i="5"/>
  <c r="M564" i="5" s="1"/>
  <c r="J564" i="5"/>
  <c r="L564" i="5" s="1"/>
  <c r="D564" i="5"/>
  <c r="H564" i="5" s="1"/>
  <c r="K563" i="5"/>
  <c r="M563" i="5" s="1"/>
  <c r="J563" i="5"/>
  <c r="L563" i="5" s="1"/>
  <c r="D563" i="5"/>
  <c r="H563" i="5" s="1"/>
  <c r="K562" i="5"/>
  <c r="M562" i="5" s="1"/>
  <c r="J562" i="5"/>
  <c r="L562" i="5" s="1"/>
  <c r="D562" i="5"/>
  <c r="I562" i="5" s="1"/>
  <c r="K561" i="5"/>
  <c r="M561" i="5" s="1"/>
  <c r="J561" i="5"/>
  <c r="L561" i="5" s="1"/>
  <c r="D561" i="5"/>
  <c r="H561" i="5" s="1"/>
  <c r="K560" i="5"/>
  <c r="M560" i="5" s="1"/>
  <c r="J560" i="5"/>
  <c r="L560" i="5" s="1"/>
  <c r="D560" i="5"/>
  <c r="H560" i="5" s="1"/>
  <c r="K559" i="5"/>
  <c r="M559" i="5" s="1"/>
  <c r="J559" i="5"/>
  <c r="L559" i="5" s="1"/>
  <c r="D559" i="5"/>
  <c r="K558" i="5"/>
  <c r="M558" i="5" s="1"/>
  <c r="J558" i="5"/>
  <c r="L558" i="5" s="1"/>
  <c r="D558" i="5"/>
  <c r="I558" i="5" s="1"/>
  <c r="K557" i="5"/>
  <c r="M557" i="5" s="1"/>
  <c r="J557" i="5"/>
  <c r="L557" i="5" s="1"/>
  <c r="D557" i="5"/>
  <c r="K556" i="5"/>
  <c r="M556" i="5" s="1"/>
  <c r="J556" i="5"/>
  <c r="L556" i="5" s="1"/>
  <c r="D556" i="5"/>
  <c r="H556" i="5" s="1"/>
  <c r="K555" i="5"/>
  <c r="M555" i="5" s="1"/>
  <c r="J555" i="5"/>
  <c r="L555" i="5" s="1"/>
  <c r="D555" i="5"/>
  <c r="H555" i="5" s="1"/>
  <c r="K554" i="5"/>
  <c r="M554" i="5" s="1"/>
  <c r="J554" i="5"/>
  <c r="L554" i="5" s="1"/>
  <c r="D554" i="5"/>
  <c r="K553" i="5"/>
  <c r="M553" i="5" s="1"/>
  <c r="J553" i="5"/>
  <c r="L553" i="5" s="1"/>
  <c r="D553" i="5"/>
  <c r="H553" i="5" s="1"/>
  <c r="K552" i="5"/>
  <c r="M552" i="5" s="1"/>
  <c r="J552" i="5"/>
  <c r="L552" i="5" s="1"/>
  <c r="I552" i="5"/>
  <c r="D552" i="5"/>
  <c r="H552" i="5" s="1"/>
  <c r="K551" i="5"/>
  <c r="M551" i="5" s="1"/>
  <c r="J551" i="5"/>
  <c r="L551" i="5" s="1"/>
  <c r="D551" i="5"/>
  <c r="K550" i="5"/>
  <c r="M550" i="5" s="1"/>
  <c r="J550" i="5"/>
  <c r="L550" i="5" s="1"/>
  <c r="D550" i="5"/>
  <c r="K549" i="5"/>
  <c r="M549" i="5" s="1"/>
  <c r="J549" i="5"/>
  <c r="L549" i="5" s="1"/>
  <c r="D549" i="5"/>
  <c r="K548" i="5"/>
  <c r="M548" i="5" s="1"/>
  <c r="J548" i="5"/>
  <c r="L548" i="5" s="1"/>
  <c r="D548" i="5"/>
  <c r="I548" i="5" s="1"/>
  <c r="K547" i="5"/>
  <c r="M547" i="5" s="1"/>
  <c r="J547" i="5"/>
  <c r="L547" i="5" s="1"/>
  <c r="D547" i="5"/>
  <c r="K546" i="5"/>
  <c r="M546" i="5" s="1"/>
  <c r="J546" i="5"/>
  <c r="L546" i="5" s="1"/>
  <c r="D546" i="5"/>
  <c r="I546" i="5" s="1"/>
  <c r="K545" i="5"/>
  <c r="M545" i="5" s="1"/>
  <c r="J545" i="5"/>
  <c r="L545" i="5" s="1"/>
  <c r="D545" i="5"/>
  <c r="H545" i="5" s="1"/>
  <c r="K544" i="5"/>
  <c r="M544" i="5" s="1"/>
  <c r="J544" i="5"/>
  <c r="L544" i="5" s="1"/>
  <c r="D544" i="5"/>
  <c r="H544" i="5" s="1"/>
  <c r="K543" i="5"/>
  <c r="M543" i="5" s="1"/>
  <c r="J543" i="5"/>
  <c r="L543" i="5" s="1"/>
  <c r="D543" i="5"/>
  <c r="K542" i="5"/>
  <c r="M542" i="5" s="1"/>
  <c r="J542" i="5"/>
  <c r="L542" i="5" s="1"/>
  <c r="D542" i="5"/>
  <c r="E542" i="5" s="1"/>
  <c r="K541" i="5"/>
  <c r="M541" i="5" s="1"/>
  <c r="J541" i="5"/>
  <c r="L541" i="5" s="1"/>
  <c r="D541" i="5"/>
  <c r="K540" i="5"/>
  <c r="M540" i="5" s="1"/>
  <c r="J540" i="5"/>
  <c r="L540" i="5" s="1"/>
  <c r="D540" i="5"/>
  <c r="H540" i="5" s="1"/>
  <c r="K539" i="5"/>
  <c r="M539" i="5" s="1"/>
  <c r="J539" i="5"/>
  <c r="L539" i="5" s="1"/>
  <c r="D539" i="5"/>
  <c r="H539" i="5" s="1"/>
  <c r="K538" i="5"/>
  <c r="M538" i="5" s="1"/>
  <c r="J538" i="5"/>
  <c r="L538" i="5" s="1"/>
  <c r="D538" i="5"/>
  <c r="E538" i="5" s="1"/>
  <c r="K537" i="5"/>
  <c r="M537" i="5" s="1"/>
  <c r="J537" i="5"/>
  <c r="L537" i="5" s="1"/>
  <c r="D537" i="5"/>
  <c r="H537" i="5" s="1"/>
  <c r="K536" i="5"/>
  <c r="M536" i="5" s="1"/>
  <c r="J536" i="5"/>
  <c r="L536" i="5" s="1"/>
  <c r="D536" i="5"/>
  <c r="F536" i="5" s="1"/>
  <c r="K535" i="5"/>
  <c r="M535" i="5" s="1"/>
  <c r="J535" i="5"/>
  <c r="L535" i="5" s="1"/>
  <c r="D535" i="5"/>
  <c r="I535" i="5" s="1"/>
  <c r="K534" i="5"/>
  <c r="M534" i="5" s="1"/>
  <c r="J534" i="5"/>
  <c r="L534" i="5" s="1"/>
  <c r="D534" i="5"/>
  <c r="K533" i="5"/>
  <c r="M533" i="5" s="1"/>
  <c r="J533" i="5"/>
  <c r="L533" i="5" s="1"/>
  <c r="D533" i="5"/>
  <c r="I533" i="5" s="1"/>
  <c r="K532" i="5"/>
  <c r="M532" i="5" s="1"/>
  <c r="J532" i="5"/>
  <c r="L532" i="5" s="1"/>
  <c r="D532" i="5"/>
  <c r="I532" i="5" s="1"/>
  <c r="K531" i="5"/>
  <c r="M531" i="5" s="1"/>
  <c r="J531" i="5"/>
  <c r="L531" i="5" s="1"/>
  <c r="D531" i="5"/>
  <c r="I531" i="5" s="1"/>
  <c r="K530" i="5"/>
  <c r="M530" i="5" s="1"/>
  <c r="J530" i="5"/>
  <c r="L530" i="5" s="1"/>
  <c r="D530" i="5"/>
  <c r="F530" i="5" s="1"/>
  <c r="K529" i="5"/>
  <c r="M529" i="5" s="1"/>
  <c r="J529" i="5"/>
  <c r="L529" i="5" s="1"/>
  <c r="D529" i="5"/>
  <c r="I529" i="5" s="1"/>
  <c r="K528" i="5"/>
  <c r="M528" i="5" s="1"/>
  <c r="J528" i="5"/>
  <c r="L528" i="5" s="1"/>
  <c r="D528" i="5"/>
  <c r="I528" i="5" s="1"/>
  <c r="K527" i="5"/>
  <c r="M527" i="5" s="1"/>
  <c r="J527" i="5"/>
  <c r="L527" i="5" s="1"/>
  <c r="D527" i="5"/>
  <c r="K526" i="5"/>
  <c r="M526" i="5" s="1"/>
  <c r="J526" i="5"/>
  <c r="L526" i="5" s="1"/>
  <c r="D526" i="5"/>
  <c r="E526" i="5" s="1"/>
  <c r="K525" i="5"/>
  <c r="M525" i="5" s="1"/>
  <c r="J525" i="5"/>
  <c r="L525" i="5" s="1"/>
  <c r="D525" i="5"/>
  <c r="H525" i="5" s="1"/>
  <c r="K524" i="5"/>
  <c r="M524" i="5" s="1"/>
  <c r="J524" i="5"/>
  <c r="L524" i="5" s="1"/>
  <c r="D524" i="5"/>
  <c r="K523" i="5"/>
  <c r="M523" i="5" s="1"/>
  <c r="J523" i="5"/>
  <c r="L523" i="5" s="1"/>
  <c r="D523" i="5"/>
  <c r="K522" i="5"/>
  <c r="M522" i="5" s="1"/>
  <c r="J522" i="5"/>
  <c r="L522" i="5" s="1"/>
  <c r="D522" i="5"/>
  <c r="I522" i="5" s="1"/>
  <c r="K521" i="5"/>
  <c r="M521" i="5" s="1"/>
  <c r="J521" i="5"/>
  <c r="L521" i="5" s="1"/>
  <c r="D521" i="5"/>
  <c r="I521" i="5" s="1"/>
  <c r="K520" i="5"/>
  <c r="M520" i="5" s="1"/>
  <c r="J520" i="5"/>
  <c r="L520" i="5" s="1"/>
  <c r="D520" i="5"/>
  <c r="I520" i="5" s="1"/>
  <c r="K519" i="5"/>
  <c r="M519" i="5" s="1"/>
  <c r="J519" i="5"/>
  <c r="L519" i="5" s="1"/>
  <c r="D519" i="5"/>
  <c r="I519" i="5" s="1"/>
  <c r="K518" i="5"/>
  <c r="M518" i="5" s="1"/>
  <c r="J518" i="5"/>
  <c r="L518" i="5" s="1"/>
  <c r="G518" i="5"/>
  <c r="D518" i="5"/>
  <c r="I518" i="5" s="1"/>
  <c r="K517" i="5"/>
  <c r="M517" i="5" s="1"/>
  <c r="J517" i="5"/>
  <c r="L517" i="5" s="1"/>
  <c r="D517" i="5"/>
  <c r="K516" i="5"/>
  <c r="M516" i="5" s="1"/>
  <c r="J516" i="5"/>
  <c r="L516" i="5" s="1"/>
  <c r="D516" i="5"/>
  <c r="K515" i="5"/>
  <c r="M515" i="5" s="1"/>
  <c r="J515" i="5"/>
  <c r="L515" i="5" s="1"/>
  <c r="D515" i="5"/>
  <c r="K514" i="5"/>
  <c r="M514" i="5" s="1"/>
  <c r="J514" i="5"/>
  <c r="L514" i="5" s="1"/>
  <c r="D514" i="5"/>
  <c r="E514" i="5" s="1"/>
  <c r="K513" i="5"/>
  <c r="M513" i="5" s="1"/>
  <c r="J513" i="5"/>
  <c r="L513" i="5" s="1"/>
  <c r="D513" i="5"/>
  <c r="H513" i="5" s="1"/>
  <c r="K512" i="5"/>
  <c r="M512" i="5" s="1"/>
  <c r="J512" i="5"/>
  <c r="L512" i="5" s="1"/>
  <c r="D512" i="5"/>
  <c r="F512" i="5" s="1"/>
  <c r="K511" i="5"/>
  <c r="M511" i="5" s="1"/>
  <c r="J511" i="5"/>
  <c r="L511" i="5" s="1"/>
  <c r="D511" i="5"/>
  <c r="G511" i="5" s="1"/>
  <c r="K510" i="5"/>
  <c r="M510" i="5" s="1"/>
  <c r="J510" i="5"/>
  <c r="L510" i="5" s="1"/>
  <c r="D510" i="5"/>
  <c r="E510" i="5" s="1"/>
  <c r="K509" i="5"/>
  <c r="M509" i="5" s="1"/>
  <c r="J509" i="5"/>
  <c r="L509" i="5" s="1"/>
  <c r="D509" i="5"/>
  <c r="I509" i="5" s="1"/>
  <c r="K508" i="5"/>
  <c r="M508" i="5" s="1"/>
  <c r="J508" i="5"/>
  <c r="L508" i="5" s="1"/>
  <c r="D508" i="5"/>
  <c r="I508" i="5" s="1"/>
  <c r="K507" i="5"/>
  <c r="M507" i="5" s="1"/>
  <c r="J507" i="5"/>
  <c r="L507" i="5" s="1"/>
  <c r="D507" i="5"/>
  <c r="M506" i="5"/>
  <c r="K506" i="5"/>
  <c r="J506" i="5"/>
  <c r="L506" i="5" s="1"/>
  <c r="D506" i="5"/>
  <c r="K505" i="5"/>
  <c r="M505" i="5" s="1"/>
  <c r="J505" i="5"/>
  <c r="L505" i="5" s="1"/>
  <c r="D505" i="5"/>
  <c r="K504" i="5"/>
  <c r="M504" i="5" s="1"/>
  <c r="J504" i="5"/>
  <c r="L504" i="5" s="1"/>
  <c r="D504" i="5"/>
  <c r="F504" i="5" s="1"/>
  <c r="K503" i="5"/>
  <c r="M503" i="5" s="1"/>
  <c r="J503" i="5"/>
  <c r="L503" i="5" s="1"/>
  <c r="D503" i="5"/>
  <c r="H503" i="5" s="1"/>
  <c r="K502" i="5"/>
  <c r="M502" i="5" s="1"/>
  <c r="J502" i="5"/>
  <c r="L502" i="5" s="1"/>
  <c r="D502" i="5"/>
  <c r="E502" i="5" s="1"/>
  <c r="K501" i="5"/>
  <c r="M501" i="5" s="1"/>
  <c r="J501" i="5"/>
  <c r="L501" i="5" s="1"/>
  <c r="D501" i="5"/>
  <c r="G501" i="5" s="1"/>
  <c r="K500" i="5"/>
  <c r="M500" i="5" s="1"/>
  <c r="J500" i="5"/>
  <c r="L500" i="5" s="1"/>
  <c r="D500" i="5"/>
  <c r="E500" i="5" s="1"/>
  <c r="K499" i="5"/>
  <c r="M499" i="5" s="1"/>
  <c r="J499" i="5"/>
  <c r="L499" i="5" s="1"/>
  <c r="D499" i="5"/>
  <c r="I499" i="5" s="1"/>
  <c r="K498" i="5"/>
  <c r="M498" i="5" s="1"/>
  <c r="J498" i="5"/>
  <c r="L498" i="5" s="1"/>
  <c r="D498" i="5"/>
  <c r="K497" i="5"/>
  <c r="M497" i="5" s="1"/>
  <c r="J497" i="5"/>
  <c r="L497" i="5" s="1"/>
  <c r="D497" i="5"/>
  <c r="I497" i="5" s="1"/>
  <c r="K496" i="5"/>
  <c r="M496" i="5" s="1"/>
  <c r="J496" i="5"/>
  <c r="L496" i="5" s="1"/>
  <c r="D496" i="5"/>
  <c r="I496" i="5" s="1"/>
  <c r="K495" i="5"/>
  <c r="M495" i="5" s="1"/>
  <c r="J495" i="5"/>
  <c r="L495" i="5" s="1"/>
  <c r="H495" i="5"/>
  <c r="D495" i="5"/>
  <c r="I495" i="5" s="1"/>
  <c r="K494" i="5"/>
  <c r="M494" i="5" s="1"/>
  <c r="J494" i="5"/>
  <c r="L494" i="5" s="1"/>
  <c r="I494" i="5"/>
  <c r="G494" i="5"/>
  <c r="F494" i="5"/>
  <c r="D494" i="5"/>
  <c r="E494" i="5" s="1"/>
  <c r="K493" i="5"/>
  <c r="M493" i="5" s="1"/>
  <c r="J493" i="5"/>
  <c r="L493" i="5" s="1"/>
  <c r="D493" i="5"/>
  <c r="I493" i="5" s="1"/>
  <c r="K492" i="5"/>
  <c r="M492" i="5" s="1"/>
  <c r="J492" i="5"/>
  <c r="L492" i="5" s="1"/>
  <c r="D492" i="5"/>
  <c r="K491" i="5"/>
  <c r="M491" i="5" s="1"/>
  <c r="J491" i="5"/>
  <c r="L491" i="5" s="1"/>
  <c r="D491" i="5"/>
  <c r="I491" i="5" s="1"/>
  <c r="K490" i="5"/>
  <c r="M490" i="5" s="1"/>
  <c r="J490" i="5"/>
  <c r="L490" i="5" s="1"/>
  <c r="D490" i="5"/>
  <c r="G490" i="5" s="1"/>
  <c r="K489" i="5"/>
  <c r="M489" i="5" s="1"/>
  <c r="J489" i="5"/>
  <c r="L489" i="5" s="1"/>
  <c r="D489" i="5"/>
  <c r="H489" i="5" s="1"/>
  <c r="K488" i="5"/>
  <c r="M488" i="5" s="1"/>
  <c r="J488" i="5"/>
  <c r="L488" i="5" s="1"/>
  <c r="D488" i="5"/>
  <c r="K487" i="5"/>
  <c r="M487" i="5" s="1"/>
  <c r="J487" i="5"/>
  <c r="L487" i="5" s="1"/>
  <c r="D487" i="5"/>
  <c r="I487" i="5" s="1"/>
  <c r="L486" i="5"/>
  <c r="K486" i="5"/>
  <c r="M486" i="5" s="1"/>
  <c r="J486" i="5"/>
  <c r="D486" i="5"/>
  <c r="H486" i="5" s="1"/>
  <c r="K485" i="5"/>
  <c r="M485" i="5" s="1"/>
  <c r="J485" i="5"/>
  <c r="L485" i="5" s="1"/>
  <c r="D485" i="5"/>
  <c r="K484" i="5"/>
  <c r="M484" i="5" s="1"/>
  <c r="J484" i="5"/>
  <c r="L484" i="5" s="1"/>
  <c r="D484" i="5"/>
  <c r="E484" i="5" s="1"/>
  <c r="K483" i="5"/>
  <c r="M483" i="5" s="1"/>
  <c r="J483" i="5"/>
  <c r="L483" i="5" s="1"/>
  <c r="D483" i="5"/>
  <c r="K482" i="5"/>
  <c r="M482" i="5" s="1"/>
  <c r="J482" i="5"/>
  <c r="L482" i="5" s="1"/>
  <c r="D482" i="5"/>
  <c r="K481" i="5"/>
  <c r="M481" i="5" s="1"/>
  <c r="J481" i="5"/>
  <c r="L481" i="5" s="1"/>
  <c r="D481" i="5"/>
  <c r="E481" i="5" s="1"/>
  <c r="K480" i="5"/>
  <c r="M480" i="5" s="1"/>
  <c r="J480" i="5"/>
  <c r="L480" i="5" s="1"/>
  <c r="D480" i="5"/>
  <c r="I480" i="5" s="1"/>
  <c r="K479" i="5"/>
  <c r="M479" i="5" s="1"/>
  <c r="J479" i="5"/>
  <c r="L479" i="5" s="1"/>
  <c r="D479" i="5"/>
  <c r="I479" i="5" s="1"/>
  <c r="K478" i="5"/>
  <c r="M478" i="5" s="1"/>
  <c r="J478" i="5"/>
  <c r="L478" i="5" s="1"/>
  <c r="D478" i="5"/>
  <c r="K477" i="5"/>
  <c r="M477" i="5" s="1"/>
  <c r="J477" i="5"/>
  <c r="L477" i="5" s="1"/>
  <c r="D477" i="5"/>
  <c r="F477" i="5" s="1"/>
  <c r="K476" i="5"/>
  <c r="M476" i="5" s="1"/>
  <c r="J476" i="5"/>
  <c r="L476" i="5" s="1"/>
  <c r="D476" i="5"/>
  <c r="K475" i="5"/>
  <c r="M475" i="5" s="1"/>
  <c r="J475" i="5"/>
  <c r="L475" i="5" s="1"/>
  <c r="D475" i="5"/>
  <c r="I475" i="5" s="1"/>
  <c r="K474" i="5"/>
  <c r="M474" i="5" s="1"/>
  <c r="J474" i="5"/>
  <c r="L474" i="5" s="1"/>
  <c r="D474" i="5"/>
  <c r="F474" i="5" s="1"/>
  <c r="K473" i="5"/>
  <c r="M473" i="5" s="1"/>
  <c r="J473" i="5"/>
  <c r="L473" i="5" s="1"/>
  <c r="D473" i="5"/>
  <c r="K472" i="5"/>
  <c r="M472" i="5" s="1"/>
  <c r="J472" i="5"/>
  <c r="L472" i="5" s="1"/>
  <c r="D472" i="5"/>
  <c r="E472" i="5" s="1"/>
  <c r="K471" i="5"/>
  <c r="M471" i="5" s="1"/>
  <c r="J471" i="5"/>
  <c r="L471" i="5" s="1"/>
  <c r="D471" i="5"/>
  <c r="K470" i="5"/>
  <c r="M470" i="5" s="1"/>
  <c r="J470" i="5"/>
  <c r="L470" i="5" s="1"/>
  <c r="D470" i="5"/>
  <c r="K469" i="5"/>
  <c r="M469" i="5" s="1"/>
  <c r="J469" i="5"/>
  <c r="L469" i="5" s="1"/>
  <c r="D469" i="5"/>
  <c r="E469" i="5" s="1"/>
  <c r="K468" i="5"/>
  <c r="M468" i="5" s="1"/>
  <c r="J468" i="5"/>
  <c r="L468" i="5" s="1"/>
  <c r="D468" i="5"/>
  <c r="K467" i="5"/>
  <c r="M467" i="5" s="1"/>
  <c r="J467" i="5"/>
  <c r="L467" i="5" s="1"/>
  <c r="D467" i="5"/>
  <c r="E467" i="5" s="1"/>
  <c r="K466" i="5"/>
  <c r="M466" i="5" s="1"/>
  <c r="J466" i="5"/>
  <c r="L466" i="5" s="1"/>
  <c r="D466" i="5"/>
  <c r="F466" i="5" s="1"/>
  <c r="K465" i="5"/>
  <c r="M465" i="5" s="1"/>
  <c r="J465" i="5"/>
  <c r="L465" i="5" s="1"/>
  <c r="H465" i="5"/>
  <c r="D465" i="5"/>
  <c r="G465" i="5" s="1"/>
  <c r="K464" i="5"/>
  <c r="M464" i="5" s="1"/>
  <c r="J464" i="5"/>
  <c r="L464" i="5" s="1"/>
  <c r="D464" i="5"/>
  <c r="E464" i="5" s="1"/>
  <c r="K463" i="5"/>
  <c r="M463" i="5" s="1"/>
  <c r="J463" i="5"/>
  <c r="L463" i="5" s="1"/>
  <c r="D463" i="5"/>
  <c r="K462" i="5"/>
  <c r="M462" i="5" s="1"/>
  <c r="J462" i="5"/>
  <c r="L462" i="5" s="1"/>
  <c r="D462" i="5"/>
  <c r="K461" i="5"/>
  <c r="M461" i="5" s="1"/>
  <c r="J461" i="5"/>
  <c r="L461" i="5" s="1"/>
  <c r="D461" i="5"/>
  <c r="E461" i="5" s="1"/>
  <c r="K460" i="5"/>
  <c r="M460" i="5" s="1"/>
  <c r="J460" i="5"/>
  <c r="L460" i="5" s="1"/>
  <c r="D460" i="5"/>
  <c r="K459" i="5"/>
  <c r="M459" i="5" s="1"/>
  <c r="J459" i="5"/>
  <c r="L459" i="5" s="1"/>
  <c r="D459" i="5"/>
  <c r="I459" i="5" s="1"/>
  <c r="K458" i="5"/>
  <c r="M458" i="5" s="1"/>
  <c r="J458" i="5"/>
  <c r="L458" i="5" s="1"/>
  <c r="D458" i="5"/>
  <c r="K457" i="5"/>
  <c r="M457" i="5" s="1"/>
  <c r="J457" i="5"/>
  <c r="L457" i="5" s="1"/>
  <c r="D457" i="5"/>
  <c r="E457" i="5" s="1"/>
  <c r="K456" i="5"/>
  <c r="M456" i="5" s="1"/>
  <c r="J456" i="5"/>
  <c r="L456" i="5" s="1"/>
  <c r="D456" i="5"/>
  <c r="I456" i="5" s="1"/>
  <c r="K455" i="5"/>
  <c r="M455" i="5" s="1"/>
  <c r="J455" i="5"/>
  <c r="L455" i="5" s="1"/>
  <c r="D455" i="5"/>
  <c r="I455" i="5" s="1"/>
  <c r="K454" i="5"/>
  <c r="M454" i="5" s="1"/>
  <c r="J454" i="5"/>
  <c r="L454" i="5" s="1"/>
  <c r="D454" i="5"/>
  <c r="F454" i="5" s="1"/>
  <c r="K453" i="5"/>
  <c r="M453" i="5" s="1"/>
  <c r="J453" i="5"/>
  <c r="L453" i="5" s="1"/>
  <c r="D453" i="5"/>
  <c r="K452" i="5"/>
  <c r="M452" i="5" s="1"/>
  <c r="J452" i="5"/>
  <c r="L452" i="5" s="1"/>
  <c r="D452" i="5"/>
  <c r="I452" i="5" s="1"/>
  <c r="K451" i="5"/>
  <c r="M451" i="5" s="1"/>
  <c r="J451" i="5"/>
  <c r="L451" i="5" s="1"/>
  <c r="D451" i="5"/>
  <c r="E451" i="5" s="1"/>
  <c r="K450" i="5"/>
  <c r="M450" i="5" s="1"/>
  <c r="J450" i="5"/>
  <c r="L450" i="5" s="1"/>
  <c r="D450" i="5"/>
  <c r="K449" i="5"/>
  <c r="M449" i="5" s="1"/>
  <c r="J449" i="5"/>
  <c r="L449" i="5" s="1"/>
  <c r="D449" i="5"/>
  <c r="F449" i="5" s="1"/>
  <c r="K448" i="5"/>
  <c r="M448" i="5" s="1"/>
  <c r="J448" i="5"/>
  <c r="L448" i="5" s="1"/>
  <c r="D448" i="5"/>
  <c r="I448" i="5" s="1"/>
  <c r="K447" i="5"/>
  <c r="M447" i="5" s="1"/>
  <c r="J447" i="5"/>
  <c r="L447" i="5" s="1"/>
  <c r="D447" i="5"/>
  <c r="I447" i="5" s="1"/>
  <c r="K446" i="5"/>
  <c r="M446" i="5" s="1"/>
  <c r="J446" i="5"/>
  <c r="L446" i="5" s="1"/>
  <c r="D446" i="5"/>
  <c r="F446" i="5" s="1"/>
  <c r="K445" i="5"/>
  <c r="M445" i="5" s="1"/>
  <c r="J445" i="5"/>
  <c r="L445" i="5" s="1"/>
  <c r="D445" i="5"/>
  <c r="K444" i="5"/>
  <c r="M444" i="5" s="1"/>
  <c r="J444" i="5"/>
  <c r="L444" i="5" s="1"/>
  <c r="D444" i="5"/>
  <c r="K443" i="5"/>
  <c r="M443" i="5" s="1"/>
  <c r="J443" i="5"/>
  <c r="L443" i="5" s="1"/>
  <c r="D443" i="5"/>
  <c r="K442" i="5"/>
  <c r="M442" i="5" s="1"/>
  <c r="J442" i="5"/>
  <c r="L442" i="5" s="1"/>
  <c r="D442" i="5"/>
  <c r="F442" i="5" s="1"/>
  <c r="K441" i="5"/>
  <c r="M441" i="5" s="1"/>
  <c r="J441" i="5"/>
  <c r="L441" i="5" s="1"/>
  <c r="D441" i="5"/>
  <c r="F441" i="5" s="1"/>
  <c r="K440" i="5"/>
  <c r="M440" i="5" s="1"/>
  <c r="J440" i="5"/>
  <c r="L440" i="5" s="1"/>
  <c r="D440" i="5"/>
  <c r="I440" i="5" s="1"/>
  <c r="K439" i="5"/>
  <c r="M439" i="5" s="1"/>
  <c r="J439" i="5"/>
  <c r="L439" i="5" s="1"/>
  <c r="D439" i="5"/>
  <c r="G439" i="5" s="1"/>
  <c r="K438" i="5"/>
  <c r="M438" i="5" s="1"/>
  <c r="J438" i="5"/>
  <c r="L438" i="5" s="1"/>
  <c r="D438" i="5"/>
  <c r="E438" i="5" s="1"/>
  <c r="K437" i="5"/>
  <c r="M437" i="5" s="1"/>
  <c r="J437" i="5"/>
  <c r="L437" i="5" s="1"/>
  <c r="D437" i="5"/>
  <c r="F437" i="5" s="1"/>
  <c r="K436" i="5"/>
  <c r="M436" i="5" s="1"/>
  <c r="J436" i="5"/>
  <c r="L436" i="5" s="1"/>
  <c r="D436" i="5"/>
  <c r="K435" i="5"/>
  <c r="M435" i="5" s="1"/>
  <c r="J435" i="5"/>
  <c r="L435" i="5" s="1"/>
  <c r="D435" i="5"/>
  <c r="F435" i="5" s="1"/>
  <c r="K434" i="5"/>
  <c r="M434" i="5" s="1"/>
  <c r="J434" i="5"/>
  <c r="L434" i="5" s="1"/>
  <c r="D434" i="5"/>
  <c r="F434" i="5" s="1"/>
  <c r="K433" i="5"/>
  <c r="M433" i="5" s="1"/>
  <c r="J433" i="5"/>
  <c r="L433" i="5" s="1"/>
  <c r="D433" i="5"/>
  <c r="H433" i="5" s="1"/>
  <c r="K432" i="5"/>
  <c r="M432" i="5" s="1"/>
  <c r="J432" i="5"/>
  <c r="L432" i="5" s="1"/>
  <c r="D432" i="5"/>
  <c r="K431" i="5"/>
  <c r="M431" i="5" s="1"/>
  <c r="J431" i="5"/>
  <c r="L431" i="5" s="1"/>
  <c r="D431" i="5"/>
  <c r="K430" i="5"/>
  <c r="M430" i="5" s="1"/>
  <c r="J430" i="5"/>
  <c r="L430" i="5" s="1"/>
  <c r="H430" i="5"/>
  <c r="E430" i="5"/>
  <c r="D430" i="5"/>
  <c r="F430" i="5" s="1"/>
  <c r="K429" i="5"/>
  <c r="M429" i="5" s="1"/>
  <c r="J429" i="5"/>
  <c r="L429" i="5" s="1"/>
  <c r="D429" i="5"/>
  <c r="H429" i="5" s="1"/>
  <c r="K428" i="5"/>
  <c r="M428" i="5" s="1"/>
  <c r="J428" i="5"/>
  <c r="L428" i="5" s="1"/>
  <c r="D428" i="5"/>
  <c r="I428" i="5" s="1"/>
  <c r="K427" i="5"/>
  <c r="M427" i="5" s="1"/>
  <c r="J427" i="5"/>
  <c r="L427" i="5" s="1"/>
  <c r="D427" i="5"/>
  <c r="G427" i="5" s="1"/>
  <c r="K426" i="5"/>
  <c r="M426" i="5" s="1"/>
  <c r="J426" i="5"/>
  <c r="L426" i="5" s="1"/>
  <c r="D426" i="5"/>
  <c r="K425" i="5"/>
  <c r="M425" i="5" s="1"/>
  <c r="J425" i="5"/>
  <c r="L425" i="5" s="1"/>
  <c r="D425" i="5"/>
  <c r="K424" i="5"/>
  <c r="M424" i="5" s="1"/>
  <c r="J424" i="5"/>
  <c r="L424" i="5" s="1"/>
  <c r="D424" i="5"/>
  <c r="I424" i="5" s="1"/>
  <c r="K423" i="5"/>
  <c r="M423" i="5" s="1"/>
  <c r="J423" i="5"/>
  <c r="L423" i="5" s="1"/>
  <c r="D423" i="5"/>
  <c r="E423" i="5" s="1"/>
  <c r="K422" i="5"/>
  <c r="M422" i="5" s="1"/>
  <c r="J422" i="5"/>
  <c r="L422" i="5" s="1"/>
  <c r="D422" i="5"/>
  <c r="E422" i="5" s="1"/>
  <c r="K421" i="5"/>
  <c r="M421" i="5" s="1"/>
  <c r="J421" i="5"/>
  <c r="L421" i="5" s="1"/>
  <c r="D421" i="5"/>
  <c r="I421" i="5" s="1"/>
  <c r="K420" i="5"/>
  <c r="M420" i="5" s="1"/>
  <c r="J420" i="5"/>
  <c r="L420" i="5" s="1"/>
  <c r="D420" i="5"/>
  <c r="H420" i="5" s="1"/>
  <c r="K419" i="5"/>
  <c r="M419" i="5" s="1"/>
  <c r="J419" i="5"/>
  <c r="L419" i="5" s="1"/>
  <c r="D419" i="5"/>
  <c r="H419" i="5" s="1"/>
  <c r="K418" i="5"/>
  <c r="M418" i="5" s="1"/>
  <c r="J418" i="5"/>
  <c r="L418" i="5" s="1"/>
  <c r="D418" i="5"/>
  <c r="K417" i="5"/>
  <c r="M417" i="5" s="1"/>
  <c r="J417" i="5"/>
  <c r="L417" i="5" s="1"/>
  <c r="D417" i="5"/>
  <c r="I417" i="5" s="1"/>
  <c r="K416" i="5"/>
  <c r="M416" i="5" s="1"/>
  <c r="J416" i="5"/>
  <c r="L416" i="5" s="1"/>
  <c r="D416" i="5"/>
  <c r="F416" i="5" s="1"/>
  <c r="K415" i="5"/>
  <c r="M415" i="5" s="1"/>
  <c r="J415" i="5"/>
  <c r="L415" i="5" s="1"/>
  <c r="D415" i="5"/>
  <c r="G415" i="5" s="1"/>
  <c r="K414" i="5"/>
  <c r="M414" i="5" s="1"/>
  <c r="J414" i="5"/>
  <c r="L414" i="5" s="1"/>
  <c r="D414" i="5"/>
  <c r="G414" i="5" s="1"/>
  <c r="M413" i="5"/>
  <c r="K413" i="5"/>
  <c r="J413" i="5"/>
  <c r="L413" i="5" s="1"/>
  <c r="D413" i="5"/>
  <c r="I413" i="5" s="1"/>
  <c r="K412" i="5"/>
  <c r="M412" i="5" s="1"/>
  <c r="J412" i="5"/>
  <c r="L412" i="5" s="1"/>
  <c r="D412" i="5"/>
  <c r="K411" i="5"/>
  <c r="M411" i="5" s="1"/>
  <c r="J411" i="5"/>
  <c r="L411" i="5" s="1"/>
  <c r="D411" i="5"/>
  <c r="K410" i="5"/>
  <c r="M410" i="5" s="1"/>
  <c r="J410" i="5"/>
  <c r="L410" i="5" s="1"/>
  <c r="D410" i="5"/>
  <c r="E410" i="5" s="1"/>
  <c r="K409" i="5"/>
  <c r="M409" i="5" s="1"/>
  <c r="J409" i="5"/>
  <c r="L409" i="5" s="1"/>
  <c r="D409" i="5"/>
  <c r="I409" i="5" s="1"/>
  <c r="K408" i="5"/>
  <c r="M408" i="5" s="1"/>
  <c r="J408" i="5"/>
  <c r="L408" i="5" s="1"/>
  <c r="D408" i="5"/>
  <c r="F408" i="5" s="1"/>
  <c r="K407" i="5"/>
  <c r="M407" i="5" s="1"/>
  <c r="J407" i="5"/>
  <c r="L407" i="5" s="1"/>
  <c r="D407" i="5"/>
  <c r="K406" i="5"/>
  <c r="M406" i="5" s="1"/>
  <c r="J406" i="5"/>
  <c r="L406" i="5" s="1"/>
  <c r="D406" i="5"/>
  <c r="E406" i="5" s="1"/>
  <c r="K405" i="5"/>
  <c r="M405" i="5" s="1"/>
  <c r="J405" i="5"/>
  <c r="L405" i="5" s="1"/>
  <c r="D405" i="5"/>
  <c r="I405" i="5" s="1"/>
  <c r="K404" i="5"/>
  <c r="M404" i="5" s="1"/>
  <c r="J404" i="5"/>
  <c r="L404" i="5" s="1"/>
  <c r="D404" i="5"/>
  <c r="M403" i="5"/>
  <c r="K403" i="5"/>
  <c r="J403" i="5"/>
  <c r="L403" i="5" s="1"/>
  <c r="D403" i="5"/>
  <c r="K402" i="5"/>
  <c r="M402" i="5" s="1"/>
  <c r="J402" i="5"/>
  <c r="L402" i="5" s="1"/>
  <c r="D402" i="5"/>
  <c r="K401" i="5"/>
  <c r="M401" i="5" s="1"/>
  <c r="J401" i="5"/>
  <c r="L401" i="5" s="1"/>
  <c r="D401" i="5"/>
  <c r="K400" i="5"/>
  <c r="M400" i="5" s="1"/>
  <c r="J400" i="5"/>
  <c r="L400" i="5" s="1"/>
  <c r="D400" i="5"/>
  <c r="E400" i="5" s="1"/>
  <c r="K399" i="5"/>
  <c r="M399" i="5" s="1"/>
  <c r="J399" i="5"/>
  <c r="L399" i="5" s="1"/>
  <c r="D399" i="5"/>
  <c r="E399" i="5" s="1"/>
  <c r="K398" i="5"/>
  <c r="M398" i="5" s="1"/>
  <c r="J398" i="5"/>
  <c r="L398" i="5" s="1"/>
  <c r="D398" i="5"/>
  <c r="K397" i="5"/>
  <c r="M397" i="5" s="1"/>
  <c r="J397" i="5"/>
  <c r="L397" i="5" s="1"/>
  <c r="D397" i="5"/>
  <c r="I397" i="5" s="1"/>
  <c r="K396" i="5"/>
  <c r="M396" i="5" s="1"/>
  <c r="J396" i="5"/>
  <c r="L396" i="5" s="1"/>
  <c r="G396" i="5"/>
  <c r="D396" i="5"/>
  <c r="I396" i="5" s="1"/>
  <c r="K395" i="5"/>
  <c r="M395" i="5" s="1"/>
  <c r="J395" i="5"/>
  <c r="L395" i="5" s="1"/>
  <c r="D395" i="5"/>
  <c r="E395" i="5" s="1"/>
  <c r="K394" i="5"/>
  <c r="M394" i="5" s="1"/>
  <c r="J394" i="5"/>
  <c r="L394" i="5" s="1"/>
  <c r="D394" i="5"/>
  <c r="K393" i="5"/>
  <c r="M393" i="5" s="1"/>
  <c r="J393" i="5"/>
  <c r="L393" i="5" s="1"/>
  <c r="D393" i="5"/>
  <c r="I393" i="5" s="1"/>
  <c r="K392" i="5"/>
  <c r="M392" i="5" s="1"/>
  <c r="J392" i="5"/>
  <c r="L392" i="5" s="1"/>
  <c r="D392" i="5"/>
  <c r="I392" i="5" s="1"/>
  <c r="K391" i="5"/>
  <c r="M391" i="5" s="1"/>
  <c r="J391" i="5"/>
  <c r="L391" i="5" s="1"/>
  <c r="D391" i="5"/>
  <c r="F391" i="5" s="1"/>
  <c r="K390" i="5"/>
  <c r="M390" i="5" s="1"/>
  <c r="J390" i="5"/>
  <c r="L390" i="5" s="1"/>
  <c r="D390" i="5"/>
  <c r="F390" i="5" s="1"/>
  <c r="K389" i="5"/>
  <c r="M389" i="5" s="1"/>
  <c r="J389" i="5"/>
  <c r="L389" i="5" s="1"/>
  <c r="D389" i="5"/>
  <c r="I389" i="5" s="1"/>
  <c r="K388" i="5"/>
  <c r="M388" i="5" s="1"/>
  <c r="J388" i="5"/>
  <c r="L388" i="5" s="1"/>
  <c r="D388" i="5"/>
  <c r="H388" i="5" s="1"/>
  <c r="K387" i="5"/>
  <c r="M387" i="5" s="1"/>
  <c r="J387" i="5"/>
  <c r="L387" i="5" s="1"/>
  <c r="D387" i="5"/>
  <c r="F387" i="5" s="1"/>
  <c r="K386" i="5"/>
  <c r="M386" i="5" s="1"/>
  <c r="J386" i="5"/>
  <c r="L386" i="5" s="1"/>
  <c r="D386" i="5"/>
  <c r="K385" i="5"/>
  <c r="M385" i="5" s="1"/>
  <c r="J385" i="5"/>
  <c r="L385" i="5" s="1"/>
  <c r="D385" i="5"/>
  <c r="I385" i="5" s="1"/>
  <c r="K384" i="5"/>
  <c r="M384" i="5" s="1"/>
  <c r="J384" i="5"/>
  <c r="L384" i="5" s="1"/>
  <c r="D384" i="5"/>
  <c r="M383" i="5"/>
  <c r="K383" i="5"/>
  <c r="J383" i="5"/>
  <c r="L383" i="5" s="1"/>
  <c r="D383" i="5"/>
  <c r="K382" i="5"/>
  <c r="M382" i="5" s="1"/>
  <c r="J382" i="5"/>
  <c r="L382" i="5" s="1"/>
  <c r="D382" i="5"/>
  <c r="I382" i="5" s="1"/>
  <c r="K381" i="5"/>
  <c r="M381" i="5" s="1"/>
  <c r="J381" i="5"/>
  <c r="L381" i="5" s="1"/>
  <c r="D381" i="5"/>
  <c r="K380" i="5"/>
  <c r="M380" i="5" s="1"/>
  <c r="J380" i="5"/>
  <c r="L380" i="5" s="1"/>
  <c r="I380" i="5"/>
  <c r="G380" i="5"/>
  <c r="D380" i="5"/>
  <c r="K379" i="5"/>
  <c r="M379" i="5" s="1"/>
  <c r="J379" i="5"/>
  <c r="L379" i="5" s="1"/>
  <c r="I379" i="5"/>
  <c r="G379" i="5"/>
  <c r="D379" i="5"/>
  <c r="K378" i="5"/>
  <c r="M378" i="5" s="1"/>
  <c r="J378" i="5"/>
  <c r="L378" i="5" s="1"/>
  <c r="D378" i="5"/>
  <c r="E378" i="5" s="1"/>
  <c r="L377" i="5"/>
  <c r="K377" i="5"/>
  <c r="M377" i="5" s="1"/>
  <c r="J377" i="5"/>
  <c r="D377" i="5"/>
  <c r="K376" i="5"/>
  <c r="M376" i="5" s="1"/>
  <c r="J376" i="5"/>
  <c r="L376" i="5" s="1"/>
  <c r="D376" i="5"/>
  <c r="H376" i="5" s="1"/>
  <c r="K375" i="5"/>
  <c r="M375" i="5" s="1"/>
  <c r="J375" i="5"/>
  <c r="L375" i="5" s="1"/>
  <c r="D375" i="5"/>
  <c r="K374" i="5"/>
  <c r="M374" i="5" s="1"/>
  <c r="J374" i="5"/>
  <c r="L374" i="5" s="1"/>
  <c r="D374" i="5"/>
  <c r="K373" i="5"/>
  <c r="M373" i="5" s="1"/>
  <c r="J373" i="5"/>
  <c r="L373" i="5" s="1"/>
  <c r="D373" i="5"/>
  <c r="I373" i="5" s="1"/>
  <c r="K372" i="5"/>
  <c r="M372" i="5" s="1"/>
  <c r="J372" i="5"/>
  <c r="L372" i="5" s="1"/>
  <c r="F372" i="5"/>
  <c r="D372" i="5"/>
  <c r="K371" i="5"/>
  <c r="M371" i="5" s="1"/>
  <c r="J371" i="5"/>
  <c r="L371" i="5" s="1"/>
  <c r="D371" i="5"/>
  <c r="H371" i="5" s="1"/>
  <c r="K370" i="5"/>
  <c r="M370" i="5" s="1"/>
  <c r="J370" i="5"/>
  <c r="L370" i="5" s="1"/>
  <c r="D370" i="5"/>
  <c r="I370" i="5" s="1"/>
  <c r="K369" i="5"/>
  <c r="M369" i="5" s="1"/>
  <c r="J369" i="5"/>
  <c r="L369" i="5" s="1"/>
  <c r="D369" i="5"/>
  <c r="I369" i="5" s="1"/>
  <c r="K368" i="5"/>
  <c r="M368" i="5" s="1"/>
  <c r="J368" i="5"/>
  <c r="L368" i="5" s="1"/>
  <c r="D368" i="5"/>
  <c r="K367" i="5"/>
  <c r="M367" i="5" s="1"/>
  <c r="J367" i="5"/>
  <c r="L367" i="5" s="1"/>
  <c r="D367" i="5"/>
  <c r="K366" i="5"/>
  <c r="M366" i="5" s="1"/>
  <c r="J366" i="5"/>
  <c r="L366" i="5" s="1"/>
  <c r="H366" i="5"/>
  <c r="G366" i="5"/>
  <c r="D366" i="5"/>
  <c r="F366" i="5" s="1"/>
  <c r="K365" i="5"/>
  <c r="M365" i="5" s="1"/>
  <c r="J365" i="5"/>
  <c r="L365" i="5" s="1"/>
  <c r="D365" i="5"/>
  <c r="K364" i="5"/>
  <c r="M364" i="5" s="1"/>
  <c r="J364" i="5"/>
  <c r="L364" i="5" s="1"/>
  <c r="D364" i="5"/>
  <c r="H364" i="5" s="1"/>
  <c r="K363" i="5"/>
  <c r="M363" i="5" s="1"/>
  <c r="J363" i="5"/>
  <c r="L363" i="5" s="1"/>
  <c r="D363" i="5"/>
  <c r="K362" i="5"/>
  <c r="M362" i="5" s="1"/>
  <c r="J362" i="5"/>
  <c r="L362" i="5" s="1"/>
  <c r="F362" i="5"/>
  <c r="E362" i="5"/>
  <c r="D362" i="5"/>
  <c r="I362" i="5" s="1"/>
  <c r="K361" i="5"/>
  <c r="M361" i="5" s="1"/>
  <c r="J361" i="5"/>
  <c r="L361" i="5" s="1"/>
  <c r="D361" i="5"/>
  <c r="K360" i="5"/>
  <c r="M360" i="5" s="1"/>
  <c r="J360" i="5"/>
  <c r="L360" i="5" s="1"/>
  <c r="D360" i="5"/>
  <c r="H360" i="5" s="1"/>
  <c r="K359" i="5"/>
  <c r="M359" i="5" s="1"/>
  <c r="J359" i="5"/>
  <c r="L359" i="5" s="1"/>
  <c r="D359" i="5"/>
  <c r="K358" i="5"/>
  <c r="M358" i="5" s="1"/>
  <c r="J358" i="5"/>
  <c r="L358" i="5" s="1"/>
  <c r="D358" i="5"/>
  <c r="K357" i="5"/>
  <c r="M357" i="5" s="1"/>
  <c r="J357" i="5"/>
  <c r="L357" i="5" s="1"/>
  <c r="D357" i="5"/>
  <c r="I357" i="5" s="1"/>
  <c r="K356" i="5"/>
  <c r="M356" i="5" s="1"/>
  <c r="J356" i="5"/>
  <c r="L356" i="5" s="1"/>
  <c r="D356" i="5"/>
  <c r="K355" i="5"/>
  <c r="M355" i="5" s="1"/>
  <c r="J355" i="5"/>
  <c r="L355" i="5" s="1"/>
  <c r="D355" i="5"/>
  <c r="F355" i="5" s="1"/>
  <c r="K354" i="5"/>
  <c r="M354" i="5" s="1"/>
  <c r="J354" i="5"/>
  <c r="L354" i="5" s="1"/>
  <c r="D354" i="5"/>
  <c r="L353" i="5"/>
  <c r="K353" i="5"/>
  <c r="M353" i="5" s="1"/>
  <c r="J353" i="5"/>
  <c r="D353" i="5"/>
  <c r="I353" i="5" s="1"/>
  <c r="K352" i="5"/>
  <c r="M352" i="5" s="1"/>
  <c r="J352" i="5"/>
  <c r="L352" i="5" s="1"/>
  <c r="G352" i="5"/>
  <c r="D352" i="5"/>
  <c r="H352" i="5" s="1"/>
  <c r="K351" i="5"/>
  <c r="M351" i="5" s="1"/>
  <c r="J351" i="5"/>
  <c r="L351" i="5" s="1"/>
  <c r="I351" i="5"/>
  <c r="D351" i="5"/>
  <c r="F351" i="5" s="1"/>
  <c r="K350" i="5"/>
  <c r="M350" i="5" s="1"/>
  <c r="J350" i="5"/>
  <c r="L350" i="5" s="1"/>
  <c r="D350" i="5"/>
  <c r="K349" i="5"/>
  <c r="M349" i="5" s="1"/>
  <c r="J349" i="5"/>
  <c r="L349" i="5" s="1"/>
  <c r="D349" i="5"/>
  <c r="I349" i="5" s="1"/>
  <c r="K348" i="5"/>
  <c r="M348" i="5" s="1"/>
  <c r="J348" i="5"/>
  <c r="L348" i="5" s="1"/>
  <c r="D348" i="5"/>
  <c r="K347" i="5"/>
  <c r="M347" i="5" s="1"/>
  <c r="J347" i="5"/>
  <c r="L347" i="5" s="1"/>
  <c r="D347" i="5"/>
  <c r="G347" i="5" s="1"/>
  <c r="K346" i="5"/>
  <c r="M346" i="5" s="1"/>
  <c r="J346" i="5"/>
  <c r="L346" i="5" s="1"/>
  <c r="D346" i="5"/>
  <c r="I346" i="5" s="1"/>
  <c r="K345" i="5"/>
  <c r="M345" i="5" s="1"/>
  <c r="J345" i="5"/>
  <c r="L345" i="5" s="1"/>
  <c r="D345" i="5"/>
  <c r="K344" i="5"/>
  <c r="M344" i="5" s="1"/>
  <c r="J344" i="5"/>
  <c r="L344" i="5" s="1"/>
  <c r="D344" i="5"/>
  <c r="H344" i="5" s="1"/>
  <c r="K343" i="5"/>
  <c r="M343" i="5" s="1"/>
  <c r="J343" i="5"/>
  <c r="L343" i="5" s="1"/>
  <c r="D343" i="5"/>
  <c r="K342" i="5"/>
  <c r="M342" i="5" s="1"/>
  <c r="J342" i="5"/>
  <c r="L342" i="5" s="1"/>
  <c r="D342" i="5"/>
  <c r="K341" i="5"/>
  <c r="M341" i="5" s="1"/>
  <c r="J341" i="5"/>
  <c r="L341" i="5" s="1"/>
  <c r="D341" i="5"/>
  <c r="I341" i="5" s="1"/>
  <c r="K340" i="5"/>
  <c r="M340" i="5" s="1"/>
  <c r="J340" i="5"/>
  <c r="L340" i="5" s="1"/>
  <c r="D340" i="5"/>
  <c r="F340" i="5" s="1"/>
  <c r="K339" i="5"/>
  <c r="M339" i="5" s="1"/>
  <c r="J339" i="5"/>
  <c r="L339" i="5" s="1"/>
  <c r="D339" i="5"/>
  <c r="F339" i="5" s="1"/>
  <c r="K338" i="5"/>
  <c r="M338" i="5" s="1"/>
  <c r="J338" i="5"/>
  <c r="L338" i="5" s="1"/>
  <c r="D338" i="5"/>
  <c r="H338" i="5" s="1"/>
  <c r="K337" i="5"/>
  <c r="M337" i="5" s="1"/>
  <c r="J337" i="5"/>
  <c r="L337" i="5" s="1"/>
  <c r="D337" i="5"/>
  <c r="I337" i="5" s="1"/>
  <c r="K336" i="5"/>
  <c r="M336" i="5" s="1"/>
  <c r="J336" i="5"/>
  <c r="L336" i="5" s="1"/>
  <c r="D336" i="5"/>
  <c r="H336" i="5" s="1"/>
  <c r="K335" i="5"/>
  <c r="M335" i="5" s="1"/>
  <c r="J335" i="5"/>
  <c r="L335" i="5" s="1"/>
  <c r="D335" i="5"/>
  <c r="F335" i="5" s="1"/>
  <c r="K334" i="5"/>
  <c r="M334" i="5" s="1"/>
  <c r="J334" i="5"/>
  <c r="L334" i="5" s="1"/>
  <c r="D334" i="5"/>
  <c r="F334" i="5" s="1"/>
  <c r="K333" i="5"/>
  <c r="M333" i="5" s="1"/>
  <c r="J333" i="5"/>
  <c r="L333" i="5" s="1"/>
  <c r="D333" i="5"/>
  <c r="I333" i="5" s="1"/>
  <c r="K332" i="5"/>
  <c r="M332" i="5" s="1"/>
  <c r="J332" i="5"/>
  <c r="L332" i="5" s="1"/>
  <c r="D332" i="5"/>
  <c r="H332" i="5" s="1"/>
  <c r="K331" i="5"/>
  <c r="M331" i="5" s="1"/>
  <c r="J331" i="5"/>
  <c r="L331" i="5" s="1"/>
  <c r="D331" i="5"/>
  <c r="H331" i="5" s="1"/>
  <c r="K330" i="5"/>
  <c r="M330" i="5" s="1"/>
  <c r="J330" i="5"/>
  <c r="L330" i="5" s="1"/>
  <c r="D330" i="5"/>
  <c r="F330" i="5" s="1"/>
  <c r="K329" i="5"/>
  <c r="M329" i="5" s="1"/>
  <c r="J329" i="5"/>
  <c r="L329" i="5" s="1"/>
  <c r="D329" i="5"/>
  <c r="K328" i="5"/>
  <c r="M328" i="5" s="1"/>
  <c r="J328" i="5"/>
  <c r="L328" i="5" s="1"/>
  <c r="D328" i="5"/>
  <c r="H328" i="5" s="1"/>
  <c r="K327" i="5"/>
  <c r="M327" i="5" s="1"/>
  <c r="J327" i="5"/>
  <c r="L327" i="5" s="1"/>
  <c r="D327" i="5"/>
  <c r="K326" i="5"/>
  <c r="M326" i="5" s="1"/>
  <c r="J326" i="5"/>
  <c r="L326" i="5" s="1"/>
  <c r="D326" i="5"/>
  <c r="K325" i="5"/>
  <c r="M325" i="5" s="1"/>
  <c r="J325" i="5"/>
  <c r="L325" i="5" s="1"/>
  <c r="D325" i="5"/>
  <c r="I325" i="5" s="1"/>
  <c r="K324" i="5"/>
  <c r="M324" i="5" s="1"/>
  <c r="J324" i="5"/>
  <c r="L324" i="5" s="1"/>
  <c r="E324" i="5"/>
  <c r="D324" i="5"/>
  <c r="H324" i="5" s="1"/>
  <c r="K323" i="5"/>
  <c r="M323" i="5" s="1"/>
  <c r="J323" i="5"/>
  <c r="L323" i="5" s="1"/>
  <c r="D323" i="5"/>
  <c r="F323" i="5" s="1"/>
  <c r="K322" i="5"/>
  <c r="M322" i="5" s="1"/>
  <c r="J322" i="5"/>
  <c r="L322" i="5" s="1"/>
  <c r="D322" i="5"/>
  <c r="G322" i="5" s="1"/>
  <c r="L321" i="5"/>
  <c r="K321" i="5"/>
  <c r="M321" i="5" s="1"/>
  <c r="J321" i="5"/>
  <c r="D321" i="5"/>
  <c r="I321" i="5" s="1"/>
  <c r="K320" i="5"/>
  <c r="M320" i="5" s="1"/>
  <c r="J320" i="5"/>
  <c r="L320" i="5" s="1"/>
  <c r="D320" i="5"/>
  <c r="G320" i="5" s="1"/>
  <c r="K319" i="5"/>
  <c r="M319" i="5" s="1"/>
  <c r="J319" i="5"/>
  <c r="L319" i="5" s="1"/>
  <c r="D319" i="5"/>
  <c r="I319" i="5" s="1"/>
  <c r="K318" i="5"/>
  <c r="M318" i="5" s="1"/>
  <c r="J318" i="5"/>
  <c r="L318" i="5" s="1"/>
  <c r="I318" i="5"/>
  <c r="H318" i="5"/>
  <c r="D318" i="5"/>
  <c r="K317" i="5"/>
  <c r="M317" i="5" s="1"/>
  <c r="J317" i="5"/>
  <c r="L317" i="5" s="1"/>
  <c r="D317" i="5"/>
  <c r="I317" i="5" s="1"/>
  <c r="K316" i="5"/>
  <c r="M316" i="5" s="1"/>
  <c r="J316" i="5"/>
  <c r="L316" i="5" s="1"/>
  <c r="D316" i="5"/>
  <c r="E316" i="5" s="1"/>
  <c r="K315" i="5"/>
  <c r="M315" i="5" s="1"/>
  <c r="J315" i="5"/>
  <c r="L315" i="5" s="1"/>
  <c r="D315" i="5"/>
  <c r="H315" i="5" s="1"/>
  <c r="K314" i="5"/>
  <c r="M314" i="5" s="1"/>
  <c r="J314" i="5"/>
  <c r="L314" i="5" s="1"/>
  <c r="D314" i="5"/>
  <c r="I314" i="5" s="1"/>
  <c r="K313" i="5"/>
  <c r="M313" i="5" s="1"/>
  <c r="J313" i="5"/>
  <c r="L313" i="5" s="1"/>
  <c r="D313" i="5"/>
  <c r="K312" i="5"/>
  <c r="M312" i="5" s="1"/>
  <c r="J312" i="5"/>
  <c r="L312" i="5" s="1"/>
  <c r="D312" i="5"/>
  <c r="H312" i="5" s="1"/>
  <c r="K311" i="5"/>
  <c r="M311" i="5" s="1"/>
  <c r="J311" i="5"/>
  <c r="L311" i="5" s="1"/>
  <c r="D311" i="5"/>
  <c r="F311" i="5" s="1"/>
  <c r="K310" i="5"/>
  <c r="M310" i="5" s="1"/>
  <c r="J310" i="5"/>
  <c r="L310" i="5" s="1"/>
  <c r="D310" i="5"/>
  <c r="I310" i="5" s="1"/>
  <c r="K309" i="5"/>
  <c r="M309" i="5" s="1"/>
  <c r="J309" i="5"/>
  <c r="L309" i="5" s="1"/>
  <c r="I309" i="5"/>
  <c r="D309" i="5"/>
  <c r="E309" i="5" s="1"/>
  <c r="K308" i="5"/>
  <c r="M308" i="5" s="1"/>
  <c r="J308" i="5"/>
  <c r="L308" i="5" s="1"/>
  <c r="D308" i="5"/>
  <c r="H308" i="5" s="1"/>
  <c r="K307" i="5"/>
  <c r="M307" i="5" s="1"/>
  <c r="J307" i="5"/>
  <c r="L307" i="5" s="1"/>
  <c r="D307" i="5"/>
  <c r="F307" i="5" s="1"/>
  <c r="K306" i="5"/>
  <c r="M306" i="5" s="1"/>
  <c r="J306" i="5"/>
  <c r="L306" i="5" s="1"/>
  <c r="D306" i="5"/>
  <c r="L305" i="5"/>
  <c r="K305" i="5"/>
  <c r="M305" i="5" s="1"/>
  <c r="J305" i="5"/>
  <c r="D305" i="5"/>
  <c r="I305" i="5" s="1"/>
  <c r="K304" i="5"/>
  <c r="M304" i="5" s="1"/>
  <c r="J304" i="5"/>
  <c r="L304" i="5" s="1"/>
  <c r="D304" i="5"/>
  <c r="F304" i="5" s="1"/>
  <c r="K303" i="5"/>
  <c r="M303" i="5" s="1"/>
  <c r="J303" i="5"/>
  <c r="L303" i="5" s="1"/>
  <c r="D303" i="5"/>
  <c r="K302" i="5"/>
  <c r="M302" i="5" s="1"/>
  <c r="J302" i="5"/>
  <c r="L302" i="5" s="1"/>
  <c r="D302" i="5"/>
  <c r="F302" i="5" s="1"/>
  <c r="K301" i="5"/>
  <c r="M301" i="5" s="1"/>
  <c r="J301" i="5"/>
  <c r="L301" i="5" s="1"/>
  <c r="D301" i="5"/>
  <c r="E301" i="5" s="1"/>
  <c r="K300" i="5"/>
  <c r="M300" i="5" s="1"/>
  <c r="J300" i="5"/>
  <c r="L300" i="5" s="1"/>
  <c r="D300" i="5"/>
  <c r="H300" i="5" s="1"/>
  <c r="K299" i="5"/>
  <c r="M299" i="5" s="1"/>
  <c r="J299" i="5"/>
  <c r="L299" i="5" s="1"/>
  <c r="D299" i="5"/>
  <c r="F299" i="5" s="1"/>
  <c r="K298" i="5"/>
  <c r="M298" i="5" s="1"/>
  <c r="J298" i="5"/>
  <c r="L298" i="5" s="1"/>
  <c r="D298" i="5"/>
  <c r="E298" i="5" s="1"/>
  <c r="M297" i="5"/>
  <c r="K297" i="5"/>
  <c r="J297" i="5"/>
  <c r="L297" i="5" s="1"/>
  <c r="D297" i="5"/>
  <c r="E297" i="5" s="1"/>
  <c r="K296" i="5"/>
  <c r="M296" i="5" s="1"/>
  <c r="J296" i="5"/>
  <c r="L296" i="5" s="1"/>
  <c r="D296" i="5"/>
  <c r="K295" i="5"/>
  <c r="M295" i="5" s="1"/>
  <c r="J295" i="5"/>
  <c r="L295" i="5" s="1"/>
  <c r="D295" i="5"/>
  <c r="K294" i="5"/>
  <c r="M294" i="5" s="1"/>
  <c r="J294" i="5"/>
  <c r="L294" i="5" s="1"/>
  <c r="D294" i="5"/>
  <c r="E294" i="5" s="1"/>
  <c r="K293" i="5"/>
  <c r="M293" i="5" s="1"/>
  <c r="J293" i="5"/>
  <c r="L293" i="5" s="1"/>
  <c r="D293" i="5"/>
  <c r="E293" i="5" s="1"/>
  <c r="K292" i="5"/>
  <c r="M292" i="5" s="1"/>
  <c r="J292" i="5"/>
  <c r="L292" i="5" s="1"/>
  <c r="F292" i="5"/>
  <c r="D292" i="5"/>
  <c r="H292" i="5" s="1"/>
  <c r="K291" i="5"/>
  <c r="M291" i="5" s="1"/>
  <c r="J291" i="5"/>
  <c r="L291" i="5" s="1"/>
  <c r="D291" i="5"/>
  <c r="F291" i="5" s="1"/>
  <c r="K290" i="5"/>
  <c r="M290" i="5" s="1"/>
  <c r="J290" i="5"/>
  <c r="L290" i="5" s="1"/>
  <c r="D290" i="5"/>
  <c r="I290" i="5" s="1"/>
  <c r="M289" i="5"/>
  <c r="K289" i="5"/>
  <c r="J289" i="5"/>
  <c r="L289" i="5" s="1"/>
  <c r="D289" i="5"/>
  <c r="I289" i="5" s="1"/>
  <c r="K288" i="5"/>
  <c r="M288" i="5" s="1"/>
  <c r="J288" i="5"/>
  <c r="L288" i="5" s="1"/>
  <c r="F288" i="5"/>
  <c r="D288" i="5"/>
  <c r="H288" i="5" s="1"/>
  <c r="K287" i="5"/>
  <c r="M287" i="5" s="1"/>
  <c r="J287" i="5"/>
  <c r="L287" i="5" s="1"/>
  <c r="D287" i="5"/>
  <c r="F287" i="5" s="1"/>
  <c r="K286" i="5"/>
  <c r="M286" i="5" s="1"/>
  <c r="J286" i="5"/>
  <c r="L286" i="5" s="1"/>
  <c r="G286" i="5"/>
  <c r="D286" i="5"/>
  <c r="E286" i="5" s="1"/>
  <c r="K285" i="5"/>
  <c r="M285" i="5" s="1"/>
  <c r="J285" i="5"/>
  <c r="L285" i="5" s="1"/>
  <c r="D285" i="5"/>
  <c r="I285" i="5" s="1"/>
  <c r="K284" i="5"/>
  <c r="M284" i="5" s="1"/>
  <c r="J284" i="5"/>
  <c r="L284" i="5" s="1"/>
  <c r="D284" i="5"/>
  <c r="H284" i="5" s="1"/>
  <c r="K283" i="5"/>
  <c r="M283" i="5" s="1"/>
  <c r="J283" i="5"/>
  <c r="L283" i="5" s="1"/>
  <c r="D283" i="5"/>
  <c r="F283" i="5" s="1"/>
  <c r="K282" i="5"/>
  <c r="M282" i="5" s="1"/>
  <c r="J282" i="5"/>
  <c r="L282" i="5" s="1"/>
  <c r="D282" i="5"/>
  <c r="F282" i="5" s="1"/>
  <c r="K281" i="5"/>
  <c r="M281" i="5" s="1"/>
  <c r="J281" i="5"/>
  <c r="L281" i="5" s="1"/>
  <c r="D281" i="5"/>
  <c r="H281" i="5" s="1"/>
  <c r="K280" i="5"/>
  <c r="M280" i="5" s="1"/>
  <c r="J280" i="5"/>
  <c r="L280" i="5" s="1"/>
  <c r="D280" i="5"/>
  <c r="H280" i="5" s="1"/>
  <c r="K279" i="5"/>
  <c r="M279" i="5" s="1"/>
  <c r="J279" i="5"/>
  <c r="L279" i="5" s="1"/>
  <c r="D279" i="5"/>
  <c r="F279" i="5" s="1"/>
  <c r="K278" i="5"/>
  <c r="M278" i="5" s="1"/>
  <c r="J278" i="5"/>
  <c r="L278" i="5" s="1"/>
  <c r="D278" i="5"/>
  <c r="E278" i="5" s="1"/>
  <c r="K277" i="5"/>
  <c r="M277" i="5" s="1"/>
  <c r="J277" i="5"/>
  <c r="L277" i="5" s="1"/>
  <c r="D277" i="5"/>
  <c r="F277" i="5" s="1"/>
  <c r="K276" i="5"/>
  <c r="M276" i="5" s="1"/>
  <c r="J276" i="5"/>
  <c r="L276" i="5" s="1"/>
  <c r="D276" i="5"/>
  <c r="H276" i="5" s="1"/>
  <c r="K275" i="5"/>
  <c r="M275" i="5" s="1"/>
  <c r="J275" i="5"/>
  <c r="L275" i="5" s="1"/>
  <c r="D275" i="5"/>
  <c r="K274" i="5"/>
  <c r="M274" i="5" s="1"/>
  <c r="J274" i="5"/>
  <c r="L274" i="5" s="1"/>
  <c r="D274" i="5"/>
  <c r="E274" i="5" s="1"/>
  <c r="K273" i="5"/>
  <c r="M273" i="5" s="1"/>
  <c r="J273" i="5"/>
  <c r="L273" i="5" s="1"/>
  <c r="D273" i="5"/>
  <c r="F273" i="5" s="1"/>
  <c r="K272" i="5"/>
  <c r="M272" i="5" s="1"/>
  <c r="J272" i="5"/>
  <c r="L272" i="5" s="1"/>
  <c r="F272" i="5"/>
  <c r="D272" i="5"/>
  <c r="H272" i="5" s="1"/>
  <c r="K271" i="5"/>
  <c r="M271" i="5" s="1"/>
  <c r="J271" i="5"/>
  <c r="L271" i="5" s="1"/>
  <c r="G271" i="5"/>
  <c r="E271" i="5"/>
  <c r="D271" i="5"/>
  <c r="F271" i="5" s="1"/>
  <c r="K270" i="5"/>
  <c r="M270" i="5" s="1"/>
  <c r="J270" i="5"/>
  <c r="L270" i="5" s="1"/>
  <c r="D270" i="5"/>
  <c r="H270" i="5" s="1"/>
  <c r="K269" i="5"/>
  <c r="M269" i="5" s="1"/>
  <c r="J269" i="5"/>
  <c r="L269" i="5" s="1"/>
  <c r="D269" i="5"/>
  <c r="F269" i="5" s="1"/>
  <c r="K268" i="5"/>
  <c r="M268" i="5" s="1"/>
  <c r="J268" i="5"/>
  <c r="L268" i="5" s="1"/>
  <c r="D268" i="5"/>
  <c r="H268" i="5" s="1"/>
  <c r="K267" i="5"/>
  <c r="M267" i="5" s="1"/>
  <c r="J267" i="5"/>
  <c r="L267" i="5" s="1"/>
  <c r="D267" i="5"/>
  <c r="F267" i="5" s="1"/>
  <c r="K266" i="5"/>
  <c r="M266" i="5" s="1"/>
  <c r="J266" i="5"/>
  <c r="L266" i="5" s="1"/>
  <c r="D266" i="5"/>
  <c r="H266" i="5" s="1"/>
  <c r="K265" i="5"/>
  <c r="M265" i="5" s="1"/>
  <c r="J265" i="5"/>
  <c r="L265" i="5" s="1"/>
  <c r="D265" i="5"/>
  <c r="F265" i="5" s="1"/>
  <c r="K264" i="5"/>
  <c r="M264" i="5" s="1"/>
  <c r="J264" i="5"/>
  <c r="L264" i="5" s="1"/>
  <c r="D264" i="5"/>
  <c r="H264" i="5" s="1"/>
  <c r="K263" i="5"/>
  <c r="M263" i="5" s="1"/>
  <c r="J263" i="5"/>
  <c r="L263" i="5" s="1"/>
  <c r="D263" i="5"/>
  <c r="F263" i="5" s="1"/>
  <c r="K262" i="5"/>
  <c r="M262" i="5" s="1"/>
  <c r="J262" i="5"/>
  <c r="L262" i="5" s="1"/>
  <c r="D262" i="5"/>
  <c r="E262" i="5" s="1"/>
  <c r="K261" i="5"/>
  <c r="M261" i="5" s="1"/>
  <c r="J261" i="5"/>
  <c r="L261" i="5" s="1"/>
  <c r="D261" i="5"/>
  <c r="K260" i="5"/>
  <c r="M260" i="5" s="1"/>
  <c r="J260" i="5"/>
  <c r="L260" i="5" s="1"/>
  <c r="D260" i="5"/>
  <c r="K259" i="5"/>
  <c r="M259" i="5" s="1"/>
  <c r="J259" i="5"/>
  <c r="L259" i="5" s="1"/>
  <c r="D259" i="5"/>
  <c r="F259" i="5" s="1"/>
  <c r="K258" i="5"/>
  <c r="M258" i="5" s="1"/>
  <c r="J258" i="5"/>
  <c r="L258" i="5" s="1"/>
  <c r="D258" i="5"/>
  <c r="I258" i="5" s="1"/>
  <c r="K257" i="5"/>
  <c r="M257" i="5" s="1"/>
  <c r="J257" i="5"/>
  <c r="L257" i="5" s="1"/>
  <c r="D257" i="5"/>
  <c r="F257" i="5" s="1"/>
  <c r="K256" i="5"/>
  <c r="M256" i="5" s="1"/>
  <c r="J256" i="5"/>
  <c r="L256" i="5" s="1"/>
  <c r="F256" i="5"/>
  <c r="D256" i="5"/>
  <c r="H256" i="5" s="1"/>
  <c r="K255" i="5"/>
  <c r="M255" i="5" s="1"/>
  <c r="J255" i="5"/>
  <c r="L255" i="5" s="1"/>
  <c r="D255" i="5"/>
  <c r="F255" i="5" s="1"/>
  <c r="K254" i="5"/>
  <c r="M254" i="5" s="1"/>
  <c r="J254" i="5"/>
  <c r="L254" i="5" s="1"/>
  <c r="D254" i="5"/>
  <c r="G254" i="5" s="1"/>
  <c r="K253" i="5"/>
  <c r="M253" i="5" s="1"/>
  <c r="J253" i="5"/>
  <c r="L253" i="5" s="1"/>
  <c r="D253" i="5"/>
  <c r="F253" i="5" s="1"/>
  <c r="K252" i="5"/>
  <c r="M252" i="5" s="1"/>
  <c r="J252" i="5"/>
  <c r="L252" i="5" s="1"/>
  <c r="G252" i="5"/>
  <c r="E252" i="5"/>
  <c r="D252" i="5"/>
  <c r="H252" i="5" s="1"/>
  <c r="K251" i="5"/>
  <c r="M251" i="5" s="1"/>
  <c r="J251" i="5"/>
  <c r="L251" i="5" s="1"/>
  <c r="D251" i="5"/>
  <c r="K250" i="5"/>
  <c r="M250" i="5" s="1"/>
  <c r="J250" i="5"/>
  <c r="L250" i="5" s="1"/>
  <c r="D250" i="5"/>
  <c r="K249" i="5"/>
  <c r="M249" i="5" s="1"/>
  <c r="J249" i="5"/>
  <c r="L249" i="5" s="1"/>
  <c r="D249" i="5"/>
  <c r="F249" i="5" s="1"/>
  <c r="K248" i="5"/>
  <c r="M248" i="5" s="1"/>
  <c r="J248" i="5"/>
  <c r="L248" i="5" s="1"/>
  <c r="D248" i="5"/>
  <c r="H248" i="5" s="1"/>
  <c r="K247" i="5"/>
  <c r="M247" i="5" s="1"/>
  <c r="J247" i="5"/>
  <c r="L247" i="5" s="1"/>
  <c r="D247" i="5"/>
  <c r="F247" i="5" s="1"/>
  <c r="K246" i="5"/>
  <c r="M246" i="5" s="1"/>
  <c r="J246" i="5"/>
  <c r="L246" i="5" s="1"/>
  <c r="D246" i="5"/>
  <c r="L245" i="5"/>
  <c r="K245" i="5"/>
  <c r="M245" i="5" s="1"/>
  <c r="J245" i="5"/>
  <c r="D245" i="5"/>
  <c r="K244" i="5"/>
  <c r="M244" i="5" s="1"/>
  <c r="J244" i="5"/>
  <c r="L244" i="5" s="1"/>
  <c r="D244" i="5"/>
  <c r="H244" i="5" s="1"/>
  <c r="K243" i="5"/>
  <c r="M243" i="5" s="1"/>
  <c r="J243" i="5"/>
  <c r="L243" i="5" s="1"/>
  <c r="D243" i="5"/>
  <c r="F243" i="5" s="1"/>
  <c r="K242" i="5"/>
  <c r="M242" i="5" s="1"/>
  <c r="J242" i="5"/>
  <c r="L242" i="5" s="1"/>
  <c r="D242" i="5"/>
  <c r="H242" i="5" s="1"/>
  <c r="K241" i="5"/>
  <c r="M241" i="5" s="1"/>
  <c r="J241" i="5"/>
  <c r="L241" i="5" s="1"/>
  <c r="D241" i="5"/>
  <c r="F241" i="5" s="1"/>
  <c r="K240" i="5"/>
  <c r="M240" i="5" s="1"/>
  <c r="J240" i="5"/>
  <c r="L240" i="5" s="1"/>
  <c r="D240" i="5"/>
  <c r="H240" i="5" s="1"/>
  <c r="K239" i="5"/>
  <c r="M239" i="5" s="1"/>
  <c r="J239" i="5"/>
  <c r="L239" i="5" s="1"/>
  <c r="D239" i="5"/>
  <c r="F239" i="5" s="1"/>
  <c r="K238" i="5"/>
  <c r="M238" i="5" s="1"/>
  <c r="J238" i="5"/>
  <c r="L238" i="5" s="1"/>
  <c r="D238" i="5"/>
  <c r="E238" i="5" s="1"/>
  <c r="K237" i="5"/>
  <c r="M237" i="5" s="1"/>
  <c r="J237" i="5"/>
  <c r="L237" i="5" s="1"/>
  <c r="D237" i="5"/>
  <c r="F237" i="5" s="1"/>
  <c r="K236" i="5"/>
  <c r="M236" i="5" s="1"/>
  <c r="J236" i="5"/>
  <c r="L236" i="5" s="1"/>
  <c r="I236" i="5"/>
  <c r="G236" i="5"/>
  <c r="D236" i="5"/>
  <c r="H236" i="5" s="1"/>
  <c r="K235" i="5"/>
  <c r="M235" i="5" s="1"/>
  <c r="J235" i="5"/>
  <c r="L235" i="5" s="1"/>
  <c r="D235" i="5"/>
  <c r="F235" i="5" s="1"/>
  <c r="K234" i="5"/>
  <c r="M234" i="5" s="1"/>
  <c r="J234" i="5"/>
  <c r="L234" i="5" s="1"/>
  <c r="D234" i="5"/>
  <c r="E234" i="5" s="1"/>
  <c r="K233" i="5"/>
  <c r="M233" i="5" s="1"/>
  <c r="J233" i="5"/>
  <c r="L233" i="5" s="1"/>
  <c r="D233" i="5"/>
  <c r="G233" i="5" s="1"/>
  <c r="K232" i="5"/>
  <c r="M232" i="5" s="1"/>
  <c r="J232" i="5"/>
  <c r="L232" i="5" s="1"/>
  <c r="D232" i="5"/>
  <c r="K231" i="5"/>
  <c r="M231" i="5" s="1"/>
  <c r="J231" i="5"/>
  <c r="L231" i="5" s="1"/>
  <c r="D231" i="5"/>
  <c r="F231" i="5" s="1"/>
  <c r="K230" i="5"/>
  <c r="M230" i="5" s="1"/>
  <c r="J230" i="5"/>
  <c r="L230" i="5" s="1"/>
  <c r="D230" i="5"/>
  <c r="H230" i="5" s="1"/>
  <c r="K229" i="5"/>
  <c r="M229" i="5" s="1"/>
  <c r="J229" i="5"/>
  <c r="L229" i="5" s="1"/>
  <c r="D229" i="5"/>
  <c r="F229" i="5" s="1"/>
  <c r="K228" i="5"/>
  <c r="M228" i="5" s="1"/>
  <c r="J228" i="5"/>
  <c r="L228" i="5" s="1"/>
  <c r="D228" i="5"/>
  <c r="H228" i="5" s="1"/>
  <c r="K227" i="5"/>
  <c r="M227" i="5" s="1"/>
  <c r="J227" i="5"/>
  <c r="L227" i="5" s="1"/>
  <c r="D227" i="5"/>
  <c r="F227" i="5" s="1"/>
  <c r="K226" i="5"/>
  <c r="M226" i="5" s="1"/>
  <c r="J226" i="5"/>
  <c r="L226" i="5" s="1"/>
  <c r="D226" i="5"/>
  <c r="F226" i="5" s="1"/>
  <c r="K225" i="5"/>
  <c r="M225" i="5" s="1"/>
  <c r="J225" i="5"/>
  <c r="L225" i="5" s="1"/>
  <c r="D225" i="5"/>
  <c r="F225" i="5" s="1"/>
  <c r="K224" i="5"/>
  <c r="M224" i="5" s="1"/>
  <c r="J224" i="5"/>
  <c r="L224" i="5" s="1"/>
  <c r="D224" i="5"/>
  <c r="H224" i="5" s="1"/>
  <c r="K223" i="5"/>
  <c r="M223" i="5" s="1"/>
  <c r="J223" i="5"/>
  <c r="L223" i="5" s="1"/>
  <c r="D223" i="5"/>
  <c r="F223" i="5" s="1"/>
  <c r="K222" i="5"/>
  <c r="M222" i="5" s="1"/>
  <c r="J222" i="5"/>
  <c r="L222" i="5" s="1"/>
  <c r="G222" i="5"/>
  <c r="E222" i="5"/>
  <c r="D222" i="5"/>
  <c r="H222" i="5" s="1"/>
  <c r="K221" i="5"/>
  <c r="M221" i="5" s="1"/>
  <c r="J221" i="5"/>
  <c r="L221" i="5" s="1"/>
  <c r="D221" i="5"/>
  <c r="F221" i="5" s="1"/>
  <c r="K220" i="5"/>
  <c r="M220" i="5" s="1"/>
  <c r="J220" i="5"/>
  <c r="L220" i="5" s="1"/>
  <c r="D220" i="5"/>
  <c r="H220" i="5" s="1"/>
  <c r="L219" i="5"/>
  <c r="K219" i="5"/>
  <c r="M219" i="5" s="1"/>
  <c r="J219" i="5"/>
  <c r="D219" i="5"/>
  <c r="F219" i="5" s="1"/>
  <c r="K218" i="5"/>
  <c r="M218" i="5" s="1"/>
  <c r="J218" i="5"/>
  <c r="L218" i="5" s="1"/>
  <c r="D218" i="5"/>
  <c r="G218" i="5" s="1"/>
  <c r="K217" i="5"/>
  <c r="M217" i="5" s="1"/>
  <c r="J217" i="5"/>
  <c r="L217" i="5" s="1"/>
  <c r="D217" i="5"/>
  <c r="F217" i="5" s="1"/>
  <c r="K216" i="5"/>
  <c r="M216" i="5" s="1"/>
  <c r="J216" i="5"/>
  <c r="L216" i="5" s="1"/>
  <c r="D216" i="5"/>
  <c r="H216" i="5" s="1"/>
  <c r="K215" i="5"/>
  <c r="M215" i="5" s="1"/>
  <c r="J215" i="5"/>
  <c r="L215" i="5" s="1"/>
  <c r="D215" i="5"/>
  <c r="F215" i="5" s="1"/>
  <c r="K214" i="5"/>
  <c r="M214" i="5" s="1"/>
  <c r="J214" i="5"/>
  <c r="L214" i="5" s="1"/>
  <c r="D214" i="5"/>
  <c r="G214" i="5" s="1"/>
  <c r="K213" i="5"/>
  <c r="M213" i="5" s="1"/>
  <c r="J213" i="5"/>
  <c r="L213" i="5" s="1"/>
  <c r="D213" i="5"/>
  <c r="F213" i="5" s="1"/>
  <c r="K212" i="5"/>
  <c r="M212" i="5" s="1"/>
  <c r="J212" i="5"/>
  <c r="L212" i="5" s="1"/>
  <c r="D212" i="5"/>
  <c r="I212" i="5" s="1"/>
  <c r="K211" i="5"/>
  <c r="M211" i="5" s="1"/>
  <c r="J211" i="5"/>
  <c r="L211" i="5" s="1"/>
  <c r="I211" i="5"/>
  <c r="D211" i="5"/>
  <c r="F211" i="5" s="1"/>
  <c r="K210" i="5"/>
  <c r="M210" i="5" s="1"/>
  <c r="J210" i="5"/>
  <c r="L210" i="5" s="1"/>
  <c r="D210" i="5"/>
  <c r="E210" i="5" s="1"/>
  <c r="K209" i="5"/>
  <c r="M209" i="5" s="1"/>
  <c r="J209" i="5"/>
  <c r="L209" i="5" s="1"/>
  <c r="D209" i="5"/>
  <c r="F209" i="5" s="1"/>
  <c r="K208" i="5"/>
  <c r="M208" i="5" s="1"/>
  <c r="J208" i="5"/>
  <c r="L208" i="5" s="1"/>
  <c r="D208" i="5"/>
  <c r="K207" i="5"/>
  <c r="M207" i="5" s="1"/>
  <c r="J207" i="5"/>
  <c r="L207" i="5" s="1"/>
  <c r="D207" i="5"/>
  <c r="K206" i="5"/>
  <c r="M206" i="5" s="1"/>
  <c r="J206" i="5"/>
  <c r="L206" i="5" s="1"/>
  <c r="D206" i="5"/>
  <c r="H206" i="5" s="1"/>
  <c r="M205" i="5"/>
  <c r="K205" i="5"/>
  <c r="J205" i="5"/>
  <c r="L205" i="5" s="1"/>
  <c r="D205" i="5"/>
  <c r="K204" i="5"/>
  <c r="M204" i="5" s="1"/>
  <c r="J204" i="5"/>
  <c r="L204" i="5" s="1"/>
  <c r="D204" i="5"/>
  <c r="F204" i="5" s="1"/>
  <c r="K203" i="5"/>
  <c r="M203" i="5" s="1"/>
  <c r="J203" i="5"/>
  <c r="L203" i="5" s="1"/>
  <c r="D203" i="5"/>
  <c r="G203" i="5" s="1"/>
  <c r="K202" i="5"/>
  <c r="M202" i="5" s="1"/>
  <c r="J202" i="5"/>
  <c r="L202" i="5" s="1"/>
  <c r="D202" i="5"/>
  <c r="H202" i="5" s="1"/>
  <c r="K201" i="5"/>
  <c r="M201" i="5" s="1"/>
  <c r="J201" i="5"/>
  <c r="L201" i="5" s="1"/>
  <c r="D201" i="5"/>
  <c r="F201" i="5" s="1"/>
  <c r="K200" i="5"/>
  <c r="M200" i="5" s="1"/>
  <c r="J200" i="5"/>
  <c r="L200" i="5" s="1"/>
  <c r="D200" i="5"/>
  <c r="H200" i="5" s="1"/>
  <c r="K199" i="5"/>
  <c r="M199" i="5" s="1"/>
  <c r="J199" i="5"/>
  <c r="L199" i="5" s="1"/>
  <c r="D199" i="5"/>
  <c r="F199" i="5" s="1"/>
  <c r="K198" i="5"/>
  <c r="M198" i="5" s="1"/>
  <c r="J198" i="5"/>
  <c r="L198" i="5" s="1"/>
  <c r="H198" i="5"/>
  <c r="D198" i="5"/>
  <c r="I198" i="5" s="1"/>
  <c r="K197" i="5"/>
  <c r="M197" i="5" s="1"/>
  <c r="J197" i="5"/>
  <c r="L197" i="5" s="1"/>
  <c r="D197" i="5"/>
  <c r="F197" i="5" s="1"/>
  <c r="K196" i="5"/>
  <c r="M196" i="5" s="1"/>
  <c r="J196" i="5"/>
  <c r="L196" i="5" s="1"/>
  <c r="D196" i="5"/>
  <c r="H196" i="5" s="1"/>
  <c r="M195" i="5"/>
  <c r="K195" i="5"/>
  <c r="J195" i="5"/>
  <c r="L195" i="5" s="1"/>
  <c r="D195" i="5"/>
  <c r="F195" i="5" s="1"/>
  <c r="K194" i="5"/>
  <c r="M194" i="5" s="1"/>
  <c r="J194" i="5"/>
  <c r="L194" i="5" s="1"/>
  <c r="D194" i="5"/>
  <c r="I194" i="5" s="1"/>
  <c r="K193" i="5"/>
  <c r="M193" i="5" s="1"/>
  <c r="J193" i="5"/>
  <c r="L193" i="5" s="1"/>
  <c r="D193" i="5"/>
  <c r="G193" i="5" s="1"/>
  <c r="K192" i="5"/>
  <c r="M192" i="5" s="1"/>
  <c r="J192" i="5"/>
  <c r="L192" i="5" s="1"/>
  <c r="D192" i="5"/>
  <c r="K191" i="5"/>
  <c r="M191" i="5" s="1"/>
  <c r="J191" i="5"/>
  <c r="L191" i="5" s="1"/>
  <c r="D191" i="5"/>
  <c r="K190" i="5"/>
  <c r="M190" i="5" s="1"/>
  <c r="J190" i="5"/>
  <c r="L190" i="5" s="1"/>
  <c r="D190" i="5"/>
  <c r="K189" i="5"/>
  <c r="M189" i="5" s="1"/>
  <c r="J189" i="5"/>
  <c r="L189" i="5" s="1"/>
  <c r="D189" i="5"/>
  <c r="F189" i="5" s="1"/>
  <c r="K188" i="5"/>
  <c r="M188" i="5" s="1"/>
  <c r="J188" i="5"/>
  <c r="L188" i="5" s="1"/>
  <c r="G188" i="5"/>
  <c r="D188" i="5"/>
  <c r="I188" i="5" s="1"/>
  <c r="K187" i="5"/>
  <c r="M187" i="5" s="1"/>
  <c r="J187" i="5"/>
  <c r="L187" i="5" s="1"/>
  <c r="D187" i="5"/>
  <c r="F187" i="5" s="1"/>
  <c r="K186" i="5"/>
  <c r="M186" i="5" s="1"/>
  <c r="J186" i="5"/>
  <c r="L186" i="5" s="1"/>
  <c r="G186" i="5"/>
  <c r="E186" i="5"/>
  <c r="D186" i="5"/>
  <c r="I186" i="5" s="1"/>
  <c r="K185" i="5"/>
  <c r="M185" i="5" s="1"/>
  <c r="J185" i="5"/>
  <c r="L185" i="5" s="1"/>
  <c r="D185" i="5"/>
  <c r="F185" i="5" s="1"/>
  <c r="K184" i="5"/>
  <c r="M184" i="5" s="1"/>
  <c r="J184" i="5"/>
  <c r="L184" i="5" s="1"/>
  <c r="D184" i="5"/>
  <c r="M183" i="5"/>
  <c r="K183" i="5"/>
  <c r="J183" i="5"/>
  <c r="L183" i="5" s="1"/>
  <c r="D183" i="5"/>
  <c r="G183" i="5" s="1"/>
  <c r="K182" i="5"/>
  <c r="M182" i="5" s="1"/>
  <c r="J182" i="5"/>
  <c r="L182" i="5" s="1"/>
  <c r="F182" i="5"/>
  <c r="E182" i="5"/>
  <c r="D182" i="5"/>
  <c r="I182" i="5" s="1"/>
  <c r="K181" i="5"/>
  <c r="M181" i="5" s="1"/>
  <c r="J181" i="5"/>
  <c r="L181" i="5" s="1"/>
  <c r="D181" i="5"/>
  <c r="F181" i="5" s="1"/>
  <c r="K180" i="5"/>
  <c r="M180" i="5" s="1"/>
  <c r="J180" i="5"/>
  <c r="L180" i="5" s="1"/>
  <c r="D180" i="5"/>
  <c r="F180" i="5" s="1"/>
  <c r="K179" i="5"/>
  <c r="M179" i="5" s="1"/>
  <c r="J179" i="5"/>
  <c r="L179" i="5" s="1"/>
  <c r="D179" i="5"/>
  <c r="K178" i="5"/>
  <c r="M178" i="5" s="1"/>
  <c r="J178" i="5"/>
  <c r="L178" i="5" s="1"/>
  <c r="D178" i="5"/>
  <c r="E178" i="5" s="1"/>
  <c r="K177" i="5"/>
  <c r="M177" i="5" s="1"/>
  <c r="J177" i="5"/>
  <c r="L177" i="5" s="1"/>
  <c r="D177" i="5"/>
  <c r="K176" i="5"/>
  <c r="M176" i="5" s="1"/>
  <c r="J176" i="5"/>
  <c r="L176" i="5" s="1"/>
  <c r="E176" i="5"/>
  <c r="D176" i="5"/>
  <c r="H176" i="5" s="1"/>
  <c r="K175" i="5"/>
  <c r="M175" i="5" s="1"/>
  <c r="J175" i="5"/>
  <c r="L175" i="5" s="1"/>
  <c r="D175" i="5"/>
  <c r="K174" i="5"/>
  <c r="M174" i="5" s="1"/>
  <c r="J174" i="5"/>
  <c r="L174" i="5" s="1"/>
  <c r="D174" i="5"/>
  <c r="I174" i="5" s="1"/>
  <c r="K173" i="5"/>
  <c r="M173" i="5" s="1"/>
  <c r="J173" i="5"/>
  <c r="L173" i="5" s="1"/>
  <c r="H173" i="5"/>
  <c r="D173" i="5"/>
  <c r="F173" i="5" s="1"/>
  <c r="K172" i="5"/>
  <c r="M172" i="5" s="1"/>
  <c r="J172" i="5"/>
  <c r="L172" i="5" s="1"/>
  <c r="D172" i="5"/>
  <c r="H172" i="5" s="1"/>
  <c r="K171" i="5"/>
  <c r="M171" i="5" s="1"/>
  <c r="J171" i="5"/>
  <c r="L171" i="5" s="1"/>
  <c r="G171" i="5"/>
  <c r="D171" i="5"/>
  <c r="F171" i="5" s="1"/>
  <c r="K170" i="5"/>
  <c r="M170" i="5" s="1"/>
  <c r="J170" i="5"/>
  <c r="L170" i="5" s="1"/>
  <c r="D170" i="5"/>
  <c r="F170" i="5" s="1"/>
  <c r="K169" i="5"/>
  <c r="M169" i="5" s="1"/>
  <c r="J169" i="5"/>
  <c r="L169" i="5" s="1"/>
  <c r="D169" i="5"/>
  <c r="K168" i="5"/>
  <c r="M168" i="5" s="1"/>
  <c r="J168" i="5"/>
  <c r="L168" i="5" s="1"/>
  <c r="G168" i="5"/>
  <c r="D168" i="5"/>
  <c r="H168" i="5" s="1"/>
  <c r="K167" i="5"/>
  <c r="M167" i="5" s="1"/>
  <c r="J167" i="5"/>
  <c r="L167" i="5" s="1"/>
  <c r="D167" i="5"/>
  <c r="K166" i="5"/>
  <c r="M166" i="5" s="1"/>
  <c r="J166" i="5"/>
  <c r="L166" i="5" s="1"/>
  <c r="D166" i="5"/>
  <c r="I166" i="5" s="1"/>
  <c r="K165" i="5"/>
  <c r="M165" i="5" s="1"/>
  <c r="J165" i="5"/>
  <c r="L165" i="5" s="1"/>
  <c r="D165" i="5"/>
  <c r="K164" i="5"/>
  <c r="M164" i="5" s="1"/>
  <c r="J164" i="5"/>
  <c r="L164" i="5" s="1"/>
  <c r="D164" i="5"/>
  <c r="I164" i="5" s="1"/>
  <c r="K163" i="5"/>
  <c r="M163" i="5" s="1"/>
  <c r="J163" i="5"/>
  <c r="L163" i="5" s="1"/>
  <c r="D163" i="5"/>
  <c r="K162" i="5"/>
  <c r="M162" i="5" s="1"/>
  <c r="J162" i="5"/>
  <c r="L162" i="5" s="1"/>
  <c r="D162" i="5"/>
  <c r="H162" i="5" s="1"/>
  <c r="K161" i="5"/>
  <c r="M161" i="5" s="1"/>
  <c r="J161" i="5"/>
  <c r="L161" i="5" s="1"/>
  <c r="D161" i="5"/>
  <c r="K160" i="5"/>
  <c r="M160" i="5" s="1"/>
  <c r="J160" i="5"/>
  <c r="L160" i="5" s="1"/>
  <c r="D160" i="5"/>
  <c r="H160" i="5" s="1"/>
  <c r="L159" i="5"/>
  <c r="K159" i="5"/>
  <c r="M159" i="5" s="1"/>
  <c r="J159" i="5"/>
  <c r="D159" i="5"/>
  <c r="F159" i="5" s="1"/>
  <c r="K158" i="5"/>
  <c r="M158" i="5" s="1"/>
  <c r="J158" i="5"/>
  <c r="L158" i="5" s="1"/>
  <c r="D158" i="5"/>
  <c r="I158" i="5" s="1"/>
  <c r="K157" i="5"/>
  <c r="M157" i="5" s="1"/>
  <c r="J157" i="5"/>
  <c r="L157" i="5" s="1"/>
  <c r="D157" i="5"/>
  <c r="H157" i="5" s="1"/>
  <c r="K156" i="5"/>
  <c r="M156" i="5" s="1"/>
  <c r="J156" i="5"/>
  <c r="L156" i="5" s="1"/>
  <c r="D156" i="5"/>
  <c r="F156" i="5" s="1"/>
  <c r="K155" i="5"/>
  <c r="M155" i="5" s="1"/>
  <c r="J155" i="5"/>
  <c r="L155" i="5" s="1"/>
  <c r="D155" i="5"/>
  <c r="K154" i="5"/>
  <c r="M154" i="5" s="1"/>
  <c r="J154" i="5"/>
  <c r="L154" i="5" s="1"/>
  <c r="D154" i="5"/>
  <c r="E154" i="5" s="1"/>
  <c r="K153" i="5"/>
  <c r="M153" i="5" s="1"/>
  <c r="J153" i="5"/>
  <c r="L153" i="5" s="1"/>
  <c r="H153" i="5"/>
  <c r="D153" i="5"/>
  <c r="K152" i="5"/>
  <c r="M152" i="5" s="1"/>
  <c r="J152" i="5"/>
  <c r="L152" i="5" s="1"/>
  <c r="D152" i="5"/>
  <c r="K151" i="5"/>
  <c r="M151" i="5" s="1"/>
  <c r="J151" i="5"/>
  <c r="L151" i="5" s="1"/>
  <c r="D151" i="5"/>
  <c r="F151" i="5" s="1"/>
  <c r="K150" i="5"/>
  <c r="M150" i="5" s="1"/>
  <c r="J150" i="5"/>
  <c r="L150" i="5" s="1"/>
  <c r="D150" i="5"/>
  <c r="I150" i="5" s="1"/>
  <c r="K149" i="5"/>
  <c r="M149" i="5" s="1"/>
  <c r="J149" i="5"/>
  <c r="L149" i="5" s="1"/>
  <c r="D149" i="5"/>
  <c r="F149" i="5" s="1"/>
  <c r="K148" i="5"/>
  <c r="M148" i="5" s="1"/>
  <c r="J148" i="5"/>
  <c r="L148" i="5" s="1"/>
  <c r="D148" i="5"/>
  <c r="H148" i="5" s="1"/>
  <c r="K147" i="5"/>
  <c r="M147" i="5" s="1"/>
  <c r="J147" i="5"/>
  <c r="L147" i="5" s="1"/>
  <c r="D147" i="5"/>
  <c r="F147" i="5" s="1"/>
  <c r="K146" i="5"/>
  <c r="M146" i="5" s="1"/>
  <c r="J146" i="5"/>
  <c r="L146" i="5" s="1"/>
  <c r="D146" i="5"/>
  <c r="F146" i="5" s="1"/>
  <c r="K145" i="5"/>
  <c r="M145" i="5" s="1"/>
  <c r="J145" i="5"/>
  <c r="L145" i="5" s="1"/>
  <c r="D145" i="5"/>
  <c r="K144" i="5"/>
  <c r="M144" i="5" s="1"/>
  <c r="J144" i="5"/>
  <c r="L144" i="5" s="1"/>
  <c r="E144" i="5"/>
  <c r="D144" i="5"/>
  <c r="H144" i="5" s="1"/>
  <c r="K143" i="5"/>
  <c r="M143" i="5" s="1"/>
  <c r="J143" i="5"/>
  <c r="L143" i="5" s="1"/>
  <c r="G143" i="5"/>
  <c r="D143" i="5"/>
  <c r="F143" i="5" s="1"/>
  <c r="K142" i="5"/>
  <c r="M142" i="5" s="1"/>
  <c r="J142" i="5"/>
  <c r="L142" i="5" s="1"/>
  <c r="G142" i="5"/>
  <c r="D142" i="5"/>
  <c r="E142" i="5" s="1"/>
  <c r="K141" i="5"/>
  <c r="M141" i="5" s="1"/>
  <c r="J141" i="5"/>
  <c r="L141" i="5" s="1"/>
  <c r="D141" i="5"/>
  <c r="K140" i="5"/>
  <c r="M140" i="5" s="1"/>
  <c r="J140" i="5"/>
  <c r="L140" i="5" s="1"/>
  <c r="D140" i="5"/>
  <c r="I140" i="5" s="1"/>
  <c r="K139" i="5"/>
  <c r="M139" i="5" s="1"/>
  <c r="J139" i="5"/>
  <c r="L139" i="5" s="1"/>
  <c r="D139" i="5"/>
  <c r="H139" i="5" s="1"/>
  <c r="K138" i="5"/>
  <c r="M138" i="5" s="1"/>
  <c r="J138" i="5"/>
  <c r="L138" i="5" s="1"/>
  <c r="I138" i="5"/>
  <c r="E138" i="5"/>
  <c r="D138" i="5"/>
  <c r="F138" i="5" s="1"/>
  <c r="K137" i="5"/>
  <c r="M137" i="5" s="1"/>
  <c r="J137" i="5"/>
  <c r="L137" i="5" s="1"/>
  <c r="D137" i="5"/>
  <c r="F137" i="5" s="1"/>
  <c r="K136" i="5"/>
  <c r="M136" i="5" s="1"/>
  <c r="J136" i="5"/>
  <c r="L136" i="5" s="1"/>
  <c r="D136" i="5"/>
  <c r="H136" i="5" s="1"/>
  <c r="K135" i="5"/>
  <c r="M135" i="5" s="1"/>
  <c r="J135" i="5"/>
  <c r="L135" i="5" s="1"/>
  <c r="D135" i="5"/>
  <c r="K134" i="5"/>
  <c r="M134" i="5" s="1"/>
  <c r="J134" i="5"/>
  <c r="L134" i="5" s="1"/>
  <c r="E134" i="5"/>
  <c r="D134" i="5"/>
  <c r="I134" i="5" s="1"/>
  <c r="K133" i="5"/>
  <c r="M133" i="5" s="1"/>
  <c r="J133" i="5"/>
  <c r="L133" i="5" s="1"/>
  <c r="D133" i="5"/>
  <c r="K132" i="5"/>
  <c r="M132" i="5" s="1"/>
  <c r="J132" i="5"/>
  <c r="L132" i="5" s="1"/>
  <c r="I132" i="5"/>
  <c r="D132" i="5"/>
  <c r="H132" i="5" s="1"/>
  <c r="K131" i="5"/>
  <c r="M131" i="5" s="1"/>
  <c r="J131" i="5"/>
  <c r="L131" i="5" s="1"/>
  <c r="D131" i="5"/>
  <c r="H131" i="5" s="1"/>
  <c r="K130" i="5"/>
  <c r="M130" i="5" s="1"/>
  <c r="J130" i="5"/>
  <c r="L130" i="5" s="1"/>
  <c r="D130" i="5"/>
  <c r="I130" i="5" s="1"/>
  <c r="K129" i="5"/>
  <c r="M129" i="5" s="1"/>
  <c r="J129" i="5"/>
  <c r="L129" i="5" s="1"/>
  <c r="D129" i="5"/>
  <c r="I129" i="5" s="1"/>
  <c r="K128" i="5"/>
  <c r="M128" i="5" s="1"/>
  <c r="J128" i="5"/>
  <c r="L128" i="5" s="1"/>
  <c r="D128" i="5"/>
  <c r="K127" i="5"/>
  <c r="M127" i="5" s="1"/>
  <c r="J127" i="5"/>
  <c r="L127" i="5" s="1"/>
  <c r="D127" i="5"/>
  <c r="K126" i="5"/>
  <c r="M126" i="5" s="1"/>
  <c r="J126" i="5"/>
  <c r="L126" i="5" s="1"/>
  <c r="D126" i="5"/>
  <c r="I126" i="5" s="1"/>
  <c r="K125" i="5"/>
  <c r="M125" i="5" s="1"/>
  <c r="J125" i="5"/>
  <c r="L125" i="5" s="1"/>
  <c r="D125" i="5"/>
  <c r="K124" i="5"/>
  <c r="M124" i="5" s="1"/>
  <c r="J124" i="5"/>
  <c r="L124" i="5" s="1"/>
  <c r="D124" i="5"/>
  <c r="K123" i="5"/>
  <c r="M123" i="5" s="1"/>
  <c r="J123" i="5"/>
  <c r="L123" i="5" s="1"/>
  <c r="D123" i="5"/>
  <c r="E123" i="5" s="1"/>
  <c r="K122" i="5"/>
  <c r="M122" i="5" s="1"/>
  <c r="J122" i="5"/>
  <c r="L122" i="5" s="1"/>
  <c r="F122" i="5"/>
  <c r="E122" i="5"/>
  <c r="D122" i="5"/>
  <c r="I122" i="5" s="1"/>
  <c r="K121" i="5"/>
  <c r="M121" i="5" s="1"/>
  <c r="J121" i="5"/>
  <c r="L121" i="5" s="1"/>
  <c r="D121" i="5"/>
  <c r="F121" i="5" s="1"/>
  <c r="K120" i="5"/>
  <c r="M120" i="5" s="1"/>
  <c r="J120" i="5"/>
  <c r="L120" i="5" s="1"/>
  <c r="D120" i="5"/>
  <c r="G120" i="5" s="1"/>
  <c r="K119" i="5"/>
  <c r="M119" i="5" s="1"/>
  <c r="J119" i="5"/>
  <c r="L119" i="5" s="1"/>
  <c r="D119" i="5"/>
  <c r="F119" i="5" s="1"/>
  <c r="K118" i="5"/>
  <c r="M118" i="5" s="1"/>
  <c r="J118" i="5"/>
  <c r="L118" i="5" s="1"/>
  <c r="D118" i="5"/>
  <c r="G118" i="5" s="1"/>
  <c r="K117" i="5"/>
  <c r="M117" i="5" s="1"/>
  <c r="J117" i="5"/>
  <c r="L117" i="5" s="1"/>
  <c r="D117" i="5"/>
  <c r="F117" i="5" s="1"/>
  <c r="K116" i="5"/>
  <c r="M116" i="5" s="1"/>
  <c r="J116" i="5"/>
  <c r="L116" i="5" s="1"/>
  <c r="D116" i="5"/>
  <c r="H116" i="5" s="1"/>
  <c r="K115" i="5"/>
  <c r="M115" i="5" s="1"/>
  <c r="J115" i="5"/>
  <c r="L115" i="5" s="1"/>
  <c r="D115" i="5"/>
  <c r="I115" i="5" s="1"/>
  <c r="K114" i="5"/>
  <c r="M114" i="5" s="1"/>
  <c r="J114" i="5"/>
  <c r="L114" i="5" s="1"/>
  <c r="D114" i="5"/>
  <c r="I114" i="5" s="1"/>
  <c r="K113" i="5"/>
  <c r="M113" i="5" s="1"/>
  <c r="J113" i="5"/>
  <c r="L113" i="5" s="1"/>
  <c r="D113" i="5"/>
  <c r="K112" i="5"/>
  <c r="M112" i="5" s="1"/>
  <c r="J112" i="5"/>
  <c r="L112" i="5" s="1"/>
  <c r="D112" i="5"/>
  <c r="K111" i="5"/>
  <c r="M111" i="5" s="1"/>
  <c r="J111" i="5"/>
  <c r="L111" i="5" s="1"/>
  <c r="D111" i="5"/>
  <c r="I111" i="5" s="1"/>
  <c r="K110" i="5"/>
  <c r="M110" i="5" s="1"/>
  <c r="J110" i="5"/>
  <c r="L110" i="5" s="1"/>
  <c r="D110" i="5"/>
  <c r="I110" i="5" s="1"/>
  <c r="K109" i="5"/>
  <c r="M109" i="5" s="1"/>
  <c r="J109" i="5"/>
  <c r="L109" i="5" s="1"/>
  <c r="D109" i="5"/>
  <c r="K108" i="5"/>
  <c r="M108" i="5" s="1"/>
  <c r="J108" i="5"/>
  <c r="L108" i="5" s="1"/>
  <c r="D108" i="5"/>
  <c r="K107" i="5"/>
  <c r="M107" i="5" s="1"/>
  <c r="J107" i="5"/>
  <c r="L107" i="5" s="1"/>
  <c r="D107" i="5"/>
  <c r="G107" i="5" s="1"/>
  <c r="K106" i="5"/>
  <c r="M106" i="5" s="1"/>
  <c r="J106" i="5"/>
  <c r="L106" i="5" s="1"/>
  <c r="G106" i="5"/>
  <c r="D106" i="5"/>
  <c r="F106" i="5" s="1"/>
  <c r="K105" i="5"/>
  <c r="M105" i="5" s="1"/>
  <c r="J105" i="5"/>
  <c r="L105" i="5" s="1"/>
  <c r="D105" i="5"/>
  <c r="F105" i="5" s="1"/>
  <c r="K104" i="5"/>
  <c r="M104" i="5" s="1"/>
  <c r="J104" i="5"/>
  <c r="L104" i="5" s="1"/>
  <c r="D104" i="5"/>
  <c r="H104" i="5" s="1"/>
  <c r="K103" i="5"/>
  <c r="M103" i="5" s="1"/>
  <c r="J103" i="5"/>
  <c r="L103" i="5" s="1"/>
  <c r="D103" i="5"/>
  <c r="H103" i="5" s="1"/>
  <c r="K102" i="5"/>
  <c r="M102" i="5" s="1"/>
  <c r="J102" i="5"/>
  <c r="L102" i="5" s="1"/>
  <c r="D102" i="5"/>
  <c r="H102" i="5" s="1"/>
  <c r="K101" i="5"/>
  <c r="M101" i="5" s="1"/>
  <c r="J101" i="5"/>
  <c r="L101" i="5" s="1"/>
  <c r="D101" i="5"/>
  <c r="I101" i="5" s="1"/>
  <c r="K100" i="5"/>
  <c r="M100" i="5" s="1"/>
  <c r="J100" i="5"/>
  <c r="L100" i="5" s="1"/>
  <c r="D100" i="5"/>
  <c r="F100" i="5" s="1"/>
  <c r="K99" i="5"/>
  <c r="M99" i="5" s="1"/>
  <c r="J99" i="5"/>
  <c r="L99" i="5" s="1"/>
  <c r="D99" i="5"/>
  <c r="I99" i="5" s="1"/>
  <c r="K98" i="5"/>
  <c r="M98" i="5" s="1"/>
  <c r="J98" i="5"/>
  <c r="L98" i="5" s="1"/>
  <c r="D98" i="5"/>
  <c r="K97" i="5"/>
  <c r="M97" i="5" s="1"/>
  <c r="J97" i="5"/>
  <c r="L97" i="5" s="1"/>
  <c r="D97" i="5"/>
  <c r="F97" i="5" s="1"/>
  <c r="K96" i="5"/>
  <c r="M96" i="5" s="1"/>
  <c r="J96" i="5"/>
  <c r="L96" i="5" s="1"/>
  <c r="D96" i="5"/>
  <c r="K95" i="5"/>
  <c r="M95" i="5" s="1"/>
  <c r="J95" i="5"/>
  <c r="L95" i="5" s="1"/>
  <c r="D95" i="5"/>
  <c r="H95" i="5" s="1"/>
  <c r="K94" i="5"/>
  <c r="M94" i="5" s="1"/>
  <c r="J94" i="5"/>
  <c r="L94" i="5" s="1"/>
  <c r="I94" i="5"/>
  <c r="F94" i="5"/>
  <c r="D94" i="5"/>
  <c r="H94" i="5" s="1"/>
  <c r="K93" i="5"/>
  <c r="M93" i="5" s="1"/>
  <c r="J93" i="5"/>
  <c r="L93" i="5" s="1"/>
  <c r="D93" i="5"/>
  <c r="H93" i="5" s="1"/>
  <c r="K92" i="5"/>
  <c r="M92" i="5" s="1"/>
  <c r="J92" i="5"/>
  <c r="L92" i="5" s="1"/>
  <c r="D92" i="5"/>
  <c r="F92" i="5" s="1"/>
  <c r="K91" i="5"/>
  <c r="M91" i="5" s="1"/>
  <c r="J91" i="5"/>
  <c r="L91" i="5" s="1"/>
  <c r="D91" i="5"/>
  <c r="H91" i="5" s="1"/>
  <c r="K90" i="5"/>
  <c r="M90" i="5" s="1"/>
  <c r="J90" i="5"/>
  <c r="L90" i="5" s="1"/>
  <c r="D90" i="5"/>
  <c r="I90" i="5" s="1"/>
  <c r="K89" i="5"/>
  <c r="M89" i="5" s="1"/>
  <c r="J89" i="5"/>
  <c r="L89" i="5" s="1"/>
  <c r="D89" i="5"/>
  <c r="F89" i="5" s="1"/>
  <c r="K88" i="5"/>
  <c r="M88" i="5" s="1"/>
  <c r="J88" i="5"/>
  <c r="L88" i="5" s="1"/>
  <c r="D88" i="5"/>
  <c r="F88" i="5" s="1"/>
  <c r="K87" i="5"/>
  <c r="M87" i="5" s="1"/>
  <c r="J87" i="5"/>
  <c r="L87" i="5" s="1"/>
  <c r="D87" i="5"/>
  <c r="H87" i="5" s="1"/>
  <c r="K86" i="5"/>
  <c r="M86" i="5" s="1"/>
  <c r="J86" i="5"/>
  <c r="L86" i="5" s="1"/>
  <c r="D86" i="5"/>
  <c r="K85" i="5"/>
  <c r="M85" i="5" s="1"/>
  <c r="J85" i="5"/>
  <c r="L85" i="5" s="1"/>
  <c r="D85" i="5"/>
  <c r="G85" i="5" s="1"/>
  <c r="K84" i="5"/>
  <c r="M84" i="5" s="1"/>
  <c r="J84" i="5"/>
  <c r="L84" i="5" s="1"/>
  <c r="D84" i="5"/>
  <c r="H84" i="5" s="1"/>
  <c r="K83" i="5"/>
  <c r="M83" i="5" s="1"/>
  <c r="J83" i="5"/>
  <c r="L83" i="5" s="1"/>
  <c r="D83" i="5"/>
  <c r="I83" i="5" s="1"/>
  <c r="K82" i="5"/>
  <c r="M82" i="5" s="1"/>
  <c r="J82" i="5"/>
  <c r="L82" i="5" s="1"/>
  <c r="D82" i="5"/>
  <c r="G82" i="5" s="1"/>
  <c r="K81" i="5"/>
  <c r="M81" i="5" s="1"/>
  <c r="J81" i="5"/>
  <c r="L81" i="5" s="1"/>
  <c r="D81" i="5"/>
  <c r="G81" i="5" s="1"/>
  <c r="K80" i="5"/>
  <c r="M80" i="5" s="1"/>
  <c r="J80" i="5"/>
  <c r="L80" i="5" s="1"/>
  <c r="D80" i="5"/>
  <c r="H80" i="5" s="1"/>
  <c r="K79" i="5"/>
  <c r="M79" i="5" s="1"/>
  <c r="J79" i="5"/>
  <c r="L79" i="5" s="1"/>
  <c r="D79" i="5"/>
  <c r="I79" i="5" s="1"/>
  <c r="K78" i="5"/>
  <c r="M78" i="5" s="1"/>
  <c r="J78" i="5"/>
  <c r="L78" i="5" s="1"/>
  <c r="F78" i="5"/>
  <c r="D78" i="5"/>
  <c r="H78" i="5" s="1"/>
  <c r="K77" i="5"/>
  <c r="M77" i="5" s="1"/>
  <c r="J77" i="5"/>
  <c r="L77" i="5" s="1"/>
  <c r="D77" i="5"/>
  <c r="K76" i="5"/>
  <c r="M76" i="5" s="1"/>
  <c r="J76" i="5"/>
  <c r="L76" i="5" s="1"/>
  <c r="E76" i="5"/>
  <c r="D76" i="5"/>
  <c r="H76" i="5" s="1"/>
  <c r="K75" i="5"/>
  <c r="M75" i="5" s="1"/>
  <c r="J75" i="5"/>
  <c r="L75" i="5" s="1"/>
  <c r="D75" i="5"/>
  <c r="I75" i="5" s="1"/>
  <c r="K74" i="5"/>
  <c r="M74" i="5" s="1"/>
  <c r="J74" i="5"/>
  <c r="L74" i="5" s="1"/>
  <c r="D74" i="5"/>
  <c r="I74" i="5" s="1"/>
  <c r="L73" i="5"/>
  <c r="K73" i="5"/>
  <c r="M73" i="5" s="1"/>
  <c r="J73" i="5"/>
  <c r="D73" i="5"/>
  <c r="G73" i="5" s="1"/>
  <c r="K72" i="5"/>
  <c r="M72" i="5" s="1"/>
  <c r="J72" i="5"/>
  <c r="L72" i="5" s="1"/>
  <c r="D72" i="5"/>
  <c r="K71" i="5"/>
  <c r="M71" i="5" s="1"/>
  <c r="J71" i="5"/>
  <c r="L71" i="5" s="1"/>
  <c r="D71" i="5"/>
  <c r="I71" i="5" s="1"/>
  <c r="K70" i="5"/>
  <c r="M70" i="5" s="1"/>
  <c r="J70" i="5"/>
  <c r="L70" i="5" s="1"/>
  <c r="D70" i="5"/>
  <c r="I70" i="5" s="1"/>
  <c r="K69" i="5"/>
  <c r="M69" i="5" s="1"/>
  <c r="J69" i="5"/>
  <c r="L69" i="5" s="1"/>
  <c r="D69" i="5"/>
  <c r="G69" i="5" s="1"/>
  <c r="K68" i="5"/>
  <c r="M68" i="5" s="1"/>
  <c r="J68" i="5"/>
  <c r="L68" i="5" s="1"/>
  <c r="D68" i="5"/>
  <c r="K67" i="5"/>
  <c r="M67" i="5" s="1"/>
  <c r="J67" i="5"/>
  <c r="L67" i="5" s="1"/>
  <c r="D67" i="5"/>
  <c r="I67" i="5" s="1"/>
  <c r="K66" i="5"/>
  <c r="M66" i="5" s="1"/>
  <c r="J66" i="5"/>
  <c r="L66" i="5" s="1"/>
  <c r="D66" i="5"/>
  <c r="I66" i="5" s="1"/>
  <c r="K65" i="5"/>
  <c r="M65" i="5" s="1"/>
  <c r="J65" i="5"/>
  <c r="L65" i="5" s="1"/>
  <c r="D65" i="5"/>
  <c r="G65" i="5" s="1"/>
  <c r="K64" i="5"/>
  <c r="M64" i="5" s="1"/>
  <c r="J64" i="5"/>
  <c r="L64" i="5" s="1"/>
  <c r="D64" i="5"/>
  <c r="F64" i="5" s="1"/>
  <c r="K63" i="5"/>
  <c r="M63" i="5" s="1"/>
  <c r="J63" i="5"/>
  <c r="L63" i="5" s="1"/>
  <c r="D63" i="5"/>
  <c r="I63" i="5" s="1"/>
  <c r="K62" i="5"/>
  <c r="M62" i="5" s="1"/>
  <c r="J62" i="5"/>
  <c r="L62" i="5" s="1"/>
  <c r="D62" i="5"/>
  <c r="F62" i="5" s="1"/>
  <c r="K61" i="5"/>
  <c r="M61" i="5" s="1"/>
  <c r="J61" i="5"/>
  <c r="L61" i="5" s="1"/>
  <c r="D61" i="5"/>
  <c r="G61" i="5" s="1"/>
  <c r="K60" i="5"/>
  <c r="M60" i="5" s="1"/>
  <c r="J60" i="5"/>
  <c r="L60" i="5" s="1"/>
  <c r="F60" i="5"/>
  <c r="D60" i="5"/>
  <c r="H60" i="5" s="1"/>
  <c r="K59" i="5"/>
  <c r="M59" i="5" s="1"/>
  <c r="J59" i="5"/>
  <c r="L59" i="5" s="1"/>
  <c r="D59" i="5"/>
  <c r="H59" i="5" s="1"/>
  <c r="K58" i="5"/>
  <c r="M58" i="5" s="1"/>
  <c r="J58" i="5"/>
  <c r="L58" i="5" s="1"/>
  <c r="H58" i="5"/>
  <c r="D58" i="5"/>
  <c r="I58" i="5" s="1"/>
  <c r="K57" i="5"/>
  <c r="M57" i="5" s="1"/>
  <c r="J57" i="5"/>
  <c r="L57" i="5" s="1"/>
  <c r="D57" i="5"/>
  <c r="G57" i="5" s="1"/>
  <c r="K56" i="5"/>
  <c r="M56" i="5" s="1"/>
  <c r="J56" i="5"/>
  <c r="L56" i="5" s="1"/>
  <c r="D56" i="5"/>
  <c r="H56" i="5" s="1"/>
  <c r="K55" i="5"/>
  <c r="M55" i="5" s="1"/>
  <c r="J55" i="5"/>
  <c r="L55" i="5" s="1"/>
  <c r="D55" i="5"/>
  <c r="H55" i="5" s="1"/>
  <c r="K54" i="5"/>
  <c r="M54" i="5" s="1"/>
  <c r="J54" i="5"/>
  <c r="L54" i="5" s="1"/>
  <c r="D54" i="5"/>
  <c r="I54" i="5" s="1"/>
  <c r="K53" i="5"/>
  <c r="M53" i="5" s="1"/>
  <c r="J53" i="5"/>
  <c r="L53" i="5" s="1"/>
  <c r="D53" i="5"/>
  <c r="G53" i="5" s="1"/>
  <c r="K52" i="5"/>
  <c r="M52" i="5" s="1"/>
  <c r="J52" i="5"/>
  <c r="L52" i="5" s="1"/>
  <c r="D52" i="5"/>
  <c r="H52" i="5" s="1"/>
  <c r="K51" i="5"/>
  <c r="M51" i="5" s="1"/>
  <c r="J51" i="5"/>
  <c r="L51" i="5" s="1"/>
  <c r="D51" i="5"/>
  <c r="H51" i="5" s="1"/>
  <c r="K50" i="5"/>
  <c r="M50" i="5" s="1"/>
  <c r="J50" i="5"/>
  <c r="L50" i="5" s="1"/>
  <c r="D50" i="5"/>
  <c r="I50" i="5" s="1"/>
  <c r="K49" i="5"/>
  <c r="M49" i="5" s="1"/>
  <c r="J49" i="5"/>
  <c r="L49" i="5" s="1"/>
  <c r="D49" i="5"/>
  <c r="F49" i="5" s="1"/>
  <c r="K48" i="5"/>
  <c r="M48" i="5" s="1"/>
  <c r="J48" i="5"/>
  <c r="L48" i="5" s="1"/>
  <c r="D48" i="5"/>
  <c r="H48" i="5" s="1"/>
  <c r="K47" i="5"/>
  <c r="M47" i="5" s="1"/>
  <c r="J47" i="5"/>
  <c r="L47" i="5" s="1"/>
  <c r="D47" i="5"/>
  <c r="H47" i="5" s="1"/>
  <c r="K46" i="5"/>
  <c r="M46" i="5" s="1"/>
  <c r="J46" i="5"/>
  <c r="L46" i="5" s="1"/>
  <c r="D46" i="5"/>
  <c r="F46" i="5" s="1"/>
  <c r="K45" i="5"/>
  <c r="M45" i="5" s="1"/>
  <c r="J45" i="5"/>
  <c r="L45" i="5" s="1"/>
  <c r="G45" i="5"/>
  <c r="D45" i="5"/>
  <c r="F45" i="5" s="1"/>
  <c r="K44" i="5"/>
  <c r="M44" i="5" s="1"/>
  <c r="J44" i="5"/>
  <c r="L44" i="5" s="1"/>
  <c r="D44" i="5"/>
  <c r="H44" i="5" s="1"/>
  <c r="K43" i="5"/>
  <c r="M43" i="5" s="1"/>
  <c r="J43" i="5"/>
  <c r="L43" i="5" s="1"/>
  <c r="D43" i="5"/>
  <c r="H43" i="5" s="1"/>
  <c r="K42" i="5"/>
  <c r="M42" i="5" s="1"/>
  <c r="J42" i="5"/>
  <c r="L42" i="5" s="1"/>
  <c r="D42" i="5"/>
  <c r="E42" i="5" s="1"/>
  <c r="K41" i="5"/>
  <c r="M41" i="5" s="1"/>
  <c r="J41" i="5"/>
  <c r="L41" i="5" s="1"/>
  <c r="D41" i="5"/>
  <c r="F41" i="5" s="1"/>
  <c r="K40" i="5"/>
  <c r="M40" i="5" s="1"/>
  <c r="J40" i="5"/>
  <c r="L40" i="5" s="1"/>
  <c r="D40" i="5"/>
  <c r="H40" i="5" s="1"/>
  <c r="K39" i="5"/>
  <c r="M39" i="5" s="1"/>
  <c r="J39" i="5"/>
  <c r="L39" i="5" s="1"/>
  <c r="D39" i="5"/>
  <c r="H39" i="5" s="1"/>
  <c r="K38" i="5"/>
  <c r="M38" i="5" s="1"/>
  <c r="J38" i="5"/>
  <c r="L38" i="5" s="1"/>
  <c r="D38" i="5"/>
  <c r="I38" i="5" s="1"/>
  <c r="K37" i="5"/>
  <c r="M37" i="5" s="1"/>
  <c r="J37" i="5"/>
  <c r="L37" i="5" s="1"/>
  <c r="D37" i="5"/>
  <c r="F37" i="5" s="1"/>
  <c r="K36" i="5"/>
  <c r="M36" i="5" s="1"/>
  <c r="J36" i="5"/>
  <c r="L36" i="5" s="1"/>
  <c r="F36" i="5"/>
  <c r="D36" i="5"/>
  <c r="H36" i="5" s="1"/>
  <c r="K35" i="5"/>
  <c r="M35" i="5" s="1"/>
  <c r="J35" i="5"/>
  <c r="L35" i="5" s="1"/>
  <c r="D35" i="5"/>
  <c r="I35" i="5" s="1"/>
  <c r="K34" i="5"/>
  <c r="M34" i="5" s="1"/>
  <c r="J34" i="5"/>
  <c r="L34" i="5" s="1"/>
  <c r="D34" i="5"/>
  <c r="I34" i="5" s="1"/>
  <c r="K33" i="5"/>
  <c r="M33" i="5" s="1"/>
  <c r="J33" i="5"/>
  <c r="L33" i="5" s="1"/>
  <c r="D33" i="5"/>
  <c r="F33" i="5" s="1"/>
  <c r="K32" i="5"/>
  <c r="M32" i="5" s="1"/>
  <c r="J32" i="5"/>
  <c r="L32" i="5" s="1"/>
  <c r="D32" i="5"/>
  <c r="H32" i="5" s="1"/>
  <c r="K31" i="5"/>
  <c r="M31" i="5" s="1"/>
  <c r="J31" i="5"/>
  <c r="L31" i="5" s="1"/>
  <c r="D31" i="5"/>
  <c r="G31" i="5" s="1"/>
  <c r="K30" i="5"/>
  <c r="M30" i="5" s="1"/>
  <c r="J30" i="5"/>
  <c r="L30" i="5" s="1"/>
  <c r="D30" i="5"/>
  <c r="F30" i="5" s="1"/>
  <c r="K29" i="5"/>
  <c r="M29" i="5" s="1"/>
  <c r="J29" i="5"/>
  <c r="L29" i="5" s="1"/>
  <c r="D29" i="5"/>
  <c r="F29" i="5" s="1"/>
  <c r="K28" i="5"/>
  <c r="M28" i="5" s="1"/>
  <c r="J28" i="5"/>
  <c r="L28" i="5" s="1"/>
  <c r="D28" i="5"/>
  <c r="H28" i="5" s="1"/>
  <c r="K27" i="5"/>
  <c r="M27" i="5" s="1"/>
  <c r="J27" i="5"/>
  <c r="L27" i="5" s="1"/>
  <c r="D27" i="5"/>
  <c r="G27" i="5" s="1"/>
  <c r="K26" i="5"/>
  <c r="M26" i="5" s="1"/>
  <c r="J26" i="5"/>
  <c r="L26" i="5" s="1"/>
  <c r="D26" i="5"/>
  <c r="E26" i="5" s="1"/>
  <c r="K25" i="5"/>
  <c r="M25" i="5" s="1"/>
  <c r="J25" i="5"/>
  <c r="L25" i="5" s="1"/>
  <c r="D25" i="5"/>
  <c r="F25" i="5" s="1"/>
  <c r="K24" i="5"/>
  <c r="M24" i="5" s="1"/>
  <c r="J24" i="5"/>
  <c r="L24" i="5" s="1"/>
  <c r="D24" i="5"/>
  <c r="H24" i="5" s="1"/>
  <c r="K23" i="5"/>
  <c r="M23" i="5" s="1"/>
  <c r="J23" i="5"/>
  <c r="L23" i="5" s="1"/>
  <c r="D23" i="5"/>
  <c r="I23" i="5" s="1"/>
  <c r="K22" i="5"/>
  <c r="M22" i="5" s="1"/>
  <c r="J22" i="5"/>
  <c r="L22" i="5" s="1"/>
  <c r="D22" i="5"/>
  <c r="G22" i="5" s="1"/>
  <c r="K21" i="5"/>
  <c r="M21" i="5" s="1"/>
  <c r="J21" i="5"/>
  <c r="L21" i="5" s="1"/>
  <c r="D21" i="5"/>
  <c r="F21" i="5" s="1"/>
  <c r="K20" i="5"/>
  <c r="M20" i="5" s="1"/>
  <c r="J20" i="5"/>
  <c r="L20" i="5" s="1"/>
  <c r="D20" i="5"/>
  <c r="H20" i="5" s="1"/>
  <c r="K19" i="5"/>
  <c r="M19" i="5" s="1"/>
  <c r="J19" i="5"/>
  <c r="L19" i="5" s="1"/>
  <c r="D19" i="5"/>
  <c r="H19" i="5" s="1"/>
  <c r="K18" i="5"/>
  <c r="M18" i="5" s="1"/>
  <c r="J18" i="5"/>
  <c r="L18" i="5" s="1"/>
  <c r="D18" i="5"/>
  <c r="I18" i="5" s="1"/>
  <c r="K17" i="5"/>
  <c r="M17" i="5" s="1"/>
  <c r="J17" i="5"/>
  <c r="L17" i="5" s="1"/>
  <c r="D17" i="5"/>
  <c r="F17" i="5" s="1"/>
  <c r="K16" i="5"/>
  <c r="M16" i="5" s="1"/>
  <c r="J16" i="5"/>
  <c r="L16" i="5" s="1"/>
  <c r="D16" i="5"/>
  <c r="H16" i="5" s="1"/>
  <c r="K15" i="5"/>
  <c r="M15" i="5" s="1"/>
  <c r="J15" i="5"/>
  <c r="L15" i="5" s="1"/>
  <c r="D15" i="5"/>
  <c r="H15" i="5" s="1"/>
  <c r="K14" i="5"/>
  <c r="M14" i="5" s="1"/>
  <c r="J14" i="5"/>
  <c r="L14" i="5" s="1"/>
  <c r="D14" i="5"/>
  <c r="F14" i="5" s="1"/>
  <c r="K13" i="5"/>
  <c r="M13" i="5" s="1"/>
  <c r="J13" i="5"/>
  <c r="L13" i="5" s="1"/>
  <c r="D13" i="5"/>
  <c r="F13" i="5" s="1"/>
  <c r="K12" i="5"/>
  <c r="M12" i="5" s="1"/>
  <c r="J12" i="5"/>
  <c r="L12" i="5" s="1"/>
  <c r="D12" i="5"/>
  <c r="H12" i="5" s="1"/>
  <c r="K11" i="5"/>
  <c r="M11" i="5" s="1"/>
  <c r="J11" i="5"/>
  <c r="L11" i="5" s="1"/>
  <c r="D11" i="5"/>
  <c r="I11" i="5" s="1"/>
  <c r="K10" i="5"/>
  <c r="M10" i="5" s="1"/>
  <c r="J10" i="5"/>
  <c r="L10" i="5" s="1"/>
  <c r="D10" i="5"/>
  <c r="E10" i="5" s="1"/>
  <c r="K9" i="5"/>
  <c r="M9" i="5" s="1"/>
  <c r="J9" i="5"/>
  <c r="L9" i="5" s="1"/>
  <c r="D9" i="5"/>
  <c r="F9" i="5" s="1"/>
  <c r="K8" i="5"/>
  <c r="M8" i="5" s="1"/>
  <c r="J8" i="5"/>
  <c r="L8" i="5" s="1"/>
  <c r="D8" i="5"/>
  <c r="H8" i="5" s="1"/>
  <c r="K7" i="5"/>
  <c r="M7" i="5" s="1"/>
  <c r="J7" i="5"/>
  <c r="L7" i="5" s="1"/>
  <c r="D7" i="5"/>
  <c r="G7" i="5" s="1"/>
  <c r="K6" i="5"/>
  <c r="M6" i="5" s="1"/>
  <c r="J6" i="5"/>
  <c r="L6" i="5" s="1"/>
  <c r="D6" i="5"/>
  <c r="G6" i="5" s="1"/>
  <c r="K5" i="5"/>
  <c r="M5" i="5" s="1"/>
  <c r="J5" i="5"/>
  <c r="L5" i="5" s="1"/>
  <c r="D5" i="5"/>
  <c r="F5" i="5" s="1"/>
  <c r="K4" i="5"/>
  <c r="M4" i="5" s="1"/>
  <c r="J4" i="5"/>
  <c r="L4" i="5" s="1"/>
  <c r="D4" i="5"/>
  <c r="H4" i="5" s="1"/>
  <c r="K3" i="5"/>
  <c r="M3" i="5" s="1"/>
  <c r="J3" i="5"/>
  <c r="L3" i="5" s="1"/>
  <c r="D3" i="5"/>
  <c r="G3" i="5" s="1"/>
  <c r="K2" i="5"/>
  <c r="M2" i="5" s="1"/>
  <c r="J2" i="5"/>
  <c r="L2" i="5" s="1"/>
  <c r="D2" i="5"/>
  <c r="I2" i="5" s="1"/>
  <c r="J3" i="4" a="1"/>
  <c r="J7" i="4" a="1"/>
  <c r="J11" i="4" a="1"/>
  <c r="J15" i="4" a="1"/>
  <c r="J19" i="4" a="1"/>
  <c r="J23" i="4" a="1"/>
  <c r="J27" i="4" a="1"/>
  <c r="J4" i="4" a="1"/>
  <c r="J5" i="4" a="1"/>
  <c r="J9" i="4" a="1"/>
  <c r="J13" i="4" a="1"/>
  <c r="J17" i="4" a="1"/>
  <c r="J21" i="4" a="1"/>
  <c r="J25" i="4" a="1"/>
  <c r="J29" i="4" a="1"/>
  <c r="J6" i="4" a="1"/>
  <c r="J14" i="4" a="1"/>
  <c r="J22" i="4" a="1"/>
  <c r="J30" i="4" a="1"/>
  <c r="J35" i="4" a="1"/>
  <c r="J36" i="4" a="1"/>
  <c r="J52" i="4" a="1"/>
  <c r="J68" i="4" a="1"/>
  <c r="J84" i="4" a="1"/>
  <c r="J100" i="4" a="1"/>
  <c r="J116" i="4" a="1"/>
  <c r="J132" i="4" a="1"/>
  <c r="J148" i="4" a="1"/>
  <c r="J164" i="4" a="1"/>
  <c r="J180" i="4" a="1"/>
  <c r="J196" i="4" a="1"/>
  <c r="J212" i="4" a="1"/>
  <c r="J228" i="4" a="1"/>
  <c r="J244" i="4" a="1"/>
  <c r="J260" i="4" a="1"/>
  <c r="J276" i="4" a="1"/>
  <c r="J292" i="4" a="1"/>
  <c r="J308" i="4" a="1"/>
  <c r="J324" i="4" a="1"/>
  <c r="J340" i="4" a="1"/>
  <c r="J32" i="4" a="1"/>
  <c r="J48" i="4" a="1"/>
  <c r="J64" i="4" a="1"/>
  <c r="J80" i="4" a="1"/>
  <c r="J96" i="4" a="1"/>
  <c r="J112" i="4" a="1"/>
  <c r="J128" i="4" a="1"/>
  <c r="J144" i="4" a="1"/>
  <c r="J160" i="4" a="1"/>
  <c r="J176" i="4" a="1"/>
  <c r="J192" i="4" a="1"/>
  <c r="J208" i="4" a="1"/>
  <c r="J224" i="4" a="1"/>
  <c r="J240" i="4" a="1"/>
  <c r="J256" i="4" a="1"/>
  <c r="J272" i="4" a="1"/>
  <c r="J288" i="4" a="1"/>
  <c r="J304" i="4" a="1"/>
  <c r="J320" i="4" a="1"/>
  <c r="J336" i="4" a="1"/>
  <c r="J10" i="4" a="1"/>
  <c r="J8" i="4" a="1"/>
  <c r="J41" i="4" a="1"/>
  <c r="J49" i="4" a="1"/>
  <c r="J55" i="4" a="1"/>
  <c r="J62" i="4" a="1"/>
  <c r="J70" i="4" a="1"/>
  <c r="J77" i="4" a="1"/>
  <c r="J83" i="4" a="1"/>
  <c r="J91" i="4" a="1"/>
  <c r="J98" i="4" a="1"/>
  <c r="J105" i="4" a="1"/>
  <c r="J113" i="4" a="1"/>
  <c r="J119" i="4" a="1"/>
  <c r="J126" i="4" a="1"/>
  <c r="J134" i="4" a="1"/>
  <c r="J141" i="4" a="1"/>
  <c r="J147" i="4" a="1"/>
  <c r="J155" i="4" a="1"/>
  <c r="J162" i="4" a="1"/>
  <c r="J169" i="4" a="1"/>
  <c r="J177" i="4" a="1"/>
  <c r="J183" i="4" a="1"/>
  <c r="J190" i="4" a="1"/>
  <c r="J198" i="4" a="1"/>
  <c r="J205" i="4" a="1"/>
  <c r="J211" i="4" a="1"/>
  <c r="J219" i="4" a="1"/>
  <c r="J226" i="4" a="1"/>
  <c r="J233" i="4" a="1"/>
  <c r="J241" i="4" a="1"/>
  <c r="J247" i="4" a="1"/>
  <c r="J254" i="4" a="1"/>
  <c r="J262" i="4" a="1"/>
  <c r="J24" i="4" a="1"/>
  <c r="J34" i="4" a="1"/>
  <c r="J42" i="4" a="1"/>
  <c r="J56" i="4" a="1"/>
  <c r="J63" i="4" a="1"/>
  <c r="J85" i="4" a="1"/>
  <c r="J92" i="4" a="1"/>
  <c r="J106" i="4" a="1"/>
  <c r="J120" i="4" a="1"/>
  <c r="J127" i="4" a="1"/>
  <c r="J149" i="4" a="1"/>
  <c r="J156" i="4" a="1"/>
  <c r="J170" i="4" a="1"/>
  <c r="J184" i="4" a="1"/>
  <c r="J191" i="4" a="1"/>
  <c r="J12" i="4" a="1"/>
  <c r="J26" i="4" a="1"/>
  <c r="J43" i="4" a="1"/>
  <c r="J50" i="4" a="1"/>
  <c r="J57" i="4" a="1"/>
  <c r="J65" i="4" a="1"/>
  <c r="J71" i="4" a="1"/>
  <c r="J78" i="4" a="1"/>
  <c r="J86" i="4" a="1"/>
  <c r="J93" i="4" a="1"/>
  <c r="J99" i="4" a="1"/>
  <c r="J107" i="4" a="1"/>
  <c r="J114" i="4" a="1"/>
  <c r="J121" i="4" a="1"/>
  <c r="J129" i="4" a="1"/>
  <c r="J135" i="4" a="1"/>
  <c r="J142" i="4" a="1"/>
  <c r="J150" i="4" a="1"/>
  <c r="J157" i="4" a="1"/>
  <c r="J163" i="4" a="1"/>
  <c r="J171" i="4" a="1"/>
  <c r="J178" i="4" a="1"/>
  <c r="J185" i="4" a="1"/>
  <c r="J193" i="4" a="1"/>
  <c r="J199" i="4" a="1"/>
  <c r="J206" i="4" a="1"/>
  <c r="J214" i="4" a="1"/>
  <c r="J221" i="4" a="1"/>
  <c r="J227" i="4" a="1"/>
  <c r="J235" i="4" a="1"/>
  <c r="J242" i="4" a="1"/>
  <c r="J249" i="4" a="1"/>
  <c r="J257" i="4" a="1"/>
  <c r="J263" i="4" a="1"/>
  <c r="J37" i="4" a="1"/>
  <c r="J44" i="4" a="1"/>
  <c r="J58" i="4" a="1"/>
  <c r="J72" i="4" a="1"/>
  <c r="J79" i="4" a="1"/>
  <c r="J101" i="4" a="1"/>
  <c r="J108" i="4" a="1"/>
  <c r="J122" i="4" a="1"/>
  <c r="J136" i="4" a="1"/>
  <c r="J143" i="4" a="1"/>
  <c r="J165" i="4" a="1"/>
  <c r="J172" i="4" a="1"/>
  <c r="J186" i="4" a="1"/>
  <c r="J200" i="4" a="1"/>
  <c r="J207" i="4" a="1"/>
  <c r="J229" i="4" a="1"/>
  <c r="J236" i="4" a="1"/>
  <c r="J250" i="4" a="1"/>
  <c r="J264" i="4" a="1"/>
  <c r="J271" i="4" a="1"/>
  <c r="J293" i="4" a="1"/>
  <c r="J300" i="4" a="1"/>
  <c r="J314" i="4" a="1"/>
  <c r="J328" i="4" a="1"/>
  <c r="J335" i="4" a="1"/>
  <c r="J353" i="4" a="1"/>
  <c r="J369" i="4" a="1"/>
  <c r="J385" i="4" a="1"/>
  <c r="J401" i="4" a="1"/>
  <c r="J417" i="4" a="1"/>
  <c r="J433" i="4" a="1"/>
  <c r="J449" i="4" a="1"/>
  <c r="J465" i="4" a="1"/>
  <c r="J469" i="4" a="1"/>
  <c r="J473" i="4" a="1"/>
  <c r="J477" i="4" a="1"/>
  <c r="J481" i="4" a="1"/>
  <c r="J485" i="4" a="1"/>
  <c r="J489" i="4" a="1"/>
  <c r="J493" i="4" a="1"/>
  <c r="J497" i="4" a="1"/>
  <c r="J501" i="4" a="1"/>
  <c r="J505" i="4" a="1"/>
  <c r="J509" i="4" a="1"/>
  <c r="J513" i="4" a="1"/>
  <c r="J517" i="4" a="1"/>
  <c r="J521" i="4" a="1"/>
  <c r="J525" i="4" a="1"/>
  <c r="J529" i="4" a="1"/>
  <c r="J533" i="4" a="1"/>
  <c r="J537" i="4" a="1"/>
  <c r="J541" i="4" a="1"/>
  <c r="J545" i="4" a="1"/>
  <c r="J549" i="4" a="1"/>
  <c r="J553" i="4" a="1"/>
  <c r="J557" i="4" a="1"/>
  <c r="J561" i="4" a="1"/>
  <c r="J565" i="4" a="1"/>
  <c r="J569" i="4" a="1"/>
  <c r="J573" i="4" a="1"/>
  <c r="J577" i="4" a="1"/>
  <c r="J581" i="4" a="1"/>
  <c r="J585" i="4" a="1"/>
  <c r="J589" i="4" a="1"/>
  <c r="J593" i="4" a="1"/>
  <c r="J597" i="4" a="1"/>
  <c r="J601" i="4" a="1"/>
  <c r="J605" i="4" a="1"/>
  <c r="J609" i="4" a="1"/>
  <c r="J613" i="4" a="1"/>
  <c r="J617" i="4" a="1"/>
  <c r="J621" i="4" a="1"/>
  <c r="J16" i="4" a="1"/>
  <c r="J28" i="4" a="1"/>
  <c r="J38" i="4" a="1"/>
  <c r="J45" i="4" a="1"/>
  <c r="J51" i="4" a="1"/>
  <c r="J59" i="4" a="1"/>
  <c r="J66" i="4" a="1"/>
  <c r="J73" i="4" a="1"/>
  <c r="J81" i="4" a="1"/>
  <c r="J87" i="4" a="1"/>
  <c r="J94" i="4" a="1"/>
  <c r="J102" i="4" a="1"/>
  <c r="J109" i="4" a="1"/>
  <c r="J115" i="4" a="1"/>
  <c r="J123" i="4" a="1"/>
  <c r="J130" i="4" a="1"/>
  <c r="J137" i="4" a="1"/>
  <c r="J145" i="4" a="1"/>
  <c r="J151" i="4" a="1"/>
  <c r="J158" i="4" a="1"/>
  <c r="J166" i="4" a="1"/>
  <c r="J173" i="4" a="1"/>
  <c r="J179" i="4" a="1"/>
  <c r="J187" i="4" a="1"/>
  <c r="J194" i="4" a="1"/>
  <c r="J201" i="4" a="1"/>
  <c r="J209" i="4" a="1"/>
  <c r="J215" i="4" a="1"/>
  <c r="J222" i="4" a="1"/>
  <c r="J230" i="4" a="1"/>
  <c r="J237" i="4" a="1"/>
  <c r="J243" i="4" a="1"/>
  <c r="J251" i="4" a="1"/>
  <c r="J258" i="4" a="1"/>
  <c r="J265" i="4" a="1"/>
  <c r="J273" i="4" a="1"/>
  <c r="J279" i="4" a="1"/>
  <c r="J286" i="4" a="1"/>
  <c r="J294" i="4" a="1"/>
  <c r="J301" i="4" a="1"/>
  <c r="J307" i="4" a="1"/>
  <c r="J315" i="4" a="1"/>
  <c r="J322" i="4" a="1"/>
  <c r="J329" i="4" a="1"/>
  <c r="J337" i="4" a="1"/>
  <c r="J343" i="4" a="1"/>
  <c r="J348" i="4" a="1"/>
  <c r="J354" i="4" a="1"/>
  <c r="J359" i="4" a="1"/>
  <c r="J364" i="4" a="1"/>
  <c r="J370" i="4" a="1"/>
  <c r="J375" i="4" a="1"/>
  <c r="J380" i="4" a="1"/>
  <c r="J386" i="4" a="1"/>
  <c r="J391" i="4" a="1"/>
  <c r="J396" i="4" a="1"/>
  <c r="J402" i="4" a="1"/>
  <c r="J407" i="4" a="1"/>
  <c r="J412" i="4" a="1"/>
  <c r="J418" i="4" a="1"/>
  <c r="J423" i="4" a="1"/>
  <c r="J428" i="4" a="1"/>
  <c r="J434" i="4" a="1"/>
  <c r="J439" i="4" a="1"/>
  <c r="J444" i="4" a="1"/>
  <c r="J450" i="4" a="1"/>
  <c r="J455" i="4" a="1"/>
  <c r="J460" i="4" a="1"/>
  <c r="J18" i="4" a="1"/>
  <c r="J53" i="4" a="1"/>
  <c r="J60" i="4" a="1"/>
  <c r="J74" i="4" a="1"/>
  <c r="J88" i="4" a="1"/>
  <c r="J95" i="4" a="1"/>
  <c r="J117" i="4" a="1"/>
  <c r="J124" i="4" a="1"/>
  <c r="J138" i="4" a="1"/>
  <c r="J152" i="4" a="1"/>
  <c r="J159" i="4" a="1"/>
  <c r="J181" i="4" a="1"/>
  <c r="J31" i="4" a="1"/>
  <c r="J39" i="4" a="1"/>
  <c r="J46" i="4" a="1"/>
  <c r="J54" i="4" a="1"/>
  <c r="J61" i="4" a="1"/>
  <c r="J67" i="4" a="1"/>
  <c r="J75" i="4" a="1"/>
  <c r="J82" i="4" a="1"/>
  <c r="J89" i="4" a="1"/>
  <c r="J97" i="4" a="1"/>
  <c r="J103" i="4" a="1"/>
  <c r="J110" i="4" a="1"/>
  <c r="J118" i="4" a="1"/>
  <c r="J125" i="4" a="1"/>
  <c r="J131" i="4" a="1"/>
  <c r="J139" i="4" a="1"/>
  <c r="J146" i="4" a="1"/>
  <c r="J20" i="4" a="1"/>
  <c r="J33" i="4" a="1"/>
  <c r="J40" i="4" a="1"/>
  <c r="J47" i="4" a="1"/>
  <c r="J69" i="4" a="1"/>
  <c r="J76" i="4" a="1"/>
  <c r="J90" i="4" a="1"/>
  <c r="J104" i="4" a="1"/>
  <c r="J111" i="4" a="1"/>
  <c r="J133" i="4" a="1"/>
  <c r="J140" i="4" a="1"/>
  <c r="J154" i="4" a="1"/>
  <c r="J168" i="4" a="1"/>
  <c r="J175" i="4" a="1"/>
  <c r="J153" i="4" a="1"/>
  <c r="J195" i="4" a="1"/>
  <c r="J210" i="4" a="1"/>
  <c r="J225" i="4" a="1"/>
  <c r="J238" i="4" a="1"/>
  <c r="J253" i="4" a="1"/>
  <c r="J267" i="4" a="1"/>
  <c r="J275" i="4" a="1"/>
  <c r="J285" i="4" a="1"/>
  <c r="J295" i="4" a="1"/>
  <c r="J305" i="4" a="1"/>
  <c r="J313" i="4" a="1"/>
  <c r="J323" i="4" a="1"/>
  <c r="J333" i="4" a="1"/>
  <c r="J342" i="4" a="1"/>
  <c r="J350" i="4" a="1"/>
  <c r="J356" i="4" a="1"/>
  <c r="J363" i="4" a="1"/>
  <c r="J371" i="4" a="1"/>
  <c r="J378" i="4" a="1"/>
  <c r="J384" i="4" a="1"/>
  <c r="J392" i="4" a="1"/>
  <c r="J399" i="4" a="1"/>
  <c r="J406" i="4" a="1"/>
  <c r="J414" i="4" a="1"/>
  <c r="J420" i="4" a="1"/>
  <c r="J427" i="4" a="1"/>
  <c r="J435" i="4" a="1"/>
  <c r="J442" i="4" a="1"/>
  <c r="J448" i="4" a="1"/>
  <c r="J456" i="4" a="1"/>
  <c r="J463" i="4" a="1"/>
  <c r="J161" i="4" a="1"/>
  <c r="J167" i="4" a="1"/>
  <c r="J213" i="4" a="1"/>
  <c r="J255" i="4" a="1"/>
  <c r="J269" i="4" a="1"/>
  <c r="J278" i="4" a="1"/>
  <c r="J289" i="4" a="1"/>
  <c r="J297" i="4" a="1"/>
  <c r="J306" i="4" a="1"/>
  <c r="J317" i="4" a="1"/>
  <c r="J326" i="4" a="1"/>
  <c r="J334" i="4" a="1"/>
  <c r="J344" i="4" a="1"/>
  <c r="J351" i="4" a="1"/>
  <c r="J358" i="4" a="1"/>
  <c r="J366" i="4" a="1"/>
  <c r="J372" i="4" a="1"/>
  <c r="J379" i="4" a="1"/>
  <c r="J387" i="4" a="1"/>
  <c r="J394" i="4" a="1"/>
  <c r="J400" i="4" a="1"/>
  <c r="J408" i="4" a="1"/>
  <c r="J415" i="4" a="1"/>
  <c r="J422" i="4" a="1"/>
  <c r="J430" i="4" a="1"/>
  <c r="J436" i="4" a="1"/>
  <c r="J443" i="4" a="1"/>
  <c r="J451" i="4" a="1"/>
  <c r="J458" i="4" a="1"/>
  <c r="J464" i="4" a="1"/>
  <c r="J174" i="4" a="1"/>
  <c r="J202" i="4" a="1"/>
  <c r="J216" i="4" a="1"/>
  <c r="J245" i="4" a="1"/>
  <c r="J280" i="4" a="1"/>
  <c r="J298" i="4" a="1"/>
  <c r="J309" i="4" a="1"/>
  <c r="J345" i="4" a="1"/>
  <c r="J373" i="4" a="1"/>
  <c r="J381" i="4" a="1"/>
  <c r="J409" i="4" a="1"/>
  <c r="J437" i="4" a="1"/>
  <c r="J445" i="4" a="1"/>
  <c r="J466" i="4" a="1"/>
  <c r="J471" i="4" a="1"/>
  <c r="J476" i="4" a="1"/>
  <c r="J482" i="4" a="1"/>
  <c r="J487" i="4" a="1"/>
  <c r="J492" i="4" a="1"/>
  <c r="J498" i="4" a="1"/>
  <c r="J503" i="4" a="1"/>
  <c r="J508" i="4" a="1"/>
  <c r="J514" i="4" a="1"/>
  <c r="J519" i="4" a="1"/>
  <c r="J524" i="4" a="1"/>
  <c r="J530" i="4" a="1"/>
  <c r="J535" i="4" a="1"/>
  <c r="J540" i="4" a="1"/>
  <c r="J546" i="4" a="1"/>
  <c r="J551" i="4" a="1"/>
  <c r="J556" i="4" a="1"/>
  <c r="J562" i="4" a="1"/>
  <c r="J567" i="4" a="1"/>
  <c r="J572" i="4" a="1"/>
  <c r="J578" i="4" a="1"/>
  <c r="J583" i="4" a="1"/>
  <c r="J588" i="4" a="1"/>
  <c r="J594" i="4" a="1"/>
  <c r="J599" i="4" a="1"/>
  <c r="J604" i="4" a="1"/>
  <c r="J610" i="4" a="1"/>
  <c r="J615" i="4" a="1"/>
  <c r="J620" i="4" a="1"/>
  <c r="J625" i="4" a="1"/>
  <c r="J629" i="4" a="1"/>
  <c r="J633" i="4" a="1"/>
  <c r="J637" i="4" a="1"/>
  <c r="J641" i="4" a="1"/>
  <c r="J645" i="4" a="1"/>
  <c r="J649" i="4" a="1"/>
  <c r="J653" i="4" a="1"/>
  <c r="J657" i="4" a="1"/>
  <c r="J661" i="4" a="1"/>
  <c r="J665" i="4" a="1"/>
  <c r="J669" i="4" a="1"/>
  <c r="J673" i="4" a="1"/>
  <c r="J677" i="4" a="1"/>
  <c r="J681" i="4" a="1"/>
  <c r="J685" i="4" a="1"/>
  <c r="J689" i="4" a="1"/>
  <c r="J693" i="4" a="1"/>
  <c r="J697" i="4" a="1"/>
  <c r="J701" i="4" a="1"/>
  <c r="J705" i="4" a="1"/>
  <c r="J709" i="4" a="1"/>
  <c r="J713" i="4" a="1"/>
  <c r="J717" i="4" a="1"/>
  <c r="J721" i="4" a="1"/>
  <c r="J182" i="4" a="1"/>
  <c r="J203" i="4" a="1"/>
  <c r="J217" i="4" a="1"/>
  <c r="J231" i="4" a="1"/>
  <c r="J246" i="4" a="1"/>
  <c r="J259" i="4" a="1"/>
  <c r="J270" i="4" a="1"/>
  <c r="J281" i="4" a="1"/>
  <c r="J290" i="4" a="1"/>
  <c r="J299" i="4" a="1"/>
  <c r="J310" i="4" a="1"/>
  <c r="J318" i="4" a="1"/>
  <c r="J327" i="4" a="1"/>
  <c r="J338" i="4" a="1"/>
  <c r="J346" i="4" a="1"/>
  <c r="J352" i="4" a="1"/>
  <c r="J360" i="4" a="1"/>
  <c r="J367" i="4" a="1"/>
  <c r="J374" i="4" a="1"/>
  <c r="J382" i="4" a="1"/>
  <c r="J388" i="4" a="1"/>
  <c r="J395" i="4" a="1"/>
  <c r="J403" i="4" a="1"/>
  <c r="J410" i="4" a="1"/>
  <c r="J416" i="4" a="1"/>
  <c r="J424" i="4" a="1"/>
  <c r="J431" i="4" a="1"/>
  <c r="J438" i="4" a="1"/>
  <c r="J446" i="4" a="1"/>
  <c r="J452" i="4" a="1"/>
  <c r="J459" i="4" a="1"/>
  <c r="J188" i="4" a="1"/>
  <c r="J218" i="4" a="1"/>
  <c r="J330" i="4" a="1"/>
  <c r="J361" i="4" a="1"/>
  <c r="J389" i="4" a="1"/>
  <c r="J461" i="4" a="1"/>
  <c r="J472" i="4" a="1"/>
  <c r="J483" i="4" a="1"/>
  <c r="J494" i="4" a="1"/>
  <c r="J504" i="4" a="1"/>
  <c r="J515" i="4" a="1"/>
  <c r="J526" i="4" a="1"/>
  <c r="J536" i="4" a="1"/>
  <c r="J544" i="4" a="1"/>
  <c r="J725" i="4" a="1"/>
  <c r="J734" i="4" a="1"/>
  <c r="J743" i="4" a="1"/>
  <c r="J752" i="4" a="1"/>
  <c r="J757" i="4" a="1"/>
  <c r="J761" i="4" a="1"/>
  <c r="J765" i="4" a="1"/>
  <c r="J769" i="4" a="1"/>
  <c r="J773" i="4" a="1"/>
  <c r="J777" i="4" a="1"/>
  <c r="J781" i="4" a="1"/>
  <c r="J785" i="4" a="1"/>
  <c r="J789" i="4" a="1"/>
  <c r="J793" i="4" a="1"/>
  <c r="J797" i="4" a="1"/>
  <c r="J801" i="4" a="1"/>
  <c r="J805" i="4" a="1"/>
  <c r="J809" i="4" a="1"/>
  <c r="J813" i="4" a="1"/>
  <c r="J817" i="4" a="1"/>
  <c r="J821" i="4" a="1"/>
  <c r="J825" i="4" a="1"/>
  <c r="J829" i="4" a="1"/>
  <c r="J833" i="4" a="1"/>
  <c r="J837" i="4" a="1"/>
  <c r="J841" i="4" a="1"/>
  <c r="J845" i="4" a="1"/>
  <c r="J849" i="4" a="1"/>
  <c r="J853" i="4" a="1"/>
  <c r="J857" i="4" a="1"/>
  <c r="J861" i="4" a="1"/>
  <c r="J865" i="4" a="1"/>
  <c r="J869" i="4" a="1"/>
  <c r="J873" i="4" a="1"/>
  <c r="J877" i="4" a="1"/>
  <c r="J881" i="4" a="1"/>
  <c r="J885" i="4" a="1"/>
  <c r="J889" i="4" a="1"/>
  <c r="J893" i="4" a="1"/>
  <c r="J897" i="4" a="1"/>
  <c r="J901" i="4" a="1"/>
  <c r="J905" i="4" a="1"/>
  <c r="J909" i="4" a="1"/>
  <c r="J913" i="4" a="1"/>
  <c r="J917" i="4" a="1"/>
  <c r="J921" i="4" a="1"/>
  <c r="J925" i="4" a="1"/>
  <c r="J929" i="4" a="1"/>
  <c r="J933" i="4" a="1"/>
  <c r="J937" i="4" a="1"/>
  <c r="J189" i="4" a="1"/>
  <c r="J220" i="4" a="1"/>
  <c r="J248" i="4" a="1"/>
  <c r="J274" i="4" a="1"/>
  <c r="J291" i="4" a="1"/>
  <c r="J311" i="4" a="1"/>
  <c r="J331" i="4" a="1"/>
  <c r="J347" i="4" a="1"/>
  <c r="J362" i="4" a="1"/>
  <c r="J376" i="4" a="1"/>
  <c r="J390" i="4" a="1"/>
  <c r="J404" i="4" a="1"/>
  <c r="J419" i="4" a="1"/>
  <c r="J432" i="4" a="1"/>
  <c r="J447" i="4" a="1"/>
  <c r="J462" i="4" a="1"/>
  <c r="J554" i="4" a="1"/>
  <c r="J560" i="4" a="1"/>
  <c r="J568" i="4" a="1"/>
  <c r="J575" i="4" a="1"/>
  <c r="J582" i="4" a="1"/>
  <c r="J590" i="4" a="1"/>
  <c r="J596" i="4" a="1"/>
  <c r="J603" i="4" a="1"/>
  <c r="J611" i="4" a="1"/>
  <c r="J618" i="4" a="1"/>
  <c r="J624" i="4" a="1"/>
  <c r="J630" i="4" a="1"/>
  <c r="J635" i="4" a="1"/>
  <c r="J640" i="4" a="1"/>
  <c r="J646" i="4" a="1"/>
  <c r="J651" i="4" a="1"/>
  <c r="J656" i="4" a="1"/>
  <c r="J662" i="4" a="1"/>
  <c r="J667" i="4" a="1"/>
  <c r="J672" i="4" a="1"/>
  <c r="J678" i="4" a="1"/>
  <c r="J683" i="4" a="1"/>
  <c r="J688" i="4" a="1"/>
  <c r="J694" i="4" a="1"/>
  <c r="J699" i="4" a="1"/>
  <c r="J704" i="4" a="1"/>
  <c r="J710" i="4" a="1"/>
  <c r="J715" i="4" a="1"/>
  <c r="J720" i="4" a="1"/>
  <c r="J730" i="4" a="1"/>
  <c r="J739" i="4" a="1"/>
  <c r="J748" i="4" a="1"/>
  <c r="J753" i="4" a="1"/>
  <c r="J774" i="4" a="1"/>
  <c r="J786" i="4" a="1"/>
  <c r="J794" i="4" a="1"/>
  <c r="J802" i="4" a="1"/>
  <c r="J810" i="4" a="1"/>
  <c r="J814" i="4" a="1"/>
  <c r="J822" i="4" a="1"/>
  <c r="J223" i="4" a="1"/>
  <c r="J252" i="4" a="1"/>
  <c r="J312" i="4" a="1"/>
  <c r="J332" i="4" a="1"/>
  <c r="J349" i="4" a="1"/>
  <c r="J377" i="4" a="1"/>
  <c r="J405" i="4" a="1"/>
  <c r="J474" i="4" a="1"/>
  <c r="J484" i="4" a="1"/>
  <c r="J495" i="4" a="1"/>
  <c r="J506" i="4" a="1"/>
  <c r="J516" i="4" a="1"/>
  <c r="J527" i="4" a="1"/>
  <c r="J538" i="4" a="1"/>
  <c r="J547" i="4" a="1"/>
  <c r="J726" i="4" a="1"/>
  <c r="J735" i="4" a="1"/>
  <c r="J744" i="4" a="1"/>
  <c r="J749" i="4" a="1"/>
  <c r="J758" i="4" a="1"/>
  <c r="J762" i="4" a="1"/>
  <c r="J766" i="4" a="1"/>
  <c r="J770" i="4" a="1"/>
  <c r="J778" i="4" a="1"/>
  <c r="J782" i="4" a="1"/>
  <c r="J790" i="4" a="1"/>
  <c r="J798" i="4" a="1"/>
  <c r="J806" i="4" a="1"/>
  <c r="J818" i="4" a="1"/>
  <c r="J197" i="4" a="1"/>
  <c r="J277" i="4" a="1"/>
  <c r="J296" i="4" a="1"/>
  <c r="J316" i="4" a="1"/>
  <c r="J365" i="4" a="1"/>
  <c r="J393" i="4" a="1"/>
  <c r="J421" i="4" a="1"/>
  <c r="J475" i="4" a="1"/>
  <c r="J486" i="4" a="1"/>
  <c r="J496" i="4" a="1"/>
  <c r="J507" i="4" a="1"/>
  <c r="J518" i="4" a="1"/>
  <c r="J528" i="4" a="1"/>
  <c r="J539" i="4" a="1"/>
  <c r="J555" i="4" a="1"/>
  <c r="J563" i="4" a="1"/>
  <c r="J570" i="4" a="1"/>
  <c r="J576" i="4" a="1"/>
  <c r="J584" i="4" a="1"/>
  <c r="J591" i="4" a="1"/>
  <c r="J598" i="4" a="1"/>
  <c r="J606" i="4" a="1"/>
  <c r="J612" i="4" a="1"/>
  <c r="J619" i="4" a="1"/>
  <c r="J626" i="4" a="1"/>
  <c r="J631" i="4" a="1"/>
  <c r="J636" i="4" a="1"/>
  <c r="J642" i="4" a="1"/>
  <c r="J647" i="4" a="1"/>
  <c r="J652" i="4" a="1"/>
  <c r="J658" i="4" a="1"/>
  <c r="J663" i="4" a="1"/>
  <c r="J668" i="4" a="1"/>
  <c r="J674" i="4" a="1"/>
  <c r="J679" i="4" a="1"/>
  <c r="J684" i="4" a="1"/>
  <c r="J690" i="4" a="1"/>
  <c r="J695" i="4" a="1"/>
  <c r="J700" i="4" a="1"/>
  <c r="J706" i="4" a="1"/>
  <c r="J711" i="4" a="1"/>
  <c r="J716" i="4" a="1"/>
  <c r="J722" i="4" a="1"/>
  <c r="J731" i="4" a="1"/>
  <c r="J740" i="4" a="1"/>
  <c r="J745" i="4" a="1"/>
  <c r="J754" i="4" a="1"/>
  <c r="J863" i="4" a="1"/>
  <c r="J887" i="4" a="1"/>
  <c r="J899" i="4" a="1"/>
  <c r="J907" i="4" a="1"/>
  <c r="J915" i="4" a="1"/>
  <c r="J923" i="4" a="1"/>
  <c r="J931" i="4" a="1"/>
  <c r="J939" i="4" a="1"/>
  <c r="J943" i="4" a="1"/>
  <c r="J951" i="4" a="1"/>
  <c r="J959" i="4" a="1"/>
  <c r="J204" i="4" a="1"/>
  <c r="J232" i="4" a="1"/>
  <c r="J261" i="4" a="1"/>
  <c r="J282" i="4" a="1"/>
  <c r="J319" i="4" a="1"/>
  <c r="J397" i="4" a="1"/>
  <c r="J425" i="4" a="1"/>
  <c r="J453" i="4" a="1"/>
  <c r="J467" i="4" a="1"/>
  <c r="J478" i="4" a="1"/>
  <c r="J488" i="4" a="1"/>
  <c r="J499" i="4" a="1"/>
  <c r="J510" i="4" a="1"/>
  <c r="J520" i="4" a="1"/>
  <c r="J531" i="4" a="1"/>
  <c r="J548" i="4" a="1"/>
  <c r="J727" i="4" a="1"/>
  <c r="J736" i="4" a="1"/>
  <c r="J741" i="4" a="1"/>
  <c r="J750" i="4" a="1"/>
  <c r="J759" i="4" a="1"/>
  <c r="J763" i="4" a="1"/>
  <c r="J767" i="4" a="1"/>
  <c r="J771" i="4" a="1"/>
  <c r="J775" i="4" a="1"/>
  <c r="J779" i="4" a="1"/>
  <c r="J783" i="4" a="1"/>
  <c r="J787" i="4" a="1"/>
  <c r="J791" i="4" a="1"/>
  <c r="J795" i="4" a="1"/>
  <c r="J799" i="4" a="1"/>
  <c r="J803" i="4" a="1"/>
  <c r="J807" i="4" a="1"/>
  <c r="J811" i="4" a="1"/>
  <c r="J815" i="4" a="1"/>
  <c r="J819" i="4" a="1"/>
  <c r="J823" i="4" a="1"/>
  <c r="J827" i="4" a="1"/>
  <c r="J831" i="4" a="1"/>
  <c r="J835" i="4" a="1"/>
  <c r="J839" i="4" a="1"/>
  <c r="J843" i="4" a="1"/>
  <c r="J847" i="4" a="1"/>
  <c r="J851" i="4" a="1"/>
  <c r="J855" i="4" a="1"/>
  <c r="J859" i="4" a="1"/>
  <c r="J867" i="4" a="1"/>
  <c r="J871" i="4" a="1"/>
  <c r="J875" i="4" a="1"/>
  <c r="J879" i="4" a="1"/>
  <c r="J883" i="4" a="1"/>
  <c r="J891" i="4" a="1"/>
  <c r="J895" i="4" a="1"/>
  <c r="J903" i="4" a="1"/>
  <c r="J911" i="4" a="1"/>
  <c r="J919" i="4" a="1"/>
  <c r="J927" i="4" a="1"/>
  <c r="J935" i="4" a="1"/>
  <c r="J947" i="4" a="1"/>
  <c r="J955" i="4" a="1"/>
  <c r="J963" i="4" a="1"/>
  <c r="J234" i="4" a="1"/>
  <c r="J283" i="4" a="1"/>
  <c r="J302" i="4" a="1"/>
  <c r="J321" i="4" a="1"/>
  <c r="J339" i="4" a="1"/>
  <c r="J355" i="4" a="1"/>
  <c r="J368" i="4" a="1"/>
  <c r="J383" i="4" a="1"/>
  <c r="J398" i="4" a="1"/>
  <c r="J411" i="4" a="1"/>
  <c r="J426" i="4" a="1"/>
  <c r="J440" i="4" a="1"/>
  <c r="J454" i="4" a="1"/>
  <c r="J542" i="4" a="1"/>
  <c r="J550" i="4" a="1"/>
  <c r="J558" i="4" a="1"/>
  <c r="J564" i="4" a="1"/>
  <c r="J571" i="4" a="1"/>
  <c r="J579" i="4" a="1"/>
  <c r="J586" i="4" a="1"/>
  <c r="J592" i="4" a="1"/>
  <c r="J600" i="4" a="1"/>
  <c r="J607" i="4" a="1"/>
  <c r="J614" i="4" a="1"/>
  <c r="J622" i="4" a="1"/>
  <c r="J627" i="4" a="1"/>
  <c r="J632" i="4" a="1"/>
  <c r="J638" i="4" a="1"/>
  <c r="J643" i="4" a="1"/>
  <c r="J648" i="4" a="1"/>
  <c r="J654" i="4" a="1"/>
  <c r="J659" i="4" a="1"/>
  <c r="J664" i="4" a="1"/>
  <c r="J670" i="4" a="1"/>
  <c r="J675" i="4" a="1"/>
  <c r="J680" i="4" a="1"/>
  <c r="J266" i="4" a="1"/>
  <c r="J284" i="4" a="1"/>
  <c r="J303" i="4" a="1"/>
  <c r="J341" i="4" a="1"/>
  <c r="J413" i="4" a="1"/>
  <c r="J441" i="4" a="1"/>
  <c r="J468" i="4" a="1"/>
  <c r="J479" i="4" a="1"/>
  <c r="J490" i="4" a="1"/>
  <c r="J500" i="4" a="1"/>
  <c r="J511" i="4" a="1"/>
  <c r="J522" i="4" a="1"/>
  <c r="J532" i="4" a="1"/>
  <c r="J728" i="4" a="1"/>
  <c r="J733" i="4" a="1"/>
  <c r="J742" i="4" a="1"/>
  <c r="J751" i="4" a="1"/>
  <c r="J760" i="4" a="1"/>
  <c r="J764" i="4" a="1"/>
  <c r="J768" i="4" a="1"/>
  <c r="J772" i="4" a="1"/>
  <c r="J776" i="4" a="1"/>
  <c r="J780" i="4" a="1"/>
  <c r="J784" i="4" a="1"/>
  <c r="J788" i="4" a="1"/>
  <c r="J792" i="4" a="1"/>
  <c r="J796" i="4" a="1"/>
  <c r="J800" i="4" a="1"/>
  <c r="J804" i="4" a="1"/>
  <c r="J239" i="4" a="1"/>
  <c r="J268" i="4" a="1"/>
  <c r="J287" i="4" a="1"/>
  <c r="J325" i="4" a="1"/>
  <c r="J357" i="4" a="1"/>
  <c r="J429" i="4" a="1"/>
  <c r="J457" i="4" a="1"/>
  <c r="J470" i="4" a="1"/>
  <c r="J480" i="4" a="1"/>
  <c r="J491" i="4" a="1"/>
  <c r="J502" i="4" a="1"/>
  <c r="J512" i="4" a="1"/>
  <c r="J523" i="4" a="1"/>
  <c r="J534" i="4" a="1"/>
  <c r="J543" i="4" a="1"/>
  <c r="J552" i="4" a="1"/>
  <c r="J559" i="4" a="1"/>
  <c r="J566" i="4" a="1"/>
  <c r="J574" i="4" a="1"/>
  <c r="J580" i="4" a="1"/>
  <c r="J587" i="4" a="1"/>
  <c r="J595" i="4" a="1"/>
  <c r="J602" i="4" a="1"/>
  <c r="J608" i="4" a="1"/>
  <c r="J616" i="4" a="1"/>
  <c r="J623" i="4" a="1"/>
  <c r="J628" i="4" a="1"/>
  <c r="J634" i="4" a="1"/>
  <c r="J639" i="4" a="1"/>
  <c r="J644" i="4" a="1"/>
  <c r="J650" i="4" a="1"/>
  <c r="J655" i="4" a="1"/>
  <c r="J660" i="4" a="1"/>
  <c r="J666" i="4" a="1"/>
  <c r="J671" i="4" a="1"/>
  <c r="J676" i="4" a="1"/>
  <c r="J682" i="4" a="1"/>
  <c r="J703" i="4" a="1"/>
  <c r="J724" i="4" a="1"/>
  <c r="J808" i="4" a="1"/>
  <c r="J828" i="4" a="1"/>
  <c r="J836" i="4" a="1"/>
  <c r="J844" i="4" a="1"/>
  <c r="J852" i="4" a="1"/>
  <c r="J860" i="4" a="1"/>
  <c r="J868" i="4" a="1"/>
  <c r="J876" i="4" a="1"/>
  <c r="J884" i="4" a="1"/>
  <c r="J892" i="4" a="1"/>
  <c r="J900" i="4" a="1"/>
  <c r="J908" i="4" a="1"/>
  <c r="J916" i="4" a="1"/>
  <c r="J924" i="4" a="1"/>
  <c r="J932" i="4" a="1"/>
  <c r="J940" i="4" a="1"/>
  <c r="J946" i="4" a="1"/>
  <c r="J965" i="4" a="1"/>
  <c r="J971" i="4" a="1"/>
  <c r="J976" i="4" a="1"/>
  <c r="J981" i="4" a="1"/>
  <c r="J987" i="4" a="1"/>
  <c r="J992" i="4" a="1"/>
  <c r="J997" i="4" a="1"/>
  <c r="J1003" i="4" a="1"/>
  <c r="J1008" i="4" a="1"/>
  <c r="J1013" i="4" a="1"/>
  <c r="J1019" i="4" a="1"/>
  <c r="J1024" i="4" a="1"/>
  <c r="J1029" i="4" a="1"/>
  <c r="J1035" i="4" a="1"/>
  <c r="J1040" i="4" a="1"/>
  <c r="J1045" i="4" a="1"/>
  <c r="J1051" i="4" a="1"/>
  <c r="J1056" i="4" a="1"/>
  <c r="J1061" i="4" a="1"/>
  <c r="J1067" i="4" a="1"/>
  <c r="J1072" i="4" a="1"/>
  <c r="J1077" i="4" a="1"/>
  <c r="J1083" i="4" a="1"/>
  <c r="J1088" i="4" a="1"/>
  <c r="J1093" i="4" a="1"/>
  <c r="J1099" i="4" a="1"/>
  <c r="J1104" i="4" a="1"/>
  <c r="J1109" i="4" a="1"/>
  <c r="J1115" i="4" a="1"/>
  <c r="J1120" i="4" a="1"/>
  <c r="J1125" i="4" a="1"/>
  <c r="J1131" i="4" a="1"/>
  <c r="J1136" i="4" a="1"/>
  <c r="J1141" i="4" a="1"/>
  <c r="J1147" i="4" a="1"/>
  <c r="J1152" i="4" a="1"/>
  <c r="J1157" i="4" a="1"/>
  <c r="J1163" i="4" a="1"/>
  <c r="J1168" i="4" a="1"/>
  <c r="J1173" i="4" a="1"/>
  <c r="J1179" i="4" a="1"/>
  <c r="J1184" i="4" a="1"/>
  <c r="J1189" i="4" a="1"/>
  <c r="J1071" i="4" a="1"/>
  <c r="J1113" i="4" a="1"/>
  <c r="J1145" i="4" a="1"/>
  <c r="J1183" i="4" a="1"/>
  <c r="J686" i="4" a="1"/>
  <c r="J707" i="4" a="1"/>
  <c r="J746" i="4" a="1"/>
  <c r="J820" i="4" a="1"/>
  <c r="J953" i="4" a="1"/>
  <c r="J960" i="4" a="1"/>
  <c r="J966" i="4" a="1"/>
  <c r="J982" i="4" a="1"/>
  <c r="J998" i="4" a="1"/>
  <c r="J1014" i="4" a="1"/>
  <c r="J1030" i="4" a="1"/>
  <c r="J1046" i="4" a="1"/>
  <c r="J1062" i="4" a="1"/>
  <c r="J1078" i="4" a="1"/>
  <c r="J1094" i="4" a="1"/>
  <c r="J1110" i="4" a="1"/>
  <c r="J1126" i="4" a="1"/>
  <c r="J1142" i="4" a="1"/>
  <c r="J1158" i="4" a="1"/>
  <c r="J1174" i="4" a="1"/>
  <c r="J1190" i="4" a="1"/>
  <c r="J1039" i="4" a="1"/>
  <c r="J1108" i="4" a="1"/>
  <c r="J1151" i="4" a="1"/>
  <c r="J1188" i="4" a="1"/>
  <c r="J687" i="4" a="1"/>
  <c r="J708" i="4" a="1"/>
  <c r="J729" i="4" a="1"/>
  <c r="J747" i="4" a="1"/>
  <c r="J830" i="4" a="1"/>
  <c r="J838" i="4" a="1"/>
  <c r="J846" i="4" a="1"/>
  <c r="J854" i="4" a="1"/>
  <c r="J862" i="4" a="1"/>
  <c r="J870" i="4" a="1"/>
  <c r="J878" i="4" a="1"/>
  <c r="J886" i="4" a="1"/>
  <c r="J894" i="4" a="1"/>
  <c r="J902" i="4" a="1"/>
  <c r="J910" i="4" a="1"/>
  <c r="J918" i="4" a="1"/>
  <c r="J926" i="4" a="1"/>
  <c r="J934" i="4" a="1"/>
  <c r="J941" i="4" a="1"/>
  <c r="J948" i="4" a="1"/>
  <c r="J954" i="4" a="1"/>
  <c r="J967" i="4" a="1"/>
  <c r="J972" i="4" a="1"/>
  <c r="J977" i="4" a="1"/>
  <c r="J983" i="4" a="1"/>
  <c r="J988" i="4" a="1"/>
  <c r="J993" i="4" a="1"/>
  <c r="J999" i="4" a="1"/>
  <c r="J1004" i="4" a="1"/>
  <c r="J1009" i="4" a="1"/>
  <c r="J1015" i="4" a="1"/>
  <c r="J1020" i="4" a="1"/>
  <c r="J1025" i="4" a="1"/>
  <c r="J1031" i="4" a="1"/>
  <c r="J1036" i="4" a="1"/>
  <c r="J1041" i="4" a="1"/>
  <c r="J1047" i="4" a="1"/>
  <c r="J1052" i="4" a="1"/>
  <c r="J1057" i="4" a="1"/>
  <c r="J1063" i="4" a="1"/>
  <c r="J1068" i="4" a="1"/>
  <c r="J1073" i="4" a="1"/>
  <c r="J1079" i="4" a="1"/>
  <c r="J1084" i="4" a="1"/>
  <c r="J1089" i="4" a="1"/>
  <c r="J1095" i="4" a="1"/>
  <c r="J1100" i="4" a="1"/>
  <c r="J1105" i="4" a="1"/>
  <c r="J1111" i="4" a="1"/>
  <c r="J1116" i="4" a="1"/>
  <c r="J1121" i="4" a="1"/>
  <c r="J1127" i="4" a="1"/>
  <c r="J1132" i="4" a="1"/>
  <c r="J1137" i="4" a="1"/>
  <c r="J1143" i="4" a="1"/>
  <c r="J1148" i="4" a="1"/>
  <c r="J1153" i="4" a="1"/>
  <c r="J1159" i="4" a="1"/>
  <c r="J1164" i="4" a="1"/>
  <c r="J1169" i="4" a="1"/>
  <c r="J1175" i="4" a="1"/>
  <c r="J1180" i="4" a="1"/>
  <c r="J1185" i="4" a="1"/>
  <c r="J1191" i="4" a="1"/>
  <c r="J1155" i="4" a="1"/>
  <c r="J1171" i="4" a="1"/>
  <c r="J1187" i="4" a="1"/>
  <c r="J1118" i="4" a="1"/>
  <c r="J1182" i="4" a="1"/>
  <c r="J985" i="4" a="1"/>
  <c r="J1049" i="4" a="1"/>
  <c r="J1081" i="4" a="1"/>
  <c r="J1129" i="4" a="1"/>
  <c r="J1167" i="4" a="1"/>
  <c r="J691" i="4" a="1"/>
  <c r="J712" i="4" a="1"/>
  <c r="J732" i="4" a="1"/>
  <c r="J812" i="4" a="1"/>
  <c r="J942" i="4" a="1"/>
  <c r="J961" i="4" a="1"/>
  <c r="J978" i="4" a="1"/>
  <c r="J994" i="4" a="1"/>
  <c r="J1010" i="4" a="1"/>
  <c r="J1026" i="4" a="1"/>
  <c r="J1042" i="4" a="1"/>
  <c r="J1058" i="4" a="1"/>
  <c r="J1074" i="4" a="1"/>
  <c r="J1090" i="4" a="1"/>
  <c r="J1106" i="4" a="1"/>
  <c r="J1122" i="4" a="1"/>
  <c r="J1138" i="4" a="1"/>
  <c r="J1154" i="4" a="1"/>
  <c r="J1170" i="4" a="1"/>
  <c r="J1186" i="4" a="1"/>
  <c r="J920" i="4" a="1"/>
  <c r="J962" i="4" a="1"/>
  <c r="J979" i="4" a="1"/>
  <c r="J989" i="4" a="1"/>
  <c r="J1005" i="4" a="1"/>
  <c r="J1016" i="4" a="1"/>
  <c r="J1027" i="4" a="1"/>
  <c r="J1037" i="4" a="1"/>
  <c r="J1048" i="4" a="1"/>
  <c r="J1053" i="4" a="1"/>
  <c r="J1064" i="4" a="1"/>
  <c r="J1075" i="4" a="1"/>
  <c r="J1080" i="4" a="1"/>
  <c r="J1091" i="4" a="1"/>
  <c r="J1096" i="4" a="1"/>
  <c r="J1107" i="4" a="1"/>
  <c r="J1112" i="4" a="1"/>
  <c r="J1123" i="4" a="1"/>
  <c r="J1128" i="4" a="1"/>
  <c r="J1139" i="4" a="1"/>
  <c r="J1149" i="4" a="1"/>
  <c r="J1165" i="4" a="1"/>
  <c r="J1181" i="4" a="1"/>
  <c r="J1192" i="4" a="1"/>
  <c r="J1054" i="4" a="1"/>
  <c r="J1166" i="4" a="1"/>
  <c r="J991" i="4" a="1"/>
  <c r="J1044" i="4" a="1"/>
  <c r="J1076" i="4" a="1"/>
  <c r="J1103" i="4" a="1"/>
  <c r="J1135" i="4" a="1"/>
  <c r="J1172" i="4" a="1"/>
  <c r="J692" i="4" a="1"/>
  <c r="J714" i="4" a="1"/>
  <c r="J824" i="4" a="1"/>
  <c r="J832" i="4" a="1"/>
  <c r="J840" i="4" a="1"/>
  <c r="J848" i="4" a="1"/>
  <c r="J856" i="4" a="1"/>
  <c r="J864" i="4" a="1"/>
  <c r="J872" i="4" a="1"/>
  <c r="J880" i="4" a="1"/>
  <c r="J888" i="4" a="1"/>
  <c r="J896" i="4" a="1"/>
  <c r="J904" i="4" a="1"/>
  <c r="J912" i="4" a="1"/>
  <c r="J928" i="4" a="1"/>
  <c r="J936" i="4" a="1"/>
  <c r="J949" i="4" a="1"/>
  <c r="J956" i="4" a="1"/>
  <c r="J968" i="4" a="1"/>
  <c r="J973" i="4" a="1"/>
  <c r="J984" i="4" a="1"/>
  <c r="J995" i="4" a="1"/>
  <c r="J1000" i="4" a="1"/>
  <c r="J1011" i="4" a="1"/>
  <c r="J1021" i="4" a="1"/>
  <c r="J1032" i="4" a="1"/>
  <c r="J1043" i="4" a="1"/>
  <c r="J1059" i="4" a="1"/>
  <c r="J1069" i="4" a="1"/>
  <c r="J1085" i="4" a="1"/>
  <c r="J1101" i="4" a="1"/>
  <c r="J1117" i="4" a="1"/>
  <c r="J1133" i="4" a="1"/>
  <c r="J1144" i="4" a="1"/>
  <c r="J1160" i="4" a="1"/>
  <c r="J1176" i="4" a="1"/>
  <c r="J1070" i="4" a="1"/>
  <c r="J1102" i="4" a="1"/>
  <c r="J1134" i="4" a="1"/>
  <c r="J980" i="4" a="1"/>
  <c r="J1055" i="4" a="1"/>
  <c r="J1097" i="4" a="1"/>
  <c r="J1124" i="4" a="1"/>
  <c r="J1156" i="4" a="1"/>
  <c r="J1193" i="4" a="1"/>
  <c r="J696" i="4" a="1"/>
  <c r="J718" i="4" a="1"/>
  <c r="J737" i="4" a="1"/>
  <c r="J755" i="4" a="1"/>
  <c r="J944" i="4" a="1"/>
  <c r="J950" i="4" a="1"/>
  <c r="J974" i="4" a="1"/>
  <c r="J990" i="4" a="1"/>
  <c r="J1006" i="4" a="1"/>
  <c r="J1022" i="4" a="1"/>
  <c r="J1038" i="4" a="1"/>
  <c r="J1086" i="4" a="1"/>
  <c r="J1150" i="4" a="1"/>
  <c r="J1001" i="4" a="1"/>
  <c r="J1033" i="4" a="1"/>
  <c r="J1065" i="4" a="1"/>
  <c r="J1087" i="4" a="1"/>
  <c r="J1119" i="4" a="1"/>
  <c r="J1161" i="4" a="1"/>
  <c r="J698" i="4" a="1"/>
  <c r="J719" i="4" a="1"/>
  <c r="J738" i="4" a="1"/>
  <c r="J756" i="4" a="1"/>
  <c r="J816" i="4" a="1"/>
  <c r="J826" i="4" a="1"/>
  <c r="J834" i="4" a="1"/>
  <c r="J842" i="4" a="1"/>
  <c r="J850" i="4" a="1"/>
  <c r="J858" i="4" a="1"/>
  <c r="J866" i="4" a="1"/>
  <c r="J874" i="4" a="1"/>
  <c r="J882" i="4" a="1"/>
  <c r="J890" i="4" a="1"/>
  <c r="J898" i="4" a="1"/>
  <c r="J906" i="4" a="1"/>
  <c r="J914" i="4" a="1"/>
  <c r="J922" i="4" a="1"/>
  <c r="J930" i="4" a="1"/>
  <c r="J938" i="4" a="1"/>
  <c r="J957" i="4" a="1"/>
  <c r="J964" i="4" a="1"/>
  <c r="J969" i="4" a="1"/>
  <c r="J975" i="4" a="1"/>
  <c r="J996" i="4" a="1"/>
  <c r="J1007" i="4" a="1"/>
  <c r="J1012" i="4" a="1"/>
  <c r="J1017" i="4" a="1"/>
  <c r="J1023" i="4" a="1"/>
  <c r="J1028" i="4" a="1"/>
  <c r="J1060" i="4" a="1"/>
  <c r="J1092" i="4" a="1"/>
  <c r="J1140" i="4" a="1"/>
  <c r="J1177" i="4" a="1"/>
  <c r="J702" i="4" a="1"/>
  <c r="J723" i="4" a="1"/>
  <c r="J945" i="4" a="1"/>
  <c r="J952" i="4" a="1"/>
  <c r="J958" i="4" a="1"/>
  <c r="J970" i="4" a="1"/>
  <c r="J986" i="4" a="1"/>
  <c r="J1002" i="4" a="1"/>
  <c r="J1018" i="4" a="1"/>
  <c r="J1034" i="4" a="1"/>
  <c r="J1050" i="4" a="1"/>
  <c r="J1066" i="4" a="1"/>
  <c r="J1082" i="4" a="1"/>
  <c r="J1098" i="4" a="1"/>
  <c r="J1114" i="4" a="1"/>
  <c r="J1130" i="4" a="1"/>
  <c r="J1146" i="4" a="1"/>
  <c r="J1162" i="4" a="1"/>
  <c r="J1178" i="4" a="1"/>
  <c r="J2" i="4" a="1"/>
  <c r="J3" i="2" a="1"/>
  <c r="J7" i="2" a="1"/>
  <c r="J11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99" i="2" a="1"/>
  <c r="J103" i="2" a="1"/>
  <c r="J107" i="2" a="1"/>
  <c r="J111" i="2" a="1"/>
  <c r="J115" i="2" a="1"/>
  <c r="J4" i="2" a="1"/>
  <c r="J8" i="2" a="1"/>
  <c r="J12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88" i="2" a="1"/>
  <c r="J92" i="2" a="1"/>
  <c r="J96" i="2" a="1"/>
  <c r="J100" i="2" a="1"/>
  <c r="J104" i="2" a="1"/>
  <c r="J108" i="2" a="1"/>
  <c r="J112" i="2" a="1"/>
  <c r="J116" i="2" a="1"/>
  <c r="J120" i="2" a="1"/>
  <c r="J124" i="2" a="1"/>
  <c r="J128" i="2" a="1"/>
  <c r="J132" i="2" a="1"/>
  <c r="J136" i="2" a="1"/>
  <c r="J140" i="2" a="1"/>
  <c r="J144" i="2" a="1"/>
  <c r="J148" i="2" a="1"/>
  <c r="J152" i="2" a="1"/>
  <c r="J156" i="2" a="1"/>
  <c r="J160" i="2" a="1"/>
  <c r="J164" i="2" a="1"/>
  <c r="J168" i="2" a="1"/>
  <c r="J172" i="2" a="1"/>
  <c r="J176" i="2" a="1"/>
  <c r="J180" i="2" a="1"/>
  <c r="J184" i="2" a="1"/>
  <c r="J188" i="2" a="1"/>
  <c r="J192" i="2" a="1"/>
  <c r="J196" i="2" a="1"/>
  <c r="J200" i="2" a="1"/>
  <c r="J204" i="2" a="1"/>
  <c r="J208" i="2" a="1"/>
  <c r="J212" i="2" a="1"/>
  <c r="J216" i="2" a="1"/>
  <c r="J220" i="2" a="1"/>
  <c r="J224" i="2" a="1"/>
  <c r="J228" i="2" a="1"/>
  <c r="J232" i="2" a="1"/>
  <c r="J236" i="2" a="1"/>
  <c r="J240" i="2" a="1"/>
  <c r="J244" i="2" a="1"/>
  <c r="J5" i="2" a="1"/>
  <c r="J9" i="2" a="1"/>
  <c r="J13" i="2" a="1"/>
  <c r="J17" i="2" a="1"/>
  <c r="J21" i="2" a="1"/>
  <c r="J25" i="2" a="1"/>
  <c r="J29" i="2" a="1"/>
  <c r="J33" i="2" a="1"/>
  <c r="J37" i="2" a="1"/>
  <c r="J41" i="2" a="1"/>
  <c r="J45" i="2" a="1"/>
  <c r="J49" i="2" a="1"/>
  <c r="J53" i="2" a="1"/>
  <c r="J57" i="2" a="1"/>
  <c r="J61" i="2" a="1"/>
  <c r="J65" i="2" a="1"/>
  <c r="J69" i="2" a="1"/>
  <c r="J73" i="2" a="1"/>
  <c r="J77" i="2" a="1"/>
  <c r="J81" i="2" a="1"/>
  <c r="J85" i="2" a="1"/>
  <c r="J89" i="2" a="1"/>
  <c r="J93" i="2" a="1"/>
  <c r="J97" i="2" a="1"/>
  <c r="J101" i="2" a="1"/>
  <c r="J105" i="2" a="1"/>
  <c r="J109" i="2" a="1"/>
  <c r="J113" i="2" a="1"/>
  <c r="J6" i="2" a="1"/>
  <c r="J10" i="2" a="1"/>
  <c r="J42" i="2" a="1"/>
  <c r="J58" i="2" a="1"/>
  <c r="J74" i="2" a="1"/>
  <c r="J90" i="2" a="1"/>
  <c r="J106" i="2" a="1"/>
  <c r="J246" i="2" a="1"/>
  <c r="J255" i="2" a="1"/>
  <c r="J264" i="2" a="1"/>
  <c r="J269" i="2" a="1"/>
  <c r="J278" i="2" a="1"/>
  <c r="J287" i="2" a="1"/>
  <c r="J296" i="2" a="1"/>
  <c r="J301" i="2" a="1"/>
  <c r="J310" i="2" a="1"/>
  <c r="J319" i="2" a="1"/>
  <c r="J328" i="2" a="1"/>
  <c r="J333" i="2" a="1"/>
  <c r="J342" i="2" a="1"/>
  <c r="J346" i="2" a="1"/>
  <c r="J350" i="2" a="1"/>
  <c r="J354" i="2" a="1"/>
  <c r="J358" i="2" a="1"/>
  <c r="J362" i="2" a="1"/>
  <c r="J366" i="2" a="1"/>
  <c r="J370" i="2" a="1"/>
  <c r="J374" i="2" a="1"/>
  <c r="J378" i="2" a="1"/>
  <c r="J382" i="2" a="1"/>
  <c r="J386" i="2" a="1"/>
  <c r="J390" i="2" a="1"/>
  <c r="J394" i="2" a="1"/>
  <c r="J398" i="2" a="1"/>
  <c r="J402" i="2" a="1"/>
  <c r="J406" i="2" a="1"/>
  <c r="J410" i="2" a="1"/>
  <c r="J414" i="2" a="1"/>
  <c r="J418" i="2" a="1"/>
  <c r="J422" i="2" a="1"/>
  <c r="J426" i="2" a="1"/>
  <c r="J430" i="2" a="1"/>
  <c r="J434" i="2" a="1"/>
  <c r="J438" i="2" a="1"/>
  <c r="J442" i="2" a="1"/>
  <c r="J446" i="2" a="1"/>
  <c r="J14" i="2" a="1"/>
  <c r="J119" i="2" a="1"/>
  <c r="J127" i="2" a="1"/>
  <c r="J135" i="2" a="1"/>
  <c r="J143" i="2" a="1"/>
  <c r="J151" i="2" a="1"/>
  <c r="J159" i="2" a="1"/>
  <c r="J167" i="2" a="1"/>
  <c r="J175" i="2" a="1"/>
  <c r="J183" i="2" a="1"/>
  <c r="J191" i="2" a="1"/>
  <c r="J199" i="2" a="1"/>
  <c r="J207" i="2" a="1"/>
  <c r="J215" i="2" a="1"/>
  <c r="J223" i="2" a="1"/>
  <c r="J231" i="2" a="1"/>
  <c r="J239" i="2" a="1"/>
  <c r="J251" i="2" a="1"/>
  <c r="J260" i="2" a="1"/>
  <c r="J265" i="2" a="1"/>
  <c r="J274" i="2" a="1"/>
  <c r="J283" i="2" a="1"/>
  <c r="J292" i="2" a="1"/>
  <c r="J297" i="2" a="1"/>
  <c r="J306" i="2" a="1"/>
  <c r="J315" i="2" a="1"/>
  <c r="J324" i="2" a="1"/>
  <c r="J329" i="2" a="1"/>
  <c r="J338" i="2" a="1"/>
  <c r="J18" i="2" a="1"/>
  <c r="J46" i="2" a="1"/>
  <c r="J62" i="2" a="1"/>
  <c r="J78" i="2" a="1"/>
  <c r="J94" i="2" a="1"/>
  <c r="J110" i="2" a="1"/>
  <c r="J121" i="2" a="1"/>
  <c r="J129" i="2" a="1"/>
  <c r="J137" i="2" a="1"/>
  <c r="J145" i="2" a="1"/>
  <c r="J153" i="2" a="1"/>
  <c r="J161" i="2" a="1"/>
  <c r="J169" i="2" a="1"/>
  <c r="J177" i="2" a="1"/>
  <c r="J185" i="2" a="1"/>
  <c r="J193" i="2" a="1"/>
  <c r="J201" i="2" a="1"/>
  <c r="J209" i="2" a="1"/>
  <c r="J217" i="2" a="1"/>
  <c r="J225" i="2" a="1"/>
  <c r="J233" i="2" a="1"/>
  <c r="J241" i="2" a="1"/>
  <c r="J247" i="2" a="1"/>
  <c r="J256" i="2" a="1"/>
  <c r="J261" i="2" a="1"/>
  <c r="J270" i="2" a="1"/>
  <c r="J279" i="2" a="1"/>
  <c r="J288" i="2" a="1"/>
  <c r="J293" i="2" a="1"/>
  <c r="J302" i="2" a="1"/>
  <c r="J311" i="2" a="1"/>
  <c r="J320" i="2" a="1"/>
  <c r="J325" i="2" a="1"/>
  <c r="J334" i="2" a="1"/>
  <c r="J343" i="2" a="1"/>
  <c r="J347" i="2" a="1"/>
  <c r="J351" i="2" a="1"/>
  <c r="J355" i="2" a="1"/>
  <c r="J359" i="2" a="1"/>
  <c r="J363" i="2" a="1"/>
  <c r="J367" i="2" a="1"/>
  <c r="J371" i="2" a="1"/>
  <c r="J375" i="2" a="1"/>
  <c r="J379" i="2" a="1"/>
  <c r="J383" i="2" a="1"/>
  <c r="J387" i="2" a="1"/>
  <c r="J391" i="2" a="1"/>
  <c r="J395" i="2" a="1"/>
  <c r="J399" i="2" a="1"/>
  <c r="J403" i="2" a="1"/>
  <c r="J407" i="2" a="1"/>
  <c r="J411" i="2" a="1"/>
  <c r="J415" i="2" a="1"/>
  <c r="J419" i="2" a="1"/>
  <c r="J423" i="2" a="1"/>
  <c r="J427" i="2" a="1"/>
  <c r="J431" i="2" a="1"/>
  <c r="J435" i="2" a="1"/>
  <c r="J439" i="2" a="1"/>
  <c r="J443" i="2" a="1"/>
  <c r="J447" i="2" a="1"/>
  <c r="J451" i="2" a="1"/>
  <c r="J455" i="2" a="1"/>
  <c r="J459" i="2" a="1"/>
  <c r="J463" i="2" a="1"/>
  <c r="J467" i="2" a="1"/>
  <c r="J471" i="2" a="1"/>
  <c r="J475" i="2" a="1"/>
  <c r="J479" i="2" a="1"/>
  <c r="J483" i="2" a="1"/>
  <c r="J487" i="2" a="1"/>
  <c r="J491" i="2" a="1"/>
  <c r="J495" i="2" a="1"/>
  <c r="J499" i="2" a="1"/>
  <c r="J503" i="2" a="1"/>
  <c r="J507" i="2" a="1"/>
  <c r="J511" i="2" a="1"/>
  <c r="J515" i="2" a="1"/>
  <c r="J519" i="2" a="1"/>
  <c r="J523" i="2" a="1"/>
  <c r="J527" i="2" a="1"/>
  <c r="J531" i="2" a="1"/>
  <c r="J535" i="2" a="1"/>
  <c r="J539" i="2" a="1"/>
  <c r="J543" i="2" a="1"/>
  <c r="J547" i="2" a="1"/>
  <c r="J551" i="2" a="1"/>
  <c r="J555" i="2" a="1"/>
  <c r="J559" i="2" a="1"/>
  <c r="J563" i="2" a="1"/>
  <c r="J567" i="2" a="1"/>
  <c r="J571" i="2" a="1"/>
  <c r="J575" i="2" a="1"/>
  <c r="J579" i="2" a="1"/>
  <c r="J583" i="2" a="1"/>
  <c r="J587" i="2" a="1"/>
  <c r="J591" i="2" a="1"/>
  <c r="J595" i="2" a="1"/>
  <c r="J599" i="2" a="1"/>
  <c r="J603" i="2" a="1"/>
  <c r="J607" i="2" a="1"/>
  <c r="J611" i="2" a="1"/>
  <c r="J615" i="2" a="1"/>
  <c r="J619" i="2" a="1"/>
  <c r="J623" i="2" a="1"/>
  <c r="J627" i="2" a="1"/>
  <c r="J631" i="2" a="1"/>
  <c r="J635" i="2" a="1"/>
  <c r="J639" i="2" a="1"/>
  <c r="J643" i="2" a="1"/>
  <c r="J647" i="2" a="1"/>
  <c r="J651" i="2" a="1"/>
  <c r="J655" i="2" a="1"/>
  <c r="J659" i="2" a="1"/>
  <c r="J22" i="2" a="1"/>
  <c r="J122" i="2" a="1"/>
  <c r="J130" i="2" a="1"/>
  <c r="J138" i="2" a="1"/>
  <c r="J146" i="2" a="1"/>
  <c r="J154" i="2" a="1"/>
  <c r="J162" i="2" a="1"/>
  <c r="J170" i="2" a="1"/>
  <c r="J178" i="2" a="1"/>
  <c r="J186" i="2" a="1"/>
  <c r="J194" i="2" a="1"/>
  <c r="J202" i="2" a="1"/>
  <c r="J210" i="2" a="1"/>
  <c r="J218" i="2" a="1"/>
  <c r="J226" i="2" a="1"/>
  <c r="J234" i="2" a="1"/>
  <c r="J242" i="2" a="1"/>
  <c r="J252" i="2" a="1"/>
  <c r="J257" i="2" a="1"/>
  <c r="J266" i="2" a="1"/>
  <c r="J275" i="2" a="1"/>
  <c r="J284" i="2" a="1"/>
  <c r="J289" i="2" a="1"/>
  <c r="J298" i="2" a="1"/>
  <c r="J307" i="2" a="1"/>
  <c r="J316" i="2" a="1"/>
  <c r="J321" i="2" a="1"/>
  <c r="J330" i="2" a="1"/>
  <c r="J339" i="2" a="1"/>
  <c r="J26" i="2" a="1"/>
  <c r="J50" i="2" a="1"/>
  <c r="J66" i="2" a="1"/>
  <c r="J82" i="2" a="1"/>
  <c r="J98" i="2" a="1"/>
  <c r="J114" i="2" a="1"/>
  <c r="J248" i="2" a="1"/>
  <c r="J253" i="2" a="1"/>
  <c r="J262" i="2" a="1"/>
  <c r="J271" i="2" a="1"/>
  <c r="J280" i="2" a="1"/>
  <c r="J285" i="2" a="1"/>
  <c r="J294" i="2" a="1"/>
  <c r="J303" i="2" a="1"/>
  <c r="J312" i="2" a="1"/>
  <c r="J317" i="2" a="1"/>
  <c r="J326" i="2" a="1"/>
  <c r="J335" i="2" a="1"/>
  <c r="J344" i="2" a="1"/>
  <c r="J348" i="2" a="1"/>
  <c r="J352" i="2" a="1"/>
  <c r="J356" i="2" a="1"/>
  <c r="J360" i="2" a="1"/>
  <c r="J364" i="2" a="1"/>
  <c r="J368" i="2" a="1"/>
  <c r="J372" i="2" a="1"/>
  <c r="J376" i="2" a="1"/>
  <c r="J380" i="2" a="1"/>
  <c r="J384" i="2" a="1"/>
  <c r="J388" i="2" a="1"/>
  <c r="J392" i="2" a="1"/>
  <c r="J396" i="2" a="1"/>
  <c r="J400" i="2" a="1"/>
  <c r="J404" i="2" a="1"/>
  <c r="J408" i="2" a="1"/>
  <c r="J412" i="2" a="1"/>
  <c r="J416" i="2" a="1"/>
  <c r="J420" i="2" a="1"/>
  <c r="J424" i="2" a="1"/>
  <c r="J428" i="2" a="1"/>
  <c r="J432" i="2" a="1"/>
  <c r="J436" i="2" a="1"/>
  <c r="J440" i="2" a="1"/>
  <c r="J444" i="2" a="1"/>
  <c r="J30" i="2" a="1"/>
  <c r="J123" i="2" a="1"/>
  <c r="J131" i="2" a="1"/>
  <c r="J139" i="2" a="1"/>
  <c r="J147" i="2" a="1"/>
  <c r="J155" i="2" a="1"/>
  <c r="J163" i="2" a="1"/>
  <c r="J171" i="2" a="1"/>
  <c r="J179" i="2" a="1"/>
  <c r="J187" i="2" a="1"/>
  <c r="J195" i="2" a="1"/>
  <c r="J203" i="2" a="1"/>
  <c r="J211" i="2" a="1"/>
  <c r="J219" i="2" a="1"/>
  <c r="J227" i="2" a="1"/>
  <c r="J235" i="2" a="1"/>
  <c r="J243" i="2" a="1"/>
  <c r="J249" i="2" a="1"/>
  <c r="J258" i="2" a="1"/>
  <c r="J267" i="2" a="1"/>
  <c r="J276" i="2" a="1"/>
  <c r="J281" i="2" a="1"/>
  <c r="J290" i="2" a="1"/>
  <c r="J299" i="2" a="1"/>
  <c r="J308" i="2" a="1"/>
  <c r="J313" i="2" a="1"/>
  <c r="J322" i="2" a="1"/>
  <c r="J331" i="2" a="1"/>
  <c r="J340" i="2" a="1"/>
  <c r="J34" i="2" a="1"/>
  <c r="J54" i="2" a="1"/>
  <c r="J70" i="2" a="1"/>
  <c r="J86" i="2" a="1"/>
  <c r="J102" i="2" a="1"/>
  <c r="J117" i="2" a="1"/>
  <c r="J125" i="2" a="1"/>
  <c r="J133" i="2" a="1"/>
  <c r="J141" i="2" a="1"/>
  <c r="J149" i="2" a="1"/>
  <c r="J157" i="2" a="1"/>
  <c r="J165" i="2" a="1"/>
  <c r="J173" i="2" a="1"/>
  <c r="J181" i="2" a="1"/>
  <c r="J189" i="2" a="1"/>
  <c r="J197" i="2" a="1"/>
  <c r="J205" i="2" a="1"/>
  <c r="J213" i="2" a="1"/>
  <c r="J38" i="2" a="1"/>
  <c r="J118" i="2" a="1"/>
  <c r="J126" i="2" a="1"/>
  <c r="J134" i="2" a="1"/>
  <c r="J142" i="2" a="1"/>
  <c r="J150" i="2" a="1"/>
  <c r="J158" i="2" a="1"/>
  <c r="J166" i="2" a="1"/>
  <c r="J174" i="2" a="1"/>
  <c r="J182" i="2" a="1"/>
  <c r="J190" i="2" a="1"/>
  <c r="J198" i="2" a="1"/>
  <c r="J206" i="2" a="1"/>
  <c r="J214" i="2" a="1"/>
  <c r="J221" i="2" a="1"/>
  <c r="J286" i="2" a="1"/>
  <c r="J304" i="2" a="1"/>
  <c r="J341" i="2" a="1"/>
  <c r="J357" i="2" a="1"/>
  <c r="J373" i="2" a="1"/>
  <c r="J389" i="2" a="1"/>
  <c r="J405" i="2" a="1"/>
  <c r="J452" i="2" a="1"/>
  <c r="J457" i="2" a="1"/>
  <c r="J462" i="2" a="1"/>
  <c r="J468" i="2" a="1"/>
  <c r="J473" i="2" a="1"/>
  <c r="J478" i="2" a="1"/>
  <c r="J484" i="2" a="1"/>
  <c r="J489" i="2" a="1"/>
  <c r="J494" i="2" a="1"/>
  <c r="J500" i="2" a="1"/>
  <c r="J505" i="2" a="1"/>
  <c r="J510" i="2" a="1"/>
  <c r="J516" i="2" a="1"/>
  <c r="J521" i="2" a="1"/>
  <c r="J526" i="2" a="1"/>
  <c r="J532" i="2" a="1"/>
  <c r="J537" i="2" a="1"/>
  <c r="J542" i="2" a="1"/>
  <c r="J548" i="2" a="1"/>
  <c r="J553" i="2" a="1"/>
  <c r="J558" i="2" a="1"/>
  <c r="J564" i="2" a="1"/>
  <c r="J569" i="2" a="1"/>
  <c r="J574" i="2" a="1"/>
  <c r="J580" i="2" a="1"/>
  <c r="J585" i="2" a="1"/>
  <c r="J590" i="2" a="1"/>
  <c r="J596" i="2" a="1"/>
  <c r="J601" i="2" a="1"/>
  <c r="J606" i="2" a="1"/>
  <c r="J612" i="2" a="1"/>
  <c r="J617" i="2" a="1"/>
  <c r="J622" i="2" a="1"/>
  <c r="J628" i="2" a="1"/>
  <c r="J633" i="2" a="1"/>
  <c r="J638" i="2" a="1"/>
  <c r="J644" i="2" a="1"/>
  <c r="J649" i="2" a="1"/>
  <c r="J654" i="2" a="1"/>
  <c r="J660" i="2" a="1"/>
  <c r="J669" i="2" a="1"/>
  <c r="J678" i="2" a="1"/>
  <c r="J687" i="2" a="1"/>
  <c r="J692" i="2" a="1"/>
  <c r="J701" i="2" a="1"/>
  <c r="J222" i="2" a="1"/>
  <c r="J250" i="2" a="1"/>
  <c r="J268" i="2" a="1"/>
  <c r="J305" i="2" a="1"/>
  <c r="J323" i="2" a="1"/>
  <c r="J665" i="2" a="1"/>
  <c r="J674" i="2" a="1"/>
  <c r="J683" i="2" a="1"/>
  <c r="J688" i="2" a="1"/>
  <c r="J697" i="2" a="1"/>
  <c r="J706" i="2" a="1"/>
  <c r="J715" i="2" a="1"/>
  <c r="J720" i="2" a="1"/>
  <c r="J729" i="2" a="1"/>
  <c r="J738" i="2" a="1"/>
  <c r="J229" i="2" a="1"/>
  <c r="J254" i="2" a="1"/>
  <c r="J272" i="2" a="1"/>
  <c r="J309" i="2" a="1"/>
  <c r="J327" i="2" a="1"/>
  <c r="J345" i="2" a="1"/>
  <c r="J361" i="2" a="1"/>
  <c r="J377" i="2" a="1"/>
  <c r="J393" i="2" a="1"/>
  <c r="J448" i="2" a="1"/>
  <c r="J453" i="2" a="1"/>
  <c r="J458" i="2" a="1"/>
  <c r="J464" i="2" a="1"/>
  <c r="J469" i="2" a="1"/>
  <c r="J474" i="2" a="1"/>
  <c r="J480" i="2" a="1"/>
  <c r="J485" i="2" a="1"/>
  <c r="J490" i="2" a="1"/>
  <c r="J496" i="2" a="1"/>
  <c r="J501" i="2" a="1"/>
  <c r="J506" i="2" a="1"/>
  <c r="J512" i="2" a="1"/>
  <c r="J517" i="2" a="1"/>
  <c r="J522" i="2" a="1"/>
  <c r="J528" i="2" a="1"/>
  <c r="J533" i="2" a="1"/>
  <c r="J538" i="2" a="1"/>
  <c r="J544" i="2" a="1"/>
  <c r="J549" i="2" a="1"/>
  <c r="J554" i="2" a="1"/>
  <c r="J560" i="2" a="1"/>
  <c r="J565" i="2" a="1"/>
  <c r="J570" i="2" a="1"/>
  <c r="J576" i="2" a="1"/>
  <c r="J581" i="2" a="1"/>
  <c r="J586" i="2" a="1"/>
  <c r="J592" i="2" a="1"/>
  <c r="J597" i="2" a="1"/>
  <c r="J602" i="2" a="1"/>
  <c r="J608" i="2" a="1"/>
  <c r="J613" i="2" a="1"/>
  <c r="J618" i="2" a="1"/>
  <c r="J624" i="2" a="1"/>
  <c r="J629" i="2" a="1"/>
  <c r="J634" i="2" a="1"/>
  <c r="J640" i="2" a="1"/>
  <c r="J645" i="2" a="1"/>
  <c r="J650" i="2" a="1"/>
  <c r="J656" i="2" a="1"/>
  <c r="J661" i="2" a="1"/>
  <c r="J670" i="2" a="1"/>
  <c r="J679" i="2" a="1"/>
  <c r="J684" i="2" a="1"/>
  <c r="J693" i="2" a="1"/>
  <c r="J702" i="2" a="1"/>
  <c r="J711" i="2" a="1"/>
  <c r="J716" i="2" a="1"/>
  <c r="J725" i="2" a="1"/>
  <c r="J734" i="2" a="1"/>
  <c r="J230" i="2" a="1"/>
  <c r="J273" i="2" a="1"/>
  <c r="J291" i="2" a="1"/>
  <c r="J409" i="2" a="1"/>
  <c r="J417" i="2" a="1"/>
  <c r="J425" i="2" a="1"/>
  <c r="J433" i="2" a="1"/>
  <c r="J441" i="2" a="1"/>
  <c r="J666" i="2" a="1"/>
  <c r="J675" i="2" a="1"/>
  <c r="J680" i="2" a="1"/>
  <c r="J689" i="2" a="1"/>
  <c r="J698" i="2" a="1"/>
  <c r="J707" i="2" a="1"/>
  <c r="J712" i="2" a="1"/>
  <c r="J721" i="2" a="1"/>
  <c r="J730" i="2" a="1"/>
  <c r="J739" i="2" a="1"/>
  <c r="J744" i="2" a="1"/>
  <c r="J753" i="2" a="1"/>
  <c r="J762" i="2" a="1"/>
  <c r="J771" i="2" a="1"/>
  <c r="J776" i="2" a="1"/>
  <c r="J785" i="2" a="1"/>
  <c r="J789" i="2" a="1"/>
  <c r="J793" i="2" a="1"/>
  <c r="J797" i="2" a="1"/>
  <c r="J801" i="2" a="1"/>
  <c r="J805" i="2" a="1"/>
  <c r="J238" i="2" a="1"/>
  <c r="J259" i="2" a="1"/>
  <c r="J314" i="2" a="1"/>
  <c r="J332" i="2" a="1"/>
  <c r="J667" i="2" a="1"/>
  <c r="J672" i="2" a="1"/>
  <c r="J681" i="2" a="1"/>
  <c r="J690" i="2" a="1"/>
  <c r="J699" i="2" a="1"/>
  <c r="J704" i="2" a="1"/>
  <c r="J713" i="2" a="1"/>
  <c r="J722" i="2" a="1"/>
  <c r="J731" i="2" a="1"/>
  <c r="J736" i="2" a="1"/>
  <c r="J745" i="2" a="1"/>
  <c r="J754" i="2" a="1"/>
  <c r="J763" i="2" a="1"/>
  <c r="J768" i="2" a="1"/>
  <c r="J777" i="2" a="1"/>
  <c r="J786" i="2" a="1"/>
  <c r="J790" i="2" a="1"/>
  <c r="J794" i="2" a="1"/>
  <c r="J798" i="2" a="1"/>
  <c r="J802" i="2" a="1"/>
  <c r="J806" i="2" a="1"/>
  <c r="J810" i="2" a="1"/>
  <c r="J814" i="2" a="1"/>
  <c r="J818" i="2" a="1"/>
  <c r="J822" i="2" a="1"/>
  <c r="J826" i="2" a="1"/>
  <c r="J830" i="2" a="1"/>
  <c r="J834" i="2" a="1"/>
  <c r="J838" i="2" a="1"/>
  <c r="J245" i="2" a="1"/>
  <c r="J263" i="2" a="1"/>
  <c r="J318" i="2" a="1"/>
  <c r="J336" i="2" a="1"/>
  <c r="J353" i="2" a="1"/>
  <c r="J369" i="2" a="1"/>
  <c r="J385" i="2" a="1"/>
  <c r="J401" i="2" a="1"/>
  <c r="J450" i="2" a="1"/>
  <c r="J456" i="2" a="1"/>
  <c r="J461" i="2" a="1"/>
  <c r="J466" i="2" a="1"/>
  <c r="J472" i="2" a="1"/>
  <c r="J477" i="2" a="1"/>
  <c r="J482" i="2" a="1"/>
  <c r="J488" i="2" a="1"/>
  <c r="J493" i="2" a="1"/>
  <c r="J498" i="2" a="1"/>
  <c r="J504" i="2" a="1"/>
  <c r="J509" i="2" a="1"/>
  <c r="J514" i="2" a="1"/>
  <c r="J520" i="2" a="1"/>
  <c r="J525" i="2" a="1"/>
  <c r="J530" i="2" a="1"/>
  <c r="J536" i="2" a="1"/>
  <c r="J541" i="2" a="1"/>
  <c r="J546" i="2" a="1"/>
  <c r="J552" i="2" a="1"/>
  <c r="J557" i="2" a="1"/>
  <c r="J562" i="2" a="1"/>
  <c r="J568" i="2" a="1"/>
  <c r="J573" i="2" a="1"/>
  <c r="J578" i="2" a="1"/>
  <c r="J584" i="2" a="1"/>
  <c r="J589" i="2" a="1"/>
  <c r="J594" i="2" a="1"/>
  <c r="J600" i="2" a="1"/>
  <c r="J605" i="2" a="1"/>
  <c r="J610" i="2" a="1"/>
  <c r="J616" i="2" a="1"/>
  <c r="J621" i="2" a="1"/>
  <c r="J626" i="2" a="1"/>
  <c r="J632" i="2" a="1"/>
  <c r="J637" i="2" a="1"/>
  <c r="J642" i="2" a="1"/>
  <c r="J648" i="2" a="1"/>
  <c r="J653" i="2" a="1"/>
  <c r="J658" i="2" a="1"/>
  <c r="J663" i="2" a="1"/>
  <c r="J668" i="2" a="1"/>
  <c r="J677" i="2" a="1"/>
  <c r="J686" i="2" a="1"/>
  <c r="J695" i="2" a="1"/>
  <c r="J700" i="2" a="1"/>
  <c r="J709" i="2" a="1"/>
  <c r="J718" i="2" a="1"/>
  <c r="J727" i="2" a="1"/>
  <c r="J732" i="2" a="1"/>
  <c r="J237" i="2" a="1"/>
  <c r="J381" i="2" a="1"/>
  <c r="J454" i="2" a="1"/>
  <c r="J476" i="2" a="1"/>
  <c r="J497" i="2" a="1"/>
  <c r="J518" i="2" a="1"/>
  <c r="J540" i="2" a="1"/>
  <c r="J561" i="2" a="1"/>
  <c r="J582" i="2" a="1"/>
  <c r="J604" i="2" a="1"/>
  <c r="J625" i="2" a="1"/>
  <c r="J646" i="2" a="1"/>
  <c r="J685" i="2" a="1"/>
  <c r="J703" i="2" a="1"/>
  <c r="J728" i="2" a="1"/>
  <c r="J751" i="2" a="1"/>
  <c r="J757" i="2" a="1"/>
  <c r="J764" i="2" a="1"/>
  <c r="J775" i="2" a="1"/>
  <c r="J782" i="2" a="1"/>
  <c r="J813" i="2" a="1"/>
  <c r="J827" i="2" a="1"/>
  <c r="J836" i="2" a="1"/>
  <c r="J397" i="2" a="1"/>
  <c r="J460" i="2" a="1"/>
  <c r="J481" i="2" a="1"/>
  <c r="J502" i="2" a="1"/>
  <c r="J524" i="2" a="1"/>
  <c r="J545" i="2" a="1"/>
  <c r="J566" i="2" a="1"/>
  <c r="J588" i="2" a="1"/>
  <c r="J609" i="2" a="1"/>
  <c r="J630" i="2" a="1"/>
  <c r="J652" i="2" a="1"/>
  <c r="J671" i="2" a="1"/>
  <c r="J740" i="2" a="1"/>
  <c r="J337" i="2" a="1"/>
  <c r="J437" i="2" a="1"/>
  <c r="J673" i="2" a="1"/>
  <c r="J691" i="2" a="1"/>
  <c r="J708" i="2" a="1"/>
  <c r="J719" i="2" a="1"/>
  <c r="J741" i="2" a="1"/>
  <c r="J747" i="2" a="1"/>
  <c r="J760" i="2" a="1"/>
  <c r="J772" i="2" a="1"/>
  <c r="J778" i="2" a="1"/>
  <c r="J784" i="2" a="1"/>
  <c r="J795" i="2" a="1"/>
  <c r="J800" i="2" a="1"/>
  <c r="J815" i="2" a="1"/>
  <c r="J824" i="2" a="1"/>
  <c r="J833" i="2" a="1"/>
  <c r="J842" i="2" a="1"/>
  <c r="J846" i="2" a="1"/>
  <c r="J850" i="2" a="1"/>
  <c r="J277" i="2" a="1"/>
  <c r="J349" i="2" a="1"/>
  <c r="J465" i="2" a="1"/>
  <c r="J486" i="2" a="1"/>
  <c r="J508" i="2" a="1"/>
  <c r="J529" i="2" a="1"/>
  <c r="J550" i="2" a="1"/>
  <c r="J572" i="2" a="1"/>
  <c r="J593" i="2" a="1"/>
  <c r="J614" i="2" a="1"/>
  <c r="J636" i="2" a="1"/>
  <c r="J657" i="2" a="1"/>
  <c r="J676" i="2" a="1"/>
  <c r="J694" i="2" a="1"/>
  <c r="J733" i="2" a="1"/>
  <c r="J282" i="2" a="1"/>
  <c r="J421" i="2" a="1"/>
  <c r="J682" i="2" a="1"/>
  <c r="J714" i="2" a="1"/>
  <c r="J737" i="2" a="1"/>
  <c r="J750" i="2" a="1"/>
  <c r="J758" i="2" a="1"/>
  <c r="J766" i="2" a="1"/>
  <c r="J774" i="2" a="1"/>
  <c r="J804" i="2" a="1"/>
  <c r="J811" i="2" a="1"/>
  <c r="J823" i="2" a="1"/>
  <c r="J829" i="2" a="1"/>
  <c r="J835" i="2" a="1"/>
  <c r="J841" i="2" a="1"/>
  <c r="J856" i="2" a="1"/>
  <c r="J861" i="2" a="1"/>
  <c r="J870" i="2" a="1"/>
  <c r="J879" i="2" a="1"/>
  <c r="J888" i="2" a="1"/>
  <c r="J893" i="2" a="1"/>
  <c r="J902" i="2" a="1"/>
  <c r="J911" i="2" a="1"/>
  <c r="J920" i="2" a="1"/>
  <c r="J925" i="2" a="1"/>
  <c r="J934" i="2" a="1"/>
  <c r="J943" i="2" a="1"/>
  <c r="J952" i="2" a="1"/>
  <c r="J957" i="2" a="1"/>
  <c r="J966" i="2" a="1"/>
  <c r="J975" i="2" a="1"/>
  <c r="J984" i="2" a="1"/>
  <c r="J989" i="2" a="1"/>
  <c r="J998" i="2" a="1"/>
  <c r="J1007" i="2" a="1"/>
  <c r="J1016" i="2" a="1"/>
  <c r="J1021" i="2" a="1"/>
  <c r="J1030" i="2" a="1"/>
  <c r="J1039" i="2" a="1"/>
  <c r="J1048" i="2" a="1"/>
  <c r="J1053" i="2" a="1"/>
  <c r="J295" i="2" a="1"/>
  <c r="J429" i="2" a="1"/>
  <c r="J717" i="2" a="1"/>
  <c r="J759" i="2" a="1"/>
  <c r="J767" i="2" a="1"/>
  <c r="J783" i="2" a="1"/>
  <c r="J791" i="2" a="1"/>
  <c r="J300" i="2" a="1"/>
  <c r="J445" i="2" a="1"/>
  <c r="J696" i="2" a="1"/>
  <c r="J723" i="2" a="1"/>
  <c r="J742" i="2" a="1"/>
  <c r="J752" i="2" a="1"/>
  <c r="J799" i="2" a="1"/>
  <c r="J812" i="2" a="1"/>
  <c r="J853" i="2" a="1"/>
  <c r="J862" i="2" a="1"/>
  <c r="J871" i="2" a="1"/>
  <c r="J880" i="2" a="1"/>
  <c r="J885" i="2" a="1"/>
  <c r="J894" i="2" a="1"/>
  <c r="J903" i="2" a="1"/>
  <c r="J912" i="2" a="1"/>
  <c r="J917" i="2" a="1"/>
  <c r="J926" i="2" a="1"/>
  <c r="J935" i="2" a="1"/>
  <c r="J944" i="2" a="1"/>
  <c r="J949" i="2" a="1"/>
  <c r="J958" i="2" a="1"/>
  <c r="J967" i="2" a="1"/>
  <c r="J976" i="2" a="1"/>
  <c r="J981" i="2" a="1"/>
  <c r="J990" i="2" a="1"/>
  <c r="J999" i="2" a="1"/>
  <c r="J1008" i="2" a="1"/>
  <c r="J1013" i="2" a="1"/>
  <c r="J1022" i="2" a="1"/>
  <c r="J1031" i="2" a="1"/>
  <c r="J1040" i="2" a="1"/>
  <c r="J1045" i="2" a="1"/>
  <c r="J1054" i="2" a="1"/>
  <c r="J449" i="2" a="1"/>
  <c r="J492" i="2" a="1"/>
  <c r="J534" i="2" a="1"/>
  <c r="J577" i="2" a="1"/>
  <c r="J620" i="2" a="1"/>
  <c r="J662" i="2" a="1"/>
  <c r="J724" i="2" a="1"/>
  <c r="J743" i="2" a="1"/>
  <c r="J761" i="2" a="1"/>
  <c r="J769" i="2" a="1"/>
  <c r="J792" i="2" a="1"/>
  <c r="J807" i="2" a="1"/>
  <c r="J819" i="2" a="1"/>
  <c r="J825" i="2" a="1"/>
  <c r="J831" i="2" a="1"/>
  <c r="J837" i="2" a="1"/>
  <c r="J843" i="2" a="1"/>
  <c r="J848" i="2" a="1"/>
  <c r="J858" i="2" a="1"/>
  <c r="J867" i="2" a="1"/>
  <c r="J876" i="2" a="1"/>
  <c r="J881" i="2" a="1"/>
  <c r="J890" i="2" a="1"/>
  <c r="J899" i="2" a="1"/>
  <c r="J908" i="2" a="1"/>
  <c r="J913" i="2" a="1"/>
  <c r="J922" i="2" a="1"/>
  <c r="J931" i="2" a="1"/>
  <c r="J940" i="2" a="1"/>
  <c r="J945" i="2" a="1"/>
  <c r="J954" i="2" a="1"/>
  <c r="J963" i="2" a="1"/>
  <c r="J972" i="2" a="1"/>
  <c r="J977" i="2" a="1"/>
  <c r="J986" i="2" a="1"/>
  <c r="J995" i="2" a="1"/>
  <c r="J1004" i="2" a="1"/>
  <c r="J1009" i="2" a="1"/>
  <c r="J1018" i="2" a="1"/>
  <c r="J1027" i="2" a="1"/>
  <c r="J1036" i="2" a="1"/>
  <c r="J1041" i="2" a="1"/>
  <c r="J1050" i="2" a="1"/>
  <c r="J1059" i="2" a="1"/>
  <c r="J1063" i="2" a="1"/>
  <c r="J1067" i="2" a="1"/>
  <c r="J1071" i="2" a="1"/>
  <c r="J1075" i="2" a="1"/>
  <c r="J1079" i="2" a="1"/>
  <c r="J1083" i="2" a="1"/>
  <c r="J1087" i="2" a="1"/>
  <c r="J1091" i="2" a="1"/>
  <c r="J1095" i="2" a="1"/>
  <c r="J1099" i="2" a="1"/>
  <c r="J1103" i="2" a="1"/>
  <c r="J1107" i="2" a="1"/>
  <c r="J1111" i="2" a="1"/>
  <c r="J1115" i="2" a="1"/>
  <c r="J1119" i="2" a="1"/>
  <c r="J1123" i="2" a="1"/>
  <c r="J1127" i="2" a="1"/>
  <c r="J1131" i="2" a="1"/>
  <c r="J1135" i="2" a="1"/>
  <c r="J1139" i="2" a="1"/>
  <c r="J1143" i="2" a="1"/>
  <c r="J1147" i="2" a="1"/>
  <c r="J1151" i="2" a="1"/>
  <c r="J1155" i="2" a="1"/>
  <c r="J1159" i="2" a="1"/>
  <c r="J1163" i="2" a="1"/>
  <c r="J1167" i="2" a="1"/>
  <c r="J1171" i="2" a="1"/>
  <c r="J1175" i="2" a="1"/>
  <c r="J1179" i="2" a="1"/>
  <c r="J1183" i="2" a="1"/>
  <c r="J1187" i="2" a="1"/>
  <c r="J1191" i="2" a="1"/>
  <c r="J1195" i="2" a="1"/>
  <c r="J1199" i="2" a="1"/>
  <c r="J1203" i="2" a="1"/>
  <c r="J1207" i="2" a="1"/>
  <c r="J1211" i="2" a="1"/>
  <c r="J1215" i="2" a="1"/>
  <c r="J1219" i="2" a="1"/>
  <c r="J1223" i="2" a="1"/>
  <c r="J1227" i="2" a="1"/>
  <c r="J1231" i="2" a="1"/>
  <c r="J1235" i="2" a="1"/>
  <c r="J1239" i="2" a="1"/>
  <c r="J1243" i="2" a="1"/>
  <c r="J365" i="2" a="1"/>
  <c r="J664" i="2" a="1"/>
  <c r="J726" i="2" a="1"/>
  <c r="J770" i="2" a="1"/>
  <c r="J820" i="2" a="1"/>
  <c r="J832" i="2" a="1"/>
  <c r="J849" i="2" a="1"/>
  <c r="J854" i="2" a="1"/>
  <c r="J863" i="2" a="1"/>
  <c r="J872" i="2" a="1"/>
  <c r="J877" i="2" a="1"/>
  <c r="J886" i="2" a="1"/>
  <c r="J895" i="2" a="1"/>
  <c r="J904" i="2" a="1"/>
  <c r="J909" i="2" a="1"/>
  <c r="J918" i="2" a="1"/>
  <c r="J927" i="2" a="1"/>
  <c r="J936" i="2" a="1"/>
  <c r="J941" i="2" a="1"/>
  <c r="J950" i="2" a="1"/>
  <c r="J959" i="2" a="1"/>
  <c r="J968" i="2" a="1"/>
  <c r="J973" i="2" a="1"/>
  <c r="J982" i="2" a="1"/>
  <c r="J991" i="2" a="1"/>
  <c r="J1000" i="2" a="1"/>
  <c r="J1005" i="2" a="1"/>
  <c r="J1014" i="2" a="1"/>
  <c r="J1023" i="2" a="1"/>
  <c r="J1032" i="2" a="1"/>
  <c r="J1037" i="2" a="1"/>
  <c r="J1046" i="2" a="1"/>
  <c r="J1055" i="2" a="1"/>
  <c r="J705" i="2" a="1"/>
  <c r="J746" i="2" a="1"/>
  <c r="J755" i="2" a="1"/>
  <c r="J779" i="2" a="1"/>
  <c r="J787" i="2" a="1"/>
  <c r="J413" i="2" a="1"/>
  <c r="J710" i="2" a="1"/>
  <c r="J735" i="2" a="1"/>
  <c r="J748" i="2" a="1"/>
  <c r="J756" i="2" a="1"/>
  <c r="J773" i="2" a="1"/>
  <c r="J780" i="2" a="1"/>
  <c r="J470" i="2" a="1"/>
  <c r="J513" i="2" a="1"/>
  <c r="J556" i="2" a="1"/>
  <c r="J598" i="2" a="1"/>
  <c r="J641" i="2" a="1"/>
  <c r="J749" i="2" a="1"/>
  <c r="J809" i="2" a="1"/>
  <c r="J821" i="2" a="1"/>
  <c r="J845" i="2" a="1"/>
  <c r="J855" i="2" a="1"/>
  <c r="J864" i="2" a="1"/>
  <c r="J901" i="2" a="1"/>
  <c r="J910" i="2" a="1"/>
  <c r="J919" i="2" a="1"/>
  <c r="J928" i="2" a="1"/>
  <c r="J965" i="2" a="1"/>
  <c r="J974" i="2" a="1"/>
  <c r="J983" i="2" a="1"/>
  <c r="J992" i="2" a="1"/>
  <c r="J1029" i="2" a="1"/>
  <c r="J1038" i="2" a="1"/>
  <c r="J1047" i="2" a="1"/>
  <c r="J1056" i="2" a="1"/>
  <c r="J1166" i="2" a="1"/>
  <c r="J1172" i="2" a="1"/>
  <c r="J1177" i="2" a="1"/>
  <c r="J1182" i="2" a="1"/>
  <c r="J1188" i="2" a="1"/>
  <c r="J1193" i="2" a="1"/>
  <c r="J1198" i="2" a="1"/>
  <c r="J1204" i="2" a="1"/>
  <c r="J1209" i="2" a="1"/>
  <c r="J1214" i="2" a="1"/>
  <c r="J1220" i="2" a="1"/>
  <c r="J1225" i="2" a="1"/>
  <c r="J1230" i="2" a="1"/>
  <c r="J1236" i="2" a="1"/>
  <c r="J1241" i="2" a="1"/>
  <c r="J1246" i="2" a="1"/>
  <c r="J1251" i="2" a="1"/>
  <c r="J1260" i="2" a="1"/>
  <c r="J1269" i="2" a="1"/>
  <c r="J1278" i="2" a="1"/>
  <c r="J1283" i="2" a="1"/>
  <c r="J1292" i="2" a="1"/>
  <c r="J1301" i="2" a="1"/>
  <c r="J1305" i="2" a="1"/>
  <c r="J1309" i="2" a="1"/>
  <c r="J1313" i="2" a="1"/>
  <c r="J1317" i="2" a="1"/>
  <c r="J1321" i="2" a="1"/>
  <c r="J1325" i="2" a="1"/>
  <c r="J1002" i="2" a="1"/>
  <c r="J1073" i="2" a="1"/>
  <c r="J1097" i="2" a="1"/>
  <c r="J1113" i="2" a="1"/>
  <c r="J1129" i="2" a="1"/>
  <c r="J1145" i="2" a="1"/>
  <c r="J1161" i="2" a="1"/>
  <c r="J1256" i="2" a="1"/>
  <c r="J1265" i="2" a="1"/>
  <c r="J1279" i="2" a="1"/>
  <c r="J1297" i="2" a="1"/>
  <c r="J796" i="2" a="1"/>
  <c r="J865" i="2" a="1"/>
  <c r="J874" i="2" a="1"/>
  <c r="J883" i="2" a="1"/>
  <c r="J892" i="2" a="1"/>
  <c r="J929" i="2" a="1"/>
  <c r="J938" i="2" a="1"/>
  <c r="J947" i="2" a="1"/>
  <c r="J956" i="2" a="1"/>
  <c r="J993" i="2" a="1"/>
  <c r="J1011" i="2" a="1"/>
  <c r="J1020" i="2" a="1"/>
  <c r="J1057" i="2" a="1"/>
  <c r="J1065" i="2" a="1"/>
  <c r="J1081" i="2" a="1"/>
  <c r="J1089" i="2" a="1"/>
  <c r="J1105" i="2" a="1"/>
  <c r="J1121" i="2" a="1"/>
  <c r="J1137" i="2" a="1"/>
  <c r="J1153" i="2" a="1"/>
  <c r="J1247" i="2" a="1"/>
  <c r="J1274" i="2" a="1"/>
  <c r="J1288" i="2" a="1"/>
  <c r="J1264" i="2" a="1"/>
  <c r="J765" i="2" a="1"/>
  <c r="J847" i="2" a="1"/>
  <c r="J857" i="2" a="1"/>
  <c r="J866" i="2" a="1"/>
  <c r="J875" i="2" a="1"/>
  <c r="J884" i="2" a="1"/>
  <c r="J921" i="2" a="1"/>
  <c r="J930" i="2" a="1"/>
  <c r="J939" i="2" a="1"/>
  <c r="J948" i="2" a="1"/>
  <c r="J985" i="2" a="1"/>
  <c r="J994" i="2" a="1"/>
  <c r="J1003" i="2" a="1"/>
  <c r="J1012" i="2" a="1"/>
  <c r="J1049" i="2" a="1"/>
  <c r="J1058" i="2" a="1"/>
  <c r="J1066" i="2" a="1"/>
  <c r="J1074" i="2" a="1"/>
  <c r="J1082" i="2" a="1"/>
  <c r="J1090" i="2" a="1"/>
  <c r="J1098" i="2" a="1"/>
  <c r="J1106" i="2" a="1"/>
  <c r="J1114" i="2" a="1"/>
  <c r="J1122" i="2" a="1"/>
  <c r="J1130" i="2" a="1"/>
  <c r="J1138" i="2" a="1"/>
  <c r="J1146" i="2" a="1"/>
  <c r="J1154" i="2" a="1"/>
  <c r="J1162" i="2" a="1"/>
  <c r="J1168" i="2" a="1"/>
  <c r="J1173" i="2" a="1"/>
  <c r="J1178" i="2" a="1"/>
  <c r="J1184" i="2" a="1"/>
  <c r="J1189" i="2" a="1"/>
  <c r="J1194" i="2" a="1"/>
  <c r="J1200" i="2" a="1"/>
  <c r="J1205" i="2" a="1"/>
  <c r="J1210" i="2" a="1"/>
  <c r="J1216" i="2" a="1"/>
  <c r="J1221" i="2" a="1"/>
  <c r="J1226" i="2" a="1"/>
  <c r="J1232" i="2" a="1"/>
  <c r="J1237" i="2" a="1"/>
  <c r="J1242" i="2" a="1"/>
  <c r="J1252" i="2" a="1"/>
  <c r="J1261" i="2" a="1"/>
  <c r="J1270" i="2" a="1"/>
  <c r="J1275" i="2" a="1"/>
  <c r="J1284" i="2" a="1"/>
  <c r="J1293" i="2" a="1"/>
  <c r="J1302" i="2" a="1"/>
  <c r="J1306" i="2" a="1"/>
  <c r="J1310" i="2" a="1"/>
  <c r="J1314" i="2" a="1"/>
  <c r="J1318" i="2" a="1"/>
  <c r="J1322" i="2" a="1"/>
  <c r="J1326" i="2" a="1"/>
  <c r="J1044" i="2" a="1"/>
  <c r="J1134" i="2" a="1"/>
  <c r="J1170" i="2" a="1"/>
  <c r="J1192" i="2" a="1"/>
  <c r="J1224" i="2" a="1"/>
  <c r="J1277" i="2" a="1"/>
  <c r="J1300" i="2" a="1"/>
  <c r="J1316" i="2" a="1"/>
  <c r="J1250" i="2" a="1"/>
  <c r="J839" i="2" a="1"/>
  <c r="J859" i="2" a="1"/>
  <c r="J868" i="2" a="1"/>
  <c r="J905" i="2" a="1"/>
  <c r="J914" i="2" a="1"/>
  <c r="J923" i="2" a="1"/>
  <c r="J932" i="2" a="1"/>
  <c r="J969" i="2" a="1"/>
  <c r="J978" i="2" a="1"/>
  <c r="J987" i="2" a="1"/>
  <c r="J996" i="2" a="1"/>
  <c r="J1033" i="2" a="1"/>
  <c r="J1042" i="2" a="1"/>
  <c r="J1051" i="2" a="1"/>
  <c r="J1060" i="2" a="1"/>
  <c r="J1068" i="2" a="1"/>
  <c r="J1076" i="2" a="1"/>
  <c r="J1084" i="2" a="1"/>
  <c r="J1092" i="2" a="1"/>
  <c r="J1100" i="2" a="1"/>
  <c r="J1108" i="2" a="1"/>
  <c r="J1116" i="2" a="1"/>
  <c r="J1124" i="2" a="1"/>
  <c r="J1132" i="2" a="1"/>
  <c r="J1140" i="2" a="1"/>
  <c r="J1148" i="2" a="1"/>
  <c r="J1156" i="2" a="1"/>
  <c r="J1248" i="2" a="1"/>
  <c r="J1257" i="2" a="1"/>
  <c r="J1266" i="2" a="1"/>
  <c r="J1271" i="2" a="1"/>
  <c r="J1280" i="2" a="1"/>
  <c r="J1289" i="2" a="1"/>
  <c r="J1298" i="2" a="1"/>
  <c r="J1315" i="2" a="1"/>
  <c r="J1323" i="2" a="1"/>
  <c r="J788" i="2" a="1"/>
  <c r="J828" i="2" a="1"/>
  <c r="J851" i="2" a="1"/>
  <c r="J906" i="2" a="1"/>
  <c r="J924" i="2" a="1"/>
  <c r="J970" i="2" a="1"/>
  <c r="J988" i="2" a="1"/>
  <c r="J1034" i="2" a="1"/>
  <c r="J1052" i="2" a="1"/>
  <c r="J1069" i="2" a="1"/>
  <c r="J1093" i="2" a="1"/>
  <c r="J1109" i="2" a="1"/>
  <c r="J1125" i="2" a="1"/>
  <c r="J1141" i="2" a="1"/>
  <c r="J1157" i="2" a="1"/>
  <c r="J1258" i="2" a="1"/>
  <c r="J1272" i="2" a="1"/>
  <c r="J1290" i="2" a="1"/>
  <c r="J1062" i="2" a="1"/>
  <c r="J1118" i="2" a="1"/>
  <c r="J1158" i="2" a="1"/>
  <c r="J1186" i="2" a="1"/>
  <c r="J1202" i="2" a="1"/>
  <c r="J1229" i="2" a="1"/>
  <c r="J1254" i="2" a="1"/>
  <c r="J1286" i="2" a="1"/>
  <c r="J1312" i="2" a="1"/>
  <c r="J1328" i="2" a="1"/>
  <c r="J1255" i="2" a="1"/>
  <c r="J1296" i="2" a="1"/>
  <c r="J781" i="2" a="1"/>
  <c r="J869" i="2" a="1"/>
  <c r="J878" i="2" a="1"/>
  <c r="J887" i="2" a="1"/>
  <c r="J896" i="2" a="1"/>
  <c r="J933" i="2" a="1"/>
  <c r="J942" i="2" a="1"/>
  <c r="J951" i="2" a="1"/>
  <c r="J960" i="2" a="1"/>
  <c r="J997" i="2" a="1"/>
  <c r="J1006" i="2" a="1"/>
  <c r="J1015" i="2" a="1"/>
  <c r="J1024" i="2" a="1"/>
  <c r="J1164" i="2" a="1"/>
  <c r="J1169" i="2" a="1"/>
  <c r="J1174" i="2" a="1"/>
  <c r="J1180" i="2" a="1"/>
  <c r="J1185" i="2" a="1"/>
  <c r="J1190" i="2" a="1"/>
  <c r="J1196" i="2" a="1"/>
  <c r="J1201" i="2" a="1"/>
  <c r="J1206" i="2" a="1"/>
  <c r="J1212" i="2" a="1"/>
  <c r="J1217" i="2" a="1"/>
  <c r="J1222" i="2" a="1"/>
  <c r="J1228" i="2" a="1"/>
  <c r="J1233" i="2" a="1"/>
  <c r="J1238" i="2" a="1"/>
  <c r="J1244" i="2" a="1"/>
  <c r="J1253" i="2" a="1"/>
  <c r="J1262" i="2" a="1"/>
  <c r="J1267" i="2" a="1"/>
  <c r="J1276" i="2" a="1"/>
  <c r="J1285" i="2" a="1"/>
  <c r="J1294" i="2" a="1"/>
  <c r="J1299" i="2" a="1"/>
  <c r="J1303" i="2" a="1"/>
  <c r="J1307" i="2" a="1"/>
  <c r="J1311" i="2" a="1"/>
  <c r="J1319" i="2" a="1"/>
  <c r="J1327" i="2" a="1"/>
  <c r="J803" i="2" a="1"/>
  <c r="J816" i="2" a="1"/>
  <c r="J840" i="2" a="1"/>
  <c r="J897" i="2" a="1"/>
  <c r="J915" i="2" a="1"/>
  <c r="J961" i="2" a="1"/>
  <c r="J979" i="2" a="1"/>
  <c r="J1025" i="2" a="1"/>
  <c r="J1043" i="2" a="1"/>
  <c r="J1061" i="2" a="1"/>
  <c r="J1077" i="2" a="1"/>
  <c r="J1101" i="2" a="1"/>
  <c r="J1117" i="2" a="1"/>
  <c r="J1133" i="2" a="1"/>
  <c r="J1149" i="2" a="1"/>
  <c r="J1249" i="2" a="1"/>
  <c r="J1263" i="2" a="1"/>
  <c r="J1281" i="2" a="1"/>
  <c r="J1295" i="2" a="1"/>
  <c r="J1070" i="2" a="1"/>
  <c r="J1110" i="2" a="1"/>
  <c r="J1150" i="2" a="1"/>
  <c r="J1176" i="2" a="1"/>
  <c r="J1197" i="2" a="1"/>
  <c r="J1218" i="2" a="1"/>
  <c r="J1234" i="2" a="1"/>
  <c r="J1259" i="2" a="1"/>
  <c r="J1304" i="2" a="1"/>
  <c r="J1320" i="2" a="1"/>
  <c r="J1160" i="2" a="1"/>
  <c r="J1282" i="2" a="1"/>
  <c r="J860" i="2" a="1"/>
  <c r="J1085" i="2" a="1"/>
  <c r="J1086" i="2" a="1"/>
  <c r="J1142" i="2" a="1"/>
  <c r="J1181" i="2" a="1"/>
  <c r="J1213" i="2" a="1"/>
  <c r="J1240" i="2" a="1"/>
  <c r="J1268" i="2" a="1"/>
  <c r="J1308" i="2" a="1"/>
  <c r="J1152" i="2" a="1"/>
  <c r="J1287" i="2" a="1"/>
  <c r="J817" i="2" a="1"/>
  <c r="J852" i="2" a="1"/>
  <c r="J889" i="2" a="1"/>
  <c r="J898" i="2" a="1"/>
  <c r="J907" i="2" a="1"/>
  <c r="J916" i="2" a="1"/>
  <c r="J953" i="2" a="1"/>
  <c r="J962" i="2" a="1"/>
  <c r="J971" i="2" a="1"/>
  <c r="J980" i="2" a="1"/>
  <c r="J1017" i="2" a="1"/>
  <c r="J1026" i="2" a="1"/>
  <c r="J1035" i="2" a="1"/>
  <c r="J1078" i="2" a="1"/>
  <c r="J1094" i="2" a="1"/>
  <c r="J1102" i="2" a="1"/>
  <c r="J1126" i="2" a="1"/>
  <c r="J1165" i="2" a="1"/>
  <c r="J1208" i="2" a="1"/>
  <c r="J1245" i="2" a="1"/>
  <c r="J1291" i="2" a="1"/>
  <c r="J1324" i="2" a="1"/>
  <c r="J1273" i="2" a="1"/>
  <c r="J808" i="2" a="1"/>
  <c r="J844" i="2" a="1"/>
  <c r="J873" i="2" a="1"/>
  <c r="J882" i="2" a="1"/>
  <c r="J891" i="2" a="1"/>
  <c r="J900" i="2" a="1"/>
  <c r="J937" i="2" a="1"/>
  <c r="J946" i="2" a="1"/>
  <c r="J955" i="2" a="1"/>
  <c r="J964" i="2" a="1"/>
  <c r="J1001" i="2" a="1"/>
  <c r="J1010" i="2" a="1"/>
  <c r="J1019" i="2" a="1"/>
  <c r="J1028" i="2" a="1"/>
  <c r="J1064" i="2" a="1"/>
  <c r="J1072" i="2" a="1"/>
  <c r="J1080" i="2" a="1"/>
  <c r="J1088" i="2" a="1"/>
  <c r="J1096" i="2" a="1"/>
  <c r="J1104" i="2" a="1"/>
  <c r="J1112" i="2" a="1"/>
  <c r="J1120" i="2" a="1"/>
  <c r="J1128" i="2" a="1"/>
  <c r="J1136" i="2" a="1"/>
  <c r="J1144" i="2" a="1"/>
  <c r="J2" i="2" a="1"/>
  <c r="K3" i="7" a="1"/>
  <c r="K7" i="7" a="1"/>
  <c r="K11" i="7" a="1"/>
  <c r="K15" i="7" a="1"/>
  <c r="K19" i="7" a="1"/>
  <c r="K23" i="7" a="1"/>
  <c r="K27" i="7" a="1"/>
  <c r="K31" i="7" a="1"/>
  <c r="K35" i="7" a="1"/>
  <c r="K39" i="7" a="1"/>
  <c r="K43" i="7" a="1"/>
  <c r="K47" i="7" a="1"/>
  <c r="K51" i="7" a="1"/>
  <c r="K55" i="7" a="1"/>
  <c r="K59" i="7" a="1"/>
  <c r="K63" i="7" a="1"/>
  <c r="K67" i="7" a="1"/>
  <c r="K71" i="7" a="1"/>
  <c r="K75" i="7" a="1"/>
  <c r="K79" i="7" a="1"/>
  <c r="K83" i="7" a="1"/>
  <c r="K87" i="7" a="1"/>
  <c r="K91" i="7" a="1"/>
  <c r="K95" i="7" a="1"/>
  <c r="K99" i="7" a="1"/>
  <c r="K103" i="7" a="1"/>
  <c r="K107" i="7" a="1"/>
  <c r="K111" i="7" a="1"/>
  <c r="K115" i="7" a="1"/>
  <c r="K119" i="7" a="1"/>
  <c r="K123" i="7" a="1"/>
  <c r="K127" i="7" a="1"/>
  <c r="K131" i="7" a="1"/>
  <c r="K135" i="7" a="1"/>
  <c r="K139" i="7" a="1"/>
  <c r="K143" i="7" a="1"/>
  <c r="K147" i="7" a="1"/>
  <c r="K151" i="7" a="1"/>
  <c r="K155" i="7" a="1"/>
  <c r="K159" i="7" a="1"/>
  <c r="K163" i="7" a="1"/>
  <c r="K167" i="7" a="1"/>
  <c r="K171" i="7" a="1"/>
  <c r="K175" i="7" a="1"/>
  <c r="K179" i="7" a="1"/>
  <c r="K183" i="7" a="1"/>
  <c r="K187" i="7" a="1"/>
  <c r="K191" i="7" a="1"/>
  <c r="K195" i="7" a="1"/>
  <c r="K199" i="7" a="1"/>
  <c r="K203" i="7" a="1"/>
  <c r="K207" i="7" a="1"/>
  <c r="K211" i="7" a="1"/>
  <c r="K215" i="7" a="1"/>
  <c r="K219" i="7" a="1"/>
  <c r="K223" i="7" a="1"/>
  <c r="K227" i="7" a="1"/>
  <c r="K231" i="7" a="1"/>
  <c r="K235" i="7" a="1"/>
  <c r="K239" i="7" a="1"/>
  <c r="K243" i="7" a="1"/>
  <c r="K247" i="7" a="1"/>
  <c r="K251" i="7" a="1"/>
  <c r="K255" i="7" a="1"/>
  <c r="K259" i="7" a="1"/>
  <c r="K263" i="7" a="1"/>
  <c r="K267" i="7" a="1"/>
  <c r="K4" i="7" a="1"/>
  <c r="K5" i="7" a="1"/>
  <c r="K9" i="7" a="1"/>
  <c r="K13" i="7" a="1"/>
  <c r="K17" i="7" a="1"/>
  <c r="K21" i="7" a="1"/>
  <c r="K25" i="7" a="1"/>
  <c r="K29" i="7" a="1"/>
  <c r="K33" i="7" a="1"/>
  <c r="K37" i="7" a="1"/>
  <c r="K41" i="7" a="1"/>
  <c r="K45" i="7" a="1"/>
  <c r="K49" i="7" a="1"/>
  <c r="K53" i="7" a="1"/>
  <c r="K57" i="7" a="1"/>
  <c r="K61" i="7" a="1"/>
  <c r="K65" i="7" a="1"/>
  <c r="K69" i="7" a="1"/>
  <c r="K73" i="7" a="1"/>
  <c r="K77" i="7" a="1"/>
  <c r="K81" i="7" a="1"/>
  <c r="K85" i="7" a="1"/>
  <c r="K89" i="7" a="1"/>
  <c r="K93" i="7" a="1"/>
  <c r="K97" i="7" a="1"/>
  <c r="K101" i="7" a="1"/>
  <c r="K105" i="7" a="1"/>
  <c r="K109" i="7" a="1"/>
  <c r="K113" i="7" a="1"/>
  <c r="K117" i="7" a="1"/>
  <c r="K121" i="7" a="1"/>
  <c r="K125" i="7" a="1"/>
  <c r="K129" i="7" a="1"/>
  <c r="K133" i="7" a="1"/>
  <c r="K137" i="7" a="1"/>
  <c r="K141" i="7" a="1"/>
  <c r="K145" i="7" a="1"/>
  <c r="K149" i="7" a="1"/>
  <c r="K153" i="7" a="1"/>
  <c r="K157" i="7" a="1"/>
  <c r="K161" i="7" a="1"/>
  <c r="K165" i="7" a="1"/>
  <c r="K169" i="7" a="1"/>
  <c r="K173" i="7" a="1"/>
  <c r="K177" i="7" a="1"/>
  <c r="K181" i="7" a="1"/>
  <c r="K185" i="7" a="1"/>
  <c r="K6" i="7" a="1"/>
  <c r="K18" i="7" a="1"/>
  <c r="K28" i="7" a="1"/>
  <c r="K50" i="7" a="1"/>
  <c r="K60" i="7" a="1"/>
  <c r="K82" i="7" a="1"/>
  <c r="K92" i="7" a="1"/>
  <c r="K114" i="7" a="1"/>
  <c r="K124" i="7" a="1"/>
  <c r="K146" i="7" a="1"/>
  <c r="K156" i="7" a="1"/>
  <c r="K178" i="7" a="1"/>
  <c r="K188" i="7" a="1"/>
  <c r="K196" i="7" a="1"/>
  <c r="K204" i="7" a="1"/>
  <c r="K212" i="7" a="1"/>
  <c r="K220" i="7" a="1"/>
  <c r="K228" i="7" a="1"/>
  <c r="K236" i="7" a="1"/>
  <c r="K244" i="7" a="1"/>
  <c r="K252" i="7" a="1"/>
  <c r="K260" i="7" a="1"/>
  <c r="K268" i="7" a="1"/>
  <c r="K281" i="7" a="1"/>
  <c r="K287" i="7" a="1"/>
  <c r="K294" i="7" a="1"/>
  <c r="K300" i="7" a="1"/>
  <c r="K313" i="7" a="1"/>
  <c r="K319" i="7" a="1"/>
  <c r="K326" i="7" a="1"/>
  <c r="K332" i="7" a="1"/>
  <c r="K344" i="7" a="1"/>
  <c r="K348" i="7" a="1"/>
  <c r="K352" i="7" a="1"/>
  <c r="K356" i="7" a="1"/>
  <c r="K360" i="7" a="1"/>
  <c r="K364" i="7" a="1"/>
  <c r="K368" i="7" a="1"/>
  <c r="K372" i="7" a="1"/>
  <c r="K376" i="7" a="1"/>
  <c r="K380" i="7" a="1"/>
  <c r="K384" i="7" a="1"/>
  <c r="K388" i="7" a="1"/>
  <c r="K392" i="7" a="1"/>
  <c r="K396" i="7" a="1"/>
  <c r="K400" i="7" a="1"/>
  <c r="K404" i="7" a="1"/>
  <c r="K408" i="7" a="1"/>
  <c r="K8" i="7" a="1"/>
  <c r="K30" i="7" a="1"/>
  <c r="K40" i="7" a="1"/>
  <c r="K62" i="7" a="1"/>
  <c r="K72" i="7" a="1"/>
  <c r="K94" i="7" a="1"/>
  <c r="K104" i="7" a="1"/>
  <c r="K126" i="7" a="1"/>
  <c r="K136" i="7" a="1"/>
  <c r="K158" i="7" a="1"/>
  <c r="K168" i="7" a="1"/>
  <c r="K189" i="7" a="1"/>
  <c r="K197" i="7" a="1"/>
  <c r="K205" i="7" a="1"/>
  <c r="K213" i="7" a="1"/>
  <c r="K221" i="7" a="1"/>
  <c r="K229" i="7" a="1"/>
  <c r="K237" i="7" a="1"/>
  <c r="K245" i="7" a="1"/>
  <c r="K253" i="7" a="1"/>
  <c r="K261" i="7" a="1"/>
  <c r="K10" i="7" a="1"/>
  <c r="K22" i="7" a="1"/>
  <c r="K32" i="7" a="1"/>
  <c r="K54" i="7" a="1"/>
  <c r="K64" i="7" a="1"/>
  <c r="K86" i="7" a="1"/>
  <c r="K96" i="7" a="1"/>
  <c r="K118" i="7" a="1"/>
  <c r="K128" i="7" a="1"/>
  <c r="K150" i="7" a="1"/>
  <c r="K160" i="7" a="1"/>
  <c r="K182" i="7" a="1"/>
  <c r="K277" i="7" a="1"/>
  <c r="K283" i="7" a="1"/>
  <c r="K290" i="7" a="1"/>
  <c r="K296" i="7" a="1"/>
  <c r="K309" i="7" a="1"/>
  <c r="K315" i="7" a="1"/>
  <c r="K322" i="7" a="1"/>
  <c r="K328" i="7" a="1"/>
  <c r="K341" i="7" a="1"/>
  <c r="K12" i="7" a="1"/>
  <c r="K34" i="7" a="1"/>
  <c r="K44" i="7" a="1"/>
  <c r="K66" i="7" a="1"/>
  <c r="K76" i="7" a="1"/>
  <c r="K98" i="7" a="1"/>
  <c r="K108" i="7" a="1"/>
  <c r="K130" i="7" a="1"/>
  <c r="K140" i="7" a="1"/>
  <c r="K162" i="7" a="1"/>
  <c r="K172" i="7" a="1"/>
  <c r="K192" i="7" a="1"/>
  <c r="K200" i="7" a="1"/>
  <c r="K208" i="7" a="1"/>
  <c r="K216" i="7" a="1"/>
  <c r="K224" i="7" a="1"/>
  <c r="K232" i="7" a="1"/>
  <c r="K240" i="7" a="1"/>
  <c r="K248" i="7" a="1"/>
  <c r="K256" i="7" a="1"/>
  <c r="K264" i="7" a="1"/>
  <c r="K271" i="7" a="1"/>
  <c r="K278" i="7" a="1"/>
  <c r="K284" i="7" a="1"/>
  <c r="K297" i="7" a="1"/>
  <c r="K303" i="7" a="1"/>
  <c r="K310" i="7" a="1"/>
  <c r="K316" i="7" a="1"/>
  <c r="K14" i="7" a="1"/>
  <c r="K24" i="7" a="1"/>
  <c r="K46" i="7" a="1"/>
  <c r="K56" i="7" a="1"/>
  <c r="K78" i="7" a="1"/>
  <c r="K88" i="7" a="1"/>
  <c r="K110" i="7" a="1"/>
  <c r="K120" i="7" a="1"/>
  <c r="K142" i="7" a="1"/>
  <c r="K152" i="7" a="1"/>
  <c r="K174" i="7" a="1"/>
  <c r="K184" i="7" a="1"/>
  <c r="K193" i="7" a="1"/>
  <c r="K201" i="7" a="1"/>
  <c r="K209" i="7" a="1"/>
  <c r="K217" i="7" a="1"/>
  <c r="K225" i="7" a="1"/>
  <c r="K233" i="7" a="1"/>
  <c r="K241" i="7" a="1"/>
  <c r="K249" i="7" a="1"/>
  <c r="K257" i="7" a="1"/>
  <c r="K265" i="7" a="1"/>
  <c r="K272" i="7" a="1"/>
  <c r="K285" i="7" a="1"/>
  <c r="K291" i="7" a="1"/>
  <c r="K298" i="7" a="1"/>
  <c r="K304" i="7" a="1"/>
  <c r="K317" i="7" a="1"/>
  <c r="K323" i="7" a="1"/>
  <c r="K330" i="7" a="1"/>
  <c r="K336" i="7" a="1"/>
  <c r="K42" i="7" a="1"/>
  <c r="K70" i="7" a="1"/>
  <c r="K100" i="7" a="1"/>
  <c r="K186" i="7" a="1"/>
  <c r="K206" i="7" a="1"/>
  <c r="K250" i="7" a="1"/>
  <c r="K269" i="7" a="1"/>
  <c r="K282" i="7" a="1"/>
  <c r="K307" i="7" a="1"/>
  <c r="K320" i="7" a="1"/>
  <c r="K340" i="7" a="1"/>
  <c r="K354" i="7" a="1"/>
  <c r="K367" i="7" a="1"/>
  <c r="K373" i="7" a="1"/>
  <c r="K386" i="7" a="1"/>
  <c r="K399" i="7" a="1"/>
  <c r="K405" i="7" a="1"/>
  <c r="K422" i="7" a="1"/>
  <c r="K438" i="7" a="1"/>
  <c r="K454" i="7" a="1"/>
  <c r="K470" i="7" a="1"/>
  <c r="K486" i="7" a="1"/>
  <c r="K502" i="7" a="1"/>
  <c r="K518" i="7" a="1"/>
  <c r="K534" i="7" a="1"/>
  <c r="K550" i="7" a="1"/>
  <c r="K566" i="7" a="1"/>
  <c r="K571" i="7" a="1"/>
  <c r="K580" i="7" a="1"/>
  <c r="K584" i="7" a="1"/>
  <c r="K588" i="7" a="1"/>
  <c r="K592" i="7" a="1"/>
  <c r="K596" i="7" a="1"/>
  <c r="K600" i="7" a="1"/>
  <c r="K604" i="7" a="1"/>
  <c r="K608" i="7" a="1"/>
  <c r="K612" i="7" a="1"/>
  <c r="K616" i="7" a="1"/>
  <c r="K620" i="7" a="1"/>
  <c r="K624" i="7" a="1"/>
  <c r="K628" i="7" a="1"/>
  <c r="K632" i="7" a="1"/>
  <c r="K636" i="7" a="1"/>
  <c r="K640" i="7" a="1"/>
  <c r="K644" i="7" a="1"/>
  <c r="K648" i="7" a="1"/>
  <c r="K652" i="7" a="1"/>
  <c r="K656" i="7" a="1"/>
  <c r="K660" i="7" a="1"/>
  <c r="K664" i="7" a="1"/>
  <c r="K668" i="7" a="1"/>
  <c r="K672" i="7" a="1"/>
  <c r="K676" i="7" a="1"/>
  <c r="K680" i="7" a="1"/>
  <c r="K684" i="7" a="1"/>
  <c r="K688" i="7" a="1"/>
  <c r="K692" i="7" a="1"/>
  <c r="K696" i="7" a="1"/>
  <c r="K700" i="7" a="1"/>
  <c r="K704" i="7" a="1"/>
  <c r="K708" i="7" a="1"/>
  <c r="K712" i="7" a="1"/>
  <c r="K716" i="7" a="1"/>
  <c r="K720" i="7" a="1"/>
  <c r="K724" i="7" a="1"/>
  <c r="K728" i="7" a="1"/>
  <c r="K732" i="7" a="1"/>
  <c r="K736" i="7" a="1"/>
  <c r="K740" i="7" a="1"/>
  <c r="K744" i="7" a="1"/>
  <c r="K748" i="7" a="1"/>
  <c r="K752" i="7" a="1"/>
  <c r="K756" i="7" a="1"/>
  <c r="K760" i="7" a="1"/>
  <c r="K764" i="7" a="1"/>
  <c r="K768" i="7" a="1"/>
  <c r="K772" i="7" a="1"/>
  <c r="K776" i="7" a="1"/>
  <c r="K780" i="7" a="1"/>
  <c r="K784" i="7" a="1"/>
  <c r="K788" i="7" a="1"/>
  <c r="K16" i="7" a="1"/>
  <c r="K74" i="7" a="1"/>
  <c r="K102" i="7" a="1"/>
  <c r="K132" i="7" a="1"/>
  <c r="K210" i="7" a="1"/>
  <c r="K230" i="7" a="1"/>
  <c r="K270" i="7" a="1"/>
  <c r="K295" i="7" a="1"/>
  <c r="K308" i="7" a="1"/>
  <c r="K321" i="7" a="1"/>
  <c r="K331" i="7" a="1"/>
  <c r="K342" i="7" a="1"/>
  <c r="K355" i="7" a="1"/>
  <c r="K361" i="7" a="1"/>
  <c r="K374" i="7" a="1"/>
  <c r="K387" i="7" a="1"/>
  <c r="K393" i="7" a="1"/>
  <c r="K406" i="7" a="1"/>
  <c r="K412" i="7" a="1"/>
  <c r="K417" i="7" a="1"/>
  <c r="K423" i="7" a="1"/>
  <c r="K428" i="7" a="1"/>
  <c r="K433" i="7" a="1"/>
  <c r="K439" i="7" a="1"/>
  <c r="K444" i="7" a="1"/>
  <c r="K449" i="7" a="1"/>
  <c r="K455" i="7" a="1"/>
  <c r="K460" i="7" a="1"/>
  <c r="K465" i="7" a="1"/>
  <c r="K471" i="7" a="1"/>
  <c r="K476" i="7" a="1"/>
  <c r="K481" i="7" a="1"/>
  <c r="K487" i="7" a="1"/>
  <c r="K492" i="7" a="1"/>
  <c r="K497" i="7" a="1"/>
  <c r="K503" i="7" a="1"/>
  <c r="K508" i="7" a="1"/>
  <c r="K513" i="7" a="1"/>
  <c r="K519" i="7" a="1"/>
  <c r="K524" i="7" a="1"/>
  <c r="K529" i="7" a="1"/>
  <c r="K535" i="7" a="1"/>
  <c r="K540" i="7" a="1"/>
  <c r="K545" i="7" a="1"/>
  <c r="K551" i="7" a="1"/>
  <c r="K556" i="7" a="1"/>
  <c r="K561" i="7" a="1"/>
  <c r="K567" i="7" a="1"/>
  <c r="K576" i="7" a="1"/>
  <c r="K20" i="7" a="1"/>
  <c r="K48" i="7" a="1"/>
  <c r="K106" i="7" a="1"/>
  <c r="K134" i="7" a="1"/>
  <c r="K164" i="7" a="1"/>
  <c r="K190" i="7" a="1"/>
  <c r="K234" i="7" a="1"/>
  <c r="K254" i="7" a="1"/>
  <c r="K273" i="7" a="1"/>
  <c r="K286" i="7" a="1"/>
  <c r="K311" i="7" a="1"/>
  <c r="K333" i="7" a="1"/>
  <c r="K343" i="7" a="1"/>
  <c r="K349" i="7" a="1"/>
  <c r="K362" i="7" a="1"/>
  <c r="K375" i="7" a="1"/>
  <c r="K381" i="7" a="1"/>
  <c r="K394" i="7" a="1"/>
  <c r="K407" i="7" a="1"/>
  <c r="K418" i="7" a="1"/>
  <c r="K434" i="7" a="1"/>
  <c r="K450" i="7" a="1"/>
  <c r="K466" i="7" a="1"/>
  <c r="K482" i="7" a="1"/>
  <c r="K498" i="7" a="1"/>
  <c r="K514" i="7" a="1"/>
  <c r="K530" i="7" a="1"/>
  <c r="K546" i="7" a="1"/>
  <c r="K562" i="7" a="1"/>
  <c r="K572" i="7" a="1"/>
  <c r="K581" i="7" a="1"/>
  <c r="K585" i="7" a="1"/>
  <c r="K589" i="7" a="1"/>
  <c r="K593" i="7" a="1"/>
  <c r="K597" i="7" a="1"/>
  <c r="K601" i="7" a="1"/>
  <c r="K605" i="7" a="1"/>
  <c r="K609" i="7" a="1"/>
  <c r="K613" i="7" a="1"/>
  <c r="K617" i="7" a="1"/>
  <c r="K621" i="7" a="1"/>
  <c r="K625" i="7" a="1"/>
  <c r="K629" i="7" a="1"/>
  <c r="K633" i="7" a="1"/>
  <c r="K637" i="7" a="1"/>
  <c r="K641" i="7" a="1"/>
  <c r="K645" i="7" a="1"/>
  <c r="K649" i="7" a="1"/>
  <c r="K653" i="7" a="1"/>
  <c r="K657" i="7" a="1"/>
  <c r="K661" i="7" a="1"/>
  <c r="K665" i="7" a="1"/>
  <c r="K669" i="7" a="1"/>
  <c r="K673" i="7" a="1"/>
  <c r="K677" i="7" a="1"/>
  <c r="K681" i="7" a="1"/>
  <c r="K685" i="7" a="1"/>
  <c r="K689" i="7" a="1"/>
  <c r="K693" i="7" a="1"/>
  <c r="K697" i="7" a="1"/>
  <c r="K701" i="7" a="1"/>
  <c r="K705" i="7" a="1"/>
  <c r="K709" i="7" a="1"/>
  <c r="K713" i="7" a="1"/>
  <c r="K717" i="7" a="1"/>
  <c r="K721" i="7" a="1"/>
  <c r="K725" i="7" a="1"/>
  <c r="K729" i="7" a="1"/>
  <c r="K733" i="7" a="1"/>
  <c r="K737" i="7" a="1"/>
  <c r="K741" i="7" a="1"/>
  <c r="K745" i="7" a="1"/>
  <c r="K749" i="7" a="1"/>
  <c r="K753" i="7" a="1"/>
  <c r="K757" i="7" a="1"/>
  <c r="K761" i="7" a="1"/>
  <c r="K765" i="7" a="1"/>
  <c r="K769" i="7" a="1"/>
  <c r="K773" i="7" a="1"/>
  <c r="K777" i="7" a="1"/>
  <c r="K781" i="7" a="1"/>
  <c r="K785" i="7" a="1"/>
  <c r="K789" i="7" a="1"/>
  <c r="K26" i="7" a="1"/>
  <c r="K52" i="7" a="1"/>
  <c r="K80" i="7" a="1"/>
  <c r="K138" i="7" a="1"/>
  <c r="K166" i="7" a="1"/>
  <c r="K194" i="7" a="1"/>
  <c r="K214" i="7" a="1"/>
  <c r="K258" i="7" a="1"/>
  <c r="K274" i="7" a="1"/>
  <c r="K299" i="7" a="1"/>
  <c r="K312" i="7" a="1"/>
  <c r="K324" i="7" a="1"/>
  <c r="K334" i="7" a="1"/>
  <c r="K350" i="7" a="1"/>
  <c r="K363" i="7" a="1"/>
  <c r="K369" i="7" a="1"/>
  <c r="K382" i="7" a="1"/>
  <c r="K395" i="7" a="1"/>
  <c r="K401" i="7" a="1"/>
  <c r="K413" i="7" a="1"/>
  <c r="K419" i="7" a="1"/>
  <c r="K424" i="7" a="1"/>
  <c r="K429" i="7" a="1"/>
  <c r="K435" i="7" a="1"/>
  <c r="K440" i="7" a="1"/>
  <c r="K445" i="7" a="1"/>
  <c r="K451" i="7" a="1"/>
  <c r="K456" i="7" a="1"/>
  <c r="K461" i="7" a="1"/>
  <c r="K467" i="7" a="1"/>
  <c r="K472" i="7" a="1"/>
  <c r="K477" i="7" a="1"/>
  <c r="K483" i="7" a="1"/>
  <c r="K488" i="7" a="1"/>
  <c r="K493" i="7" a="1"/>
  <c r="K499" i="7" a="1"/>
  <c r="K504" i="7" a="1"/>
  <c r="K509" i="7" a="1"/>
  <c r="K515" i="7" a="1"/>
  <c r="K520" i="7" a="1"/>
  <c r="K525" i="7" a="1"/>
  <c r="K531" i="7" a="1"/>
  <c r="K536" i="7" a="1"/>
  <c r="K541" i="7" a="1"/>
  <c r="K547" i="7" a="1"/>
  <c r="K552" i="7" a="1"/>
  <c r="K557" i="7" a="1"/>
  <c r="K563" i="7" a="1"/>
  <c r="K568" i="7" a="1"/>
  <c r="K577" i="7" a="1"/>
  <c r="K58" i="7" a="1"/>
  <c r="K84" i="7" a="1"/>
  <c r="K112" i="7" a="1"/>
  <c r="K170" i="7" a="1"/>
  <c r="K218" i="7" a="1"/>
  <c r="K238" i="7" a="1"/>
  <c r="K275" i="7" a="1"/>
  <c r="K288" i="7" a="1"/>
  <c r="K301" i="7" a="1"/>
  <c r="K314" i="7" a="1"/>
  <c r="K325" i="7" a="1"/>
  <c r="K335" i="7" a="1"/>
  <c r="K351" i="7" a="1"/>
  <c r="K357" i="7" a="1"/>
  <c r="K370" i="7" a="1"/>
  <c r="K383" i="7" a="1"/>
  <c r="K389" i="7" a="1"/>
  <c r="K402" i="7" a="1"/>
  <c r="K414" i="7" a="1"/>
  <c r="K430" i="7" a="1"/>
  <c r="K446" i="7" a="1"/>
  <c r="K462" i="7" a="1"/>
  <c r="K478" i="7" a="1"/>
  <c r="K494" i="7" a="1"/>
  <c r="K510" i="7" a="1"/>
  <c r="K526" i="7" a="1"/>
  <c r="K542" i="7" a="1"/>
  <c r="K558" i="7" a="1"/>
  <c r="K573" i="7" a="1"/>
  <c r="K578" i="7" a="1"/>
  <c r="K582" i="7" a="1"/>
  <c r="K586" i="7" a="1"/>
  <c r="K590" i="7" a="1"/>
  <c r="K594" i="7" a="1"/>
  <c r="K598" i="7" a="1"/>
  <c r="K602" i="7" a="1"/>
  <c r="K606" i="7" a="1"/>
  <c r="K610" i="7" a="1"/>
  <c r="K614" i="7" a="1"/>
  <c r="K618" i="7" a="1"/>
  <c r="K622" i="7" a="1"/>
  <c r="K626" i="7" a="1"/>
  <c r="K630" i="7" a="1"/>
  <c r="K634" i="7" a="1"/>
  <c r="K638" i="7" a="1"/>
  <c r="K642" i="7" a="1"/>
  <c r="K646" i="7" a="1"/>
  <c r="K650" i="7" a="1"/>
  <c r="K654" i="7" a="1"/>
  <c r="K658" i="7" a="1"/>
  <c r="K662" i="7" a="1"/>
  <c r="K666" i="7" a="1"/>
  <c r="K670" i="7" a="1"/>
  <c r="K674" i="7" a="1"/>
  <c r="K678" i="7" a="1"/>
  <c r="K682" i="7" a="1"/>
  <c r="K686" i="7" a="1"/>
  <c r="K690" i="7" a="1"/>
  <c r="K694" i="7" a="1"/>
  <c r="K698" i="7" a="1"/>
  <c r="K702" i="7" a="1"/>
  <c r="K706" i="7" a="1"/>
  <c r="K710" i="7" a="1"/>
  <c r="K714" i="7" a="1"/>
  <c r="K718" i="7" a="1"/>
  <c r="K722" i="7" a="1"/>
  <c r="K726" i="7" a="1"/>
  <c r="K730" i="7" a="1"/>
  <c r="K734" i="7" a="1"/>
  <c r="K738" i="7" a="1"/>
  <c r="K742" i="7" a="1"/>
  <c r="K746" i="7" a="1"/>
  <c r="K750" i="7" a="1"/>
  <c r="K754" i="7" a="1"/>
  <c r="K758" i="7" a="1"/>
  <c r="K762" i="7" a="1"/>
  <c r="K766" i="7" a="1"/>
  <c r="K770" i="7" a="1"/>
  <c r="K774" i="7" a="1"/>
  <c r="K778" i="7" a="1"/>
  <c r="K90" i="7" a="1"/>
  <c r="K116" i="7" a="1"/>
  <c r="K144" i="7" a="1"/>
  <c r="K198" i="7" a="1"/>
  <c r="K242" i="7" a="1"/>
  <c r="K262" i="7" a="1"/>
  <c r="K36" i="7" a="1"/>
  <c r="K122" i="7" a="1"/>
  <c r="K148" i="7" a="1"/>
  <c r="K176" i="7" a="1"/>
  <c r="K202" i="7" a="1"/>
  <c r="K222" i="7" a="1"/>
  <c r="K266" i="7" a="1"/>
  <c r="K38" i="7" a="1"/>
  <c r="K246" i="7" a="1"/>
  <c r="K302" i="7" a="1"/>
  <c r="K329" i="7" a="1"/>
  <c r="K371" i="7" a="1"/>
  <c r="K385" i="7" a="1"/>
  <c r="K420" i="7" a="1"/>
  <c r="K432" i="7" a="1"/>
  <c r="K463" i="7" a="1"/>
  <c r="K475" i="7" a="1"/>
  <c r="K490" i="7" a="1"/>
  <c r="K505" i="7" a="1"/>
  <c r="K517" i="7" a="1"/>
  <c r="K548" i="7" a="1"/>
  <c r="K560" i="7" a="1"/>
  <c r="K607" i="7" a="1"/>
  <c r="K639" i="7" a="1"/>
  <c r="K671" i="7" a="1"/>
  <c r="K703" i="7" a="1"/>
  <c r="K735" i="7" a="1"/>
  <c r="K767" i="7" a="1"/>
  <c r="K786" i="7" a="1"/>
  <c r="K796" i="7" a="1"/>
  <c r="K805" i="7" a="1"/>
  <c r="K810" i="7" a="1"/>
  <c r="K819" i="7" a="1"/>
  <c r="K828" i="7" a="1"/>
  <c r="K837" i="7" a="1"/>
  <c r="K305" i="7" a="1"/>
  <c r="K337" i="7" a="1"/>
  <c r="K353" i="7" a="1"/>
  <c r="K390" i="7" a="1"/>
  <c r="K436" i="7" a="1"/>
  <c r="K448" i="7" a="1"/>
  <c r="K479" i="7" a="1"/>
  <c r="K491" i="7" a="1"/>
  <c r="K506" i="7" a="1"/>
  <c r="K521" i="7" a="1"/>
  <c r="K533" i="7" a="1"/>
  <c r="K564" i="7" a="1"/>
  <c r="K575" i="7" a="1"/>
  <c r="K587" i="7" a="1"/>
  <c r="K619" i="7" a="1"/>
  <c r="K651" i="7" a="1"/>
  <c r="K683" i="7" a="1"/>
  <c r="K715" i="7" a="1"/>
  <c r="K747" i="7" a="1"/>
  <c r="K779" i="7" a="1"/>
  <c r="K792" i="7" a="1"/>
  <c r="K801" i="7" a="1"/>
  <c r="K806" i="7" a="1"/>
  <c r="K815" i="7" a="1"/>
  <c r="K824" i="7" a="1"/>
  <c r="K833" i="7" a="1"/>
  <c r="K838" i="7" a="1"/>
  <c r="K459" i="7" a="1"/>
  <c r="K659" i="7" a="1"/>
  <c r="K809" i="7" a="1"/>
  <c r="K68" i="7" a="1"/>
  <c r="K276" i="7" a="1"/>
  <c r="K306" i="7" a="1"/>
  <c r="K338" i="7" a="1"/>
  <c r="K358" i="7" a="1"/>
  <c r="K391" i="7" a="1"/>
  <c r="K409" i="7" a="1"/>
  <c r="K421" i="7" a="1"/>
  <c r="K452" i="7" a="1"/>
  <c r="K464" i="7" a="1"/>
  <c r="K495" i="7" a="1"/>
  <c r="K507" i="7" a="1"/>
  <c r="K522" i="7" a="1"/>
  <c r="K537" i="7" a="1"/>
  <c r="K549" i="7" a="1"/>
  <c r="K599" i="7" a="1"/>
  <c r="K631" i="7" a="1"/>
  <c r="K663" i="7" a="1"/>
  <c r="K695" i="7" a="1"/>
  <c r="K727" i="7" a="1"/>
  <c r="K759" i="7" a="1"/>
  <c r="K787" i="7" a="1"/>
  <c r="K797" i="7" a="1"/>
  <c r="K802" i="7" a="1"/>
  <c r="K811" i="7" a="1"/>
  <c r="K820" i="7" a="1"/>
  <c r="K829" i="7" a="1"/>
  <c r="K834" i="7" a="1"/>
  <c r="K825" i="7" a="1"/>
  <c r="K839" i="7" a="1"/>
  <c r="K347" i="7" a="1"/>
  <c r="K485" i="7" a="1"/>
  <c r="K559" i="7" a="1"/>
  <c r="K615" i="7" a="1"/>
  <c r="K775" i="7" a="1"/>
  <c r="K818" i="7" a="1"/>
  <c r="K293" i="7" a="1"/>
  <c r="K366" i="7" a="1"/>
  <c r="K489" i="7" a="1"/>
  <c r="K574" i="7" a="1"/>
  <c r="K627" i="7" a="1"/>
  <c r="K723" i="7" a="1"/>
  <c r="K832" i="7" a="1"/>
  <c r="K279" i="7" a="1"/>
  <c r="K339" i="7" a="1"/>
  <c r="K359" i="7" a="1"/>
  <c r="K377" i="7" a="1"/>
  <c r="K410" i="7" a="1"/>
  <c r="K425" i="7" a="1"/>
  <c r="K437" i="7" a="1"/>
  <c r="K468" i="7" a="1"/>
  <c r="K480" i="7" a="1"/>
  <c r="K511" i="7" a="1"/>
  <c r="K523" i="7" a="1"/>
  <c r="K538" i="7" a="1"/>
  <c r="K553" i="7" a="1"/>
  <c r="K565" i="7" a="1"/>
  <c r="K579" i="7" a="1"/>
  <c r="K611" i="7" a="1"/>
  <c r="K643" i="7" a="1"/>
  <c r="K675" i="7" a="1"/>
  <c r="K707" i="7" a="1"/>
  <c r="K739" i="7" a="1"/>
  <c r="K771" i="7" a="1"/>
  <c r="K782" i="7" a="1"/>
  <c r="K793" i="7" a="1"/>
  <c r="K798" i="7" a="1"/>
  <c r="K807" i="7" a="1"/>
  <c r="K816" i="7" a="1"/>
  <c r="K830" i="7" a="1"/>
  <c r="K443" i="7" a="1"/>
  <c r="K528" i="7" a="1"/>
  <c r="K679" i="7" a="1"/>
  <c r="K743" i="7" a="1"/>
  <c r="K795" i="7" a="1"/>
  <c r="K836" i="7" a="1"/>
  <c r="K403" i="7" a="1"/>
  <c r="K474" i="7" a="1"/>
  <c r="K800" i="7" a="1"/>
  <c r="K154" i="7" a="1"/>
  <c r="K280" i="7" a="1"/>
  <c r="K318" i="7" a="1"/>
  <c r="K345" i="7" a="1"/>
  <c r="K378" i="7" a="1"/>
  <c r="K411" i="7" a="1"/>
  <c r="K426" i="7" a="1"/>
  <c r="K441" i="7" a="1"/>
  <c r="K453" i="7" a="1"/>
  <c r="K484" i="7" a="1"/>
  <c r="K496" i="7" a="1"/>
  <c r="K527" i="7" a="1"/>
  <c r="K539" i="7" a="1"/>
  <c r="K554" i="7" a="1"/>
  <c r="K569" i="7" a="1"/>
  <c r="K591" i="7" a="1"/>
  <c r="K623" i="7" a="1"/>
  <c r="K655" i="7" a="1"/>
  <c r="K687" i="7" a="1"/>
  <c r="K719" i="7" a="1"/>
  <c r="K751" i="7" a="1"/>
  <c r="K794" i="7" a="1"/>
  <c r="K803" i="7" a="1"/>
  <c r="K812" i="7" a="1"/>
  <c r="K821" i="7" a="1"/>
  <c r="K826" i="7" a="1"/>
  <c r="K835" i="7" a="1"/>
  <c r="K840" i="7" a="1"/>
  <c r="K292" i="7" a="1"/>
  <c r="K431" i="7" a="1"/>
  <c r="K473" i="7" a="1"/>
  <c r="K813" i="7" a="1"/>
  <c r="K327" i="7" a="1"/>
  <c r="K447" i="7" a="1"/>
  <c r="K544" i="7" a="1"/>
  <c r="K755" i="7" a="1"/>
  <c r="K814" i="7" a="1"/>
  <c r="K180" i="7" a="1"/>
  <c r="K289" i="7" a="1"/>
  <c r="K346" i="7" a="1"/>
  <c r="K379" i="7" a="1"/>
  <c r="K397" i="7" a="1"/>
  <c r="K415" i="7" a="1"/>
  <c r="K427" i="7" a="1"/>
  <c r="K442" i="7" a="1"/>
  <c r="K457" i="7" a="1"/>
  <c r="K469" i="7" a="1"/>
  <c r="K500" i="7" a="1"/>
  <c r="K512" i="7" a="1"/>
  <c r="K543" i="7" a="1"/>
  <c r="K555" i="7" a="1"/>
  <c r="K570" i="7" a="1"/>
  <c r="K603" i="7" a="1"/>
  <c r="K635" i="7" a="1"/>
  <c r="K667" i="7" a="1"/>
  <c r="K699" i="7" a="1"/>
  <c r="K731" i="7" a="1"/>
  <c r="K763" i="7" a="1"/>
  <c r="K783" i="7" a="1"/>
  <c r="K790" i="7" a="1"/>
  <c r="K799" i="7" a="1"/>
  <c r="K808" i="7" a="1"/>
  <c r="K817" i="7" a="1"/>
  <c r="K822" i="7" a="1"/>
  <c r="K831" i="7" a="1"/>
  <c r="K365" i="7" a="1"/>
  <c r="K398" i="7" a="1"/>
  <c r="K458" i="7" a="1"/>
  <c r="K516" i="7" a="1"/>
  <c r="K583" i="7" a="1"/>
  <c r="K647" i="7" a="1"/>
  <c r="K711" i="7" a="1"/>
  <c r="K804" i="7" a="1"/>
  <c r="K827" i="7" a="1"/>
  <c r="K226" i="7" a="1"/>
  <c r="K416" i="7" a="1"/>
  <c r="K501" i="7" a="1"/>
  <c r="K532" i="7" a="1"/>
  <c r="K595" i="7" a="1"/>
  <c r="K691" i="7" a="1"/>
  <c r="K791" i="7" a="1"/>
  <c r="K823" i="7" a="1"/>
  <c r="K2" i="7" a="1"/>
  <c r="K3" i="8" a="1"/>
  <c r="K7" i="8" a="1"/>
  <c r="K11" i="8" a="1"/>
  <c r="K15" i="8" a="1"/>
  <c r="K19" i="8" a="1"/>
  <c r="K23" i="8" a="1"/>
  <c r="K27" i="8" a="1"/>
  <c r="K31" i="8" a="1"/>
  <c r="K35" i="8" a="1"/>
  <c r="K39" i="8" a="1"/>
  <c r="K43" i="8" a="1"/>
  <c r="K47" i="8" a="1"/>
  <c r="K51" i="8" a="1"/>
  <c r="K55" i="8" a="1"/>
  <c r="K59" i="8" a="1"/>
  <c r="K63" i="8" a="1"/>
  <c r="K67" i="8" a="1"/>
  <c r="K71" i="8" a="1"/>
  <c r="K75" i="8" a="1"/>
  <c r="K79" i="8" a="1"/>
  <c r="K83" i="8" a="1"/>
  <c r="K87" i="8" a="1"/>
  <c r="K91" i="8" a="1"/>
  <c r="K95" i="8" a="1"/>
  <c r="K99" i="8" a="1"/>
  <c r="K103" i="8" a="1"/>
  <c r="K107" i="8" a="1"/>
  <c r="K111" i="8" a="1"/>
  <c r="K115" i="8" a="1"/>
  <c r="K119" i="8" a="1"/>
  <c r="K123" i="8" a="1"/>
  <c r="K127" i="8" a="1"/>
  <c r="K131" i="8" a="1"/>
  <c r="K135" i="8" a="1"/>
  <c r="K139" i="8" a="1"/>
  <c r="K143" i="8" a="1"/>
  <c r="K147" i="8" a="1"/>
  <c r="K151" i="8" a="1"/>
  <c r="K155" i="8" a="1"/>
  <c r="K159" i="8" a="1"/>
  <c r="K163" i="8" a="1"/>
  <c r="K167" i="8" a="1"/>
  <c r="K171" i="8" a="1"/>
  <c r="K175" i="8" a="1"/>
  <c r="K179" i="8" a="1"/>
  <c r="K183" i="8" a="1"/>
  <c r="K187" i="8" a="1"/>
  <c r="K191" i="8" a="1"/>
  <c r="K195" i="8" a="1"/>
  <c r="K199" i="8" a="1"/>
  <c r="K203" i="8" a="1"/>
  <c r="K207" i="8" a="1"/>
  <c r="K211" i="8" a="1"/>
  <c r="K215" i="8" a="1"/>
  <c r="K4" i="8" a="1"/>
  <c r="K8" i="8" a="1"/>
  <c r="K12" i="8" a="1"/>
  <c r="K16" i="8" a="1"/>
  <c r="K20" i="8" a="1"/>
  <c r="K24" i="8" a="1"/>
  <c r="K28" i="8" a="1"/>
  <c r="K32" i="8" a="1"/>
  <c r="K36" i="8" a="1"/>
  <c r="K40" i="8" a="1"/>
  <c r="K44" i="8" a="1"/>
  <c r="K48" i="8" a="1"/>
  <c r="K52" i="8" a="1"/>
  <c r="K56" i="8" a="1"/>
  <c r="K60" i="8" a="1"/>
  <c r="K64" i="8" a="1"/>
  <c r="K68" i="8" a="1"/>
  <c r="K72" i="8" a="1"/>
  <c r="K76" i="8" a="1"/>
  <c r="K80" i="8" a="1"/>
  <c r="K84" i="8" a="1"/>
  <c r="K88" i="8" a="1"/>
  <c r="K92" i="8" a="1"/>
  <c r="K5" i="8" a="1"/>
  <c r="K9" i="8" a="1"/>
  <c r="K13" i="8" a="1"/>
  <c r="K17" i="8" a="1"/>
  <c r="K21" i="8" a="1"/>
  <c r="K25" i="8" a="1"/>
  <c r="K29" i="8" a="1"/>
  <c r="K33" i="8" a="1"/>
  <c r="K37" i="8" a="1"/>
  <c r="K41" i="8" a="1"/>
  <c r="K45" i="8" a="1"/>
  <c r="K49" i="8" a="1"/>
  <c r="K53" i="8" a="1"/>
  <c r="K57" i="8" a="1"/>
  <c r="K61" i="8" a="1"/>
  <c r="K65" i="8" a="1"/>
  <c r="K69" i="8" a="1"/>
  <c r="K73" i="8" a="1"/>
  <c r="K77" i="8" a="1"/>
  <c r="K81" i="8" a="1"/>
  <c r="K85" i="8" a="1"/>
  <c r="K89" i="8" a="1"/>
  <c r="K93" i="8" a="1"/>
  <c r="K6" i="8" a="1"/>
  <c r="K22" i="8" a="1"/>
  <c r="K38" i="8" a="1"/>
  <c r="K54" i="8" a="1"/>
  <c r="K70" i="8" a="1"/>
  <c r="K86" i="8" a="1"/>
  <c r="K98" i="8" a="1"/>
  <c r="K106" i="8" a="1"/>
  <c r="K114" i="8" a="1"/>
  <c r="K122" i="8" a="1"/>
  <c r="K130" i="8" a="1"/>
  <c r="K138" i="8" a="1"/>
  <c r="K146" i="8" a="1"/>
  <c r="K154" i="8" a="1"/>
  <c r="K162" i="8" a="1"/>
  <c r="K170" i="8" a="1"/>
  <c r="K178" i="8" a="1"/>
  <c r="K186" i="8" a="1"/>
  <c r="K194" i="8" a="1"/>
  <c r="K202" i="8" a="1"/>
  <c r="K210" i="8" a="1"/>
  <c r="K218" i="8" a="1"/>
  <c r="K224" i="8" a="1"/>
  <c r="K237" i="8" a="1"/>
  <c r="K243" i="8" a="1"/>
  <c r="K250" i="8" a="1"/>
  <c r="K256" i="8" a="1"/>
  <c r="K268" i="8" a="1"/>
  <c r="K284" i="8" a="1"/>
  <c r="K300" i="8" a="1"/>
  <c r="K316" i="8" a="1"/>
  <c r="K332" i="8" a="1"/>
  <c r="K225" i="8" a="1"/>
  <c r="K231" i="8" a="1"/>
  <c r="K238" i="8" a="1"/>
  <c r="K244" i="8" a="1"/>
  <c r="K257" i="8" a="1"/>
  <c r="K263" i="8" a="1"/>
  <c r="K269" i="8" a="1"/>
  <c r="K274" i="8" a="1"/>
  <c r="K279" i="8" a="1"/>
  <c r="K285" i="8" a="1"/>
  <c r="K290" i="8" a="1"/>
  <c r="K295" i="8" a="1"/>
  <c r="K301" i="8" a="1"/>
  <c r="K306" i="8" a="1"/>
  <c r="K311" i="8" a="1"/>
  <c r="K317" i="8" a="1"/>
  <c r="K322" i="8" a="1"/>
  <c r="K327" i="8" a="1"/>
  <c r="K333" i="8" a="1"/>
  <c r="K338" i="8" a="1"/>
  <c r="K343" i="8" a="1"/>
  <c r="K347" i="8" a="1"/>
  <c r="K351" i="8" a="1"/>
  <c r="K355" i="8" a="1"/>
  <c r="K359" i="8" a="1"/>
  <c r="K363" i="8" a="1"/>
  <c r="K367" i="8" a="1"/>
  <c r="K10" i="8" a="1"/>
  <c r="K26" i="8" a="1"/>
  <c r="K42" i="8" a="1"/>
  <c r="K58" i="8" a="1"/>
  <c r="K74" i="8" a="1"/>
  <c r="K90" i="8" a="1"/>
  <c r="K100" i="8" a="1"/>
  <c r="K108" i="8" a="1"/>
  <c r="K116" i="8" a="1"/>
  <c r="K124" i="8" a="1"/>
  <c r="K132" i="8" a="1"/>
  <c r="K140" i="8" a="1"/>
  <c r="K148" i="8" a="1"/>
  <c r="K156" i="8" a="1"/>
  <c r="K164" i="8" a="1"/>
  <c r="K172" i="8" a="1"/>
  <c r="K180" i="8" a="1"/>
  <c r="K188" i="8" a="1"/>
  <c r="K196" i="8" a="1"/>
  <c r="K204" i="8" a="1"/>
  <c r="K212" i="8" a="1"/>
  <c r="K219" i="8" a="1"/>
  <c r="K226" i="8" a="1"/>
  <c r="K232" i="8" a="1"/>
  <c r="K245" i="8" a="1"/>
  <c r="K251" i="8" a="1"/>
  <c r="K258" i="8" a="1"/>
  <c r="K264" i="8" a="1"/>
  <c r="K280" i="8" a="1"/>
  <c r="K296" i="8" a="1"/>
  <c r="K312" i="8" a="1"/>
  <c r="K328" i="8" a="1"/>
  <c r="K101" i="8" a="1"/>
  <c r="K109" i="8" a="1"/>
  <c r="K117" i="8" a="1"/>
  <c r="K125" i="8" a="1"/>
  <c r="K133" i="8" a="1"/>
  <c r="K141" i="8" a="1"/>
  <c r="K149" i="8" a="1"/>
  <c r="K157" i="8" a="1"/>
  <c r="K165" i="8" a="1"/>
  <c r="K173" i="8" a="1"/>
  <c r="K181" i="8" a="1"/>
  <c r="K189" i="8" a="1"/>
  <c r="K197" i="8" a="1"/>
  <c r="K205" i="8" a="1"/>
  <c r="K213" i="8" a="1"/>
  <c r="K220" i="8" a="1"/>
  <c r="K233" i="8" a="1"/>
  <c r="K239" i="8" a="1"/>
  <c r="K246" i="8" a="1"/>
  <c r="K252" i="8" a="1"/>
  <c r="K265" i="8" a="1"/>
  <c r="K270" i="8" a="1"/>
  <c r="K275" i="8" a="1"/>
  <c r="K281" i="8" a="1"/>
  <c r="K286" i="8" a="1"/>
  <c r="K291" i="8" a="1"/>
  <c r="K297" i="8" a="1"/>
  <c r="K302" i="8" a="1"/>
  <c r="K307" i="8" a="1"/>
  <c r="K313" i="8" a="1"/>
  <c r="K318" i="8" a="1"/>
  <c r="K323" i="8" a="1"/>
  <c r="K329" i="8" a="1"/>
  <c r="K334" i="8" a="1"/>
  <c r="K14" i="8" a="1"/>
  <c r="K30" i="8" a="1"/>
  <c r="K46" i="8" a="1"/>
  <c r="K62" i="8" a="1"/>
  <c r="K78" i="8" a="1"/>
  <c r="K94" i="8" a="1"/>
  <c r="K102" i="8" a="1"/>
  <c r="K110" i="8" a="1"/>
  <c r="K118" i="8" a="1"/>
  <c r="K126" i="8" a="1"/>
  <c r="K134" i="8" a="1"/>
  <c r="K142" i="8" a="1"/>
  <c r="K150" i="8" a="1"/>
  <c r="K158" i="8" a="1"/>
  <c r="K166" i="8" a="1"/>
  <c r="K174" i="8" a="1"/>
  <c r="K182" i="8" a="1"/>
  <c r="K190" i="8" a="1"/>
  <c r="K198" i="8" a="1"/>
  <c r="K206" i="8" a="1"/>
  <c r="K214" i="8" a="1"/>
  <c r="K221" i="8" a="1"/>
  <c r="K227" i="8" a="1"/>
  <c r="K234" i="8" a="1"/>
  <c r="K240" i="8" a="1"/>
  <c r="K253" i="8" a="1"/>
  <c r="K259" i="8" a="1"/>
  <c r="K276" i="8" a="1"/>
  <c r="K292" i="8" a="1"/>
  <c r="K308" i="8" a="1"/>
  <c r="K324" i="8" a="1"/>
  <c r="K340" i="8" a="1"/>
  <c r="K222" i="8" a="1"/>
  <c r="K228" i="8" a="1"/>
  <c r="K241" i="8" a="1"/>
  <c r="K247" i="8" a="1"/>
  <c r="K254" i="8" a="1"/>
  <c r="K260" i="8" a="1"/>
  <c r="K266" i="8" a="1"/>
  <c r="K271" i="8" a="1"/>
  <c r="K277" i="8" a="1"/>
  <c r="K282" i="8" a="1"/>
  <c r="K287" i="8" a="1"/>
  <c r="K293" i="8" a="1"/>
  <c r="K298" i="8" a="1"/>
  <c r="K303" i="8" a="1"/>
  <c r="K309" i="8" a="1"/>
  <c r="K314" i="8" a="1"/>
  <c r="K319" i="8" a="1"/>
  <c r="K325" i="8" a="1"/>
  <c r="K330" i="8" a="1"/>
  <c r="K335" i="8" a="1"/>
  <c r="K341" i="8" a="1"/>
  <c r="K345" i="8" a="1"/>
  <c r="K349" i="8" a="1"/>
  <c r="K353" i="8" a="1"/>
  <c r="K357" i="8" a="1"/>
  <c r="K361" i="8" a="1"/>
  <c r="K365" i="8" a="1"/>
  <c r="K369" i="8" a="1"/>
  <c r="K373" i="8" a="1"/>
  <c r="K377" i="8" a="1"/>
  <c r="K381" i="8" a="1"/>
  <c r="K385" i="8" a="1"/>
  <c r="K389" i="8" a="1"/>
  <c r="K393" i="8" a="1"/>
  <c r="K397" i="8" a="1"/>
  <c r="K401" i="8" a="1"/>
  <c r="K405" i="8" a="1"/>
  <c r="K409" i="8" a="1"/>
  <c r="K413" i="8" a="1"/>
  <c r="K417" i="8" a="1"/>
  <c r="K18" i="8" a="1"/>
  <c r="K34" i="8" a="1"/>
  <c r="K50" i="8" a="1"/>
  <c r="K66" i="8" a="1"/>
  <c r="K82" i="8" a="1"/>
  <c r="K96" i="8" a="1"/>
  <c r="K104" i="8" a="1"/>
  <c r="K112" i="8" a="1"/>
  <c r="K120" i="8" a="1"/>
  <c r="K128" i="8" a="1"/>
  <c r="K136" i="8" a="1"/>
  <c r="K144" i="8" a="1"/>
  <c r="K152" i="8" a="1"/>
  <c r="K160" i="8" a="1"/>
  <c r="K168" i="8" a="1"/>
  <c r="K176" i="8" a="1"/>
  <c r="K184" i="8" a="1"/>
  <c r="K192" i="8" a="1"/>
  <c r="K200" i="8" a="1"/>
  <c r="K208" i="8" a="1"/>
  <c r="K216" i="8" a="1"/>
  <c r="K229" i="8" a="1"/>
  <c r="K235" i="8" a="1"/>
  <c r="K242" i="8" a="1"/>
  <c r="K248" i="8" a="1"/>
  <c r="K261" i="8" a="1"/>
  <c r="K272" i="8" a="1"/>
  <c r="K288" i="8" a="1"/>
  <c r="K304" i="8" a="1"/>
  <c r="K320" i="8" a="1"/>
  <c r="K336" i="8" a="1"/>
  <c r="K97" i="8" a="1"/>
  <c r="K105" i="8" a="1"/>
  <c r="K113" i="8" a="1"/>
  <c r="K121" i="8" a="1"/>
  <c r="K129" i="8" a="1"/>
  <c r="K137" i="8" a="1"/>
  <c r="K145" i="8" a="1"/>
  <c r="K153" i="8" a="1"/>
  <c r="K161" i="8" a="1"/>
  <c r="K169" i="8" a="1"/>
  <c r="K177" i="8" a="1"/>
  <c r="K185" i="8" a="1"/>
  <c r="K193" i="8" a="1"/>
  <c r="K201" i="8" a="1"/>
  <c r="K209" i="8" a="1"/>
  <c r="K217" i="8" a="1"/>
  <c r="K223" i="8" a="1"/>
  <c r="K230" i="8" a="1"/>
  <c r="K236" i="8" a="1"/>
  <c r="K249" i="8" a="1"/>
  <c r="K255" i="8" a="1"/>
  <c r="K262" i="8" a="1"/>
  <c r="K267" i="8" a="1"/>
  <c r="K273" i="8" a="1"/>
  <c r="K278" i="8" a="1"/>
  <c r="K283" i="8" a="1"/>
  <c r="K289" i="8" a="1"/>
  <c r="K294" i="8" a="1"/>
  <c r="K299" i="8" a="1"/>
  <c r="K305" i="8" a="1"/>
  <c r="K310" i="8" a="1"/>
  <c r="K315" i="8" a="1"/>
  <c r="K321" i="8" a="1"/>
  <c r="K326" i="8" a="1"/>
  <c r="K331" i="8" a="1"/>
  <c r="K337" i="8" a="1"/>
  <c r="K339" i="8" a="1"/>
  <c r="K356" i="8" a="1"/>
  <c r="K371" i="8" a="1"/>
  <c r="K411" i="8" a="1"/>
  <c r="K423" i="8" a="1"/>
  <c r="K439" i="8" a="1"/>
  <c r="K455" i="8" a="1"/>
  <c r="K471" i="8" a="1"/>
  <c r="K487" i="8" a="1"/>
  <c r="K503" i="8" a="1"/>
  <c r="K519" i="8" a="1"/>
  <c r="K535" i="8" a="1"/>
  <c r="K551" i="8" a="1"/>
  <c r="K342" i="8" a="1"/>
  <c r="K358" i="8" a="1"/>
  <c r="K372" i="8" a="1"/>
  <c r="K382" i="8" a="1"/>
  <c r="K390" i="8" a="1"/>
  <c r="K398" i="8" a="1"/>
  <c r="K412" i="8" a="1"/>
  <c r="K418" i="8" a="1"/>
  <c r="K424" i="8" a="1"/>
  <c r="K429" i="8" a="1"/>
  <c r="K434" i="8" a="1"/>
  <c r="K440" i="8" a="1"/>
  <c r="K445" i="8" a="1"/>
  <c r="K450" i="8" a="1"/>
  <c r="K456" i="8" a="1"/>
  <c r="K461" i="8" a="1"/>
  <c r="K466" i="8" a="1"/>
  <c r="K472" i="8" a="1"/>
  <c r="K477" i="8" a="1"/>
  <c r="K482" i="8" a="1"/>
  <c r="K488" i="8" a="1"/>
  <c r="K493" i="8" a="1"/>
  <c r="K498" i="8" a="1"/>
  <c r="K504" i="8" a="1"/>
  <c r="K509" i="8" a="1"/>
  <c r="K514" i="8" a="1"/>
  <c r="K520" i="8" a="1"/>
  <c r="K525" i="8" a="1"/>
  <c r="K530" i="8" a="1"/>
  <c r="K536" i="8" a="1"/>
  <c r="K541" i="8" a="1"/>
  <c r="K546" i="8" a="1"/>
  <c r="K552" i="8" a="1"/>
  <c r="K556" i="8" a="1"/>
  <c r="K560" i="8" a="1"/>
  <c r="K564" i="8" a="1"/>
  <c r="K568" i="8" a="1"/>
  <c r="K572" i="8" a="1"/>
  <c r="K576" i="8" a="1"/>
  <c r="K580" i="8" a="1"/>
  <c r="K584" i="8" a="1"/>
  <c r="K588" i="8" a="1"/>
  <c r="K592" i="8" a="1"/>
  <c r="K596" i="8" a="1"/>
  <c r="K600" i="8" a="1"/>
  <c r="K604" i="8" a="1"/>
  <c r="K608" i="8" a="1"/>
  <c r="K344" i="8" a="1"/>
  <c r="K360" i="8" a="1"/>
  <c r="K374" i="8" a="1"/>
  <c r="K383" i="8" a="1"/>
  <c r="K391" i="8" a="1"/>
  <c r="K399" i="8" a="1"/>
  <c r="K406" i="8" a="1"/>
  <c r="K419" i="8" a="1"/>
  <c r="K435" i="8" a="1"/>
  <c r="K451" i="8" a="1"/>
  <c r="K467" i="8" a="1"/>
  <c r="K483" i="8" a="1"/>
  <c r="K499" i="8" a="1"/>
  <c r="K515" i="8" a="1"/>
  <c r="K531" i="8" a="1"/>
  <c r="K547" i="8" a="1"/>
  <c r="K346" i="8" a="1"/>
  <c r="K362" i="8" a="1"/>
  <c r="K375" i="8" a="1"/>
  <c r="K384" i="8" a="1"/>
  <c r="K392" i="8" a="1"/>
  <c r="K400" i="8" a="1"/>
  <c r="K407" i="8" a="1"/>
  <c r="K420" i="8" a="1"/>
  <c r="K425" i="8" a="1"/>
  <c r="K430" i="8" a="1"/>
  <c r="K436" i="8" a="1"/>
  <c r="K441" i="8" a="1"/>
  <c r="K446" i="8" a="1"/>
  <c r="K452" i="8" a="1"/>
  <c r="K457" i="8" a="1"/>
  <c r="K462" i="8" a="1"/>
  <c r="K468" i="8" a="1"/>
  <c r="K473" i="8" a="1"/>
  <c r="K478" i="8" a="1"/>
  <c r="K484" i="8" a="1"/>
  <c r="K489" i="8" a="1"/>
  <c r="K494" i="8" a="1"/>
  <c r="K500" i="8" a="1"/>
  <c r="K505" i="8" a="1"/>
  <c r="K510" i="8" a="1"/>
  <c r="K348" i="8" a="1"/>
  <c r="K364" i="8" a="1"/>
  <c r="K376" i="8" a="1"/>
  <c r="K408" i="8" a="1"/>
  <c r="K414" i="8" a="1"/>
  <c r="K431" i="8" a="1"/>
  <c r="K447" i="8" a="1"/>
  <c r="K463" i="8" a="1"/>
  <c r="K479" i="8" a="1"/>
  <c r="K495" i="8" a="1"/>
  <c r="K511" i="8" a="1"/>
  <c r="K527" i="8" a="1"/>
  <c r="K543" i="8" a="1"/>
  <c r="K350" i="8" a="1"/>
  <c r="K366" i="8" a="1"/>
  <c r="K378" i="8" a="1"/>
  <c r="K386" i="8" a="1"/>
  <c r="K394" i="8" a="1"/>
  <c r="K402" i="8" a="1"/>
  <c r="K415" i="8" a="1"/>
  <c r="K421" i="8" a="1"/>
  <c r="K426" i="8" a="1"/>
  <c r="K432" i="8" a="1"/>
  <c r="K437" i="8" a="1"/>
  <c r="K442" i="8" a="1"/>
  <c r="K448" i="8" a="1"/>
  <c r="K453" i="8" a="1"/>
  <c r="K458" i="8" a="1"/>
  <c r="K464" i="8" a="1"/>
  <c r="K469" i="8" a="1"/>
  <c r="K474" i="8" a="1"/>
  <c r="K480" i="8" a="1"/>
  <c r="K485" i="8" a="1"/>
  <c r="K490" i="8" a="1"/>
  <c r="K496" i="8" a="1"/>
  <c r="K501" i="8" a="1"/>
  <c r="K506" i="8" a="1"/>
  <c r="K512" i="8" a="1"/>
  <c r="K352" i="8" a="1"/>
  <c r="K395" i="8" a="1"/>
  <c r="K443" i="8" a="1"/>
  <c r="K507" i="8" a="1"/>
  <c r="K521" i="8" a="1"/>
  <c r="K532" i="8" a="1"/>
  <c r="K542" i="8" a="1"/>
  <c r="K553" i="8" a="1"/>
  <c r="K561" i="8" a="1"/>
  <c r="K569" i="8" a="1"/>
  <c r="K577" i="8" a="1"/>
  <c r="K585" i="8" a="1"/>
  <c r="K593" i="8" a="1"/>
  <c r="K601" i="8" a="1"/>
  <c r="K609" i="8" a="1"/>
  <c r="K615" i="8" a="1"/>
  <c r="K622" i="8" a="1"/>
  <c r="K628" i="8" a="1"/>
  <c r="K641" i="8" a="1"/>
  <c r="K647" i="8" a="1"/>
  <c r="K654" i="8" a="1"/>
  <c r="K660" i="8" a="1"/>
  <c r="K672" i="8" a="1"/>
  <c r="K677" i="8" a="1"/>
  <c r="K688" i="8" a="1"/>
  <c r="K693" i="8" a="1"/>
  <c r="K704" i="8" a="1"/>
  <c r="K709" i="8" a="1"/>
  <c r="K720" i="8" a="1"/>
  <c r="K725" i="8" a="1"/>
  <c r="K736" i="8" a="1"/>
  <c r="K741" i="8" a="1"/>
  <c r="K752" i="8" a="1"/>
  <c r="K757" i="8" a="1"/>
  <c r="K768" i="8" a="1"/>
  <c r="K773" i="8" a="1"/>
  <c r="K778" i="8" a="1"/>
  <c r="K787" i="8" a="1"/>
  <c r="K792" i="8" a="1"/>
  <c r="K801" i="8" a="1"/>
  <c r="K810" i="8" a="1"/>
  <c r="K819" i="8" a="1"/>
  <c r="K788" i="8" a="1"/>
  <c r="K806" i="8" a="1"/>
  <c r="K815" i="8" a="1"/>
  <c r="K824" i="8" a="1"/>
  <c r="K832" i="8" a="1"/>
  <c r="K840" i="8" a="1"/>
  <c r="K370" i="8" a="1"/>
  <c r="K524" i="8" a="1"/>
  <c r="K563" i="8" a="1"/>
  <c r="K579" i="8" a="1"/>
  <c r="K603" i="8" a="1"/>
  <c r="K624" i="8" a="1"/>
  <c r="K650" i="8" a="1"/>
  <c r="K679" i="8" a="1"/>
  <c r="K695" i="8" a="1"/>
  <c r="K727" i="8" a="1"/>
  <c r="K738" i="8" a="1"/>
  <c r="K770" i="8" a="1"/>
  <c r="K798" i="8" a="1"/>
  <c r="K821" i="8" a="1"/>
  <c r="K829" i="8" a="1"/>
  <c r="K831" i="8" a="1"/>
  <c r="K354" i="8" a="1"/>
  <c r="K396" i="8" a="1"/>
  <c r="K422" i="8" a="1"/>
  <c r="K444" i="8" a="1"/>
  <c r="K465" i="8" a="1"/>
  <c r="K486" i="8" a="1"/>
  <c r="K508" i="8" a="1"/>
  <c r="K522" i="8" a="1"/>
  <c r="K533" i="8" a="1"/>
  <c r="K544" i="8" a="1"/>
  <c r="K554" i="8" a="1"/>
  <c r="K562" i="8" a="1"/>
  <c r="K570" i="8" a="1"/>
  <c r="K578" i="8" a="1"/>
  <c r="K586" i="8" a="1"/>
  <c r="K594" i="8" a="1"/>
  <c r="K602" i="8" a="1"/>
  <c r="K610" i="8" a="1"/>
  <c r="K616" i="8" a="1"/>
  <c r="K629" i="8" a="1"/>
  <c r="K635" i="8" a="1"/>
  <c r="K642" i="8" a="1"/>
  <c r="K648" i="8" a="1"/>
  <c r="K661" i="8" a="1"/>
  <c r="K667" i="8" a="1"/>
  <c r="K678" i="8" a="1"/>
  <c r="K683" i="8" a="1"/>
  <c r="K694" i="8" a="1"/>
  <c r="K699" i="8" a="1"/>
  <c r="K710" i="8" a="1"/>
  <c r="K715" i="8" a="1"/>
  <c r="K726" i="8" a="1"/>
  <c r="K731" i="8" a="1"/>
  <c r="K742" i="8" a="1"/>
  <c r="K747" i="8" a="1"/>
  <c r="K758" i="8" a="1"/>
  <c r="K763" i="8" a="1"/>
  <c r="K774" i="8" a="1"/>
  <c r="K783" i="8" a="1"/>
  <c r="K797" i="8" a="1"/>
  <c r="K820" i="8" a="1"/>
  <c r="K828" i="8" a="1"/>
  <c r="K836" i="8" a="1"/>
  <c r="K816" i="8" a="1"/>
  <c r="K428" i="8" a="1"/>
  <c r="K545" i="8" a="1"/>
  <c r="K571" i="8" a="1"/>
  <c r="K595" i="8" a="1"/>
  <c r="K618" i="8" a="1"/>
  <c r="K637" i="8" a="1"/>
  <c r="K656" i="8" a="1"/>
  <c r="K690" i="8" a="1"/>
  <c r="K711" i="8" a="1"/>
  <c r="K743" i="8" a="1"/>
  <c r="K759" i="8" a="1"/>
  <c r="K780" i="8" a="1"/>
  <c r="K812" i="8" a="1"/>
  <c r="K833" i="8" a="1"/>
  <c r="K823" i="8" a="1"/>
  <c r="K368" i="8" a="1"/>
  <c r="K403" i="8" a="1"/>
  <c r="K427" i="8" a="1"/>
  <c r="K491" i="8" a="1"/>
  <c r="K523" i="8" a="1"/>
  <c r="K617" i="8" a="1"/>
  <c r="K623" i="8" a="1"/>
  <c r="K630" i="8" a="1"/>
  <c r="K636" i="8" a="1"/>
  <c r="K649" i="8" a="1"/>
  <c r="K655" i="8" a="1"/>
  <c r="K662" i="8" a="1"/>
  <c r="K668" i="8" a="1"/>
  <c r="K673" i="8" a="1"/>
  <c r="K684" i="8" a="1"/>
  <c r="K689" i="8" a="1"/>
  <c r="K700" i="8" a="1"/>
  <c r="K705" i="8" a="1"/>
  <c r="K716" i="8" a="1"/>
  <c r="K721" i="8" a="1"/>
  <c r="K732" i="8" a="1"/>
  <c r="K737" i="8" a="1"/>
  <c r="K748" i="8" a="1"/>
  <c r="K753" i="8" a="1"/>
  <c r="K764" i="8" a="1"/>
  <c r="K769" i="8" a="1"/>
  <c r="K779" i="8" a="1"/>
  <c r="K784" i="8" a="1"/>
  <c r="K793" i="8" a="1"/>
  <c r="K802" i="8" a="1"/>
  <c r="K811" i="8" a="1"/>
  <c r="K404" i="8" a="1"/>
  <c r="K449" i="8" a="1"/>
  <c r="K470" i="8" a="1"/>
  <c r="K492" i="8" a="1"/>
  <c r="K513" i="8" a="1"/>
  <c r="K534" i="8" a="1"/>
  <c r="K555" i="8" a="1"/>
  <c r="K587" i="8" a="1"/>
  <c r="K611" i="8" a="1"/>
  <c r="K643" i="8" a="1"/>
  <c r="K674" i="8" a="1"/>
  <c r="K706" i="8" a="1"/>
  <c r="K722" i="8" a="1"/>
  <c r="K754" i="8" a="1"/>
  <c r="K775" i="8" a="1"/>
  <c r="K789" i="8" a="1"/>
  <c r="K807" i="8" a="1"/>
  <c r="K825" i="8" a="1"/>
  <c r="K837" i="8" a="1"/>
  <c r="K835" i="8" a="1"/>
  <c r="K379" i="8" a="1"/>
  <c r="K475" i="8" a="1"/>
  <c r="K516" i="8" a="1"/>
  <c r="K526" i="8" a="1"/>
  <c r="K537" i="8" a="1"/>
  <c r="K548" i="8" a="1"/>
  <c r="K557" i="8" a="1"/>
  <c r="K565" i="8" a="1"/>
  <c r="K573" i="8" a="1"/>
  <c r="K581" i="8" a="1"/>
  <c r="K589" i="8" a="1"/>
  <c r="K597" i="8" a="1"/>
  <c r="K605" i="8" a="1"/>
  <c r="K612" i="8" a="1"/>
  <c r="K625" i="8" a="1"/>
  <c r="K631" i="8" a="1"/>
  <c r="K638" i="8" a="1"/>
  <c r="K644" i="8" a="1"/>
  <c r="K657" i="8" a="1"/>
  <c r="K663" i="8" a="1"/>
  <c r="K669" i="8" a="1"/>
  <c r="K680" i="8" a="1"/>
  <c r="K685" i="8" a="1"/>
  <c r="K696" i="8" a="1"/>
  <c r="K701" i="8" a="1"/>
  <c r="K712" i="8" a="1"/>
  <c r="K717" i="8" a="1"/>
  <c r="K728" i="8" a="1"/>
  <c r="K733" i="8" a="1"/>
  <c r="K744" i="8" a="1"/>
  <c r="K749" i="8" a="1"/>
  <c r="K760" i="8" a="1"/>
  <c r="K765" i="8" a="1"/>
  <c r="K776" i="8" a="1"/>
  <c r="K785" i="8" a="1"/>
  <c r="K794" i="8" a="1"/>
  <c r="K803" i="8" a="1"/>
  <c r="K808" i="8" a="1"/>
  <c r="K817" i="8" a="1"/>
  <c r="K826" i="8" a="1"/>
  <c r="K834" i="8" a="1"/>
  <c r="K838" i="8" a="1"/>
  <c r="K460" i="8" a="1"/>
  <c r="K540" i="8" a="1"/>
  <c r="K567" i="8" a="1"/>
  <c r="K591" i="8" a="1"/>
  <c r="K634" i="8" a="1"/>
  <c r="K653" i="8" a="1"/>
  <c r="K666" i="8" a="1"/>
  <c r="K682" i="8" a="1"/>
  <c r="K698" i="8" a="1"/>
  <c r="K735" i="8" a="1"/>
  <c r="K751" i="8" a="1"/>
  <c r="K782" i="8" a="1"/>
  <c r="K805" i="8" a="1"/>
  <c r="K839" i="8" a="1"/>
  <c r="K380" i="8" a="1"/>
  <c r="K410" i="8" a="1"/>
  <c r="K433" i="8" a="1"/>
  <c r="K454" i="8" a="1"/>
  <c r="K476" i="8" a="1"/>
  <c r="K497" i="8" a="1"/>
  <c r="K517" i="8" a="1"/>
  <c r="K528" i="8" a="1"/>
  <c r="K538" i="8" a="1"/>
  <c r="K549" i="8" a="1"/>
  <c r="K558" i="8" a="1"/>
  <c r="K566" i="8" a="1"/>
  <c r="K574" i="8" a="1"/>
  <c r="K582" i="8" a="1"/>
  <c r="K590" i="8" a="1"/>
  <c r="K598" i="8" a="1"/>
  <c r="K606" i="8" a="1"/>
  <c r="K613" i="8" a="1"/>
  <c r="K619" i="8" a="1"/>
  <c r="K626" i="8" a="1"/>
  <c r="K632" i="8" a="1"/>
  <c r="K645" i="8" a="1"/>
  <c r="K651" i="8" a="1"/>
  <c r="K658" i="8" a="1"/>
  <c r="K664" i="8" a="1"/>
  <c r="K670" i="8" a="1"/>
  <c r="K675" i="8" a="1"/>
  <c r="K686" i="8" a="1"/>
  <c r="K691" i="8" a="1"/>
  <c r="K702" i="8" a="1"/>
  <c r="K707" i="8" a="1"/>
  <c r="K718" i="8" a="1"/>
  <c r="K723" i="8" a="1"/>
  <c r="K734" i="8" a="1"/>
  <c r="K739" i="8" a="1"/>
  <c r="K750" i="8" a="1"/>
  <c r="K755" i="8" a="1"/>
  <c r="K766" i="8" a="1"/>
  <c r="K771" i="8" a="1"/>
  <c r="K781" i="8" a="1"/>
  <c r="K790" i="8" a="1"/>
  <c r="K799" i="8" a="1"/>
  <c r="K804" i="8" a="1"/>
  <c r="K813" i="8" a="1"/>
  <c r="K822" i="8" a="1"/>
  <c r="K830" i="8" a="1"/>
  <c r="K518" i="8" a="1"/>
  <c r="K559" i="8" a="1"/>
  <c r="K583" i="8" a="1"/>
  <c r="K607" i="8" a="1"/>
  <c r="K627" i="8" a="1"/>
  <c r="K659" i="8" a="1"/>
  <c r="K687" i="8" a="1"/>
  <c r="K719" i="8" a="1"/>
  <c r="K730" i="8" a="1"/>
  <c r="K762" i="8" a="1"/>
  <c r="K796" i="8" a="1"/>
  <c r="K827" i="8" a="1"/>
  <c r="K387" i="8" a="1"/>
  <c r="K416" i="8" a="1"/>
  <c r="K459" i="8" a="1"/>
  <c r="K539" i="8" a="1"/>
  <c r="K614" i="8" a="1"/>
  <c r="K620" i="8" a="1"/>
  <c r="K633" i="8" a="1"/>
  <c r="K639" i="8" a="1"/>
  <c r="K646" i="8" a="1"/>
  <c r="K652" i="8" a="1"/>
  <c r="K665" i="8" a="1"/>
  <c r="K676" i="8" a="1"/>
  <c r="K681" i="8" a="1"/>
  <c r="K692" i="8" a="1"/>
  <c r="K697" i="8" a="1"/>
  <c r="K708" i="8" a="1"/>
  <c r="K713" i="8" a="1"/>
  <c r="K724" i="8" a="1"/>
  <c r="K729" i="8" a="1"/>
  <c r="K740" i="8" a="1"/>
  <c r="K745" i="8" a="1"/>
  <c r="K756" i="8" a="1"/>
  <c r="K761" i="8" a="1"/>
  <c r="K772" i="8" a="1"/>
  <c r="K777" i="8" a="1"/>
  <c r="K786" i="8" a="1"/>
  <c r="K795" i="8" a="1"/>
  <c r="K800" i="8" a="1"/>
  <c r="K809" i="8" a="1"/>
  <c r="K818" i="8" a="1"/>
  <c r="K388" i="8" a="1"/>
  <c r="K438" i="8" a="1"/>
  <c r="K481" i="8" a="1"/>
  <c r="K502" i="8" a="1"/>
  <c r="K529" i="8" a="1"/>
  <c r="K550" i="8" a="1"/>
  <c r="K575" i="8" a="1"/>
  <c r="K599" i="8" a="1"/>
  <c r="K621" i="8" a="1"/>
  <c r="K640" i="8" a="1"/>
  <c r="K671" i="8" a="1"/>
  <c r="K703" i="8" a="1"/>
  <c r="K714" i="8" a="1"/>
  <c r="K746" i="8" a="1"/>
  <c r="K767" i="8" a="1"/>
  <c r="K791" i="8" a="1"/>
  <c r="K814" i="8" a="1"/>
  <c r="K2" i="8" a="1"/>
  <c r="E60" i="5" l="1"/>
  <c r="E106" i="5"/>
  <c r="F142" i="5"/>
  <c r="G146" i="5"/>
  <c r="G151" i="5"/>
  <c r="E209" i="5"/>
  <c r="G211" i="5"/>
  <c r="I279" i="5"/>
  <c r="H286" i="5"/>
  <c r="F352" i="5"/>
  <c r="E440" i="5"/>
  <c r="G479" i="5"/>
  <c r="F609" i="5"/>
  <c r="F691" i="5"/>
  <c r="E821" i="5"/>
  <c r="E847" i="5"/>
  <c r="F1063" i="5"/>
  <c r="H1319" i="5"/>
  <c r="H609" i="5"/>
  <c r="I60" i="5"/>
  <c r="H65" i="5"/>
  <c r="H82" i="5"/>
  <c r="G92" i="5"/>
  <c r="F230" i="5"/>
  <c r="F234" i="5"/>
  <c r="I340" i="5"/>
  <c r="G387" i="5"/>
  <c r="G419" i="5"/>
  <c r="E546" i="5"/>
  <c r="F809" i="5"/>
  <c r="I991" i="5"/>
  <c r="E1001" i="5"/>
  <c r="G1091" i="5"/>
  <c r="E1234" i="5"/>
  <c r="F1236" i="5"/>
  <c r="H38" i="5"/>
  <c r="H129" i="5"/>
  <c r="G159" i="5"/>
  <c r="E168" i="5"/>
  <c r="G223" i="5"/>
  <c r="G230" i="5"/>
  <c r="F338" i="5"/>
  <c r="H387" i="5"/>
  <c r="G434" i="5"/>
  <c r="F733" i="5"/>
  <c r="E798" i="5"/>
  <c r="E800" i="5"/>
  <c r="G809" i="5"/>
  <c r="E865" i="5"/>
  <c r="I903" i="5"/>
  <c r="E921" i="5"/>
  <c r="G933" i="5"/>
  <c r="F989" i="5"/>
  <c r="G1001" i="5"/>
  <c r="F1134" i="5"/>
  <c r="E1188" i="5"/>
  <c r="H1205" i="5"/>
  <c r="I1236" i="5"/>
  <c r="E1286" i="5"/>
  <c r="H159" i="5"/>
  <c r="F168" i="5"/>
  <c r="H223" i="5"/>
  <c r="I230" i="5"/>
  <c r="G299" i="5"/>
  <c r="H733" i="5"/>
  <c r="F921" i="5"/>
  <c r="H933" i="5"/>
  <c r="G1054" i="5"/>
  <c r="G1144" i="5"/>
  <c r="I1186" i="5"/>
  <c r="E1201" i="5"/>
  <c r="I1222" i="5"/>
  <c r="F1284" i="5"/>
  <c r="I10" i="5"/>
  <c r="I921" i="5"/>
  <c r="H81" i="5"/>
  <c r="G139" i="5"/>
  <c r="G173" i="5"/>
  <c r="G182" i="5"/>
  <c r="F222" i="5"/>
  <c r="F252" i="5"/>
  <c r="E254" i="5"/>
  <c r="G256" i="5"/>
  <c r="F286" i="5"/>
  <c r="E413" i="5"/>
  <c r="G618" i="5"/>
  <c r="G630" i="5"/>
  <c r="I774" i="5"/>
  <c r="G960" i="5"/>
  <c r="E93" i="5"/>
  <c r="E130" i="5"/>
  <c r="H137" i="5"/>
  <c r="E214" i="5"/>
  <c r="G278" i="5"/>
  <c r="G282" i="5"/>
  <c r="H415" i="5"/>
  <c r="H765" i="5"/>
  <c r="E842" i="5"/>
  <c r="E879" i="5"/>
  <c r="F946" i="5"/>
  <c r="G948" i="5"/>
  <c r="I980" i="5"/>
  <c r="G1093" i="5"/>
  <c r="I1099" i="5"/>
  <c r="E1125" i="5"/>
  <c r="F1306" i="5"/>
  <c r="G239" i="5"/>
  <c r="H307" i="5"/>
  <c r="F314" i="5"/>
  <c r="F336" i="5"/>
  <c r="G433" i="5"/>
  <c r="E802" i="5"/>
  <c r="E78" i="5"/>
  <c r="I80" i="5"/>
  <c r="E82" i="5"/>
  <c r="I84" i="5"/>
  <c r="E89" i="5"/>
  <c r="F93" i="5"/>
  <c r="E97" i="5"/>
  <c r="H106" i="5"/>
  <c r="I137" i="5"/>
  <c r="I147" i="5"/>
  <c r="F154" i="5"/>
  <c r="F178" i="5"/>
  <c r="G212" i="5"/>
  <c r="F214" i="5"/>
  <c r="I222" i="5"/>
  <c r="I235" i="5"/>
  <c r="E255" i="5"/>
  <c r="I267" i="5"/>
  <c r="H278" i="5"/>
  <c r="G280" i="5"/>
  <c r="H298" i="5"/>
  <c r="E300" i="5"/>
  <c r="G314" i="5"/>
  <c r="E346" i="5"/>
  <c r="H351" i="5"/>
  <c r="H362" i="5"/>
  <c r="E397" i="5"/>
  <c r="E447" i="5"/>
  <c r="F552" i="5"/>
  <c r="E804" i="5"/>
  <c r="E853" i="5"/>
  <c r="F870" i="5"/>
  <c r="I1001" i="5"/>
  <c r="I1190" i="5"/>
  <c r="G1200" i="5"/>
  <c r="E1267" i="5"/>
  <c r="I1274" i="5"/>
  <c r="H214" i="5"/>
  <c r="E40" i="5"/>
  <c r="I100" i="5"/>
  <c r="I170" i="5"/>
  <c r="G174" i="5"/>
  <c r="E187" i="5"/>
  <c r="G242" i="5"/>
  <c r="F270" i="5"/>
  <c r="H287" i="5"/>
  <c r="H335" i="5"/>
  <c r="E420" i="5"/>
  <c r="G631" i="5"/>
  <c r="I705" i="5"/>
  <c r="E764" i="5"/>
  <c r="E801" i="5"/>
  <c r="I804" i="5"/>
  <c r="E845" i="5"/>
  <c r="E866" i="5"/>
  <c r="H1092" i="5"/>
  <c r="I1095" i="5"/>
  <c r="I1102" i="5"/>
  <c r="G1107" i="5"/>
  <c r="E1116" i="5"/>
  <c r="F1145" i="5"/>
  <c r="G1173" i="5"/>
  <c r="F1175" i="5"/>
  <c r="E1213" i="5"/>
  <c r="G1237" i="5"/>
  <c r="G1254" i="5"/>
  <c r="F1258" i="5"/>
  <c r="F1282" i="5"/>
  <c r="I1284" i="5"/>
  <c r="F40" i="5"/>
  <c r="E333" i="5"/>
  <c r="I335" i="5"/>
  <c r="I391" i="5"/>
  <c r="E405" i="5"/>
  <c r="F420" i="5"/>
  <c r="G495" i="5"/>
  <c r="E522" i="5"/>
  <c r="G686" i="5"/>
  <c r="G730" i="5"/>
  <c r="H764" i="5"/>
  <c r="F801" i="5"/>
  <c r="H981" i="5"/>
  <c r="F1025" i="5"/>
  <c r="F1100" i="5"/>
  <c r="G1145" i="5"/>
  <c r="G1166" i="5"/>
  <c r="I1173" i="5"/>
  <c r="H1213" i="5"/>
  <c r="H1229" i="5"/>
  <c r="G1252" i="5"/>
  <c r="I40" i="5"/>
  <c r="I420" i="5"/>
  <c r="I1145" i="5"/>
  <c r="G93" i="5"/>
  <c r="H314" i="5"/>
  <c r="J1178" i="4"/>
  <c r="J1162" i="4"/>
  <c r="J1146" i="4"/>
  <c r="J1130" i="4"/>
  <c r="J1114" i="4"/>
  <c r="J1098" i="4"/>
  <c r="J1082" i="4"/>
  <c r="J1066" i="4"/>
  <c r="J1050" i="4"/>
  <c r="J1034" i="4"/>
  <c r="J1018" i="4"/>
  <c r="J1002" i="4"/>
  <c r="J986" i="4"/>
  <c r="J970" i="4"/>
  <c r="J958" i="4"/>
  <c r="J952" i="4"/>
  <c r="J945" i="4"/>
  <c r="J723" i="4"/>
  <c r="J702" i="4"/>
  <c r="J1177" i="4"/>
  <c r="J1140" i="4"/>
  <c r="J1092" i="4"/>
  <c r="J1060" i="4"/>
  <c r="J1028" i="4"/>
  <c r="J1023" i="4"/>
  <c r="J1017" i="4"/>
  <c r="J1012" i="4"/>
  <c r="J1007" i="4"/>
  <c r="J996" i="4"/>
  <c r="J975" i="4"/>
  <c r="J969" i="4"/>
  <c r="J964" i="4"/>
  <c r="J957" i="4"/>
  <c r="J938" i="4"/>
  <c r="J930" i="4"/>
  <c r="J922" i="4"/>
  <c r="J914" i="4"/>
  <c r="J906" i="4"/>
  <c r="J898" i="4"/>
  <c r="J890" i="4"/>
  <c r="J882" i="4"/>
  <c r="J874" i="4"/>
  <c r="J866" i="4"/>
  <c r="J858" i="4"/>
  <c r="J850" i="4"/>
  <c r="J842" i="4"/>
  <c r="J834" i="4"/>
  <c r="J826" i="4"/>
  <c r="J816" i="4"/>
  <c r="J756" i="4"/>
  <c r="J738" i="4"/>
  <c r="J719" i="4"/>
  <c r="J698" i="4"/>
  <c r="J1161" i="4"/>
  <c r="J1119" i="4"/>
  <c r="J1087" i="4"/>
  <c r="J1065" i="4"/>
  <c r="J1033" i="4"/>
  <c r="J1001" i="4"/>
  <c r="J1150" i="4"/>
  <c r="J1086" i="4"/>
  <c r="J1038" i="4"/>
  <c r="J1022" i="4"/>
  <c r="J1006" i="4"/>
  <c r="J990" i="4"/>
  <c r="J974" i="4"/>
  <c r="J950" i="4"/>
  <c r="J944" i="4"/>
  <c r="J755" i="4"/>
  <c r="J737" i="4"/>
  <c r="J718" i="4"/>
  <c r="J696" i="4"/>
  <c r="J1193" i="4"/>
  <c r="J1156" i="4"/>
  <c r="J1124" i="4"/>
  <c r="J1097" i="4"/>
  <c r="J1055" i="4"/>
  <c r="J980" i="4"/>
  <c r="J1134" i="4"/>
  <c r="J1102" i="4"/>
  <c r="J1070" i="4"/>
  <c r="J1176" i="4"/>
  <c r="J1160" i="4"/>
  <c r="J1144" i="4"/>
  <c r="J1133" i="4"/>
  <c r="J1117" i="4"/>
  <c r="J1101" i="4"/>
  <c r="J1085" i="4"/>
  <c r="J1069" i="4"/>
  <c r="J1059" i="4"/>
  <c r="J1043" i="4"/>
  <c r="J1032" i="4"/>
  <c r="J1021" i="4"/>
  <c r="J1011" i="4"/>
  <c r="J1000" i="4"/>
  <c r="J995" i="4"/>
  <c r="J984" i="4"/>
  <c r="J973" i="4"/>
  <c r="J968" i="4"/>
  <c r="J956" i="4"/>
  <c r="J949" i="4"/>
  <c r="J936" i="4"/>
  <c r="J928" i="4"/>
  <c r="J912" i="4"/>
  <c r="J904" i="4"/>
  <c r="J896" i="4"/>
  <c r="J888" i="4"/>
  <c r="J880" i="4"/>
  <c r="J872" i="4"/>
  <c r="J864" i="4"/>
  <c r="J856" i="4"/>
  <c r="J848" i="4"/>
  <c r="J840" i="4"/>
  <c r="J832" i="4"/>
  <c r="J824" i="4"/>
  <c r="J714" i="4"/>
  <c r="J692" i="4"/>
  <c r="J1172" i="4"/>
  <c r="J1135" i="4"/>
  <c r="J1103" i="4"/>
  <c r="J1076" i="4"/>
  <c r="J1044" i="4"/>
  <c r="J991" i="4"/>
  <c r="J1166" i="4"/>
  <c r="J1054" i="4"/>
  <c r="J1192" i="4"/>
  <c r="J1181" i="4"/>
  <c r="J1165" i="4"/>
  <c r="J1149" i="4"/>
  <c r="J1139" i="4"/>
  <c r="J1128" i="4"/>
  <c r="J1123" i="4"/>
  <c r="J1112" i="4"/>
  <c r="J1107" i="4"/>
  <c r="J1096" i="4"/>
  <c r="J1091" i="4"/>
  <c r="J1080" i="4"/>
  <c r="J1075" i="4"/>
  <c r="J1064" i="4"/>
  <c r="J1053" i="4"/>
  <c r="J1048" i="4"/>
  <c r="J1037" i="4"/>
  <c r="J1027" i="4"/>
  <c r="J1016" i="4"/>
  <c r="J1005" i="4"/>
  <c r="J989" i="4"/>
  <c r="J979" i="4"/>
  <c r="J962" i="4"/>
  <c r="J920" i="4"/>
  <c r="J1186" i="4"/>
  <c r="J1170" i="4"/>
  <c r="J1154" i="4"/>
  <c r="J1138" i="4"/>
  <c r="J1122" i="4"/>
  <c r="J1106" i="4"/>
  <c r="J1090" i="4"/>
  <c r="J1074" i="4"/>
  <c r="J1058" i="4"/>
  <c r="J1042" i="4"/>
  <c r="J1026" i="4"/>
  <c r="J1010" i="4"/>
  <c r="J994" i="4"/>
  <c r="J978" i="4"/>
  <c r="J961" i="4"/>
  <c r="J942" i="4"/>
  <c r="J812" i="4"/>
  <c r="J732" i="4"/>
  <c r="J712" i="4"/>
  <c r="J691" i="4"/>
  <c r="J1167" i="4"/>
  <c r="J1129" i="4"/>
  <c r="J1081" i="4"/>
  <c r="J1049" i="4"/>
  <c r="J985" i="4"/>
  <c r="J1182" i="4"/>
  <c r="J1118" i="4"/>
  <c r="J1187" i="4"/>
  <c r="J1171" i="4"/>
  <c r="J1155" i="4"/>
  <c r="J1191" i="4"/>
  <c r="J1185" i="4"/>
  <c r="J1180" i="4"/>
  <c r="J1175" i="4"/>
  <c r="J1169" i="4"/>
  <c r="J1164" i="4"/>
  <c r="J1159" i="4"/>
  <c r="J1153" i="4"/>
  <c r="J1148" i="4"/>
  <c r="J1143" i="4"/>
  <c r="J1137" i="4"/>
  <c r="J1132" i="4"/>
  <c r="J1127" i="4"/>
  <c r="J1121" i="4"/>
  <c r="J1116" i="4"/>
  <c r="J1111" i="4"/>
  <c r="J1105" i="4"/>
  <c r="J1100" i="4"/>
  <c r="J1095" i="4"/>
  <c r="J1089" i="4"/>
  <c r="J1084" i="4"/>
  <c r="J1079" i="4"/>
  <c r="J1073" i="4"/>
  <c r="J1068" i="4"/>
  <c r="J1063" i="4"/>
  <c r="J1057" i="4"/>
  <c r="J1052" i="4"/>
  <c r="J1047" i="4"/>
  <c r="J1041" i="4"/>
  <c r="J1036" i="4"/>
  <c r="J1031" i="4"/>
  <c r="J1025" i="4"/>
  <c r="J1020" i="4"/>
  <c r="J1015" i="4"/>
  <c r="J1009" i="4"/>
  <c r="J1004" i="4"/>
  <c r="J999" i="4"/>
  <c r="J993" i="4"/>
  <c r="J988" i="4"/>
  <c r="J983" i="4"/>
  <c r="J977" i="4"/>
  <c r="J972" i="4"/>
  <c r="J967" i="4"/>
  <c r="J954" i="4"/>
  <c r="J948" i="4"/>
  <c r="J941" i="4"/>
  <c r="J934" i="4"/>
  <c r="J926" i="4"/>
  <c r="J918" i="4"/>
  <c r="J910" i="4"/>
  <c r="J902" i="4"/>
  <c r="J894" i="4"/>
  <c r="J886" i="4"/>
  <c r="J878" i="4"/>
  <c r="J870" i="4"/>
  <c r="J862" i="4"/>
  <c r="J854" i="4"/>
  <c r="J846" i="4"/>
  <c r="J838" i="4"/>
  <c r="J830" i="4"/>
  <c r="J747" i="4"/>
  <c r="J729" i="4"/>
  <c r="J708" i="4"/>
  <c r="J687" i="4"/>
  <c r="J1188" i="4"/>
  <c r="J1151" i="4"/>
  <c r="J1108" i="4"/>
  <c r="J1039" i="4"/>
  <c r="J1190" i="4"/>
  <c r="J1174" i="4"/>
  <c r="J1158" i="4"/>
  <c r="J1142" i="4"/>
  <c r="J1126" i="4"/>
  <c r="J1110" i="4"/>
  <c r="J1094" i="4"/>
  <c r="J1078" i="4"/>
  <c r="J1062" i="4"/>
  <c r="J1046" i="4"/>
  <c r="J1030" i="4"/>
  <c r="J1014" i="4"/>
  <c r="J998" i="4"/>
  <c r="J982" i="4"/>
  <c r="J966" i="4"/>
  <c r="J960" i="4"/>
  <c r="J953" i="4"/>
  <c r="J820" i="4"/>
  <c r="J746" i="4"/>
  <c r="J707" i="4"/>
  <c r="J686" i="4"/>
  <c r="J1183" i="4"/>
  <c r="J1145" i="4"/>
  <c r="J1113" i="4"/>
  <c r="J1071" i="4"/>
  <c r="J1189" i="4"/>
  <c r="J1184" i="4"/>
  <c r="J1179" i="4"/>
  <c r="J1173" i="4"/>
  <c r="J1168" i="4"/>
  <c r="J1163" i="4"/>
  <c r="J1157" i="4"/>
  <c r="J1152" i="4"/>
  <c r="J1147" i="4"/>
  <c r="J1141" i="4"/>
  <c r="J1136" i="4"/>
  <c r="J1131" i="4"/>
  <c r="J1125" i="4"/>
  <c r="J1120" i="4"/>
  <c r="J1115" i="4"/>
  <c r="J1109" i="4"/>
  <c r="J1104" i="4"/>
  <c r="J1099" i="4"/>
  <c r="J1093" i="4"/>
  <c r="J1088" i="4"/>
  <c r="J1083" i="4"/>
  <c r="J1077" i="4"/>
  <c r="J1072" i="4"/>
  <c r="J1067" i="4"/>
  <c r="J1061" i="4"/>
  <c r="J1056" i="4"/>
  <c r="J1051" i="4"/>
  <c r="J1045" i="4"/>
  <c r="J1040" i="4"/>
  <c r="J1035" i="4"/>
  <c r="J1029" i="4"/>
  <c r="J1024" i="4"/>
  <c r="J1019" i="4"/>
  <c r="J1013" i="4"/>
  <c r="J1008" i="4"/>
  <c r="J1003" i="4"/>
  <c r="J997" i="4"/>
  <c r="J992" i="4"/>
  <c r="J987" i="4"/>
  <c r="J981" i="4"/>
  <c r="J976" i="4"/>
  <c r="J971" i="4"/>
  <c r="J965" i="4"/>
  <c r="J946" i="4"/>
  <c r="J940" i="4"/>
  <c r="J932" i="4"/>
  <c r="J924" i="4"/>
  <c r="J916" i="4"/>
  <c r="J908" i="4"/>
  <c r="J900" i="4"/>
  <c r="J892" i="4"/>
  <c r="J884" i="4"/>
  <c r="J876" i="4"/>
  <c r="J868" i="4"/>
  <c r="J860" i="4"/>
  <c r="J852" i="4"/>
  <c r="J844" i="4"/>
  <c r="J836" i="4"/>
  <c r="J828" i="4"/>
  <c r="J808" i="4"/>
  <c r="J724" i="4"/>
  <c r="J703" i="4"/>
  <c r="J682" i="4"/>
  <c r="J676" i="4"/>
  <c r="J671" i="4"/>
  <c r="J666" i="4"/>
  <c r="J660" i="4"/>
  <c r="J655" i="4"/>
  <c r="J650" i="4"/>
  <c r="J644" i="4"/>
  <c r="J639" i="4"/>
  <c r="J634" i="4"/>
  <c r="J628" i="4"/>
  <c r="J623" i="4"/>
  <c r="J616" i="4"/>
  <c r="J608" i="4"/>
  <c r="J602" i="4"/>
  <c r="J595" i="4"/>
  <c r="J587" i="4"/>
  <c r="J580" i="4"/>
  <c r="J574" i="4"/>
  <c r="J566" i="4"/>
  <c r="J559" i="4"/>
  <c r="J552" i="4"/>
  <c r="J543" i="4"/>
  <c r="J534" i="4"/>
  <c r="J523" i="4"/>
  <c r="J512" i="4"/>
  <c r="J502" i="4"/>
  <c r="J491" i="4"/>
  <c r="J480" i="4"/>
  <c r="J470" i="4"/>
  <c r="J457" i="4"/>
  <c r="J429" i="4"/>
  <c r="J357" i="4"/>
  <c r="J325" i="4"/>
  <c r="J287" i="4"/>
  <c r="J268" i="4"/>
  <c r="J239" i="4"/>
  <c r="J804" i="4"/>
  <c r="J800" i="4"/>
  <c r="J796" i="4"/>
  <c r="J792" i="4"/>
  <c r="J788" i="4"/>
  <c r="J784" i="4"/>
  <c r="J780" i="4"/>
  <c r="J776" i="4"/>
  <c r="J772" i="4"/>
  <c r="J768" i="4"/>
  <c r="J764" i="4"/>
  <c r="J760" i="4"/>
  <c r="J751" i="4"/>
  <c r="J742" i="4"/>
  <c r="J733" i="4"/>
  <c r="J728" i="4"/>
  <c r="J532" i="4"/>
  <c r="J522" i="4"/>
  <c r="J511" i="4"/>
  <c r="J500" i="4"/>
  <c r="J490" i="4"/>
  <c r="J479" i="4"/>
  <c r="J468" i="4"/>
  <c r="J441" i="4"/>
  <c r="J413" i="4"/>
  <c r="J341" i="4"/>
  <c r="J303" i="4"/>
  <c r="J284" i="4"/>
  <c r="J266" i="4"/>
  <c r="J680" i="4"/>
  <c r="J675" i="4"/>
  <c r="J670" i="4"/>
  <c r="J664" i="4"/>
  <c r="J659" i="4"/>
  <c r="J654" i="4"/>
  <c r="J648" i="4"/>
  <c r="J643" i="4"/>
  <c r="J638" i="4"/>
  <c r="J632" i="4"/>
  <c r="J627" i="4"/>
  <c r="J622" i="4"/>
  <c r="J614" i="4"/>
  <c r="J607" i="4"/>
  <c r="J600" i="4"/>
  <c r="J592" i="4"/>
  <c r="J586" i="4"/>
  <c r="J579" i="4"/>
  <c r="J571" i="4"/>
  <c r="J564" i="4"/>
  <c r="J558" i="4"/>
  <c r="J550" i="4"/>
  <c r="J542" i="4"/>
  <c r="J454" i="4"/>
  <c r="J440" i="4"/>
  <c r="J426" i="4"/>
  <c r="J411" i="4"/>
  <c r="J398" i="4"/>
  <c r="J383" i="4"/>
  <c r="J368" i="4"/>
  <c r="J355" i="4"/>
  <c r="J339" i="4"/>
  <c r="J321" i="4"/>
  <c r="J302" i="4"/>
  <c r="J283" i="4"/>
  <c r="J234" i="4"/>
  <c r="J963" i="4"/>
  <c r="J955" i="4"/>
  <c r="J947" i="4"/>
  <c r="J935" i="4"/>
  <c r="J927" i="4"/>
  <c r="J919" i="4"/>
  <c r="J911" i="4"/>
  <c r="J903" i="4"/>
  <c r="J895" i="4"/>
  <c r="J891" i="4"/>
  <c r="J883" i="4"/>
  <c r="J879" i="4"/>
  <c r="J875" i="4"/>
  <c r="J871" i="4"/>
  <c r="J867" i="4"/>
  <c r="J859" i="4"/>
  <c r="J855" i="4"/>
  <c r="J851" i="4"/>
  <c r="J847" i="4"/>
  <c r="J843" i="4"/>
  <c r="J839" i="4"/>
  <c r="J835" i="4"/>
  <c r="J831" i="4"/>
  <c r="J827" i="4"/>
  <c r="J823" i="4"/>
  <c r="J819" i="4"/>
  <c r="J815" i="4"/>
  <c r="J811" i="4"/>
  <c r="J807" i="4"/>
  <c r="J803" i="4"/>
  <c r="J799" i="4"/>
  <c r="J795" i="4"/>
  <c r="J791" i="4"/>
  <c r="J787" i="4"/>
  <c r="J783" i="4"/>
  <c r="J779" i="4"/>
  <c r="J775" i="4"/>
  <c r="J771" i="4"/>
  <c r="J767" i="4"/>
  <c r="J763" i="4"/>
  <c r="J759" i="4"/>
  <c r="J750" i="4"/>
  <c r="J741" i="4"/>
  <c r="J736" i="4"/>
  <c r="J727" i="4"/>
  <c r="J548" i="4"/>
  <c r="J531" i="4"/>
  <c r="J520" i="4"/>
  <c r="J510" i="4"/>
  <c r="J499" i="4"/>
  <c r="J488" i="4"/>
  <c r="J478" i="4"/>
  <c r="J467" i="4"/>
  <c r="J453" i="4"/>
  <c r="J425" i="4"/>
  <c r="J397" i="4"/>
  <c r="J319" i="4"/>
  <c r="J282" i="4"/>
  <c r="J261" i="4"/>
  <c r="J232" i="4"/>
  <c r="J204" i="4"/>
  <c r="J959" i="4"/>
  <c r="J951" i="4"/>
  <c r="J943" i="4"/>
  <c r="J939" i="4"/>
  <c r="J931" i="4"/>
  <c r="J923" i="4"/>
  <c r="J915" i="4"/>
  <c r="J907" i="4"/>
  <c r="J899" i="4"/>
  <c r="J887" i="4"/>
  <c r="J863" i="4"/>
  <c r="J754" i="4"/>
  <c r="J745" i="4"/>
  <c r="J740" i="4"/>
  <c r="J731" i="4"/>
  <c r="J722" i="4"/>
  <c r="J716" i="4"/>
  <c r="J711" i="4"/>
  <c r="J706" i="4"/>
  <c r="J700" i="4"/>
  <c r="J695" i="4"/>
  <c r="J690" i="4"/>
  <c r="J684" i="4"/>
  <c r="J679" i="4"/>
  <c r="J674" i="4"/>
  <c r="J668" i="4"/>
  <c r="J663" i="4"/>
  <c r="J658" i="4"/>
  <c r="J652" i="4"/>
  <c r="J647" i="4"/>
  <c r="J642" i="4"/>
  <c r="J636" i="4"/>
  <c r="J631" i="4"/>
  <c r="J626" i="4"/>
  <c r="J619" i="4"/>
  <c r="J612" i="4"/>
  <c r="J606" i="4"/>
  <c r="J598" i="4"/>
  <c r="J591" i="4"/>
  <c r="J584" i="4"/>
  <c r="J576" i="4"/>
  <c r="J570" i="4"/>
  <c r="J563" i="4"/>
  <c r="J555" i="4"/>
  <c r="J539" i="4"/>
  <c r="J528" i="4"/>
  <c r="J518" i="4"/>
  <c r="J507" i="4"/>
  <c r="J496" i="4"/>
  <c r="J486" i="4"/>
  <c r="J475" i="4"/>
  <c r="J421" i="4"/>
  <c r="J393" i="4"/>
  <c r="J365" i="4"/>
  <c r="J316" i="4"/>
  <c r="J296" i="4"/>
  <c r="J277" i="4"/>
  <c r="J197" i="4"/>
  <c r="J818" i="4"/>
  <c r="J806" i="4"/>
  <c r="J798" i="4"/>
  <c r="J790" i="4"/>
  <c r="J782" i="4"/>
  <c r="J778" i="4"/>
  <c r="J770" i="4"/>
  <c r="J766" i="4"/>
  <c r="J762" i="4"/>
  <c r="J758" i="4"/>
  <c r="J749" i="4"/>
  <c r="J744" i="4"/>
  <c r="J735" i="4"/>
  <c r="J726" i="4"/>
  <c r="J547" i="4"/>
  <c r="J538" i="4"/>
  <c r="J527" i="4"/>
  <c r="J516" i="4"/>
  <c r="J506" i="4"/>
  <c r="J495" i="4"/>
  <c r="J484" i="4"/>
  <c r="J474" i="4"/>
  <c r="J405" i="4"/>
  <c r="J377" i="4"/>
  <c r="J349" i="4"/>
  <c r="J332" i="4"/>
  <c r="J312" i="4"/>
  <c r="J252" i="4"/>
  <c r="J223" i="4"/>
  <c r="J822" i="4"/>
  <c r="J814" i="4"/>
  <c r="J810" i="4"/>
  <c r="J802" i="4"/>
  <c r="J794" i="4"/>
  <c r="J786" i="4"/>
  <c r="J774" i="4"/>
  <c r="J753" i="4"/>
  <c r="J748" i="4"/>
  <c r="J739" i="4"/>
  <c r="J730" i="4"/>
  <c r="J720" i="4"/>
  <c r="J715" i="4"/>
  <c r="J710" i="4"/>
  <c r="J704" i="4"/>
  <c r="J699" i="4"/>
  <c r="J694" i="4"/>
  <c r="J688" i="4"/>
  <c r="J683" i="4"/>
  <c r="J678" i="4"/>
  <c r="J672" i="4"/>
  <c r="J667" i="4"/>
  <c r="J662" i="4"/>
  <c r="J656" i="4"/>
  <c r="J651" i="4"/>
  <c r="J646" i="4"/>
  <c r="J640" i="4"/>
  <c r="J635" i="4"/>
  <c r="J630" i="4"/>
  <c r="J624" i="4"/>
  <c r="J618" i="4"/>
  <c r="J611" i="4"/>
  <c r="J603" i="4"/>
  <c r="J596" i="4"/>
  <c r="J590" i="4"/>
  <c r="J582" i="4"/>
  <c r="J575" i="4"/>
  <c r="J568" i="4"/>
  <c r="J560" i="4"/>
  <c r="J554" i="4"/>
  <c r="J462" i="4"/>
  <c r="J447" i="4"/>
  <c r="J432" i="4"/>
  <c r="J419" i="4"/>
  <c r="J404" i="4"/>
  <c r="J390" i="4"/>
  <c r="J376" i="4"/>
  <c r="J362" i="4"/>
  <c r="J347" i="4"/>
  <c r="J331" i="4"/>
  <c r="J311" i="4"/>
  <c r="J291" i="4"/>
  <c r="J274" i="4"/>
  <c r="J248" i="4"/>
  <c r="J220" i="4"/>
  <c r="J189" i="4"/>
  <c r="J937" i="4"/>
  <c r="J933" i="4"/>
  <c r="J929" i="4"/>
  <c r="J925" i="4"/>
  <c r="J921" i="4"/>
  <c r="J917" i="4"/>
  <c r="J913" i="4"/>
  <c r="J909" i="4"/>
  <c r="J905" i="4"/>
  <c r="J901" i="4"/>
  <c r="J897" i="4"/>
  <c r="J893" i="4"/>
  <c r="J889" i="4"/>
  <c r="J885" i="4"/>
  <c r="J881" i="4"/>
  <c r="J877" i="4"/>
  <c r="J873" i="4"/>
  <c r="J869" i="4"/>
  <c r="J865" i="4"/>
  <c r="J861" i="4"/>
  <c r="J857" i="4"/>
  <c r="J853" i="4"/>
  <c r="J849" i="4"/>
  <c r="J845" i="4"/>
  <c r="J841" i="4"/>
  <c r="J837" i="4"/>
  <c r="J833" i="4"/>
  <c r="J829" i="4"/>
  <c r="J825" i="4"/>
  <c r="J821" i="4"/>
  <c r="J817" i="4"/>
  <c r="J813" i="4"/>
  <c r="J809" i="4"/>
  <c r="J805" i="4"/>
  <c r="J801" i="4"/>
  <c r="J797" i="4"/>
  <c r="J793" i="4"/>
  <c r="J789" i="4"/>
  <c r="J785" i="4"/>
  <c r="J781" i="4"/>
  <c r="J777" i="4"/>
  <c r="J773" i="4"/>
  <c r="J769" i="4"/>
  <c r="J765" i="4"/>
  <c r="J761" i="4"/>
  <c r="J757" i="4"/>
  <c r="J752" i="4"/>
  <c r="J743" i="4"/>
  <c r="J734" i="4"/>
  <c r="J725" i="4"/>
  <c r="J544" i="4"/>
  <c r="J536" i="4"/>
  <c r="J526" i="4"/>
  <c r="J515" i="4"/>
  <c r="J504" i="4"/>
  <c r="J494" i="4"/>
  <c r="J483" i="4"/>
  <c r="J472" i="4"/>
  <c r="J461" i="4"/>
  <c r="J389" i="4"/>
  <c r="J361" i="4"/>
  <c r="J330" i="4"/>
  <c r="J218" i="4"/>
  <c r="J188" i="4"/>
  <c r="J459" i="4"/>
  <c r="J452" i="4"/>
  <c r="J446" i="4"/>
  <c r="J438" i="4"/>
  <c r="J431" i="4"/>
  <c r="J424" i="4"/>
  <c r="J416" i="4"/>
  <c r="J410" i="4"/>
  <c r="J403" i="4"/>
  <c r="J395" i="4"/>
  <c r="J388" i="4"/>
  <c r="J382" i="4"/>
  <c r="J374" i="4"/>
  <c r="J367" i="4"/>
  <c r="J360" i="4"/>
  <c r="J352" i="4"/>
  <c r="J346" i="4"/>
  <c r="J338" i="4"/>
  <c r="J327" i="4"/>
  <c r="J318" i="4"/>
  <c r="J310" i="4"/>
  <c r="J299" i="4"/>
  <c r="J290" i="4"/>
  <c r="J281" i="4"/>
  <c r="J270" i="4"/>
  <c r="J259" i="4"/>
  <c r="J246" i="4"/>
  <c r="J231" i="4"/>
  <c r="J217" i="4"/>
  <c r="J203" i="4"/>
  <c r="J182" i="4"/>
  <c r="J721" i="4"/>
  <c r="J717" i="4"/>
  <c r="J713" i="4"/>
  <c r="J709" i="4"/>
  <c r="J705" i="4"/>
  <c r="J701" i="4"/>
  <c r="J697" i="4"/>
  <c r="J693" i="4"/>
  <c r="J689" i="4"/>
  <c r="J685" i="4"/>
  <c r="J681" i="4"/>
  <c r="J677" i="4"/>
  <c r="J673" i="4"/>
  <c r="J669" i="4"/>
  <c r="J665" i="4"/>
  <c r="J661" i="4"/>
  <c r="J657" i="4"/>
  <c r="J653" i="4"/>
  <c r="J649" i="4"/>
  <c r="J645" i="4"/>
  <c r="J641" i="4"/>
  <c r="J637" i="4"/>
  <c r="J633" i="4"/>
  <c r="J629" i="4"/>
  <c r="J625" i="4"/>
  <c r="J620" i="4"/>
  <c r="J615" i="4"/>
  <c r="J610" i="4"/>
  <c r="J604" i="4"/>
  <c r="J599" i="4"/>
  <c r="J594" i="4"/>
  <c r="J588" i="4"/>
  <c r="J583" i="4"/>
  <c r="J578" i="4"/>
  <c r="J572" i="4"/>
  <c r="J567" i="4"/>
  <c r="J562" i="4"/>
  <c r="J556" i="4"/>
  <c r="J551" i="4"/>
  <c r="J546" i="4"/>
  <c r="J540" i="4"/>
  <c r="J535" i="4"/>
  <c r="J530" i="4"/>
  <c r="J524" i="4"/>
  <c r="J519" i="4"/>
  <c r="J514" i="4"/>
  <c r="J508" i="4"/>
  <c r="J503" i="4"/>
  <c r="J498" i="4"/>
  <c r="J492" i="4"/>
  <c r="J487" i="4"/>
  <c r="J482" i="4"/>
  <c r="J476" i="4"/>
  <c r="J471" i="4"/>
  <c r="J466" i="4"/>
  <c r="J445" i="4"/>
  <c r="J437" i="4"/>
  <c r="J409" i="4"/>
  <c r="J381" i="4"/>
  <c r="J373" i="4"/>
  <c r="J345" i="4"/>
  <c r="J309" i="4"/>
  <c r="J298" i="4"/>
  <c r="J280" i="4"/>
  <c r="J245" i="4"/>
  <c r="J216" i="4"/>
  <c r="J202" i="4"/>
  <c r="J174" i="4"/>
  <c r="J464" i="4"/>
  <c r="J458" i="4"/>
  <c r="J451" i="4"/>
  <c r="J443" i="4"/>
  <c r="J436" i="4"/>
  <c r="J430" i="4"/>
  <c r="J422" i="4"/>
  <c r="J415" i="4"/>
  <c r="J408" i="4"/>
  <c r="J400" i="4"/>
  <c r="J394" i="4"/>
  <c r="J387" i="4"/>
  <c r="J379" i="4"/>
  <c r="J372" i="4"/>
  <c r="J366" i="4"/>
  <c r="J358" i="4"/>
  <c r="J351" i="4"/>
  <c r="J344" i="4"/>
  <c r="J334" i="4"/>
  <c r="J326" i="4"/>
  <c r="J317" i="4"/>
  <c r="J306" i="4"/>
  <c r="J297" i="4"/>
  <c r="J289" i="4"/>
  <c r="J278" i="4"/>
  <c r="J269" i="4"/>
  <c r="J255" i="4"/>
  <c r="J213" i="4"/>
  <c r="J167" i="4"/>
  <c r="J161" i="4"/>
  <c r="J463" i="4"/>
  <c r="J456" i="4"/>
  <c r="J448" i="4"/>
  <c r="J442" i="4"/>
  <c r="J435" i="4"/>
  <c r="J427" i="4"/>
  <c r="J420" i="4"/>
  <c r="J414" i="4"/>
  <c r="J406" i="4"/>
  <c r="J399" i="4"/>
  <c r="J392" i="4"/>
  <c r="J384" i="4"/>
  <c r="J378" i="4"/>
  <c r="J371" i="4"/>
  <c r="J363" i="4"/>
  <c r="J356" i="4"/>
  <c r="J350" i="4"/>
  <c r="J342" i="4"/>
  <c r="J333" i="4"/>
  <c r="J323" i="4"/>
  <c r="J313" i="4"/>
  <c r="J305" i="4"/>
  <c r="J295" i="4"/>
  <c r="J285" i="4"/>
  <c r="J275" i="4"/>
  <c r="J267" i="4"/>
  <c r="J253" i="4"/>
  <c r="J238" i="4"/>
  <c r="J225" i="4"/>
  <c r="J210" i="4"/>
  <c r="J195" i="4"/>
  <c r="J153" i="4"/>
  <c r="J175" i="4"/>
  <c r="J168" i="4"/>
  <c r="J154" i="4"/>
  <c r="J140" i="4"/>
  <c r="J133" i="4"/>
  <c r="J111" i="4"/>
  <c r="J104" i="4"/>
  <c r="J90" i="4"/>
  <c r="J76" i="4"/>
  <c r="J69" i="4"/>
  <c r="J47" i="4"/>
  <c r="J40" i="4"/>
  <c r="J33" i="4"/>
  <c r="J20" i="4"/>
  <c r="J146" i="4"/>
  <c r="J139" i="4"/>
  <c r="J131" i="4"/>
  <c r="J125" i="4"/>
  <c r="J118" i="4"/>
  <c r="J110" i="4"/>
  <c r="J103" i="4"/>
  <c r="J97" i="4"/>
  <c r="J89" i="4"/>
  <c r="J82" i="4"/>
  <c r="J75" i="4"/>
  <c r="J67" i="4"/>
  <c r="J61" i="4"/>
  <c r="J54" i="4"/>
  <c r="J46" i="4"/>
  <c r="J39" i="4"/>
  <c r="J31" i="4"/>
  <c r="J181" i="4"/>
  <c r="J159" i="4"/>
  <c r="J152" i="4"/>
  <c r="J138" i="4"/>
  <c r="J124" i="4"/>
  <c r="J117" i="4"/>
  <c r="J95" i="4"/>
  <c r="J88" i="4"/>
  <c r="J74" i="4"/>
  <c r="J60" i="4"/>
  <c r="J53" i="4"/>
  <c r="J18" i="4"/>
  <c r="J460" i="4"/>
  <c r="J455" i="4"/>
  <c r="J450" i="4"/>
  <c r="J444" i="4"/>
  <c r="J439" i="4"/>
  <c r="J434" i="4"/>
  <c r="J428" i="4"/>
  <c r="J423" i="4"/>
  <c r="J418" i="4"/>
  <c r="J412" i="4"/>
  <c r="J407" i="4"/>
  <c r="J402" i="4"/>
  <c r="J396" i="4"/>
  <c r="J391" i="4"/>
  <c r="J386" i="4"/>
  <c r="J380" i="4"/>
  <c r="J375" i="4"/>
  <c r="J370" i="4"/>
  <c r="J364" i="4"/>
  <c r="J359" i="4"/>
  <c r="J354" i="4"/>
  <c r="J348" i="4"/>
  <c r="J343" i="4"/>
  <c r="J337" i="4"/>
  <c r="J329" i="4"/>
  <c r="J322" i="4"/>
  <c r="J315" i="4"/>
  <c r="J307" i="4"/>
  <c r="J301" i="4"/>
  <c r="J294" i="4"/>
  <c r="J286" i="4"/>
  <c r="J279" i="4"/>
  <c r="J273" i="4"/>
  <c r="J265" i="4"/>
  <c r="J258" i="4"/>
  <c r="J251" i="4"/>
  <c r="J243" i="4"/>
  <c r="J237" i="4"/>
  <c r="J230" i="4"/>
  <c r="J222" i="4"/>
  <c r="J215" i="4"/>
  <c r="J209" i="4"/>
  <c r="J201" i="4"/>
  <c r="J194" i="4"/>
  <c r="J187" i="4"/>
  <c r="J179" i="4"/>
  <c r="J173" i="4"/>
  <c r="J166" i="4"/>
  <c r="J158" i="4"/>
  <c r="J151" i="4"/>
  <c r="J145" i="4"/>
  <c r="J137" i="4"/>
  <c r="J130" i="4"/>
  <c r="J123" i="4"/>
  <c r="J115" i="4"/>
  <c r="J109" i="4"/>
  <c r="J102" i="4"/>
  <c r="J94" i="4"/>
  <c r="J87" i="4"/>
  <c r="J81" i="4"/>
  <c r="J73" i="4"/>
  <c r="J66" i="4"/>
  <c r="J59" i="4"/>
  <c r="J51" i="4"/>
  <c r="J45" i="4"/>
  <c r="J38" i="4"/>
  <c r="J28" i="4"/>
  <c r="J16" i="4"/>
  <c r="J621" i="4"/>
  <c r="J617" i="4"/>
  <c r="J613" i="4"/>
  <c r="J609" i="4"/>
  <c r="J605" i="4"/>
  <c r="J601" i="4"/>
  <c r="J597" i="4"/>
  <c r="J593" i="4"/>
  <c r="J589" i="4"/>
  <c r="J585" i="4"/>
  <c r="J581" i="4"/>
  <c r="J577" i="4"/>
  <c r="J573" i="4"/>
  <c r="J569" i="4"/>
  <c r="J565" i="4"/>
  <c r="J561" i="4"/>
  <c r="J557" i="4"/>
  <c r="J553" i="4"/>
  <c r="J549" i="4"/>
  <c r="J545" i="4"/>
  <c r="J541" i="4"/>
  <c r="J537" i="4"/>
  <c r="J533" i="4"/>
  <c r="J529" i="4"/>
  <c r="J525" i="4"/>
  <c r="J521" i="4"/>
  <c r="J517" i="4"/>
  <c r="J513" i="4"/>
  <c r="J509" i="4"/>
  <c r="J505" i="4"/>
  <c r="J501" i="4"/>
  <c r="J497" i="4"/>
  <c r="J493" i="4"/>
  <c r="J489" i="4"/>
  <c r="J485" i="4"/>
  <c r="J481" i="4"/>
  <c r="J477" i="4"/>
  <c r="J473" i="4"/>
  <c r="J469" i="4"/>
  <c r="J465" i="4"/>
  <c r="J449" i="4"/>
  <c r="J433" i="4"/>
  <c r="J417" i="4"/>
  <c r="J401" i="4"/>
  <c r="J385" i="4"/>
  <c r="J369" i="4"/>
  <c r="J353" i="4"/>
  <c r="J335" i="4"/>
  <c r="J328" i="4"/>
  <c r="J314" i="4"/>
  <c r="J300" i="4"/>
  <c r="J293" i="4"/>
  <c r="J271" i="4"/>
  <c r="J264" i="4"/>
  <c r="J250" i="4"/>
  <c r="J236" i="4"/>
  <c r="J229" i="4"/>
  <c r="J207" i="4"/>
  <c r="J200" i="4"/>
  <c r="J186" i="4"/>
  <c r="J172" i="4"/>
  <c r="J165" i="4"/>
  <c r="J143" i="4"/>
  <c r="J136" i="4"/>
  <c r="J122" i="4"/>
  <c r="J108" i="4"/>
  <c r="J101" i="4"/>
  <c r="J79" i="4"/>
  <c r="J72" i="4"/>
  <c r="J58" i="4"/>
  <c r="J44" i="4"/>
  <c r="J37" i="4"/>
  <c r="J263" i="4"/>
  <c r="J257" i="4"/>
  <c r="J249" i="4"/>
  <c r="J242" i="4"/>
  <c r="J235" i="4"/>
  <c r="J227" i="4"/>
  <c r="J221" i="4"/>
  <c r="J214" i="4"/>
  <c r="J206" i="4"/>
  <c r="J199" i="4"/>
  <c r="J193" i="4"/>
  <c r="J185" i="4"/>
  <c r="J178" i="4"/>
  <c r="J171" i="4"/>
  <c r="J163" i="4"/>
  <c r="J157" i="4"/>
  <c r="J150" i="4"/>
  <c r="J142" i="4"/>
  <c r="J135" i="4"/>
  <c r="J129" i="4"/>
  <c r="J121" i="4"/>
  <c r="J114" i="4"/>
  <c r="J107" i="4"/>
  <c r="J99" i="4"/>
  <c r="J93" i="4"/>
  <c r="J86" i="4"/>
  <c r="J78" i="4"/>
  <c r="J71" i="4"/>
  <c r="J65" i="4"/>
  <c r="J57" i="4"/>
  <c r="J50" i="4"/>
  <c r="J43" i="4"/>
  <c r="J26" i="4"/>
  <c r="J12" i="4"/>
  <c r="J191" i="4"/>
  <c r="J184" i="4"/>
  <c r="J170" i="4"/>
  <c r="J156" i="4"/>
  <c r="J149" i="4"/>
  <c r="J127" i="4"/>
  <c r="J120" i="4"/>
  <c r="J106" i="4"/>
  <c r="J92" i="4"/>
  <c r="J85" i="4"/>
  <c r="J63" i="4"/>
  <c r="J56" i="4"/>
  <c r="J42" i="4"/>
  <c r="J34" i="4"/>
  <c r="J24" i="4"/>
  <c r="J262" i="4"/>
  <c r="J254" i="4"/>
  <c r="J247" i="4"/>
  <c r="J241" i="4"/>
  <c r="J233" i="4"/>
  <c r="J226" i="4"/>
  <c r="J219" i="4"/>
  <c r="J211" i="4"/>
  <c r="J205" i="4"/>
  <c r="J198" i="4"/>
  <c r="J190" i="4"/>
  <c r="J183" i="4"/>
  <c r="J177" i="4"/>
  <c r="J169" i="4"/>
  <c r="J162" i="4"/>
  <c r="J155" i="4"/>
  <c r="J147" i="4"/>
  <c r="J141" i="4"/>
  <c r="J134" i="4"/>
  <c r="J126" i="4"/>
  <c r="J119" i="4"/>
  <c r="J113" i="4"/>
  <c r="J105" i="4"/>
  <c r="J98" i="4"/>
  <c r="J91" i="4"/>
  <c r="J83" i="4"/>
  <c r="J77" i="4"/>
  <c r="J70" i="4"/>
  <c r="J62" i="4"/>
  <c r="J55" i="4"/>
  <c r="J49" i="4"/>
  <c r="J41" i="4"/>
  <c r="J8" i="4"/>
  <c r="J10" i="4"/>
  <c r="J336" i="4"/>
  <c r="J320" i="4"/>
  <c r="J304" i="4"/>
  <c r="J288" i="4"/>
  <c r="J272" i="4"/>
  <c r="J256" i="4"/>
  <c r="J240" i="4"/>
  <c r="J224" i="4"/>
  <c r="J208" i="4"/>
  <c r="J192" i="4"/>
  <c r="J176" i="4"/>
  <c r="J160" i="4"/>
  <c r="J144" i="4"/>
  <c r="J128" i="4"/>
  <c r="J112" i="4"/>
  <c r="J96" i="4"/>
  <c r="J80" i="4"/>
  <c r="J64" i="4"/>
  <c r="J48" i="4"/>
  <c r="J32" i="4"/>
  <c r="J340" i="4"/>
  <c r="J324" i="4"/>
  <c r="J308" i="4"/>
  <c r="J292" i="4"/>
  <c r="J276" i="4"/>
  <c r="J260" i="4"/>
  <c r="J244" i="4"/>
  <c r="J228" i="4"/>
  <c r="J212" i="4"/>
  <c r="J196" i="4"/>
  <c r="J180" i="4"/>
  <c r="J164" i="4"/>
  <c r="J148" i="4"/>
  <c r="J132" i="4"/>
  <c r="J116" i="4"/>
  <c r="J100" i="4"/>
  <c r="J84" i="4"/>
  <c r="J68" i="4"/>
  <c r="J52" i="4"/>
  <c r="J36" i="4"/>
  <c r="J35" i="4"/>
  <c r="J30" i="4"/>
  <c r="J22" i="4"/>
  <c r="J14" i="4"/>
  <c r="J6" i="4"/>
  <c r="J29" i="4"/>
  <c r="J25" i="4"/>
  <c r="J21" i="4"/>
  <c r="J17" i="4"/>
  <c r="J13" i="4"/>
  <c r="J9" i="4"/>
  <c r="J5" i="4"/>
  <c r="J4" i="4"/>
  <c r="J27" i="4"/>
  <c r="J23" i="4"/>
  <c r="J19" i="4"/>
  <c r="J15" i="4"/>
  <c r="J11" i="4"/>
  <c r="J7" i="4"/>
  <c r="J3" i="4"/>
  <c r="J2" i="4"/>
  <c r="J1144" i="2"/>
  <c r="J1136" i="2"/>
  <c r="J1128" i="2"/>
  <c r="J1120" i="2"/>
  <c r="J1112" i="2"/>
  <c r="J1104" i="2"/>
  <c r="J1096" i="2"/>
  <c r="J1088" i="2"/>
  <c r="J1080" i="2"/>
  <c r="J1072" i="2"/>
  <c r="J1064" i="2"/>
  <c r="J1028" i="2"/>
  <c r="J1019" i="2"/>
  <c r="J1010" i="2"/>
  <c r="J1001" i="2"/>
  <c r="J964" i="2"/>
  <c r="J955" i="2"/>
  <c r="J946" i="2"/>
  <c r="J937" i="2"/>
  <c r="J900" i="2"/>
  <c r="J891" i="2"/>
  <c r="J882" i="2"/>
  <c r="J873" i="2"/>
  <c r="J844" i="2"/>
  <c r="J808" i="2"/>
  <c r="J1273" i="2"/>
  <c r="J1324" i="2"/>
  <c r="J1291" i="2"/>
  <c r="J1245" i="2"/>
  <c r="J1208" i="2"/>
  <c r="J1165" i="2"/>
  <c r="J1126" i="2"/>
  <c r="J1102" i="2"/>
  <c r="J1094" i="2"/>
  <c r="J1078" i="2"/>
  <c r="J1035" i="2"/>
  <c r="J1026" i="2"/>
  <c r="J1017" i="2"/>
  <c r="J980" i="2"/>
  <c r="J971" i="2"/>
  <c r="J962" i="2"/>
  <c r="J953" i="2"/>
  <c r="J916" i="2"/>
  <c r="J907" i="2"/>
  <c r="J898" i="2"/>
  <c r="J889" i="2"/>
  <c r="J852" i="2"/>
  <c r="J817" i="2"/>
  <c r="J1287" i="2"/>
  <c r="J1152" i="2"/>
  <c r="J1308" i="2"/>
  <c r="J1268" i="2"/>
  <c r="J1240" i="2"/>
  <c r="J1213" i="2"/>
  <c r="J1181" i="2"/>
  <c r="J1142" i="2"/>
  <c r="J1086" i="2"/>
  <c r="J1085" i="2"/>
  <c r="J860" i="2"/>
  <c r="J1282" i="2"/>
  <c r="J1160" i="2"/>
  <c r="J1320" i="2"/>
  <c r="J1304" i="2"/>
  <c r="J1259" i="2"/>
  <c r="J1234" i="2"/>
  <c r="J1218" i="2"/>
  <c r="J1197" i="2"/>
  <c r="J1176" i="2"/>
  <c r="J1150" i="2"/>
  <c r="J1110" i="2"/>
  <c r="J1070" i="2"/>
  <c r="J1295" i="2"/>
  <c r="J1281" i="2"/>
  <c r="J1263" i="2"/>
  <c r="J1249" i="2"/>
  <c r="J1149" i="2"/>
  <c r="J1133" i="2"/>
  <c r="J1117" i="2"/>
  <c r="J1101" i="2"/>
  <c r="J1077" i="2"/>
  <c r="J1061" i="2"/>
  <c r="J1043" i="2"/>
  <c r="J1025" i="2"/>
  <c r="J979" i="2"/>
  <c r="J961" i="2"/>
  <c r="J915" i="2"/>
  <c r="J897" i="2"/>
  <c r="J840" i="2"/>
  <c r="J816" i="2"/>
  <c r="J803" i="2"/>
  <c r="J1327" i="2"/>
  <c r="J1319" i="2"/>
  <c r="J1311" i="2"/>
  <c r="J1307" i="2"/>
  <c r="J1303" i="2"/>
  <c r="J1299" i="2"/>
  <c r="J1294" i="2"/>
  <c r="J1285" i="2"/>
  <c r="J1276" i="2"/>
  <c r="J1267" i="2"/>
  <c r="J1262" i="2"/>
  <c r="J1253" i="2"/>
  <c r="J1244" i="2"/>
  <c r="J1238" i="2"/>
  <c r="J1233" i="2"/>
  <c r="J1228" i="2"/>
  <c r="J1222" i="2"/>
  <c r="J1217" i="2"/>
  <c r="J1212" i="2"/>
  <c r="J1206" i="2"/>
  <c r="J1201" i="2"/>
  <c r="J1196" i="2"/>
  <c r="J1190" i="2"/>
  <c r="J1185" i="2"/>
  <c r="J1180" i="2"/>
  <c r="J1174" i="2"/>
  <c r="J1169" i="2"/>
  <c r="J1164" i="2"/>
  <c r="J1024" i="2"/>
  <c r="J1015" i="2"/>
  <c r="J1006" i="2"/>
  <c r="J997" i="2"/>
  <c r="J960" i="2"/>
  <c r="J951" i="2"/>
  <c r="J942" i="2"/>
  <c r="J933" i="2"/>
  <c r="J896" i="2"/>
  <c r="J887" i="2"/>
  <c r="J878" i="2"/>
  <c r="J869" i="2"/>
  <c r="J781" i="2"/>
  <c r="J1296" i="2"/>
  <c r="J1255" i="2"/>
  <c r="J1328" i="2"/>
  <c r="J1312" i="2"/>
  <c r="J1286" i="2"/>
  <c r="J1254" i="2"/>
  <c r="J1229" i="2"/>
  <c r="J1202" i="2"/>
  <c r="J1186" i="2"/>
  <c r="J1158" i="2"/>
  <c r="J1118" i="2"/>
  <c r="J1062" i="2"/>
  <c r="J1290" i="2"/>
  <c r="J1272" i="2"/>
  <c r="J1258" i="2"/>
  <c r="J1157" i="2"/>
  <c r="J1141" i="2"/>
  <c r="J1125" i="2"/>
  <c r="J1109" i="2"/>
  <c r="J1093" i="2"/>
  <c r="J1069" i="2"/>
  <c r="J1052" i="2"/>
  <c r="J1034" i="2"/>
  <c r="J988" i="2"/>
  <c r="J970" i="2"/>
  <c r="J924" i="2"/>
  <c r="J906" i="2"/>
  <c r="J851" i="2"/>
  <c r="J828" i="2"/>
  <c r="J788" i="2"/>
  <c r="J1323" i="2"/>
  <c r="J1315" i="2"/>
  <c r="J1298" i="2"/>
  <c r="J1289" i="2"/>
  <c r="J1280" i="2"/>
  <c r="J1271" i="2"/>
  <c r="J1266" i="2"/>
  <c r="J1257" i="2"/>
  <c r="J1248" i="2"/>
  <c r="J1156" i="2"/>
  <c r="J1148" i="2"/>
  <c r="J1140" i="2"/>
  <c r="J1132" i="2"/>
  <c r="J1124" i="2"/>
  <c r="J1116" i="2"/>
  <c r="J1108" i="2"/>
  <c r="J1100" i="2"/>
  <c r="J1092" i="2"/>
  <c r="J1084" i="2"/>
  <c r="J1076" i="2"/>
  <c r="J1068" i="2"/>
  <c r="J1060" i="2"/>
  <c r="J1051" i="2"/>
  <c r="J1042" i="2"/>
  <c r="J1033" i="2"/>
  <c r="J996" i="2"/>
  <c r="J987" i="2"/>
  <c r="J978" i="2"/>
  <c r="J969" i="2"/>
  <c r="J932" i="2"/>
  <c r="J923" i="2"/>
  <c r="J914" i="2"/>
  <c r="J905" i="2"/>
  <c r="J868" i="2"/>
  <c r="J859" i="2"/>
  <c r="J839" i="2"/>
  <c r="J1250" i="2"/>
  <c r="J1316" i="2"/>
  <c r="J1300" i="2"/>
  <c r="J1277" i="2"/>
  <c r="J1224" i="2"/>
  <c r="J1192" i="2"/>
  <c r="J1170" i="2"/>
  <c r="J1134" i="2"/>
  <c r="J1044" i="2"/>
  <c r="J1326" i="2"/>
  <c r="J1322" i="2"/>
  <c r="J1318" i="2"/>
  <c r="J1314" i="2"/>
  <c r="J1310" i="2"/>
  <c r="J1306" i="2"/>
  <c r="J1302" i="2"/>
  <c r="J1293" i="2"/>
  <c r="J1284" i="2"/>
  <c r="J1275" i="2"/>
  <c r="J1270" i="2"/>
  <c r="J1261" i="2"/>
  <c r="J1252" i="2"/>
  <c r="J1242" i="2"/>
  <c r="J1237" i="2"/>
  <c r="J1232" i="2"/>
  <c r="J1226" i="2"/>
  <c r="J1221" i="2"/>
  <c r="J1216" i="2"/>
  <c r="J1210" i="2"/>
  <c r="J1205" i="2"/>
  <c r="J1200" i="2"/>
  <c r="J1194" i="2"/>
  <c r="J1189" i="2"/>
  <c r="J1184" i="2"/>
  <c r="J1178" i="2"/>
  <c r="J1173" i="2"/>
  <c r="J1168" i="2"/>
  <c r="J1162" i="2"/>
  <c r="J1154" i="2"/>
  <c r="J1146" i="2"/>
  <c r="J1138" i="2"/>
  <c r="J1130" i="2"/>
  <c r="J1122" i="2"/>
  <c r="J1114" i="2"/>
  <c r="J1106" i="2"/>
  <c r="J1098" i="2"/>
  <c r="J1090" i="2"/>
  <c r="J1082" i="2"/>
  <c r="J1074" i="2"/>
  <c r="J1066" i="2"/>
  <c r="J1058" i="2"/>
  <c r="J1049" i="2"/>
  <c r="J1012" i="2"/>
  <c r="J1003" i="2"/>
  <c r="J994" i="2"/>
  <c r="J985" i="2"/>
  <c r="J948" i="2"/>
  <c r="J939" i="2"/>
  <c r="J930" i="2"/>
  <c r="J921" i="2"/>
  <c r="J884" i="2"/>
  <c r="J875" i="2"/>
  <c r="J866" i="2"/>
  <c r="J857" i="2"/>
  <c r="J847" i="2"/>
  <c r="J765" i="2"/>
  <c r="J1264" i="2"/>
  <c r="J1288" i="2"/>
  <c r="J1274" i="2"/>
  <c r="J1247" i="2"/>
  <c r="J1153" i="2"/>
  <c r="J1137" i="2"/>
  <c r="J1121" i="2"/>
  <c r="J1105" i="2"/>
  <c r="J1089" i="2"/>
  <c r="J1081" i="2"/>
  <c r="J1065" i="2"/>
  <c r="J1057" i="2"/>
  <c r="J1020" i="2"/>
  <c r="J1011" i="2"/>
  <c r="J993" i="2"/>
  <c r="J956" i="2"/>
  <c r="J947" i="2"/>
  <c r="J938" i="2"/>
  <c r="J929" i="2"/>
  <c r="J892" i="2"/>
  <c r="J883" i="2"/>
  <c r="J874" i="2"/>
  <c r="J865" i="2"/>
  <c r="J796" i="2"/>
  <c r="J1297" i="2"/>
  <c r="J1279" i="2"/>
  <c r="J1265" i="2"/>
  <c r="J1256" i="2"/>
  <c r="J1161" i="2"/>
  <c r="J1145" i="2"/>
  <c r="J1129" i="2"/>
  <c r="J1113" i="2"/>
  <c r="J1097" i="2"/>
  <c r="J1073" i="2"/>
  <c r="J1002" i="2"/>
  <c r="J1325" i="2"/>
  <c r="J1321" i="2"/>
  <c r="J1317" i="2"/>
  <c r="J1313" i="2"/>
  <c r="J1309" i="2"/>
  <c r="J1305" i="2"/>
  <c r="J1301" i="2"/>
  <c r="J1292" i="2"/>
  <c r="J1283" i="2"/>
  <c r="J1278" i="2"/>
  <c r="J1269" i="2"/>
  <c r="J1260" i="2"/>
  <c r="J1251" i="2"/>
  <c r="J1246" i="2"/>
  <c r="J1241" i="2"/>
  <c r="J1236" i="2"/>
  <c r="J1230" i="2"/>
  <c r="J1225" i="2"/>
  <c r="J1220" i="2"/>
  <c r="J1214" i="2"/>
  <c r="J1209" i="2"/>
  <c r="J1204" i="2"/>
  <c r="J1198" i="2"/>
  <c r="J1193" i="2"/>
  <c r="J1188" i="2"/>
  <c r="J1182" i="2"/>
  <c r="J1177" i="2"/>
  <c r="J1172" i="2"/>
  <c r="J1166" i="2"/>
  <c r="J1056" i="2"/>
  <c r="J1047" i="2"/>
  <c r="J1038" i="2"/>
  <c r="J1029" i="2"/>
  <c r="J992" i="2"/>
  <c r="J983" i="2"/>
  <c r="J974" i="2"/>
  <c r="J965" i="2"/>
  <c r="J928" i="2"/>
  <c r="J919" i="2"/>
  <c r="J910" i="2"/>
  <c r="J901" i="2"/>
  <c r="J864" i="2"/>
  <c r="J855" i="2"/>
  <c r="J845" i="2"/>
  <c r="J821" i="2"/>
  <c r="J809" i="2"/>
  <c r="J749" i="2"/>
  <c r="J641" i="2"/>
  <c r="J598" i="2"/>
  <c r="J556" i="2"/>
  <c r="J513" i="2"/>
  <c r="J470" i="2"/>
  <c r="J780" i="2"/>
  <c r="J773" i="2"/>
  <c r="J756" i="2"/>
  <c r="J748" i="2"/>
  <c r="J735" i="2"/>
  <c r="J710" i="2"/>
  <c r="J413" i="2"/>
  <c r="J787" i="2"/>
  <c r="J779" i="2"/>
  <c r="J755" i="2"/>
  <c r="J746" i="2"/>
  <c r="J705" i="2"/>
  <c r="J1055" i="2"/>
  <c r="J1046" i="2"/>
  <c r="J1037" i="2"/>
  <c r="J1032" i="2"/>
  <c r="J1023" i="2"/>
  <c r="J1014" i="2"/>
  <c r="J1005" i="2"/>
  <c r="J1000" i="2"/>
  <c r="J991" i="2"/>
  <c r="J982" i="2"/>
  <c r="J973" i="2"/>
  <c r="J968" i="2"/>
  <c r="J959" i="2"/>
  <c r="J950" i="2"/>
  <c r="J941" i="2"/>
  <c r="J936" i="2"/>
  <c r="J927" i="2"/>
  <c r="J918" i="2"/>
  <c r="J909" i="2"/>
  <c r="J904" i="2"/>
  <c r="J895" i="2"/>
  <c r="J886" i="2"/>
  <c r="J877" i="2"/>
  <c r="J872" i="2"/>
  <c r="J863" i="2"/>
  <c r="J854" i="2"/>
  <c r="J849" i="2"/>
  <c r="J832" i="2"/>
  <c r="J820" i="2"/>
  <c r="J770" i="2"/>
  <c r="J726" i="2"/>
  <c r="J664" i="2"/>
  <c r="J365" i="2"/>
  <c r="J1243" i="2"/>
  <c r="J1239" i="2"/>
  <c r="J1235" i="2"/>
  <c r="J1231" i="2"/>
  <c r="J1227" i="2"/>
  <c r="J1223" i="2"/>
  <c r="J1219" i="2"/>
  <c r="J1215" i="2"/>
  <c r="J1211" i="2"/>
  <c r="J1207" i="2"/>
  <c r="J1203" i="2"/>
  <c r="J1199" i="2"/>
  <c r="J1195" i="2"/>
  <c r="J1191" i="2"/>
  <c r="J1187" i="2"/>
  <c r="J1183" i="2"/>
  <c r="J1179" i="2"/>
  <c r="J1175" i="2"/>
  <c r="J1171" i="2"/>
  <c r="J1167" i="2"/>
  <c r="J1163" i="2"/>
  <c r="J1159" i="2"/>
  <c r="J1155" i="2"/>
  <c r="J1151" i="2"/>
  <c r="J1147" i="2"/>
  <c r="J1143" i="2"/>
  <c r="J1139" i="2"/>
  <c r="J1135" i="2"/>
  <c r="J1131" i="2"/>
  <c r="J1127" i="2"/>
  <c r="J1123" i="2"/>
  <c r="J1119" i="2"/>
  <c r="J1115" i="2"/>
  <c r="J1111" i="2"/>
  <c r="J1107" i="2"/>
  <c r="J1103" i="2"/>
  <c r="J1099" i="2"/>
  <c r="J1095" i="2"/>
  <c r="J1091" i="2"/>
  <c r="J1087" i="2"/>
  <c r="J1083" i="2"/>
  <c r="J1079" i="2"/>
  <c r="J1075" i="2"/>
  <c r="J1071" i="2"/>
  <c r="J1067" i="2"/>
  <c r="J1063" i="2"/>
  <c r="J1059" i="2"/>
  <c r="J1050" i="2"/>
  <c r="J1041" i="2"/>
  <c r="J1036" i="2"/>
  <c r="J1027" i="2"/>
  <c r="J1018" i="2"/>
  <c r="J1009" i="2"/>
  <c r="J1004" i="2"/>
  <c r="J995" i="2"/>
  <c r="J986" i="2"/>
  <c r="J977" i="2"/>
  <c r="J972" i="2"/>
  <c r="J963" i="2"/>
  <c r="J954" i="2"/>
  <c r="J945" i="2"/>
  <c r="J940" i="2"/>
  <c r="J931" i="2"/>
  <c r="J922" i="2"/>
  <c r="J913" i="2"/>
  <c r="J908" i="2"/>
  <c r="J899" i="2"/>
  <c r="J890" i="2"/>
  <c r="J881" i="2"/>
  <c r="J876" i="2"/>
  <c r="J867" i="2"/>
  <c r="J858" i="2"/>
  <c r="J848" i="2"/>
  <c r="J843" i="2"/>
  <c r="J837" i="2"/>
  <c r="J831" i="2"/>
  <c r="J825" i="2"/>
  <c r="J819" i="2"/>
  <c r="J807" i="2"/>
  <c r="J792" i="2"/>
  <c r="J769" i="2"/>
  <c r="J761" i="2"/>
  <c r="J743" i="2"/>
  <c r="J724" i="2"/>
  <c r="J662" i="2"/>
  <c r="J620" i="2"/>
  <c r="J577" i="2"/>
  <c r="J534" i="2"/>
  <c r="J492" i="2"/>
  <c r="J449" i="2"/>
  <c r="J1054" i="2"/>
  <c r="J1045" i="2"/>
  <c r="J1040" i="2"/>
  <c r="J1031" i="2"/>
  <c r="J1022" i="2"/>
  <c r="J1013" i="2"/>
  <c r="J1008" i="2"/>
  <c r="J999" i="2"/>
  <c r="J990" i="2"/>
  <c r="J981" i="2"/>
  <c r="J976" i="2"/>
  <c r="J967" i="2"/>
  <c r="J958" i="2"/>
  <c r="J949" i="2"/>
  <c r="J944" i="2"/>
  <c r="J935" i="2"/>
  <c r="J926" i="2"/>
  <c r="J917" i="2"/>
  <c r="J912" i="2"/>
  <c r="J903" i="2"/>
  <c r="J894" i="2"/>
  <c r="J885" i="2"/>
  <c r="J880" i="2"/>
  <c r="J871" i="2"/>
  <c r="J862" i="2"/>
  <c r="J853" i="2"/>
  <c r="J812" i="2"/>
  <c r="J799" i="2"/>
  <c r="J752" i="2"/>
  <c r="J742" i="2"/>
  <c r="J723" i="2"/>
  <c r="J696" i="2"/>
  <c r="J445" i="2"/>
  <c r="J300" i="2"/>
  <c r="J791" i="2"/>
  <c r="J783" i="2"/>
  <c r="J767" i="2"/>
  <c r="J759" i="2"/>
  <c r="J717" i="2"/>
  <c r="J429" i="2"/>
  <c r="J295" i="2"/>
  <c r="J1053" i="2"/>
  <c r="J1048" i="2"/>
  <c r="J1039" i="2"/>
  <c r="J1030" i="2"/>
  <c r="J1021" i="2"/>
  <c r="J1016" i="2"/>
  <c r="J1007" i="2"/>
  <c r="J998" i="2"/>
  <c r="J989" i="2"/>
  <c r="J984" i="2"/>
  <c r="J975" i="2"/>
  <c r="J966" i="2"/>
  <c r="J957" i="2"/>
  <c r="J952" i="2"/>
  <c r="J943" i="2"/>
  <c r="J934" i="2"/>
  <c r="J925" i="2"/>
  <c r="J920" i="2"/>
  <c r="J911" i="2"/>
  <c r="J902" i="2"/>
  <c r="J893" i="2"/>
  <c r="J888" i="2"/>
  <c r="J879" i="2"/>
  <c r="J870" i="2"/>
  <c r="J861" i="2"/>
  <c r="J856" i="2"/>
  <c r="J841" i="2"/>
  <c r="J835" i="2"/>
  <c r="J829" i="2"/>
  <c r="J823" i="2"/>
  <c r="J811" i="2"/>
  <c r="J804" i="2"/>
  <c r="J774" i="2"/>
  <c r="J766" i="2"/>
  <c r="J758" i="2"/>
  <c r="J750" i="2"/>
  <c r="J737" i="2"/>
  <c r="J714" i="2"/>
  <c r="J682" i="2"/>
  <c r="J421" i="2"/>
  <c r="J282" i="2"/>
  <c r="J733" i="2"/>
  <c r="J694" i="2"/>
  <c r="J676" i="2"/>
  <c r="J657" i="2"/>
  <c r="J636" i="2"/>
  <c r="J614" i="2"/>
  <c r="J593" i="2"/>
  <c r="J572" i="2"/>
  <c r="J550" i="2"/>
  <c r="J529" i="2"/>
  <c r="J508" i="2"/>
  <c r="J486" i="2"/>
  <c r="J465" i="2"/>
  <c r="J349" i="2"/>
  <c r="J277" i="2"/>
  <c r="J850" i="2"/>
  <c r="J846" i="2"/>
  <c r="J842" i="2"/>
  <c r="J833" i="2"/>
  <c r="J824" i="2"/>
  <c r="J815" i="2"/>
  <c r="J800" i="2"/>
  <c r="J795" i="2"/>
  <c r="J784" i="2"/>
  <c r="J778" i="2"/>
  <c r="J772" i="2"/>
  <c r="J760" i="2"/>
  <c r="J747" i="2"/>
  <c r="J741" i="2"/>
  <c r="J719" i="2"/>
  <c r="J708" i="2"/>
  <c r="J691" i="2"/>
  <c r="J673" i="2"/>
  <c r="J437" i="2"/>
  <c r="J337" i="2"/>
  <c r="J740" i="2"/>
  <c r="J671" i="2"/>
  <c r="J652" i="2"/>
  <c r="J630" i="2"/>
  <c r="J609" i="2"/>
  <c r="J588" i="2"/>
  <c r="J566" i="2"/>
  <c r="J545" i="2"/>
  <c r="J524" i="2"/>
  <c r="J502" i="2"/>
  <c r="J481" i="2"/>
  <c r="J460" i="2"/>
  <c r="J397" i="2"/>
  <c r="J836" i="2"/>
  <c r="J827" i="2"/>
  <c r="J813" i="2"/>
  <c r="J782" i="2"/>
  <c r="J775" i="2"/>
  <c r="J764" i="2"/>
  <c r="J757" i="2"/>
  <c r="J751" i="2"/>
  <c r="J728" i="2"/>
  <c r="J703" i="2"/>
  <c r="J685" i="2"/>
  <c r="J646" i="2"/>
  <c r="J625" i="2"/>
  <c r="J604" i="2"/>
  <c r="J582" i="2"/>
  <c r="J561" i="2"/>
  <c r="J540" i="2"/>
  <c r="J518" i="2"/>
  <c r="J497" i="2"/>
  <c r="J476" i="2"/>
  <c r="J454" i="2"/>
  <c r="J381" i="2"/>
  <c r="J237" i="2"/>
  <c r="J732" i="2"/>
  <c r="J727" i="2"/>
  <c r="J718" i="2"/>
  <c r="J709" i="2"/>
  <c r="J700" i="2"/>
  <c r="J695" i="2"/>
  <c r="J686" i="2"/>
  <c r="J677" i="2"/>
  <c r="J668" i="2"/>
  <c r="J663" i="2"/>
  <c r="J658" i="2"/>
  <c r="J653" i="2"/>
  <c r="J648" i="2"/>
  <c r="J642" i="2"/>
  <c r="J637" i="2"/>
  <c r="J632" i="2"/>
  <c r="J626" i="2"/>
  <c r="J621" i="2"/>
  <c r="J616" i="2"/>
  <c r="J610" i="2"/>
  <c r="J605" i="2"/>
  <c r="J600" i="2"/>
  <c r="J594" i="2"/>
  <c r="J589" i="2"/>
  <c r="J584" i="2"/>
  <c r="J578" i="2"/>
  <c r="J573" i="2"/>
  <c r="J568" i="2"/>
  <c r="J562" i="2"/>
  <c r="J557" i="2"/>
  <c r="J552" i="2"/>
  <c r="J546" i="2"/>
  <c r="J541" i="2"/>
  <c r="J536" i="2"/>
  <c r="J530" i="2"/>
  <c r="J525" i="2"/>
  <c r="J520" i="2"/>
  <c r="J514" i="2"/>
  <c r="J509" i="2"/>
  <c r="J504" i="2"/>
  <c r="J498" i="2"/>
  <c r="J493" i="2"/>
  <c r="J488" i="2"/>
  <c r="J482" i="2"/>
  <c r="J477" i="2"/>
  <c r="J472" i="2"/>
  <c r="J466" i="2"/>
  <c r="J461" i="2"/>
  <c r="J456" i="2"/>
  <c r="J450" i="2"/>
  <c r="J401" i="2"/>
  <c r="J385" i="2"/>
  <c r="J369" i="2"/>
  <c r="J353" i="2"/>
  <c r="J336" i="2"/>
  <c r="J318" i="2"/>
  <c r="J263" i="2"/>
  <c r="J245" i="2"/>
  <c r="J838" i="2"/>
  <c r="J834" i="2"/>
  <c r="J830" i="2"/>
  <c r="J826" i="2"/>
  <c r="J822" i="2"/>
  <c r="J818" i="2"/>
  <c r="J814" i="2"/>
  <c r="J810" i="2"/>
  <c r="J806" i="2"/>
  <c r="J802" i="2"/>
  <c r="J798" i="2"/>
  <c r="J794" i="2"/>
  <c r="J790" i="2"/>
  <c r="J786" i="2"/>
  <c r="J777" i="2"/>
  <c r="J768" i="2"/>
  <c r="J763" i="2"/>
  <c r="J754" i="2"/>
  <c r="J745" i="2"/>
  <c r="J736" i="2"/>
  <c r="J731" i="2"/>
  <c r="J722" i="2"/>
  <c r="J713" i="2"/>
  <c r="J704" i="2"/>
  <c r="J699" i="2"/>
  <c r="J690" i="2"/>
  <c r="J681" i="2"/>
  <c r="J672" i="2"/>
  <c r="J667" i="2"/>
  <c r="J332" i="2"/>
  <c r="J314" i="2"/>
  <c r="J259" i="2"/>
  <c r="J238" i="2"/>
  <c r="J805" i="2"/>
  <c r="J801" i="2"/>
  <c r="J797" i="2"/>
  <c r="J793" i="2"/>
  <c r="J789" i="2"/>
  <c r="J785" i="2"/>
  <c r="J776" i="2"/>
  <c r="J771" i="2"/>
  <c r="J762" i="2"/>
  <c r="J753" i="2"/>
  <c r="J744" i="2"/>
  <c r="J739" i="2"/>
  <c r="J730" i="2"/>
  <c r="J721" i="2"/>
  <c r="J712" i="2"/>
  <c r="J707" i="2"/>
  <c r="J698" i="2"/>
  <c r="J689" i="2"/>
  <c r="J680" i="2"/>
  <c r="J675" i="2"/>
  <c r="J666" i="2"/>
  <c r="J441" i="2"/>
  <c r="J433" i="2"/>
  <c r="J425" i="2"/>
  <c r="J417" i="2"/>
  <c r="J409" i="2"/>
  <c r="J291" i="2"/>
  <c r="J273" i="2"/>
  <c r="J230" i="2"/>
  <c r="J734" i="2"/>
  <c r="J725" i="2"/>
  <c r="J716" i="2"/>
  <c r="J711" i="2"/>
  <c r="J702" i="2"/>
  <c r="J693" i="2"/>
  <c r="J684" i="2"/>
  <c r="J679" i="2"/>
  <c r="J670" i="2"/>
  <c r="J661" i="2"/>
  <c r="J656" i="2"/>
  <c r="J650" i="2"/>
  <c r="J645" i="2"/>
  <c r="J640" i="2"/>
  <c r="J634" i="2"/>
  <c r="J629" i="2"/>
  <c r="J624" i="2"/>
  <c r="J618" i="2"/>
  <c r="J613" i="2"/>
  <c r="J608" i="2"/>
  <c r="J602" i="2"/>
  <c r="J597" i="2"/>
  <c r="J592" i="2"/>
  <c r="J586" i="2"/>
  <c r="J581" i="2"/>
  <c r="J576" i="2"/>
  <c r="J570" i="2"/>
  <c r="J565" i="2"/>
  <c r="J560" i="2"/>
  <c r="J554" i="2"/>
  <c r="J549" i="2"/>
  <c r="J544" i="2"/>
  <c r="J538" i="2"/>
  <c r="J533" i="2"/>
  <c r="J528" i="2"/>
  <c r="J522" i="2"/>
  <c r="J517" i="2"/>
  <c r="J512" i="2"/>
  <c r="J506" i="2"/>
  <c r="J501" i="2"/>
  <c r="J496" i="2"/>
  <c r="J490" i="2"/>
  <c r="J485" i="2"/>
  <c r="J480" i="2"/>
  <c r="J474" i="2"/>
  <c r="J469" i="2"/>
  <c r="J464" i="2"/>
  <c r="J458" i="2"/>
  <c r="J453" i="2"/>
  <c r="J448" i="2"/>
  <c r="J393" i="2"/>
  <c r="J377" i="2"/>
  <c r="J361" i="2"/>
  <c r="J345" i="2"/>
  <c r="J327" i="2"/>
  <c r="J309" i="2"/>
  <c r="J272" i="2"/>
  <c r="J254" i="2"/>
  <c r="J229" i="2"/>
  <c r="J738" i="2"/>
  <c r="J729" i="2"/>
  <c r="J720" i="2"/>
  <c r="J715" i="2"/>
  <c r="J706" i="2"/>
  <c r="J697" i="2"/>
  <c r="J688" i="2"/>
  <c r="J683" i="2"/>
  <c r="J674" i="2"/>
  <c r="J665" i="2"/>
  <c r="J323" i="2"/>
  <c r="J305" i="2"/>
  <c r="J268" i="2"/>
  <c r="J250" i="2"/>
  <c r="J222" i="2"/>
  <c r="J701" i="2"/>
  <c r="J692" i="2"/>
  <c r="J687" i="2"/>
  <c r="J678" i="2"/>
  <c r="J669" i="2"/>
  <c r="J660" i="2"/>
  <c r="J654" i="2"/>
  <c r="J649" i="2"/>
  <c r="J644" i="2"/>
  <c r="J638" i="2"/>
  <c r="J633" i="2"/>
  <c r="J628" i="2"/>
  <c r="J622" i="2"/>
  <c r="J617" i="2"/>
  <c r="J612" i="2"/>
  <c r="J606" i="2"/>
  <c r="J601" i="2"/>
  <c r="J596" i="2"/>
  <c r="J590" i="2"/>
  <c r="J585" i="2"/>
  <c r="J580" i="2"/>
  <c r="J574" i="2"/>
  <c r="J569" i="2"/>
  <c r="J564" i="2"/>
  <c r="J558" i="2"/>
  <c r="J553" i="2"/>
  <c r="J548" i="2"/>
  <c r="J542" i="2"/>
  <c r="J537" i="2"/>
  <c r="J532" i="2"/>
  <c r="J526" i="2"/>
  <c r="J521" i="2"/>
  <c r="J516" i="2"/>
  <c r="J510" i="2"/>
  <c r="J505" i="2"/>
  <c r="J500" i="2"/>
  <c r="J494" i="2"/>
  <c r="J489" i="2"/>
  <c r="J484" i="2"/>
  <c r="J478" i="2"/>
  <c r="J473" i="2"/>
  <c r="J468" i="2"/>
  <c r="J462" i="2"/>
  <c r="J457" i="2"/>
  <c r="J452" i="2"/>
  <c r="J405" i="2"/>
  <c r="J389" i="2"/>
  <c r="J373" i="2"/>
  <c r="J357" i="2"/>
  <c r="J341" i="2"/>
  <c r="J304" i="2"/>
  <c r="J286" i="2"/>
  <c r="J221" i="2"/>
  <c r="J214" i="2"/>
  <c r="J206" i="2"/>
  <c r="J198" i="2"/>
  <c r="J190" i="2"/>
  <c r="J182" i="2"/>
  <c r="J174" i="2"/>
  <c r="J166" i="2"/>
  <c r="J158" i="2"/>
  <c r="J150" i="2"/>
  <c r="J142" i="2"/>
  <c r="J134" i="2"/>
  <c r="J126" i="2"/>
  <c r="J118" i="2"/>
  <c r="J38" i="2"/>
  <c r="J213" i="2"/>
  <c r="J205" i="2"/>
  <c r="J197" i="2"/>
  <c r="J189" i="2"/>
  <c r="J181" i="2"/>
  <c r="J173" i="2"/>
  <c r="J165" i="2"/>
  <c r="J157" i="2"/>
  <c r="J149" i="2"/>
  <c r="J141" i="2"/>
  <c r="J133" i="2"/>
  <c r="J125" i="2"/>
  <c r="J117" i="2"/>
  <c r="J102" i="2"/>
  <c r="J86" i="2"/>
  <c r="J70" i="2"/>
  <c r="J54" i="2"/>
  <c r="J34" i="2"/>
  <c r="J340" i="2"/>
  <c r="J331" i="2"/>
  <c r="J322" i="2"/>
  <c r="J313" i="2"/>
  <c r="J308" i="2"/>
  <c r="J299" i="2"/>
  <c r="J290" i="2"/>
  <c r="J281" i="2"/>
  <c r="J276" i="2"/>
  <c r="J267" i="2"/>
  <c r="J258" i="2"/>
  <c r="J249" i="2"/>
  <c r="J243" i="2"/>
  <c r="J235" i="2"/>
  <c r="J227" i="2"/>
  <c r="J219" i="2"/>
  <c r="J211" i="2"/>
  <c r="J203" i="2"/>
  <c r="J195" i="2"/>
  <c r="J187" i="2"/>
  <c r="J179" i="2"/>
  <c r="J171" i="2"/>
  <c r="J163" i="2"/>
  <c r="J155" i="2"/>
  <c r="J147" i="2"/>
  <c r="J139" i="2"/>
  <c r="J131" i="2"/>
  <c r="J123" i="2"/>
  <c r="J30" i="2"/>
  <c r="J444" i="2"/>
  <c r="J440" i="2"/>
  <c r="J436" i="2"/>
  <c r="J432" i="2"/>
  <c r="J428" i="2"/>
  <c r="J424" i="2"/>
  <c r="J420" i="2"/>
  <c r="J416" i="2"/>
  <c r="J412" i="2"/>
  <c r="J408" i="2"/>
  <c r="J404" i="2"/>
  <c r="J400" i="2"/>
  <c r="J396" i="2"/>
  <c r="J392" i="2"/>
  <c r="J388" i="2"/>
  <c r="J384" i="2"/>
  <c r="J380" i="2"/>
  <c r="J376" i="2"/>
  <c r="J372" i="2"/>
  <c r="J368" i="2"/>
  <c r="J364" i="2"/>
  <c r="J360" i="2"/>
  <c r="J356" i="2"/>
  <c r="J352" i="2"/>
  <c r="J348" i="2"/>
  <c r="J344" i="2"/>
  <c r="J335" i="2"/>
  <c r="J326" i="2"/>
  <c r="J317" i="2"/>
  <c r="J312" i="2"/>
  <c r="J303" i="2"/>
  <c r="J294" i="2"/>
  <c r="J285" i="2"/>
  <c r="J280" i="2"/>
  <c r="J271" i="2"/>
  <c r="J262" i="2"/>
  <c r="J253" i="2"/>
  <c r="J248" i="2"/>
  <c r="J114" i="2"/>
  <c r="J98" i="2"/>
  <c r="J82" i="2"/>
  <c r="J66" i="2"/>
  <c r="J50" i="2"/>
  <c r="J26" i="2"/>
  <c r="J339" i="2"/>
  <c r="J330" i="2"/>
  <c r="J321" i="2"/>
  <c r="J316" i="2"/>
  <c r="J307" i="2"/>
  <c r="J298" i="2"/>
  <c r="J289" i="2"/>
  <c r="J284" i="2"/>
  <c r="J275" i="2"/>
  <c r="J266" i="2"/>
  <c r="J257" i="2"/>
  <c r="J252" i="2"/>
  <c r="J242" i="2"/>
  <c r="J234" i="2"/>
  <c r="J226" i="2"/>
  <c r="J218" i="2"/>
  <c r="J210" i="2"/>
  <c r="J202" i="2"/>
  <c r="J194" i="2"/>
  <c r="J186" i="2"/>
  <c r="J178" i="2"/>
  <c r="J170" i="2"/>
  <c r="J162" i="2"/>
  <c r="J154" i="2"/>
  <c r="J146" i="2"/>
  <c r="J138" i="2"/>
  <c r="J130" i="2"/>
  <c r="J122" i="2"/>
  <c r="J22" i="2"/>
  <c r="J659" i="2"/>
  <c r="J655" i="2"/>
  <c r="J651" i="2"/>
  <c r="J647" i="2"/>
  <c r="J643" i="2"/>
  <c r="J639" i="2"/>
  <c r="J635" i="2"/>
  <c r="J631" i="2"/>
  <c r="J627" i="2"/>
  <c r="J623" i="2"/>
  <c r="J619" i="2"/>
  <c r="J615" i="2"/>
  <c r="J611" i="2"/>
  <c r="J607" i="2"/>
  <c r="J603" i="2"/>
  <c r="J599" i="2"/>
  <c r="J595" i="2"/>
  <c r="J591" i="2"/>
  <c r="J587" i="2"/>
  <c r="J583" i="2"/>
  <c r="J579" i="2"/>
  <c r="J575" i="2"/>
  <c r="J571" i="2"/>
  <c r="J567" i="2"/>
  <c r="J563" i="2"/>
  <c r="J559" i="2"/>
  <c r="J555" i="2"/>
  <c r="J551" i="2"/>
  <c r="J547" i="2"/>
  <c r="J543" i="2"/>
  <c r="J539" i="2"/>
  <c r="J535" i="2"/>
  <c r="J531" i="2"/>
  <c r="J527" i="2"/>
  <c r="J523" i="2"/>
  <c r="J519" i="2"/>
  <c r="J515" i="2"/>
  <c r="J511" i="2"/>
  <c r="J507" i="2"/>
  <c r="J503" i="2"/>
  <c r="J499" i="2"/>
  <c r="J495" i="2"/>
  <c r="J491" i="2"/>
  <c r="J487" i="2"/>
  <c r="J483" i="2"/>
  <c r="J479" i="2"/>
  <c r="J475" i="2"/>
  <c r="J471" i="2"/>
  <c r="J467" i="2"/>
  <c r="J463" i="2"/>
  <c r="J459" i="2"/>
  <c r="J455" i="2"/>
  <c r="J451" i="2"/>
  <c r="J447" i="2"/>
  <c r="J443" i="2"/>
  <c r="J439" i="2"/>
  <c r="J435" i="2"/>
  <c r="J431" i="2"/>
  <c r="J427" i="2"/>
  <c r="J423" i="2"/>
  <c r="J419" i="2"/>
  <c r="J415" i="2"/>
  <c r="J411" i="2"/>
  <c r="J407" i="2"/>
  <c r="J403" i="2"/>
  <c r="J399" i="2"/>
  <c r="J395" i="2"/>
  <c r="J391" i="2"/>
  <c r="J387" i="2"/>
  <c r="J383" i="2"/>
  <c r="J379" i="2"/>
  <c r="J375" i="2"/>
  <c r="J371" i="2"/>
  <c r="J367" i="2"/>
  <c r="J363" i="2"/>
  <c r="J359" i="2"/>
  <c r="J355" i="2"/>
  <c r="J351" i="2"/>
  <c r="J347" i="2"/>
  <c r="J343" i="2"/>
  <c r="J334" i="2"/>
  <c r="J325" i="2"/>
  <c r="J320" i="2"/>
  <c r="J311" i="2"/>
  <c r="J302" i="2"/>
  <c r="J293" i="2"/>
  <c r="J288" i="2"/>
  <c r="J279" i="2"/>
  <c r="J270" i="2"/>
  <c r="J261" i="2"/>
  <c r="J256" i="2"/>
  <c r="J247" i="2"/>
  <c r="J241" i="2"/>
  <c r="J233" i="2"/>
  <c r="J225" i="2"/>
  <c r="J217" i="2"/>
  <c r="J209" i="2"/>
  <c r="J201" i="2"/>
  <c r="J193" i="2"/>
  <c r="J185" i="2"/>
  <c r="J177" i="2"/>
  <c r="J169" i="2"/>
  <c r="J161" i="2"/>
  <c r="J153" i="2"/>
  <c r="J145" i="2"/>
  <c r="J137" i="2"/>
  <c r="J129" i="2"/>
  <c r="J121" i="2"/>
  <c r="J110" i="2"/>
  <c r="J94" i="2"/>
  <c r="J78" i="2"/>
  <c r="J62" i="2"/>
  <c r="J46" i="2"/>
  <c r="J18" i="2"/>
  <c r="J338" i="2"/>
  <c r="J329" i="2"/>
  <c r="J324" i="2"/>
  <c r="J315" i="2"/>
  <c r="J306" i="2"/>
  <c r="J297" i="2"/>
  <c r="J292" i="2"/>
  <c r="J283" i="2"/>
  <c r="J274" i="2"/>
  <c r="J265" i="2"/>
  <c r="J260" i="2"/>
  <c r="J251" i="2"/>
  <c r="J239" i="2"/>
  <c r="J231" i="2"/>
  <c r="J223" i="2"/>
  <c r="J215" i="2"/>
  <c r="J207" i="2"/>
  <c r="J199" i="2"/>
  <c r="J191" i="2"/>
  <c r="J183" i="2"/>
  <c r="J175" i="2"/>
  <c r="J167" i="2"/>
  <c r="J159" i="2"/>
  <c r="J151" i="2"/>
  <c r="J143" i="2"/>
  <c r="J135" i="2"/>
  <c r="J127" i="2"/>
  <c r="J119" i="2"/>
  <c r="J14" i="2"/>
  <c r="J446" i="2"/>
  <c r="J442" i="2"/>
  <c r="J438" i="2"/>
  <c r="J434" i="2"/>
  <c r="J430" i="2"/>
  <c r="J426" i="2"/>
  <c r="J422" i="2"/>
  <c r="J418" i="2"/>
  <c r="J414" i="2"/>
  <c r="J410" i="2"/>
  <c r="J406" i="2"/>
  <c r="J402" i="2"/>
  <c r="J398" i="2"/>
  <c r="J394" i="2"/>
  <c r="J390" i="2"/>
  <c r="J386" i="2"/>
  <c r="J382" i="2"/>
  <c r="J378" i="2"/>
  <c r="J374" i="2"/>
  <c r="J370" i="2"/>
  <c r="J366" i="2"/>
  <c r="J362" i="2"/>
  <c r="J358" i="2"/>
  <c r="J354" i="2"/>
  <c r="J350" i="2"/>
  <c r="J346" i="2"/>
  <c r="J342" i="2"/>
  <c r="J333" i="2"/>
  <c r="J328" i="2"/>
  <c r="J319" i="2"/>
  <c r="J310" i="2"/>
  <c r="J301" i="2"/>
  <c r="J296" i="2"/>
  <c r="J287" i="2"/>
  <c r="J278" i="2"/>
  <c r="J269" i="2"/>
  <c r="J264" i="2"/>
  <c r="J255" i="2"/>
  <c r="J246" i="2"/>
  <c r="J106" i="2"/>
  <c r="J90" i="2"/>
  <c r="J74" i="2"/>
  <c r="J58" i="2"/>
  <c r="J42" i="2"/>
  <c r="J10" i="2"/>
  <c r="J6" i="2"/>
  <c r="J113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J17" i="2"/>
  <c r="J13" i="2"/>
  <c r="J9" i="2"/>
  <c r="J5" i="2"/>
  <c r="J244" i="2"/>
  <c r="J240" i="2"/>
  <c r="J236" i="2"/>
  <c r="J232" i="2"/>
  <c r="J228" i="2"/>
  <c r="J224" i="2"/>
  <c r="J220" i="2"/>
  <c r="J216" i="2"/>
  <c r="J212" i="2"/>
  <c r="J208" i="2"/>
  <c r="J204" i="2"/>
  <c r="J200" i="2"/>
  <c r="J196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J136" i="2"/>
  <c r="J132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J115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J11" i="2"/>
  <c r="J7" i="2"/>
  <c r="J3" i="2"/>
  <c r="J2" i="2"/>
  <c r="K823" i="7"/>
  <c r="K791" i="7"/>
  <c r="K691" i="7"/>
  <c r="K595" i="7"/>
  <c r="K532" i="7"/>
  <c r="K501" i="7"/>
  <c r="K416" i="7"/>
  <c r="K226" i="7"/>
  <c r="K827" i="7"/>
  <c r="K804" i="7"/>
  <c r="K711" i="7"/>
  <c r="K647" i="7"/>
  <c r="K583" i="7"/>
  <c r="K516" i="7"/>
  <c r="K458" i="7"/>
  <c r="K398" i="7"/>
  <c r="K365" i="7"/>
  <c r="K831" i="7"/>
  <c r="K822" i="7"/>
  <c r="K817" i="7"/>
  <c r="K808" i="7"/>
  <c r="K799" i="7"/>
  <c r="K790" i="7"/>
  <c r="K783" i="7"/>
  <c r="K763" i="7"/>
  <c r="K731" i="7"/>
  <c r="K699" i="7"/>
  <c r="K667" i="7"/>
  <c r="K635" i="7"/>
  <c r="K603" i="7"/>
  <c r="K570" i="7"/>
  <c r="K555" i="7"/>
  <c r="K543" i="7"/>
  <c r="K512" i="7"/>
  <c r="K500" i="7"/>
  <c r="K469" i="7"/>
  <c r="K457" i="7"/>
  <c r="K442" i="7"/>
  <c r="K427" i="7"/>
  <c r="K415" i="7"/>
  <c r="K397" i="7"/>
  <c r="K379" i="7"/>
  <c r="K346" i="7"/>
  <c r="K289" i="7"/>
  <c r="K180" i="7"/>
  <c r="K814" i="7"/>
  <c r="K755" i="7"/>
  <c r="K544" i="7"/>
  <c r="K447" i="7"/>
  <c r="K327" i="7"/>
  <c r="K813" i="7"/>
  <c r="K473" i="7"/>
  <c r="K431" i="7"/>
  <c r="K292" i="7"/>
  <c r="K840" i="7"/>
  <c r="K835" i="7"/>
  <c r="K826" i="7"/>
  <c r="K821" i="7"/>
  <c r="K812" i="7"/>
  <c r="K803" i="7"/>
  <c r="K794" i="7"/>
  <c r="K751" i="7"/>
  <c r="K719" i="7"/>
  <c r="K687" i="7"/>
  <c r="K655" i="7"/>
  <c r="K623" i="7"/>
  <c r="K591" i="7"/>
  <c r="K569" i="7"/>
  <c r="K554" i="7"/>
  <c r="K539" i="7"/>
  <c r="K527" i="7"/>
  <c r="K496" i="7"/>
  <c r="K484" i="7"/>
  <c r="K453" i="7"/>
  <c r="K441" i="7"/>
  <c r="K426" i="7"/>
  <c r="K411" i="7"/>
  <c r="K378" i="7"/>
  <c r="K345" i="7"/>
  <c r="K318" i="7"/>
  <c r="K280" i="7"/>
  <c r="K154" i="7"/>
  <c r="K800" i="7"/>
  <c r="K474" i="7"/>
  <c r="K403" i="7"/>
  <c r="K836" i="7"/>
  <c r="K795" i="7"/>
  <c r="K743" i="7"/>
  <c r="K679" i="7"/>
  <c r="K528" i="7"/>
  <c r="K443" i="7"/>
  <c r="K830" i="7"/>
  <c r="K816" i="7"/>
  <c r="K807" i="7"/>
  <c r="K798" i="7"/>
  <c r="K793" i="7"/>
  <c r="K782" i="7"/>
  <c r="K771" i="7"/>
  <c r="K739" i="7"/>
  <c r="K707" i="7"/>
  <c r="K675" i="7"/>
  <c r="K643" i="7"/>
  <c r="K611" i="7"/>
  <c r="K579" i="7"/>
  <c r="K565" i="7"/>
  <c r="K553" i="7"/>
  <c r="K538" i="7"/>
  <c r="K523" i="7"/>
  <c r="K511" i="7"/>
  <c r="K480" i="7"/>
  <c r="K468" i="7"/>
  <c r="K437" i="7"/>
  <c r="K425" i="7"/>
  <c r="K410" i="7"/>
  <c r="K377" i="7"/>
  <c r="K359" i="7"/>
  <c r="K339" i="7"/>
  <c r="K279" i="7"/>
  <c r="K832" i="7"/>
  <c r="K723" i="7"/>
  <c r="K627" i="7"/>
  <c r="K574" i="7"/>
  <c r="K489" i="7"/>
  <c r="K366" i="7"/>
  <c r="K293" i="7"/>
  <c r="K818" i="7"/>
  <c r="K775" i="7"/>
  <c r="K615" i="7"/>
  <c r="K559" i="7"/>
  <c r="K485" i="7"/>
  <c r="K347" i="7"/>
  <c r="K839" i="7"/>
  <c r="K825" i="7"/>
  <c r="K834" i="7"/>
  <c r="K829" i="7"/>
  <c r="K820" i="7"/>
  <c r="K811" i="7"/>
  <c r="K802" i="7"/>
  <c r="K797" i="7"/>
  <c r="K787" i="7"/>
  <c r="K759" i="7"/>
  <c r="K727" i="7"/>
  <c r="K695" i="7"/>
  <c r="K663" i="7"/>
  <c r="K631" i="7"/>
  <c r="K599" i="7"/>
  <c r="K549" i="7"/>
  <c r="K537" i="7"/>
  <c r="K522" i="7"/>
  <c r="K507" i="7"/>
  <c r="K495" i="7"/>
  <c r="K464" i="7"/>
  <c r="K452" i="7"/>
  <c r="K421" i="7"/>
  <c r="K409" i="7"/>
  <c r="K391" i="7"/>
  <c r="K358" i="7"/>
  <c r="K338" i="7"/>
  <c r="K306" i="7"/>
  <c r="K276" i="7"/>
  <c r="K68" i="7"/>
  <c r="K809" i="7"/>
  <c r="K659" i="7"/>
  <c r="K459" i="7"/>
  <c r="K838" i="7"/>
  <c r="K833" i="7"/>
  <c r="K824" i="7"/>
  <c r="K815" i="7"/>
  <c r="K806" i="7"/>
  <c r="K801" i="7"/>
  <c r="K792" i="7"/>
  <c r="K779" i="7"/>
  <c r="K747" i="7"/>
  <c r="K715" i="7"/>
  <c r="K683" i="7"/>
  <c r="K651" i="7"/>
  <c r="K619" i="7"/>
  <c r="K587" i="7"/>
  <c r="K575" i="7"/>
  <c r="K564" i="7"/>
  <c r="K533" i="7"/>
  <c r="K521" i="7"/>
  <c r="K506" i="7"/>
  <c r="K491" i="7"/>
  <c r="K479" i="7"/>
  <c r="K448" i="7"/>
  <c r="K436" i="7"/>
  <c r="K390" i="7"/>
  <c r="K353" i="7"/>
  <c r="K337" i="7"/>
  <c r="K305" i="7"/>
  <c r="K837" i="7"/>
  <c r="K828" i="7"/>
  <c r="K819" i="7"/>
  <c r="K810" i="7"/>
  <c r="K805" i="7"/>
  <c r="K796" i="7"/>
  <c r="K786" i="7"/>
  <c r="K767" i="7"/>
  <c r="K735" i="7"/>
  <c r="K703" i="7"/>
  <c r="K671" i="7"/>
  <c r="K639" i="7"/>
  <c r="K607" i="7"/>
  <c r="K560" i="7"/>
  <c r="K548" i="7"/>
  <c r="K517" i="7"/>
  <c r="K505" i="7"/>
  <c r="K490" i="7"/>
  <c r="K475" i="7"/>
  <c r="K463" i="7"/>
  <c r="K432" i="7"/>
  <c r="K420" i="7"/>
  <c r="K385" i="7"/>
  <c r="K371" i="7"/>
  <c r="K329" i="7"/>
  <c r="K302" i="7"/>
  <c r="K246" i="7"/>
  <c r="K38" i="7"/>
  <c r="K266" i="7"/>
  <c r="K222" i="7"/>
  <c r="K202" i="7"/>
  <c r="K176" i="7"/>
  <c r="K148" i="7"/>
  <c r="K122" i="7"/>
  <c r="K36" i="7"/>
  <c r="K262" i="7"/>
  <c r="K242" i="7"/>
  <c r="K198" i="7"/>
  <c r="K144" i="7"/>
  <c r="K116" i="7"/>
  <c r="K90" i="7"/>
  <c r="K778" i="7"/>
  <c r="K774" i="7"/>
  <c r="K770" i="7"/>
  <c r="K766" i="7"/>
  <c r="K762" i="7"/>
  <c r="K758" i="7"/>
  <c r="K754" i="7"/>
  <c r="K750" i="7"/>
  <c r="K746" i="7"/>
  <c r="K742" i="7"/>
  <c r="K738" i="7"/>
  <c r="K734" i="7"/>
  <c r="K730" i="7"/>
  <c r="K726" i="7"/>
  <c r="K722" i="7"/>
  <c r="K718" i="7"/>
  <c r="K714" i="7"/>
  <c r="K710" i="7"/>
  <c r="K706" i="7"/>
  <c r="K702" i="7"/>
  <c r="K698" i="7"/>
  <c r="K694" i="7"/>
  <c r="K690" i="7"/>
  <c r="K686" i="7"/>
  <c r="K682" i="7"/>
  <c r="K678" i="7"/>
  <c r="K674" i="7"/>
  <c r="K670" i="7"/>
  <c r="K666" i="7"/>
  <c r="K662" i="7"/>
  <c r="K658" i="7"/>
  <c r="K654" i="7"/>
  <c r="K650" i="7"/>
  <c r="K646" i="7"/>
  <c r="K642" i="7"/>
  <c r="K638" i="7"/>
  <c r="K634" i="7"/>
  <c r="K630" i="7"/>
  <c r="K626" i="7"/>
  <c r="K622" i="7"/>
  <c r="K618" i="7"/>
  <c r="K614" i="7"/>
  <c r="K610" i="7"/>
  <c r="K606" i="7"/>
  <c r="K602" i="7"/>
  <c r="K598" i="7"/>
  <c r="K594" i="7"/>
  <c r="K590" i="7"/>
  <c r="K586" i="7"/>
  <c r="K582" i="7"/>
  <c r="K578" i="7"/>
  <c r="K573" i="7"/>
  <c r="K558" i="7"/>
  <c r="K542" i="7"/>
  <c r="K526" i="7"/>
  <c r="K510" i="7"/>
  <c r="K494" i="7"/>
  <c r="K478" i="7"/>
  <c r="K462" i="7"/>
  <c r="K446" i="7"/>
  <c r="K430" i="7"/>
  <c r="K414" i="7"/>
  <c r="K402" i="7"/>
  <c r="K389" i="7"/>
  <c r="K383" i="7"/>
  <c r="K370" i="7"/>
  <c r="K357" i="7"/>
  <c r="K351" i="7"/>
  <c r="K335" i="7"/>
  <c r="K325" i="7"/>
  <c r="K314" i="7"/>
  <c r="K301" i="7"/>
  <c r="K288" i="7"/>
  <c r="K275" i="7"/>
  <c r="K238" i="7"/>
  <c r="K218" i="7"/>
  <c r="K170" i="7"/>
  <c r="K112" i="7"/>
  <c r="K84" i="7"/>
  <c r="K58" i="7"/>
  <c r="K577" i="7"/>
  <c r="K568" i="7"/>
  <c r="K563" i="7"/>
  <c r="K557" i="7"/>
  <c r="K552" i="7"/>
  <c r="K547" i="7"/>
  <c r="K541" i="7"/>
  <c r="K536" i="7"/>
  <c r="K531" i="7"/>
  <c r="K525" i="7"/>
  <c r="K520" i="7"/>
  <c r="K515" i="7"/>
  <c r="K509" i="7"/>
  <c r="K504" i="7"/>
  <c r="K499" i="7"/>
  <c r="K493" i="7"/>
  <c r="K488" i="7"/>
  <c r="K483" i="7"/>
  <c r="K477" i="7"/>
  <c r="K472" i="7"/>
  <c r="K467" i="7"/>
  <c r="K461" i="7"/>
  <c r="K456" i="7"/>
  <c r="K451" i="7"/>
  <c r="K445" i="7"/>
  <c r="K440" i="7"/>
  <c r="K435" i="7"/>
  <c r="K429" i="7"/>
  <c r="K424" i="7"/>
  <c r="K419" i="7"/>
  <c r="K413" i="7"/>
  <c r="K401" i="7"/>
  <c r="K395" i="7"/>
  <c r="K382" i="7"/>
  <c r="K369" i="7"/>
  <c r="K363" i="7"/>
  <c r="K350" i="7"/>
  <c r="K334" i="7"/>
  <c r="K324" i="7"/>
  <c r="K312" i="7"/>
  <c r="K299" i="7"/>
  <c r="K274" i="7"/>
  <c r="K258" i="7"/>
  <c r="K214" i="7"/>
  <c r="K194" i="7"/>
  <c r="K166" i="7"/>
  <c r="K138" i="7"/>
  <c r="K80" i="7"/>
  <c r="K52" i="7"/>
  <c r="K26" i="7"/>
  <c r="K789" i="7"/>
  <c r="K785" i="7"/>
  <c r="K781" i="7"/>
  <c r="K777" i="7"/>
  <c r="K773" i="7"/>
  <c r="K769" i="7"/>
  <c r="K765" i="7"/>
  <c r="K761" i="7"/>
  <c r="K757" i="7"/>
  <c r="K753" i="7"/>
  <c r="K749" i="7"/>
  <c r="K745" i="7"/>
  <c r="K741" i="7"/>
  <c r="K737" i="7"/>
  <c r="K733" i="7"/>
  <c r="K729" i="7"/>
  <c r="K725" i="7"/>
  <c r="K721" i="7"/>
  <c r="K717" i="7"/>
  <c r="K713" i="7"/>
  <c r="K709" i="7"/>
  <c r="K705" i="7"/>
  <c r="K701" i="7"/>
  <c r="K697" i="7"/>
  <c r="K693" i="7"/>
  <c r="K689" i="7"/>
  <c r="K685" i="7"/>
  <c r="K681" i="7"/>
  <c r="K677" i="7"/>
  <c r="K673" i="7"/>
  <c r="K669" i="7"/>
  <c r="K665" i="7"/>
  <c r="K661" i="7"/>
  <c r="K657" i="7"/>
  <c r="K653" i="7"/>
  <c r="K649" i="7"/>
  <c r="K645" i="7"/>
  <c r="K641" i="7"/>
  <c r="K637" i="7"/>
  <c r="K633" i="7"/>
  <c r="K629" i="7"/>
  <c r="K625" i="7"/>
  <c r="K621" i="7"/>
  <c r="K617" i="7"/>
  <c r="K613" i="7"/>
  <c r="K609" i="7"/>
  <c r="K605" i="7"/>
  <c r="K601" i="7"/>
  <c r="K597" i="7"/>
  <c r="K593" i="7"/>
  <c r="K589" i="7"/>
  <c r="K585" i="7"/>
  <c r="K581" i="7"/>
  <c r="K572" i="7"/>
  <c r="K562" i="7"/>
  <c r="K546" i="7"/>
  <c r="K530" i="7"/>
  <c r="K514" i="7"/>
  <c r="K498" i="7"/>
  <c r="K482" i="7"/>
  <c r="K466" i="7"/>
  <c r="K450" i="7"/>
  <c r="K434" i="7"/>
  <c r="K418" i="7"/>
  <c r="K407" i="7"/>
  <c r="K394" i="7"/>
  <c r="K381" i="7"/>
  <c r="K375" i="7"/>
  <c r="K362" i="7"/>
  <c r="K349" i="7"/>
  <c r="K343" i="7"/>
  <c r="K333" i="7"/>
  <c r="K311" i="7"/>
  <c r="K286" i="7"/>
  <c r="K273" i="7"/>
  <c r="K254" i="7"/>
  <c r="K234" i="7"/>
  <c r="K190" i="7"/>
  <c r="K164" i="7"/>
  <c r="K134" i="7"/>
  <c r="K106" i="7"/>
  <c r="K48" i="7"/>
  <c r="K20" i="7"/>
  <c r="K576" i="7"/>
  <c r="K567" i="7"/>
  <c r="K561" i="7"/>
  <c r="K556" i="7"/>
  <c r="K551" i="7"/>
  <c r="K545" i="7"/>
  <c r="K540" i="7"/>
  <c r="K535" i="7"/>
  <c r="K529" i="7"/>
  <c r="K524" i="7"/>
  <c r="K519" i="7"/>
  <c r="K513" i="7"/>
  <c r="K508" i="7"/>
  <c r="K503" i="7"/>
  <c r="K497" i="7"/>
  <c r="K492" i="7"/>
  <c r="K487" i="7"/>
  <c r="K481" i="7"/>
  <c r="K476" i="7"/>
  <c r="K471" i="7"/>
  <c r="K465" i="7"/>
  <c r="K460" i="7"/>
  <c r="K455" i="7"/>
  <c r="K449" i="7"/>
  <c r="K444" i="7"/>
  <c r="K439" i="7"/>
  <c r="K433" i="7"/>
  <c r="K428" i="7"/>
  <c r="K423" i="7"/>
  <c r="K417" i="7"/>
  <c r="K412" i="7"/>
  <c r="K406" i="7"/>
  <c r="K393" i="7"/>
  <c r="K387" i="7"/>
  <c r="K374" i="7"/>
  <c r="K361" i="7"/>
  <c r="K355" i="7"/>
  <c r="K342" i="7"/>
  <c r="K331" i="7"/>
  <c r="K321" i="7"/>
  <c r="K308" i="7"/>
  <c r="K295" i="7"/>
  <c r="K270" i="7"/>
  <c r="K230" i="7"/>
  <c r="K210" i="7"/>
  <c r="K132" i="7"/>
  <c r="K102" i="7"/>
  <c r="K74" i="7"/>
  <c r="K16" i="7"/>
  <c r="K788" i="7"/>
  <c r="K784" i="7"/>
  <c r="K780" i="7"/>
  <c r="K776" i="7"/>
  <c r="K772" i="7"/>
  <c r="K768" i="7"/>
  <c r="K764" i="7"/>
  <c r="K760" i="7"/>
  <c r="K756" i="7"/>
  <c r="K752" i="7"/>
  <c r="K748" i="7"/>
  <c r="K744" i="7"/>
  <c r="K740" i="7"/>
  <c r="K736" i="7"/>
  <c r="K732" i="7"/>
  <c r="K728" i="7"/>
  <c r="K724" i="7"/>
  <c r="K720" i="7"/>
  <c r="K716" i="7"/>
  <c r="K712" i="7"/>
  <c r="K708" i="7"/>
  <c r="K704" i="7"/>
  <c r="K700" i="7"/>
  <c r="K696" i="7"/>
  <c r="K692" i="7"/>
  <c r="K688" i="7"/>
  <c r="K684" i="7"/>
  <c r="K680" i="7"/>
  <c r="K676" i="7"/>
  <c r="K672" i="7"/>
  <c r="K668" i="7"/>
  <c r="K664" i="7"/>
  <c r="K660" i="7"/>
  <c r="K656" i="7"/>
  <c r="K652" i="7"/>
  <c r="K648" i="7"/>
  <c r="K644" i="7"/>
  <c r="K640" i="7"/>
  <c r="K636" i="7"/>
  <c r="K632" i="7"/>
  <c r="K628" i="7"/>
  <c r="K624" i="7"/>
  <c r="K620" i="7"/>
  <c r="K616" i="7"/>
  <c r="K612" i="7"/>
  <c r="K608" i="7"/>
  <c r="K604" i="7"/>
  <c r="K600" i="7"/>
  <c r="K596" i="7"/>
  <c r="K592" i="7"/>
  <c r="K588" i="7"/>
  <c r="K584" i="7"/>
  <c r="K580" i="7"/>
  <c r="K571" i="7"/>
  <c r="K566" i="7"/>
  <c r="K550" i="7"/>
  <c r="K534" i="7"/>
  <c r="K518" i="7"/>
  <c r="K502" i="7"/>
  <c r="K486" i="7"/>
  <c r="K470" i="7"/>
  <c r="K454" i="7"/>
  <c r="K438" i="7"/>
  <c r="K422" i="7"/>
  <c r="K405" i="7"/>
  <c r="K399" i="7"/>
  <c r="K386" i="7"/>
  <c r="K373" i="7"/>
  <c r="K367" i="7"/>
  <c r="K354" i="7"/>
  <c r="K340" i="7"/>
  <c r="K320" i="7"/>
  <c r="K307" i="7"/>
  <c r="K282" i="7"/>
  <c r="K269" i="7"/>
  <c r="K250" i="7"/>
  <c r="K206" i="7"/>
  <c r="K186" i="7"/>
  <c r="K100" i="7"/>
  <c r="K70" i="7"/>
  <c r="K42" i="7"/>
  <c r="K336" i="7"/>
  <c r="K330" i="7"/>
  <c r="K323" i="7"/>
  <c r="K317" i="7"/>
  <c r="K304" i="7"/>
  <c r="K298" i="7"/>
  <c r="K291" i="7"/>
  <c r="K285" i="7"/>
  <c r="K272" i="7"/>
  <c r="K265" i="7"/>
  <c r="K257" i="7"/>
  <c r="K249" i="7"/>
  <c r="K241" i="7"/>
  <c r="K233" i="7"/>
  <c r="K225" i="7"/>
  <c r="K217" i="7"/>
  <c r="K209" i="7"/>
  <c r="K201" i="7"/>
  <c r="K193" i="7"/>
  <c r="K184" i="7"/>
  <c r="K174" i="7"/>
  <c r="K152" i="7"/>
  <c r="K142" i="7"/>
  <c r="K120" i="7"/>
  <c r="K110" i="7"/>
  <c r="K88" i="7"/>
  <c r="K78" i="7"/>
  <c r="K56" i="7"/>
  <c r="K46" i="7"/>
  <c r="K24" i="7"/>
  <c r="K14" i="7"/>
  <c r="K316" i="7"/>
  <c r="K310" i="7"/>
  <c r="K303" i="7"/>
  <c r="K297" i="7"/>
  <c r="K284" i="7"/>
  <c r="K278" i="7"/>
  <c r="K271" i="7"/>
  <c r="K264" i="7"/>
  <c r="K256" i="7"/>
  <c r="K248" i="7"/>
  <c r="K240" i="7"/>
  <c r="K232" i="7"/>
  <c r="K224" i="7"/>
  <c r="K216" i="7"/>
  <c r="K208" i="7"/>
  <c r="K200" i="7"/>
  <c r="K192" i="7"/>
  <c r="K172" i="7"/>
  <c r="K162" i="7"/>
  <c r="K140" i="7"/>
  <c r="K130" i="7"/>
  <c r="K108" i="7"/>
  <c r="K98" i="7"/>
  <c r="K76" i="7"/>
  <c r="K66" i="7"/>
  <c r="K44" i="7"/>
  <c r="K34" i="7"/>
  <c r="K12" i="7"/>
  <c r="K341" i="7"/>
  <c r="K328" i="7"/>
  <c r="K322" i="7"/>
  <c r="K315" i="7"/>
  <c r="K309" i="7"/>
  <c r="K296" i="7"/>
  <c r="K290" i="7"/>
  <c r="K283" i="7"/>
  <c r="K277" i="7"/>
  <c r="K182" i="7"/>
  <c r="K160" i="7"/>
  <c r="K150" i="7"/>
  <c r="K128" i="7"/>
  <c r="K118" i="7"/>
  <c r="K96" i="7"/>
  <c r="K86" i="7"/>
  <c r="K64" i="7"/>
  <c r="K54" i="7"/>
  <c r="K32" i="7"/>
  <c r="K22" i="7"/>
  <c r="K10" i="7"/>
  <c r="K261" i="7"/>
  <c r="K253" i="7"/>
  <c r="K245" i="7"/>
  <c r="K237" i="7"/>
  <c r="K229" i="7"/>
  <c r="K221" i="7"/>
  <c r="K213" i="7"/>
  <c r="K205" i="7"/>
  <c r="K197" i="7"/>
  <c r="K189" i="7"/>
  <c r="K168" i="7"/>
  <c r="K158" i="7"/>
  <c r="K136" i="7"/>
  <c r="K126" i="7"/>
  <c r="K104" i="7"/>
  <c r="K94" i="7"/>
  <c r="K72" i="7"/>
  <c r="K62" i="7"/>
  <c r="K40" i="7"/>
  <c r="K30" i="7"/>
  <c r="K8" i="7"/>
  <c r="K408" i="7"/>
  <c r="K404" i="7"/>
  <c r="K400" i="7"/>
  <c r="K396" i="7"/>
  <c r="K392" i="7"/>
  <c r="K388" i="7"/>
  <c r="K384" i="7"/>
  <c r="K380" i="7"/>
  <c r="K376" i="7"/>
  <c r="K372" i="7"/>
  <c r="K368" i="7"/>
  <c r="K364" i="7"/>
  <c r="K360" i="7"/>
  <c r="K356" i="7"/>
  <c r="K352" i="7"/>
  <c r="K348" i="7"/>
  <c r="K344" i="7"/>
  <c r="K332" i="7"/>
  <c r="K326" i="7"/>
  <c r="K319" i="7"/>
  <c r="K313" i="7"/>
  <c r="K300" i="7"/>
  <c r="K294" i="7"/>
  <c r="K287" i="7"/>
  <c r="K281" i="7"/>
  <c r="K268" i="7"/>
  <c r="K260" i="7"/>
  <c r="K252" i="7"/>
  <c r="K244" i="7"/>
  <c r="K236" i="7"/>
  <c r="K228" i="7"/>
  <c r="K220" i="7"/>
  <c r="K212" i="7"/>
  <c r="K204" i="7"/>
  <c r="K196" i="7"/>
  <c r="K188" i="7"/>
  <c r="K178" i="7"/>
  <c r="K156" i="7"/>
  <c r="K146" i="7"/>
  <c r="K124" i="7"/>
  <c r="K114" i="7"/>
  <c r="K92" i="7"/>
  <c r="K82" i="7"/>
  <c r="K60" i="7"/>
  <c r="K50" i="7"/>
  <c r="K28" i="7"/>
  <c r="K18" i="7"/>
  <c r="K6" i="7"/>
  <c r="K185" i="7"/>
  <c r="K181" i="7"/>
  <c r="K177" i="7"/>
  <c r="K173" i="7"/>
  <c r="K169" i="7"/>
  <c r="K165" i="7"/>
  <c r="K161" i="7"/>
  <c r="K157" i="7"/>
  <c r="K153" i="7"/>
  <c r="K149" i="7"/>
  <c r="K145" i="7"/>
  <c r="K141" i="7"/>
  <c r="K137" i="7"/>
  <c r="K133" i="7"/>
  <c r="K129" i="7"/>
  <c r="K125" i="7"/>
  <c r="K121" i="7"/>
  <c r="K117" i="7"/>
  <c r="K113" i="7"/>
  <c r="K109" i="7"/>
  <c r="K105" i="7"/>
  <c r="K101" i="7"/>
  <c r="K97" i="7"/>
  <c r="K93" i="7"/>
  <c r="K89" i="7"/>
  <c r="K85" i="7"/>
  <c r="K81" i="7"/>
  <c r="K77" i="7"/>
  <c r="K73" i="7"/>
  <c r="K69" i="7"/>
  <c r="K65" i="7"/>
  <c r="K61" i="7"/>
  <c r="K57" i="7"/>
  <c r="K53" i="7"/>
  <c r="K49" i="7"/>
  <c r="K45" i="7"/>
  <c r="K41" i="7"/>
  <c r="K37" i="7"/>
  <c r="K33" i="7"/>
  <c r="K29" i="7"/>
  <c r="K25" i="7"/>
  <c r="K21" i="7"/>
  <c r="K17" i="7"/>
  <c r="K13" i="7"/>
  <c r="K9" i="7"/>
  <c r="K5" i="7"/>
  <c r="K4" i="7"/>
  <c r="K267" i="7"/>
  <c r="K263" i="7"/>
  <c r="K259" i="7"/>
  <c r="K255" i="7"/>
  <c r="K251" i="7"/>
  <c r="K247" i="7"/>
  <c r="K243" i="7"/>
  <c r="K239" i="7"/>
  <c r="K235" i="7"/>
  <c r="K231" i="7"/>
  <c r="K227" i="7"/>
  <c r="K223" i="7"/>
  <c r="K219" i="7"/>
  <c r="K215" i="7"/>
  <c r="K211" i="7"/>
  <c r="K207" i="7"/>
  <c r="K203" i="7"/>
  <c r="K199" i="7"/>
  <c r="K195" i="7"/>
  <c r="K191" i="7"/>
  <c r="K187" i="7"/>
  <c r="K183" i="7"/>
  <c r="K179" i="7"/>
  <c r="K175" i="7"/>
  <c r="K171" i="7"/>
  <c r="K167" i="7"/>
  <c r="K163" i="7"/>
  <c r="K159" i="7"/>
  <c r="K155" i="7"/>
  <c r="K151" i="7"/>
  <c r="K147" i="7"/>
  <c r="K143" i="7"/>
  <c r="K139" i="7"/>
  <c r="K135" i="7"/>
  <c r="K131" i="7"/>
  <c r="K127" i="7"/>
  <c r="K123" i="7"/>
  <c r="K119" i="7"/>
  <c r="K115" i="7"/>
  <c r="K111" i="7"/>
  <c r="K107" i="7"/>
  <c r="K103" i="7"/>
  <c r="K99" i="7"/>
  <c r="K95" i="7"/>
  <c r="K91" i="7"/>
  <c r="K87" i="7"/>
  <c r="K83" i="7"/>
  <c r="K79" i="7"/>
  <c r="K75" i="7"/>
  <c r="K71" i="7"/>
  <c r="K67" i="7"/>
  <c r="K63" i="7"/>
  <c r="K59" i="7"/>
  <c r="K55" i="7"/>
  <c r="K51" i="7"/>
  <c r="K47" i="7"/>
  <c r="K43" i="7"/>
  <c r="K39" i="7"/>
  <c r="K35" i="7"/>
  <c r="K31" i="7"/>
  <c r="K27" i="7"/>
  <c r="K23" i="7"/>
  <c r="K19" i="7"/>
  <c r="K15" i="7"/>
  <c r="K11" i="7"/>
  <c r="K7" i="7"/>
  <c r="K3" i="7"/>
  <c r="K2" i="7"/>
  <c r="K814" i="8"/>
  <c r="K791" i="8"/>
  <c r="K767" i="8"/>
  <c r="K746" i="8"/>
  <c r="K714" i="8"/>
  <c r="K703" i="8"/>
  <c r="K671" i="8"/>
  <c r="K640" i="8"/>
  <c r="K621" i="8"/>
  <c r="K599" i="8"/>
  <c r="K575" i="8"/>
  <c r="K550" i="8"/>
  <c r="K529" i="8"/>
  <c r="K502" i="8"/>
  <c r="K481" i="8"/>
  <c r="K438" i="8"/>
  <c r="K388" i="8"/>
  <c r="K818" i="8"/>
  <c r="K809" i="8"/>
  <c r="K800" i="8"/>
  <c r="K795" i="8"/>
  <c r="K786" i="8"/>
  <c r="K777" i="8"/>
  <c r="K772" i="8"/>
  <c r="K761" i="8"/>
  <c r="K756" i="8"/>
  <c r="K745" i="8"/>
  <c r="K740" i="8"/>
  <c r="K729" i="8"/>
  <c r="K724" i="8"/>
  <c r="K713" i="8"/>
  <c r="K708" i="8"/>
  <c r="K697" i="8"/>
  <c r="K692" i="8"/>
  <c r="K681" i="8"/>
  <c r="K676" i="8"/>
  <c r="K665" i="8"/>
  <c r="K652" i="8"/>
  <c r="K646" i="8"/>
  <c r="K639" i="8"/>
  <c r="K633" i="8"/>
  <c r="K620" i="8"/>
  <c r="K614" i="8"/>
  <c r="K539" i="8"/>
  <c r="K459" i="8"/>
  <c r="K416" i="8"/>
  <c r="K387" i="8"/>
  <c r="K827" i="8"/>
  <c r="K796" i="8"/>
  <c r="K762" i="8"/>
  <c r="K730" i="8"/>
  <c r="K719" i="8"/>
  <c r="K687" i="8"/>
  <c r="K659" i="8"/>
  <c r="K627" i="8"/>
  <c r="K607" i="8"/>
  <c r="K583" i="8"/>
  <c r="K559" i="8"/>
  <c r="K518" i="8"/>
  <c r="K830" i="8"/>
  <c r="K822" i="8"/>
  <c r="K813" i="8"/>
  <c r="K804" i="8"/>
  <c r="K799" i="8"/>
  <c r="K790" i="8"/>
  <c r="K781" i="8"/>
  <c r="K771" i="8"/>
  <c r="K766" i="8"/>
  <c r="K755" i="8"/>
  <c r="K750" i="8"/>
  <c r="K739" i="8"/>
  <c r="K734" i="8"/>
  <c r="K723" i="8"/>
  <c r="K718" i="8"/>
  <c r="K707" i="8"/>
  <c r="K702" i="8"/>
  <c r="K691" i="8"/>
  <c r="K686" i="8"/>
  <c r="K675" i="8"/>
  <c r="K670" i="8"/>
  <c r="K664" i="8"/>
  <c r="K658" i="8"/>
  <c r="K651" i="8"/>
  <c r="K645" i="8"/>
  <c r="K632" i="8"/>
  <c r="K626" i="8"/>
  <c r="K619" i="8"/>
  <c r="K613" i="8"/>
  <c r="K606" i="8"/>
  <c r="K598" i="8"/>
  <c r="K590" i="8"/>
  <c r="K582" i="8"/>
  <c r="K574" i="8"/>
  <c r="K566" i="8"/>
  <c r="K558" i="8"/>
  <c r="K549" i="8"/>
  <c r="K538" i="8"/>
  <c r="K528" i="8"/>
  <c r="K517" i="8"/>
  <c r="K497" i="8"/>
  <c r="K476" i="8"/>
  <c r="K454" i="8"/>
  <c r="K433" i="8"/>
  <c r="K410" i="8"/>
  <c r="K380" i="8"/>
  <c r="K839" i="8"/>
  <c r="K805" i="8"/>
  <c r="K782" i="8"/>
  <c r="K751" i="8"/>
  <c r="K735" i="8"/>
  <c r="K698" i="8"/>
  <c r="K682" i="8"/>
  <c r="K666" i="8"/>
  <c r="K653" i="8"/>
  <c r="K634" i="8"/>
  <c r="K591" i="8"/>
  <c r="K567" i="8"/>
  <c r="K540" i="8"/>
  <c r="K460" i="8"/>
  <c r="K838" i="8"/>
  <c r="K834" i="8"/>
  <c r="K826" i="8"/>
  <c r="K817" i="8"/>
  <c r="K808" i="8"/>
  <c r="K803" i="8"/>
  <c r="K794" i="8"/>
  <c r="K785" i="8"/>
  <c r="K776" i="8"/>
  <c r="K765" i="8"/>
  <c r="K760" i="8"/>
  <c r="K749" i="8"/>
  <c r="K744" i="8"/>
  <c r="K733" i="8"/>
  <c r="K728" i="8"/>
  <c r="K717" i="8"/>
  <c r="K712" i="8"/>
  <c r="K701" i="8"/>
  <c r="K696" i="8"/>
  <c r="K685" i="8"/>
  <c r="K680" i="8"/>
  <c r="K669" i="8"/>
  <c r="K663" i="8"/>
  <c r="K657" i="8"/>
  <c r="K644" i="8"/>
  <c r="K638" i="8"/>
  <c r="K631" i="8"/>
  <c r="K625" i="8"/>
  <c r="K612" i="8"/>
  <c r="K605" i="8"/>
  <c r="K597" i="8"/>
  <c r="K589" i="8"/>
  <c r="K581" i="8"/>
  <c r="K573" i="8"/>
  <c r="K565" i="8"/>
  <c r="K557" i="8"/>
  <c r="K548" i="8"/>
  <c r="K537" i="8"/>
  <c r="K526" i="8"/>
  <c r="K516" i="8"/>
  <c r="K475" i="8"/>
  <c r="K379" i="8"/>
  <c r="K835" i="8"/>
  <c r="K837" i="8"/>
  <c r="K825" i="8"/>
  <c r="K807" i="8"/>
  <c r="K789" i="8"/>
  <c r="K775" i="8"/>
  <c r="K754" i="8"/>
  <c r="K722" i="8"/>
  <c r="K706" i="8"/>
  <c r="K674" i="8"/>
  <c r="K643" i="8"/>
  <c r="K611" i="8"/>
  <c r="K587" i="8"/>
  <c r="K555" i="8"/>
  <c r="K534" i="8"/>
  <c r="K513" i="8"/>
  <c r="K492" i="8"/>
  <c r="K470" i="8"/>
  <c r="K449" i="8"/>
  <c r="K404" i="8"/>
  <c r="K811" i="8"/>
  <c r="K802" i="8"/>
  <c r="K793" i="8"/>
  <c r="K784" i="8"/>
  <c r="K779" i="8"/>
  <c r="K769" i="8"/>
  <c r="K764" i="8"/>
  <c r="K753" i="8"/>
  <c r="K748" i="8"/>
  <c r="K737" i="8"/>
  <c r="K732" i="8"/>
  <c r="K721" i="8"/>
  <c r="K716" i="8"/>
  <c r="K705" i="8"/>
  <c r="K700" i="8"/>
  <c r="K689" i="8"/>
  <c r="K684" i="8"/>
  <c r="K673" i="8"/>
  <c r="K668" i="8"/>
  <c r="K662" i="8"/>
  <c r="K655" i="8"/>
  <c r="K649" i="8"/>
  <c r="K636" i="8"/>
  <c r="K630" i="8"/>
  <c r="K623" i="8"/>
  <c r="K617" i="8"/>
  <c r="K523" i="8"/>
  <c r="K491" i="8"/>
  <c r="K427" i="8"/>
  <c r="K403" i="8"/>
  <c r="K368" i="8"/>
  <c r="K823" i="8"/>
  <c r="K833" i="8"/>
  <c r="K812" i="8"/>
  <c r="K780" i="8"/>
  <c r="K759" i="8"/>
  <c r="K743" i="8"/>
  <c r="K711" i="8"/>
  <c r="K690" i="8"/>
  <c r="K656" i="8"/>
  <c r="K637" i="8"/>
  <c r="K618" i="8"/>
  <c r="K595" i="8"/>
  <c r="K571" i="8"/>
  <c r="K545" i="8"/>
  <c r="K428" i="8"/>
  <c r="K816" i="8"/>
  <c r="K836" i="8"/>
  <c r="K828" i="8"/>
  <c r="K820" i="8"/>
  <c r="K797" i="8"/>
  <c r="K783" i="8"/>
  <c r="K774" i="8"/>
  <c r="K763" i="8"/>
  <c r="K758" i="8"/>
  <c r="K747" i="8"/>
  <c r="K742" i="8"/>
  <c r="K731" i="8"/>
  <c r="K726" i="8"/>
  <c r="K715" i="8"/>
  <c r="K710" i="8"/>
  <c r="K699" i="8"/>
  <c r="K694" i="8"/>
  <c r="K683" i="8"/>
  <c r="K678" i="8"/>
  <c r="K667" i="8"/>
  <c r="K661" i="8"/>
  <c r="K648" i="8"/>
  <c r="K642" i="8"/>
  <c r="K635" i="8"/>
  <c r="K629" i="8"/>
  <c r="K616" i="8"/>
  <c r="K610" i="8"/>
  <c r="K602" i="8"/>
  <c r="K594" i="8"/>
  <c r="K586" i="8"/>
  <c r="K578" i="8"/>
  <c r="K570" i="8"/>
  <c r="K562" i="8"/>
  <c r="K554" i="8"/>
  <c r="K544" i="8"/>
  <c r="K533" i="8"/>
  <c r="K522" i="8"/>
  <c r="K508" i="8"/>
  <c r="K486" i="8"/>
  <c r="K465" i="8"/>
  <c r="K444" i="8"/>
  <c r="K422" i="8"/>
  <c r="K396" i="8"/>
  <c r="K354" i="8"/>
  <c r="K831" i="8"/>
  <c r="K829" i="8"/>
  <c r="K821" i="8"/>
  <c r="K798" i="8"/>
  <c r="K770" i="8"/>
  <c r="K738" i="8"/>
  <c r="K727" i="8"/>
  <c r="K695" i="8"/>
  <c r="K679" i="8"/>
  <c r="K650" i="8"/>
  <c r="K624" i="8"/>
  <c r="K603" i="8"/>
  <c r="K579" i="8"/>
  <c r="K563" i="8"/>
  <c r="K524" i="8"/>
  <c r="K370" i="8"/>
  <c r="K840" i="8"/>
  <c r="K832" i="8"/>
  <c r="K824" i="8"/>
  <c r="K815" i="8"/>
  <c r="K806" i="8"/>
  <c r="K788" i="8"/>
  <c r="K819" i="8"/>
  <c r="K810" i="8"/>
  <c r="K801" i="8"/>
  <c r="K792" i="8"/>
  <c r="K787" i="8"/>
  <c r="K778" i="8"/>
  <c r="K773" i="8"/>
  <c r="K768" i="8"/>
  <c r="K757" i="8"/>
  <c r="K752" i="8"/>
  <c r="K741" i="8"/>
  <c r="K736" i="8"/>
  <c r="K725" i="8"/>
  <c r="K720" i="8"/>
  <c r="K709" i="8"/>
  <c r="K704" i="8"/>
  <c r="K693" i="8"/>
  <c r="K688" i="8"/>
  <c r="K677" i="8"/>
  <c r="K672" i="8"/>
  <c r="K660" i="8"/>
  <c r="K654" i="8"/>
  <c r="K647" i="8"/>
  <c r="K641" i="8"/>
  <c r="K628" i="8"/>
  <c r="K622" i="8"/>
  <c r="K615" i="8"/>
  <c r="K609" i="8"/>
  <c r="K601" i="8"/>
  <c r="K593" i="8"/>
  <c r="K585" i="8"/>
  <c r="K577" i="8"/>
  <c r="K569" i="8"/>
  <c r="K561" i="8"/>
  <c r="K553" i="8"/>
  <c r="K542" i="8"/>
  <c r="K532" i="8"/>
  <c r="K521" i="8"/>
  <c r="K507" i="8"/>
  <c r="K443" i="8"/>
  <c r="K395" i="8"/>
  <c r="K352" i="8"/>
  <c r="K512" i="8"/>
  <c r="K506" i="8"/>
  <c r="K501" i="8"/>
  <c r="K496" i="8"/>
  <c r="K490" i="8"/>
  <c r="K485" i="8"/>
  <c r="K480" i="8"/>
  <c r="K474" i="8"/>
  <c r="K469" i="8"/>
  <c r="K464" i="8"/>
  <c r="K458" i="8"/>
  <c r="K453" i="8"/>
  <c r="K448" i="8"/>
  <c r="K442" i="8"/>
  <c r="K437" i="8"/>
  <c r="K432" i="8"/>
  <c r="K426" i="8"/>
  <c r="K421" i="8"/>
  <c r="K415" i="8"/>
  <c r="K402" i="8"/>
  <c r="K394" i="8"/>
  <c r="K386" i="8"/>
  <c r="K378" i="8"/>
  <c r="K366" i="8"/>
  <c r="K350" i="8"/>
  <c r="K543" i="8"/>
  <c r="K527" i="8"/>
  <c r="K511" i="8"/>
  <c r="K495" i="8"/>
  <c r="K479" i="8"/>
  <c r="K463" i="8"/>
  <c r="K447" i="8"/>
  <c r="K431" i="8"/>
  <c r="K414" i="8"/>
  <c r="K408" i="8"/>
  <c r="K376" i="8"/>
  <c r="K364" i="8"/>
  <c r="K348" i="8"/>
  <c r="K510" i="8"/>
  <c r="K505" i="8"/>
  <c r="K500" i="8"/>
  <c r="K494" i="8"/>
  <c r="K489" i="8"/>
  <c r="K484" i="8"/>
  <c r="K478" i="8"/>
  <c r="K473" i="8"/>
  <c r="K468" i="8"/>
  <c r="K462" i="8"/>
  <c r="K457" i="8"/>
  <c r="K452" i="8"/>
  <c r="K446" i="8"/>
  <c r="K441" i="8"/>
  <c r="K436" i="8"/>
  <c r="K430" i="8"/>
  <c r="K425" i="8"/>
  <c r="K420" i="8"/>
  <c r="K407" i="8"/>
  <c r="K400" i="8"/>
  <c r="K392" i="8"/>
  <c r="K384" i="8"/>
  <c r="K375" i="8"/>
  <c r="K362" i="8"/>
  <c r="K346" i="8"/>
  <c r="K547" i="8"/>
  <c r="K531" i="8"/>
  <c r="K515" i="8"/>
  <c r="K499" i="8"/>
  <c r="K483" i="8"/>
  <c r="K467" i="8"/>
  <c r="K451" i="8"/>
  <c r="K435" i="8"/>
  <c r="K419" i="8"/>
  <c r="K406" i="8"/>
  <c r="K399" i="8"/>
  <c r="K391" i="8"/>
  <c r="K383" i="8"/>
  <c r="K374" i="8"/>
  <c r="K360" i="8"/>
  <c r="K344" i="8"/>
  <c r="K608" i="8"/>
  <c r="K604" i="8"/>
  <c r="K600" i="8"/>
  <c r="K596" i="8"/>
  <c r="K592" i="8"/>
  <c r="K588" i="8"/>
  <c r="K584" i="8"/>
  <c r="K580" i="8"/>
  <c r="K576" i="8"/>
  <c r="K572" i="8"/>
  <c r="K568" i="8"/>
  <c r="K564" i="8"/>
  <c r="K560" i="8"/>
  <c r="K556" i="8"/>
  <c r="K552" i="8"/>
  <c r="K546" i="8"/>
  <c r="K541" i="8"/>
  <c r="K536" i="8"/>
  <c r="K530" i="8"/>
  <c r="K525" i="8"/>
  <c r="K520" i="8"/>
  <c r="K514" i="8"/>
  <c r="K509" i="8"/>
  <c r="K504" i="8"/>
  <c r="K498" i="8"/>
  <c r="K493" i="8"/>
  <c r="K488" i="8"/>
  <c r="K482" i="8"/>
  <c r="K477" i="8"/>
  <c r="K472" i="8"/>
  <c r="K466" i="8"/>
  <c r="K461" i="8"/>
  <c r="K456" i="8"/>
  <c r="K450" i="8"/>
  <c r="K445" i="8"/>
  <c r="K440" i="8"/>
  <c r="K434" i="8"/>
  <c r="K429" i="8"/>
  <c r="K424" i="8"/>
  <c r="K418" i="8"/>
  <c r="K412" i="8"/>
  <c r="K398" i="8"/>
  <c r="K390" i="8"/>
  <c r="K382" i="8"/>
  <c r="K372" i="8"/>
  <c r="K358" i="8"/>
  <c r="K342" i="8"/>
  <c r="K551" i="8"/>
  <c r="K535" i="8"/>
  <c r="K519" i="8"/>
  <c r="K503" i="8"/>
  <c r="K487" i="8"/>
  <c r="K471" i="8"/>
  <c r="K455" i="8"/>
  <c r="K439" i="8"/>
  <c r="K423" i="8"/>
  <c r="K411" i="8"/>
  <c r="K371" i="8"/>
  <c r="K356" i="8"/>
  <c r="K339" i="8"/>
  <c r="K337" i="8"/>
  <c r="K331" i="8"/>
  <c r="K326" i="8"/>
  <c r="K321" i="8"/>
  <c r="K315" i="8"/>
  <c r="K310" i="8"/>
  <c r="K305" i="8"/>
  <c r="K299" i="8"/>
  <c r="K294" i="8"/>
  <c r="K289" i="8"/>
  <c r="K283" i="8"/>
  <c r="K278" i="8"/>
  <c r="K273" i="8"/>
  <c r="K267" i="8"/>
  <c r="K262" i="8"/>
  <c r="K255" i="8"/>
  <c r="K249" i="8"/>
  <c r="K236" i="8"/>
  <c r="K230" i="8"/>
  <c r="K223" i="8"/>
  <c r="K217" i="8"/>
  <c r="K209" i="8"/>
  <c r="K201" i="8"/>
  <c r="K193" i="8"/>
  <c r="K185" i="8"/>
  <c r="K177" i="8"/>
  <c r="K169" i="8"/>
  <c r="K161" i="8"/>
  <c r="K153" i="8"/>
  <c r="K145" i="8"/>
  <c r="K137" i="8"/>
  <c r="K129" i="8"/>
  <c r="K121" i="8"/>
  <c r="K113" i="8"/>
  <c r="K105" i="8"/>
  <c r="K97" i="8"/>
  <c r="K336" i="8"/>
  <c r="K320" i="8"/>
  <c r="K304" i="8"/>
  <c r="K288" i="8"/>
  <c r="K272" i="8"/>
  <c r="K261" i="8"/>
  <c r="K248" i="8"/>
  <c r="K242" i="8"/>
  <c r="K235" i="8"/>
  <c r="K229" i="8"/>
  <c r="K216" i="8"/>
  <c r="K208" i="8"/>
  <c r="K200" i="8"/>
  <c r="K192" i="8"/>
  <c r="K184" i="8"/>
  <c r="K176" i="8"/>
  <c r="K168" i="8"/>
  <c r="K160" i="8"/>
  <c r="K152" i="8"/>
  <c r="K144" i="8"/>
  <c r="K136" i="8"/>
  <c r="K128" i="8"/>
  <c r="K120" i="8"/>
  <c r="K112" i="8"/>
  <c r="K104" i="8"/>
  <c r="K96" i="8"/>
  <c r="K82" i="8"/>
  <c r="K66" i="8"/>
  <c r="K50" i="8"/>
  <c r="K34" i="8"/>
  <c r="K18" i="8"/>
  <c r="K417" i="8"/>
  <c r="K413" i="8"/>
  <c r="K409" i="8"/>
  <c r="K405" i="8"/>
  <c r="K401" i="8"/>
  <c r="K397" i="8"/>
  <c r="K393" i="8"/>
  <c r="K389" i="8"/>
  <c r="K385" i="8"/>
  <c r="K381" i="8"/>
  <c r="K377" i="8"/>
  <c r="K373" i="8"/>
  <c r="K369" i="8"/>
  <c r="K365" i="8"/>
  <c r="K361" i="8"/>
  <c r="K357" i="8"/>
  <c r="K353" i="8"/>
  <c r="K349" i="8"/>
  <c r="K345" i="8"/>
  <c r="K341" i="8"/>
  <c r="K335" i="8"/>
  <c r="K330" i="8"/>
  <c r="K325" i="8"/>
  <c r="K319" i="8"/>
  <c r="K314" i="8"/>
  <c r="K309" i="8"/>
  <c r="K303" i="8"/>
  <c r="K298" i="8"/>
  <c r="K293" i="8"/>
  <c r="K287" i="8"/>
  <c r="K282" i="8"/>
  <c r="K277" i="8"/>
  <c r="K271" i="8"/>
  <c r="K266" i="8"/>
  <c r="K260" i="8"/>
  <c r="K254" i="8"/>
  <c r="K247" i="8"/>
  <c r="K241" i="8"/>
  <c r="K228" i="8"/>
  <c r="K222" i="8"/>
  <c r="K340" i="8"/>
  <c r="K324" i="8"/>
  <c r="K308" i="8"/>
  <c r="K292" i="8"/>
  <c r="K276" i="8"/>
  <c r="K259" i="8"/>
  <c r="K253" i="8"/>
  <c r="K240" i="8"/>
  <c r="K234" i="8"/>
  <c r="K227" i="8"/>
  <c r="K221" i="8"/>
  <c r="K214" i="8"/>
  <c r="K206" i="8"/>
  <c r="K198" i="8"/>
  <c r="K190" i="8"/>
  <c r="K182" i="8"/>
  <c r="K174" i="8"/>
  <c r="K166" i="8"/>
  <c r="K158" i="8"/>
  <c r="K150" i="8"/>
  <c r="K142" i="8"/>
  <c r="K134" i="8"/>
  <c r="K126" i="8"/>
  <c r="K118" i="8"/>
  <c r="K110" i="8"/>
  <c r="K102" i="8"/>
  <c r="K94" i="8"/>
  <c r="K78" i="8"/>
  <c r="K62" i="8"/>
  <c r="K46" i="8"/>
  <c r="K30" i="8"/>
  <c r="K14" i="8"/>
  <c r="K334" i="8"/>
  <c r="K329" i="8"/>
  <c r="K323" i="8"/>
  <c r="K318" i="8"/>
  <c r="K313" i="8"/>
  <c r="K307" i="8"/>
  <c r="K302" i="8"/>
  <c r="K297" i="8"/>
  <c r="K291" i="8"/>
  <c r="K286" i="8"/>
  <c r="K281" i="8"/>
  <c r="K275" i="8"/>
  <c r="K270" i="8"/>
  <c r="K265" i="8"/>
  <c r="K252" i="8"/>
  <c r="K246" i="8"/>
  <c r="K239" i="8"/>
  <c r="K233" i="8"/>
  <c r="K220" i="8"/>
  <c r="K213" i="8"/>
  <c r="K205" i="8"/>
  <c r="K197" i="8"/>
  <c r="K189" i="8"/>
  <c r="K181" i="8"/>
  <c r="K173" i="8"/>
  <c r="K165" i="8"/>
  <c r="K157" i="8"/>
  <c r="K149" i="8"/>
  <c r="K141" i="8"/>
  <c r="K133" i="8"/>
  <c r="K125" i="8"/>
  <c r="K117" i="8"/>
  <c r="K109" i="8"/>
  <c r="K101" i="8"/>
  <c r="K328" i="8"/>
  <c r="K312" i="8"/>
  <c r="K296" i="8"/>
  <c r="K280" i="8"/>
  <c r="K264" i="8"/>
  <c r="K258" i="8"/>
  <c r="K251" i="8"/>
  <c r="K245" i="8"/>
  <c r="K232" i="8"/>
  <c r="K226" i="8"/>
  <c r="K219" i="8"/>
  <c r="K212" i="8"/>
  <c r="K204" i="8"/>
  <c r="K196" i="8"/>
  <c r="K188" i="8"/>
  <c r="K180" i="8"/>
  <c r="K172" i="8"/>
  <c r="K164" i="8"/>
  <c r="K156" i="8"/>
  <c r="K148" i="8"/>
  <c r="K140" i="8"/>
  <c r="K132" i="8"/>
  <c r="K124" i="8"/>
  <c r="K116" i="8"/>
  <c r="K108" i="8"/>
  <c r="K100" i="8"/>
  <c r="K90" i="8"/>
  <c r="K74" i="8"/>
  <c r="K58" i="8"/>
  <c r="K42" i="8"/>
  <c r="K26" i="8"/>
  <c r="K10" i="8"/>
  <c r="K367" i="8"/>
  <c r="K363" i="8"/>
  <c r="K359" i="8"/>
  <c r="K355" i="8"/>
  <c r="K351" i="8"/>
  <c r="K347" i="8"/>
  <c r="K343" i="8"/>
  <c r="K338" i="8"/>
  <c r="K333" i="8"/>
  <c r="K327" i="8"/>
  <c r="K322" i="8"/>
  <c r="K317" i="8"/>
  <c r="K311" i="8"/>
  <c r="K306" i="8"/>
  <c r="K301" i="8"/>
  <c r="K295" i="8"/>
  <c r="K290" i="8"/>
  <c r="K285" i="8"/>
  <c r="K279" i="8"/>
  <c r="K274" i="8"/>
  <c r="K269" i="8"/>
  <c r="K263" i="8"/>
  <c r="K257" i="8"/>
  <c r="K244" i="8"/>
  <c r="K238" i="8"/>
  <c r="K231" i="8"/>
  <c r="K225" i="8"/>
  <c r="K332" i="8"/>
  <c r="K316" i="8"/>
  <c r="K300" i="8"/>
  <c r="K284" i="8"/>
  <c r="K268" i="8"/>
  <c r="K256" i="8"/>
  <c r="K250" i="8"/>
  <c r="K243" i="8"/>
  <c r="K237" i="8"/>
  <c r="K224" i="8"/>
  <c r="K218" i="8"/>
  <c r="K210" i="8"/>
  <c r="K202" i="8"/>
  <c r="K194" i="8"/>
  <c r="K186" i="8"/>
  <c r="K178" i="8"/>
  <c r="K170" i="8"/>
  <c r="K162" i="8"/>
  <c r="K154" i="8"/>
  <c r="K146" i="8"/>
  <c r="K138" i="8"/>
  <c r="K130" i="8"/>
  <c r="K122" i="8"/>
  <c r="K114" i="8"/>
  <c r="K106" i="8"/>
  <c r="K98" i="8"/>
  <c r="K86" i="8"/>
  <c r="K70" i="8"/>
  <c r="K54" i="8"/>
  <c r="K38" i="8"/>
  <c r="K22" i="8"/>
  <c r="K6" i="8"/>
  <c r="K93" i="8"/>
  <c r="K89" i="8"/>
  <c r="K85" i="8"/>
  <c r="K81" i="8"/>
  <c r="K77" i="8"/>
  <c r="K73" i="8"/>
  <c r="K69" i="8"/>
  <c r="K65" i="8"/>
  <c r="K61" i="8"/>
  <c r="K57" i="8"/>
  <c r="K53" i="8"/>
  <c r="K49" i="8"/>
  <c r="K45" i="8"/>
  <c r="K41" i="8"/>
  <c r="K37" i="8"/>
  <c r="K33" i="8"/>
  <c r="K29" i="8"/>
  <c r="K25" i="8"/>
  <c r="K21" i="8"/>
  <c r="K17" i="8"/>
  <c r="K13" i="8"/>
  <c r="K9" i="8"/>
  <c r="K5" i="8"/>
  <c r="K92" i="8"/>
  <c r="K88" i="8"/>
  <c r="K84" i="8"/>
  <c r="K80" i="8"/>
  <c r="K76" i="8"/>
  <c r="K72" i="8"/>
  <c r="K68" i="8"/>
  <c r="K64" i="8"/>
  <c r="K60" i="8"/>
  <c r="K56" i="8"/>
  <c r="K52" i="8"/>
  <c r="K48" i="8"/>
  <c r="K44" i="8"/>
  <c r="K40" i="8"/>
  <c r="K36" i="8"/>
  <c r="K32" i="8"/>
  <c r="K28" i="8"/>
  <c r="K24" i="8"/>
  <c r="K20" i="8"/>
  <c r="K16" i="8"/>
  <c r="K12" i="8"/>
  <c r="K8" i="8"/>
  <c r="K4" i="8"/>
  <c r="K215" i="8"/>
  <c r="K211" i="8"/>
  <c r="K207" i="8"/>
  <c r="K203" i="8"/>
  <c r="K199" i="8"/>
  <c r="K195" i="8"/>
  <c r="K191" i="8"/>
  <c r="K187" i="8"/>
  <c r="K183" i="8"/>
  <c r="K179" i="8"/>
  <c r="K175" i="8"/>
  <c r="K171" i="8"/>
  <c r="K167" i="8"/>
  <c r="K163" i="8"/>
  <c r="K159" i="8"/>
  <c r="K155" i="8"/>
  <c r="K151" i="8"/>
  <c r="K147" i="8"/>
  <c r="K143" i="8"/>
  <c r="K139" i="8"/>
  <c r="K135" i="8"/>
  <c r="K131" i="8"/>
  <c r="K127" i="8"/>
  <c r="K123" i="8"/>
  <c r="K119" i="8"/>
  <c r="K115" i="8"/>
  <c r="K111" i="8"/>
  <c r="K107" i="8"/>
  <c r="K103" i="8"/>
  <c r="K99" i="8"/>
  <c r="K95" i="8"/>
  <c r="K91" i="8"/>
  <c r="K87" i="8"/>
  <c r="K83" i="8"/>
  <c r="K79" i="8"/>
  <c r="K75" i="8"/>
  <c r="K71" i="8"/>
  <c r="K67" i="8"/>
  <c r="K63" i="8"/>
  <c r="K59" i="8"/>
  <c r="K55" i="8"/>
  <c r="K51" i="8"/>
  <c r="K47" i="8"/>
  <c r="K43" i="8"/>
  <c r="K39" i="8"/>
  <c r="K35" i="8"/>
  <c r="K31" i="8"/>
  <c r="K27" i="8"/>
  <c r="K23" i="8"/>
  <c r="K19" i="8"/>
  <c r="K15" i="8"/>
  <c r="K11" i="8"/>
  <c r="K7" i="8"/>
  <c r="K3" i="8"/>
  <c r="K2" i="8"/>
  <c r="H62" i="5"/>
  <c r="E228" i="5"/>
  <c r="H237" i="5"/>
  <c r="E453" i="5"/>
  <c r="I453" i="5"/>
  <c r="F453" i="5"/>
  <c r="H485" i="5"/>
  <c r="G485" i="5"/>
  <c r="G613" i="5"/>
  <c r="I613" i="5"/>
  <c r="I709" i="5"/>
  <c r="F709" i="5"/>
  <c r="E4" i="5"/>
  <c r="I32" i="5"/>
  <c r="G42" i="5"/>
  <c r="E105" i="5"/>
  <c r="F110" i="5"/>
  <c r="E114" i="5"/>
  <c r="G116" i="5"/>
  <c r="H142" i="5"/>
  <c r="H154" i="5"/>
  <c r="E158" i="5"/>
  <c r="E170" i="5"/>
  <c r="F194" i="5"/>
  <c r="F210" i="5"/>
  <c r="E213" i="5"/>
  <c r="F216" i="5"/>
  <c r="E224" i="5"/>
  <c r="F228" i="5"/>
  <c r="I237" i="5"/>
  <c r="F266" i="5"/>
  <c r="I280" i="5"/>
  <c r="H282" i="5"/>
  <c r="H289" i="5"/>
  <c r="H299" i="5"/>
  <c r="F300" i="5"/>
  <c r="F320" i="5"/>
  <c r="F324" i="5"/>
  <c r="E330" i="5"/>
  <c r="I336" i="5"/>
  <c r="G338" i="5"/>
  <c r="G346" i="5"/>
  <c r="H356" i="5"/>
  <c r="E356" i="5"/>
  <c r="I381" i="5"/>
  <c r="E381" i="5"/>
  <c r="E418" i="5"/>
  <c r="H418" i="5"/>
  <c r="G423" i="5"/>
  <c r="G453" i="5"/>
  <c r="F485" i="5"/>
  <c r="F566" i="5"/>
  <c r="I566" i="5"/>
  <c r="H566" i="5"/>
  <c r="G806" i="5"/>
  <c r="I806" i="5"/>
  <c r="F806" i="5"/>
  <c r="E806" i="5"/>
  <c r="F42" i="5"/>
  <c r="E2" i="5"/>
  <c r="F4" i="5"/>
  <c r="E8" i="5"/>
  <c r="F10" i="5"/>
  <c r="I20" i="5"/>
  <c r="I4" i="5"/>
  <c r="F8" i="5"/>
  <c r="G10" i="5"/>
  <c r="G14" i="5"/>
  <c r="I16" i="5"/>
  <c r="G30" i="5"/>
  <c r="I93" i="5"/>
  <c r="G99" i="5"/>
  <c r="G105" i="5"/>
  <c r="I106" i="5"/>
  <c r="F114" i="5"/>
  <c r="I142" i="5"/>
  <c r="E146" i="5"/>
  <c r="I154" i="5"/>
  <c r="F158" i="5"/>
  <c r="I168" i="5"/>
  <c r="G170" i="5"/>
  <c r="G198" i="5"/>
  <c r="E200" i="5"/>
  <c r="G210" i="5"/>
  <c r="G213" i="5"/>
  <c r="I214" i="5"/>
  <c r="G216" i="5"/>
  <c r="E223" i="5"/>
  <c r="F224" i="5"/>
  <c r="I228" i="5"/>
  <c r="E256" i="5"/>
  <c r="G264" i="5"/>
  <c r="G266" i="5"/>
  <c r="I286" i="5"/>
  <c r="F298" i="5"/>
  <c r="I299" i="5"/>
  <c r="G300" i="5"/>
  <c r="I302" i="5"/>
  <c r="G324" i="5"/>
  <c r="I338" i="5"/>
  <c r="E340" i="5"/>
  <c r="H346" i="5"/>
  <c r="G356" i="5"/>
  <c r="E364" i="5"/>
  <c r="F418" i="5"/>
  <c r="G426" i="5"/>
  <c r="I426" i="5"/>
  <c r="H453" i="5"/>
  <c r="F478" i="5"/>
  <c r="E478" i="5"/>
  <c r="I485" i="5"/>
  <c r="I544" i="5"/>
  <c r="H584" i="5"/>
  <c r="E584" i="5"/>
  <c r="I604" i="5"/>
  <c r="E604" i="5"/>
  <c r="H10" i="5"/>
  <c r="H105" i="5"/>
  <c r="H170" i="5"/>
  <c r="H210" i="5"/>
  <c r="I213" i="5"/>
  <c r="G224" i="5"/>
  <c r="I266" i="5"/>
  <c r="G298" i="5"/>
  <c r="I300" i="5"/>
  <c r="I324" i="5"/>
  <c r="I356" i="5"/>
  <c r="E390" i="5"/>
  <c r="G390" i="5"/>
  <c r="G418" i="5"/>
  <c r="G435" i="5"/>
  <c r="E435" i="5"/>
  <c r="H759" i="5"/>
  <c r="E759" i="5"/>
  <c r="I759" i="5"/>
  <c r="F759" i="5"/>
  <c r="I785" i="5"/>
  <c r="H785" i="5"/>
  <c r="G785" i="5"/>
  <c r="F363" i="5"/>
  <c r="I363" i="5"/>
  <c r="E363" i="5"/>
  <c r="H386" i="5"/>
  <c r="G386" i="5"/>
  <c r="I418" i="5"/>
  <c r="E431" i="5"/>
  <c r="G431" i="5"/>
  <c r="E524" i="5"/>
  <c r="F524" i="5"/>
  <c r="H587" i="5"/>
  <c r="G587" i="5"/>
  <c r="I757" i="5"/>
  <c r="H757" i="5"/>
  <c r="G104" i="5"/>
  <c r="G130" i="5"/>
  <c r="G138" i="5"/>
  <c r="I151" i="5"/>
  <c r="E160" i="5"/>
  <c r="H174" i="5"/>
  <c r="E181" i="5"/>
  <c r="E197" i="5"/>
  <c r="E219" i="5"/>
  <c r="G255" i="5"/>
  <c r="G272" i="5"/>
  <c r="E276" i="5"/>
  <c r="G288" i="5"/>
  <c r="G292" i="5"/>
  <c r="I315" i="5"/>
  <c r="E349" i="5"/>
  <c r="G355" i="5"/>
  <c r="G363" i="5"/>
  <c r="F386" i="5"/>
  <c r="H390" i="5"/>
  <c r="F431" i="5"/>
  <c r="I524" i="5"/>
  <c r="E626" i="5"/>
  <c r="I626" i="5"/>
  <c r="H635" i="5"/>
  <c r="F663" i="5"/>
  <c r="H5" i="5"/>
  <c r="G29" i="5"/>
  <c r="E94" i="5"/>
  <c r="I107" i="5"/>
  <c r="G129" i="5"/>
  <c r="G137" i="5"/>
  <c r="H138" i="5"/>
  <c r="E143" i="5"/>
  <c r="E159" i="5"/>
  <c r="F160" i="5"/>
  <c r="E166" i="5"/>
  <c r="G181" i="5"/>
  <c r="G197" i="5"/>
  <c r="I201" i="5"/>
  <c r="E229" i="5"/>
  <c r="I255" i="5"/>
  <c r="F276" i="5"/>
  <c r="F278" i="5"/>
  <c r="G287" i="5"/>
  <c r="F312" i="5"/>
  <c r="E314" i="5"/>
  <c r="G339" i="5"/>
  <c r="H355" i="5"/>
  <c r="H363" i="5"/>
  <c r="I390" i="5"/>
  <c r="H392" i="5"/>
  <c r="E392" i="5"/>
  <c r="H580" i="5"/>
  <c r="I580" i="5"/>
  <c r="F580" i="5"/>
  <c r="F615" i="5"/>
  <c r="H615" i="5"/>
  <c r="H626" i="5"/>
  <c r="G160" i="5"/>
  <c r="G276" i="5"/>
  <c r="F419" i="5"/>
  <c r="E419" i="5"/>
  <c r="I419" i="5"/>
  <c r="I436" i="5"/>
  <c r="H436" i="5"/>
  <c r="H548" i="5"/>
  <c r="F548" i="5"/>
  <c r="I791" i="5"/>
  <c r="F791" i="5"/>
  <c r="I877" i="5"/>
  <c r="E877" i="5"/>
  <c r="H1052" i="5"/>
  <c r="G1052" i="5"/>
  <c r="E1052" i="5"/>
  <c r="I1105" i="5"/>
  <c r="H1105" i="5"/>
  <c r="F1241" i="5"/>
  <c r="H1241" i="5"/>
  <c r="H1262" i="5"/>
  <c r="I1262" i="5"/>
  <c r="F1299" i="5"/>
  <c r="G1299" i="5"/>
  <c r="G814" i="5"/>
  <c r="H814" i="5"/>
  <c r="E826" i="5"/>
  <c r="E883" i="5"/>
  <c r="I994" i="5"/>
  <c r="G994" i="5"/>
  <c r="F994" i="5"/>
  <c r="I1052" i="5"/>
  <c r="H1068" i="5"/>
  <c r="I1068" i="5"/>
  <c r="H1077" i="5"/>
  <c r="F1077" i="5"/>
  <c r="E1077" i="5"/>
  <c r="E1088" i="5"/>
  <c r="E1090" i="5"/>
  <c r="E1105" i="5"/>
  <c r="E1122" i="5"/>
  <c r="F1128" i="5"/>
  <c r="E1130" i="5"/>
  <c r="I366" i="5"/>
  <c r="E465" i="5"/>
  <c r="I465" i="5"/>
  <c r="H494" i="5"/>
  <c r="H505" i="5"/>
  <c r="I505" i="5"/>
  <c r="H646" i="5"/>
  <c r="F646" i="5"/>
  <c r="F686" i="5"/>
  <c r="G714" i="5"/>
  <c r="F721" i="5"/>
  <c r="I739" i="5"/>
  <c r="H751" i="5"/>
  <c r="I751" i="5"/>
  <c r="G801" i="5"/>
  <c r="F808" i="5"/>
  <c r="I808" i="5"/>
  <c r="G823" i="5"/>
  <c r="E825" i="5"/>
  <c r="H826" i="5"/>
  <c r="I837" i="5"/>
  <c r="H837" i="5"/>
  <c r="I850" i="5"/>
  <c r="F850" i="5"/>
  <c r="F883" i="5"/>
  <c r="H885" i="5"/>
  <c r="F945" i="5"/>
  <c r="E949" i="5"/>
  <c r="H992" i="5"/>
  <c r="E1068" i="5"/>
  <c r="I1077" i="5"/>
  <c r="E1084" i="5"/>
  <c r="H1090" i="5"/>
  <c r="E1118" i="5"/>
  <c r="H1122" i="5"/>
  <c r="F1124" i="5"/>
  <c r="H1130" i="5"/>
  <c r="H1137" i="5"/>
  <c r="I1137" i="5"/>
  <c r="H1145" i="5"/>
  <c r="F1157" i="5"/>
  <c r="G1157" i="5"/>
  <c r="E1157" i="5"/>
  <c r="E1168" i="5"/>
  <c r="G1177" i="5"/>
  <c r="I1189" i="5"/>
  <c r="G1189" i="5"/>
  <c r="E1189" i="5"/>
  <c r="E1214" i="5"/>
  <c r="I1214" i="5"/>
  <c r="H1234" i="5"/>
  <c r="F1234" i="5"/>
  <c r="I1237" i="5"/>
  <c r="H1254" i="5"/>
  <c r="E1254" i="5"/>
  <c r="E1279" i="5"/>
  <c r="I1326" i="5"/>
  <c r="F1326" i="5"/>
  <c r="F825" i="5"/>
  <c r="I826" i="5"/>
  <c r="E833" i="5"/>
  <c r="G833" i="5"/>
  <c r="I885" i="5"/>
  <c r="I968" i="5"/>
  <c r="H968" i="5"/>
  <c r="G1084" i="5"/>
  <c r="I1118" i="5"/>
  <c r="I1124" i="5"/>
  <c r="H1288" i="5"/>
  <c r="E1288" i="5"/>
  <c r="H1318" i="5"/>
  <c r="I1318" i="5"/>
  <c r="G1318" i="5"/>
  <c r="I721" i="5"/>
  <c r="G766" i="5"/>
  <c r="F792" i="5"/>
  <c r="H792" i="5"/>
  <c r="E805" i="5"/>
  <c r="F805" i="5"/>
  <c r="G825" i="5"/>
  <c r="F833" i="5"/>
  <c r="E862" i="5"/>
  <c r="G893" i="5"/>
  <c r="F893" i="5"/>
  <c r="G925" i="5"/>
  <c r="I941" i="5"/>
  <c r="H941" i="5"/>
  <c r="E975" i="5"/>
  <c r="G997" i="5"/>
  <c r="H1033" i="5"/>
  <c r="F1033" i="5"/>
  <c r="E1047" i="5"/>
  <c r="H1089" i="5"/>
  <c r="G1089" i="5"/>
  <c r="E1133" i="5"/>
  <c r="G1135" i="5"/>
  <c r="E1164" i="5"/>
  <c r="E1184" i="5"/>
  <c r="H1184" i="5"/>
  <c r="F1199" i="5"/>
  <c r="H1230" i="5"/>
  <c r="I1230" i="5"/>
  <c r="H1240" i="5"/>
  <c r="E1240" i="5"/>
  <c r="G1288" i="5"/>
  <c r="H1298" i="5"/>
  <c r="F1298" i="5"/>
  <c r="E1318" i="5"/>
  <c r="I352" i="5"/>
  <c r="G362" i="5"/>
  <c r="E754" i="5"/>
  <c r="H766" i="5"/>
  <c r="E784" i="5"/>
  <c r="E792" i="5"/>
  <c r="H805" i="5"/>
  <c r="H825" i="5"/>
  <c r="I833" i="5"/>
  <c r="G840" i="5"/>
  <c r="H893" i="5"/>
  <c r="F910" i="5"/>
  <c r="G917" i="5"/>
  <c r="H921" i="5"/>
  <c r="H925" i="5"/>
  <c r="E941" i="5"/>
  <c r="G975" i="5"/>
  <c r="F977" i="5"/>
  <c r="I984" i="5"/>
  <c r="H984" i="5"/>
  <c r="G984" i="5"/>
  <c r="F1047" i="5"/>
  <c r="E1051" i="5"/>
  <c r="E1108" i="5"/>
  <c r="E1192" i="5"/>
  <c r="I1199" i="5"/>
  <c r="I1205" i="5"/>
  <c r="G1205" i="5"/>
  <c r="F1205" i="5"/>
  <c r="E1230" i="5"/>
  <c r="H1238" i="5"/>
  <c r="I1238" i="5"/>
  <c r="E1268" i="5"/>
  <c r="I1288" i="5"/>
  <c r="F1311" i="5"/>
  <c r="G1311" i="5"/>
  <c r="H1316" i="5"/>
  <c r="F1316" i="5"/>
  <c r="H1320" i="5"/>
  <c r="I1320" i="5"/>
  <c r="E1320" i="5"/>
  <c r="I527" i="5"/>
  <c r="F527" i="5"/>
  <c r="I578" i="5"/>
  <c r="G578" i="5"/>
  <c r="F754" i="5"/>
  <c r="I792" i="5"/>
  <c r="H884" i="5"/>
  <c r="G884" i="5"/>
  <c r="I893" i="5"/>
  <c r="I925" i="5"/>
  <c r="I982" i="5"/>
  <c r="H982" i="5"/>
  <c r="G982" i="5"/>
  <c r="I993" i="5"/>
  <c r="H1085" i="5"/>
  <c r="I1085" i="5"/>
  <c r="H1192" i="5"/>
  <c r="F495" i="5"/>
  <c r="I525" i="5"/>
  <c r="E527" i="5"/>
  <c r="E675" i="5"/>
  <c r="F675" i="5"/>
  <c r="E809" i="5"/>
  <c r="I809" i="5"/>
  <c r="G818" i="5"/>
  <c r="E818" i="5"/>
  <c r="I1165" i="5"/>
  <c r="F1165" i="5"/>
  <c r="F1319" i="5"/>
  <c r="I1319" i="5"/>
  <c r="E1319" i="5"/>
  <c r="E911" i="5"/>
  <c r="F970" i="5"/>
  <c r="G972" i="5"/>
  <c r="G996" i="5"/>
  <c r="G1058" i="5"/>
  <c r="F1099" i="5"/>
  <c r="F1115" i="5"/>
  <c r="E1153" i="5"/>
  <c r="G1231" i="5"/>
  <c r="F1242" i="5"/>
  <c r="G1257" i="5"/>
  <c r="E1272" i="5"/>
  <c r="F1274" i="5"/>
  <c r="E1276" i="5"/>
  <c r="F1312" i="5"/>
  <c r="F1314" i="5"/>
  <c r="I26" i="5"/>
  <c r="E18" i="5"/>
  <c r="E20" i="5"/>
  <c r="I36" i="5"/>
  <c r="H57" i="5"/>
  <c r="I62" i="5"/>
  <c r="E64" i="5"/>
  <c r="F82" i="5"/>
  <c r="G97" i="5"/>
  <c r="H99" i="5"/>
  <c r="I102" i="5"/>
  <c r="I103" i="5"/>
  <c r="F115" i="5"/>
  <c r="F130" i="5"/>
  <c r="E132" i="5"/>
  <c r="E150" i="5"/>
  <c r="H151" i="5"/>
  <c r="G154" i="5"/>
  <c r="I162" i="5"/>
  <c r="I171" i="5"/>
  <c r="E174" i="5"/>
  <c r="I178" i="5"/>
  <c r="G185" i="5"/>
  <c r="F186" i="5"/>
  <c r="E198" i="5"/>
  <c r="I225" i="5"/>
  <c r="F238" i="5"/>
  <c r="I242" i="5"/>
  <c r="F248" i="5"/>
  <c r="I257" i="5"/>
  <c r="I264" i="5"/>
  <c r="G277" i="5"/>
  <c r="H283" i="5"/>
  <c r="I284" i="5"/>
  <c r="G302" i="5"/>
  <c r="G308" i="5"/>
  <c r="G315" i="5"/>
  <c r="E331" i="5"/>
  <c r="I334" i="5"/>
  <c r="F350" i="5"/>
  <c r="I350" i="5"/>
  <c r="G350" i="5"/>
  <c r="F20" i="5"/>
  <c r="F132" i="5"/>
  <c r="F150" i="5"/>
  <c r="F174" i="5"/>
  <c r="H185" i="5"/>
  <c r="F198" i="5"/>
  <c r="G238" i="5"/>
  <c r="G248" i="5"/>
  <c r="H277" i="5"/>
  <c r="I283" i="5"/>
  <c r="H302" i="5"/>
  <c r="G307" i="5"/>
  <c r="I308" i="5"/>
  <c r="E317" i="5"/>
  <c r="F319" i="5"/>
  <c r="H319" i="5"/>
  <c r="I330" i="5"/>
  <c r="G330" i="5"/>
  <c r="G331" i="5"/>
  <c r="H348" i="5"/>
  <c r="E348" i="5"/>
  <c r="H350" i="5"/>
  <c r="G132" i="5"/>
  <c r="H238" i="5"/>
  <c r="I277" i="5"/>
  <c r="H304" i="5"/>
  <c r="I304" i="5"/>
  <c r="H370" i="5"/>
  <c r="G370" i="5"/>
  <c r="F370" i="5"/>
  <c r="H372" i="5"/>
  <c r="E372" i="5"/>
  <c r="G378" i="5"/>
  <c r="I378" i="5"/>
  <c r="H378" i="5"/>
  <c r="F378" i="5"/>
  <c r="H306" i="5"/>
  <c r="F306" i="5"/>
  <c r="H354" i="5"/>
  <c r="I354" i="5"/>
  <c r="H368" i="5"/>
  <c r="I368" i="5"/>
  <c r="F368" i="5"/>
  <c r="F407" i="5"/>
  <c r="I407" i="5"/>
  <c r="H407" i="5"/>
  <c r="G407" i="5"/>
  <c r="G46" i="5"/>
  <c r="I48" i="5"/>
  <c r="H6" i="5"/>
  <c r="I22" i="5"/>
  <c r="E24" i="5"/>
  <c r="F26" i="5"/>
  <c r="H37" i="5"/>
  <c r="H42" i="5"/>
  <c r="E50" i="5"/>
  <c r="E52" i="5"/>
  <c r="I56" i="5"/>
  <c r="F76" i="5"/>
  <c r="G89" i="5"/>
  <c r="H92" i="5"/>
  <c r="E102" i="5"/>
  <c r="E103" i="5"/>
  <c r="G121" i="5"/>
  <c r="G122" i="5"/>
  <c r="E126" i="5"/>
  <c r="H134" i="5"/>
  <c r="E136" i="5"/>
  <c r="G140" i="5"/>
  <c r="F144" i="5"/>
  <c r="G158" i="5"/>
  <c r="I159" i="5"/>
  <c r="I160" i="5"/>
  <c r="E162" i="5"/>
  <c r="F166" i="5"/>
  <c r="F172" i="5"/>
  <c r="I173" i="5"/>
  <c r="F176" i="5"/>
  <c r="H181" i="5"/>
  <c r="E196" i="5"/>
  <c r="F200" i="5"/>
  <c r="H215" i="5"/>
  <c r="I216" i="5"/>
  <c r="E218" i="5"/>
  <c r="I223" i="5"/>
  <c r="I224" i="5"/>
  <c r="G226" i="5"/>
  <c r="G229" i="5"/>
  <c r="G234" i="5"/>
  <c r="F240" i="5"/>
  <c r="G243" i="5"/>
  <c r="I252" i="5"/>
  <c r="F254" i="5"/>
  <c r="H255" i="5"/>
  <c r="I256" i="5"/>
  <c r="G270" i="5"/>
  <c r="I276" i="5"/>
  <c r="I282" i="5"/>
  <c r="I301" i="5"/>
  <c r="G304" i="5"/>
  <c r="G306" i="5"/>
  <c r="F318" i="5"/>
  <c r="G318" i="5"/>
  <c r="G323" i="5"/>
  <c r="H330" i="5"/>
  <c r="H340" i="5"/>
  <c r="G340" i="5"/>
  <c r="F347" i="5"/>
  <c r="I347" i="5"/>
  <c r="H347" i="5"/>
  <c r="E347" i="5"/>
  <c r="F354" i="5"/>
  <c r="G368" i="5"/>
  <c r="I372" i="5"/>
  <c r="E432" i="5"/>
  <c r="H432" i="5"/>
  <c r="I432" i="5"/>
  <c r="G13" i="5"/>
  <c r="F24" i="5"/>
  <c r="G26" i="5"/>
  <c r="I42" i="5"/>
  <c r="F52" i="5"/>
  <c r="I76" i="5"/>
  <c r="H89" i="5"/>
  <c r="I92" i="5"/>
  <c r="F102" i="5"/>
  <c r="F103" i="5"/>
  <c r="H121" i="5"/>
  <c r="H122" i="5"/>
  <c r="H126" i="5"/>
  <c r="F136" i="5"/>
  <c r="G144" i="5"/>
  <c r="H158" i="5"/>
  <c r="F162" i="5"/>
  <c r="G172" i="5"/>
  <c r="G176" i="5"/>
  <c r="F196" i="5"/>
  <c r="G200" i="5"/>
  <c r="I215" i="5"/>
  <c r="F218" i="5"/>
  <c r="H226" i="5"/>
  <c r="H234" i="5"/>
  <c r="G240" i="5"/>
  <c r="I243" i="5"/>
  <c r="H254" i="5"/>
  <c r="I270" i="5"/>
  <c r="F303" i="5"/>
  <c r="H303" i="5"/>
  <c r="I306" i="5"/>
  <c r="H323" i="5"/>
  <c r="G354" i="5"/>
  <c r="H22" i="5"/>
  <c r="I6" i="5"/>
  <c r="H21" i="5"/>
  <c r="H26" i="5"/>
  <c r="E34" i="5"/>
  <c r="E36" i="5"/>
  <c r="I52" i="5"/>
  <c r="G62" i="5"/>
  <c r="H85" i="5"/>
  <c r="I89" i="5"/>
  <c r="G102" i="5"/>
  <c r="G103" i="5"/>
  <c r="I121" i="5"/>
  <c r="I144" i="5"/>
  <c r="E151" i="5"/>
  <c r="G162" i="5"/>
  <c r="I172" i="5"/>
  <c r="I176" i="5"/>
  <c r="G196" i="5"/>
  <c r="I200" i="5"/>
  <c r="H218" i="5"/>
  <c r="I226" i="5"/>
  <c r="E239" i="5"/>
  <c r="I240" i="5"/>
  <c r="F242" i="5"/>
  <c r="I254" i="5"/>
  <c r="F264" i="5"/>
  <c r="I281" i="5"/>
  <c r="F284" i="5"/>
  <c r="I303" i="5"/>
  <c r="E308" i="5"/>
  <c r="H320" i="5"/>
  <c r="I320" i="5"/>
  <c r="E332" i="5"/>
  <c r="G334" i="5"/>
  <c r="I365" i="5"/>
  <c r="E365" i="5"/>
  <c r="F371" i="5"/>
  <c r="G371" i="5"/>
  <c r="I401" i="5"/>
  <c r="E401" i="5"/>
  <c r="H408" i="5"/>
  <c r="E408" i="5"/>
  <c r="I408" i="5"/>
  <c r="G408" i="5"/>
  <c r="I218" i="5"/>
  <c r="G284" i="5"/>
  <c r="F308" i="5"/>
  <c r="F315" i="5"/>
  <c r="E315" i="5"/>
  <c r="H322" i="5"/>
  <c r="I322" i="5"/>
  <c r="F322" i="5"/>
  <c r="F331" i="5"/>
  <c r="I331" i="5"/>
  <c r="H334" i="5"/>
  <c r="F367" i="5"/>
  <c r="I367" i="5"/>
  <c r="H367" i="5"/>
  <c r="F510" i="5"/>
  <c r="F528" i="5"/>
  <c r="F531" i="5"/>
  <c r="F556" i="5"/>
  <c r="H570" i="5"/>
  <c r="F582" i="5"/>
  <c r="G594" i="5"/>
  <c r="G702" i="5"/>
  <c r="H702" i="5"/>
  <c r="G769" i="5"/>
  <c r="F769" i="5"/>
  <c r="E901" i="5"/>
  <c r="I901" i="5"/>
  <c r="G901" i="5"/>
  <c r="F901" i="5"/>
  <c r="I905" i="5"/>
  <c r="G905" i="5"/>
  <c r="F905" i="5"/>
  <c r="G918" i="5"/>
  <c r="F918" i="5"/>
  <c r="I943" i="5"/>
  <c r="E943" i="5"/>
  <c r="I973" i="5"/>
  <c r="H973" i="5"/>
  <c r="E973" i="5"/>
  <c r="I985" i="5"/>
  <c r="G985" i="5"/>
  <c r="F422" i="5"/>
  <c r="E448" i="5"/>
  <c r="I469" i="5"/>
  <c r="E475" i="5"/>
  <c r="G487" i="5"/>
  <c r="H491" i="5"/>
  <c r="H493" i="5"/>
  <c r="G510" i="5"/>
  <c r="G530" i="5"/>
  <c r="G531" i="5"/>
  <c r="I556" i="5"/>
  <c r="I570" i="5"/>
  <c r="G582" i="5"/>
  <c r="H594" i="5"/>
  <c r="F598" i="5"/>
  <c r="F617" i="5"/>
  <c r="F622" i="5"/>
  <c r="H634" i="5"/>
  <c r="I638" i="5"/>
  <c r="F683" i="5"/>
  <c r="F702" i="5"/>
  <c r="G738" i="5"/>
  <c r="I738" i="5"/>
  <c r="H738" i="5"/>
  <c r="F744" i="5"/>
  <c r="G744" i="5"/>
  <c r="F756" i="5"/>
  <c r="H756" i="5"/>
  <c r="E756" i="5"/>
  <c r="F772" i="5"/>
  <c r="I772" i="5"/>
  <c r="E863" i="5"/>
  <c r="I863" i="5"/>
  <c r="H901" i="5"/>
  <c r="H905" i="5"/>
  <c r="I952" i="5"/>
  <c r="G952" i="5"/>
  <c r="I990" i="5"/>
  <c r="H990" i="5"/>
  <c r="G990" i="5"/>
  <c r="I1009" i="5"/>
  <c r="G1009" i="5"/>
  <c r="E1009" i="5"/>
  <c r="F1036" i="5"/>
  <c r="I1036" i="5"/>
  <c r="I386" i="5"/>
  <c r="F406" i="5"/>
  <c r="E417" i="5"/>
  <c r="G422" i="5"/>
  <c r="F429" i="5"/>
  <c r="I430" i="5"/>
  <c r="E452" i="5"/>
  <c r="G455" i="5"/>
  <c r="I457" i="5"/>
  <c r="E459" i="5"/>
  <c r="F475" i="5"/>
  <c r="H509" i="5"/>
  <c r="H510" i="5"/>
  <c r="F526" i="5"/>
  <c r="G527" i="5"/>
  <c r="H530" i="5"/>
  <c r="E540" i="5"/>
  <c r="H558" i="5"/>
  <c r="E560" i="5"/>
  <c r="F574" i="5"/>
  <c r="I584" i="5"/>
  <c r="E586" i="5"/>
  <c r="I594" i="5"/>
  <c r="G598" i="5"/>
  <c r="G610" i="5"/>
  <c r="H612" i="5"/>
  <c r="G614" i="5"/>
  <c r="I615" i="5"/>
  <c r="G622" i="5"/>
  <c r="I630" i="5"/>
  <c r="I634" i="5"/>
  <c r="H647" i="5"/>
  <c r="F655" i="5"/>
  <c r="F668" i="5"/>
  <c r="F670" i="5"/>
  <c r="I685" i="5"/>
  <c r="F700" i="5"/>
  <c r="G706" i="5"/>
  <c r="H706" i="5"/>
  <c r="G717" i="5"/>
  <c r="I717" i="5"/>
  <c r="H717" i="5"/>
  <c r="G734" i="5"/>
  <c r="H734" i="5"/>
  <c r="F738" i="5"/>
  <c r="I744" i="5"/>
  <c r="H749" i="5"/>
  <c r="F749" i="5"/>
  <c r="E749" i="5"/>
  <c r="F758" i="5"/>
  <c r="H758" i="5"/>
  <c r="G822" i="5"/>
  <c r="E822" i="5"/>
  <c r="H937" i="5"/>
  <c r="F937" i="5"/>
  <c r="E937" i="5"/>
  <c r="H952" i="5"/>
  <c r="E966" i="5"/>
  <c r="G966" i="5"/>
  <c r="F966" i="5"/>
  <c r="I1017" i="5"/>
  <c r="G1017" i="5"/>
  <c r="E1017" i="5"/>
  <c r="G406" i="5"/>
  <c r="H422" i="5"/>
  <c r="G429" i="5"/>
  <c r="F459" i="5"/>
  <c r="G475" i="5"/>
  <c r="I510" i="5"/>
  <c r="G526" i="5"/>
  <c r="I530" i="5"/>
  <c r="F540" i="5"/>
  <c r="F560" i="5"/>
  <c r="G574" i="5"/>
  <c r="I576" i="5"/>
  <c r="F586" i="5"/>
  <c r="H598" i="5"/>
  <c r="E607" i="5"/>
  <c r="H614" i="5"/>
  <c r="E619" i="5"/>
  <c r="H622" i="5"/>
  <c r="F627" i="5"/>
  <c r="E643" i="5"/>
  <c r="I653" i="5"/>
  <c r="H670" i="5"/>
  <c r="F717" i="5"/>
  <c r="G749" i="5"/>
  <c r="I758" i="5"/>
  <c r="I770" i="5"/>
  <c r="H770" i="5"/>
  <c r="F797" i="5"/>
  <c r="G797" i="5"/>
  <c r="E797" i="5"/>
  <c r="H848" i="5"/>
  <c r="G848" i="5"/>
  <c r="E859" i="5"/>
  <c r="F859" i="5"/>
  <c r="I872" i="5"/>
  <c r="G872" i="5"/>
  <c r="F897" i="5"/>
  <c r="E897" i="5"/>
  <c r="I897" i="5"/>
  <c r="H897" i="5"/>
  <c r="I912" i="5"/>
  <c r="G912" i="5"/>
  <c r="G937" i="5"/>
  <c r="H957" i="5"/>
  <c r="I957" i="5"/>
  <c r="E957" i="5"/>
  <c r="I964" i="5"/>
  <c r="G964" i="5"/>
  <c r="F974" i="5"/>
  <c r="H974" i="5"/>
  <c r="G974" i="5"/>
  <c r="I978" i="5"/>
  <c r="H978" i="5"/>
  <c r="G978" i="5"/>
  <c r="G312" i="5"/>
  <c r="G336" i="5"/>
  <c r="H339" i="5"/>
  <c r="F346" i="5"/>
  <c r="F356" i="5"/>
  <c r="E385" i="5"/>
  <c r="F388" i="5"/>
  <c r="G391" i="5"/>
  <c r="F392" i="5"/>
  <c r="H406" i="5"/>
  <c r="E421" i="5"/>
  <c r="I422" i="5"/>
  <c r="F426" i="5"/>
  <c r="H434" i="5"/>
  <c r="E439" i="5"/>
  <c r="F447" i="5"/>
  <c r="I461" i="5"/>
  <c r="E479" i="5"/>
  <c r="I486" i="5"/>
  <c r="E496" i="5"/>
  <c r="I504" i="5"/>
  <c r="E512" i="5"/>
  <c r="E518" i="5"/>
  <c r="F522" i="5"/>
  <c r="G525" i="5"/>
  <c r="G529" i="5"/>
  <c r="I540" i="5"/>
  <c r="E544" i="5"/>
  <c r="I560" i="5"/>
  <c r="E578" i="5"/>
  <c r="G586" i="5"/>
  <c r="F588" i="5"/>
  <c r="I598" i="5"/>
  <c r="F602" i="5"/>
  <c r="F607" i="5"/>
  <c r="I614" i="5"/>
  <c r="F619" i="5"/>
  <c r="I622" i="5"/>
  <c r="F626" i="5"/>
  <c r="G627" i="5"/>
  <c r="I641" i="5"/>
  <c r="I737" i="5"/>
  <c r="G737" i="5"/>
  <c r="F737" i="5"/>
  <c r="I749" i="5"/>
  <c r="I753" i="5"/>
  <c r="F753" i="5"/>
  <c r="E753" i="5"/>
  <c r="I807" i="5"/>
  <c r="G807" i="5"/>
  <c r="F807" i="5"/>
  <c r="H872" i="5"/>
  <c r="G897" i="5"/>
  <c r="F906" i="5"/>
  <c r="G906" i="5"/>
  <c r="H912" i="5"/>
  <c r="E935" i="5"/>
  <c r="I935" i="5"/>
  <c r="I937" i="5"/>
  <c r="I986" i="5"/>
  <c r="F986" i="5"/>
  <c r="F1066" i="5"/>
  <c r="I1066" i="5"/>
  <c r="G1066" i="5"/>
  <c r="G388" i="5"/>
  <c r="H391" i="5"/>
  <c r="G392" i="5"/>
  <c r="I406" i="5"/>
  <c r="E424" i="5"/>
  <c r="H426" i="5"/>
  <c r="G447" i="5"/>
  <c r="H454" i="5"/>
  <c r="F465" i="5"/>
  <c r="F479" i="5"/>
  <c r="E495" i="5"/>
  <c r="F496" i="5"/>
  <c r="F508" i="5"/>
  <c r="F518" i="5"/>
  <c r="G522" i="5"/>
  <c r="H529" i="5"/>
  <c r="F544" i="5"/>
  <c r="H562" i="5"/>
  <c r="E564" i="5"/>
  <c r="G566" i="5"/>
  <c r="F578" i="5"/>
  <c r="E580" i="5"/>
  <c r="I588" i="5"/>
  <c r="G602" i="5"/>
  <c r="G607" i="5"/>
  <c r="G626" i="5"/>
  <c r="H627" i="5"/>
  <c r="I633" i="5"/>
  <c r="H694" i="5"/>
  <c r="F694" i="5"/>
  <c r="G709" i="5"/>
  <c r="H709" i="5"/>
  <c r="E737" i="5"/>
  <c r="G753" i="5"/>
  <c r="F760" i="5"/>
  <c r="G760" i="5"/>
  <c r="E760" i="5"/>
  <c r="F817" i="5"/>
  <c r="G817" i="5"/>
  <c r="E817" i="5"/>
  <c r="I832" i="5"/>
  <c r="G832" i="5"/>
  <c r="H881" i="5"/>
  <c r="I881" i="5"/>
  <c r="H902" i="5"/>
  <c r="G902" i="5"/>
  <c r="F929" i="5"/>
  <c r="H929" i="5"/>
  <c r="G929" i="5"/>
  <c r="I940" i="5"/>
  <c r="G940" i="5"/>
  <c r="F699" i="5"/>
  <c r="E699" i="5"/>
  <c r="H743" i="5"/>
  <c r="G743" i="5"/>
  <c r="E743" i="5"/>
  <c r="F788" i="5"/>
  <c r="H788" i="5"/>
  <c r="E788" i="5"/>
  <c r="I813" i="5"/>
  <c r="H813" i="5"/>
  <c r="G813" i="5"/>
  <c r="I834" i="5"/>
  <c r="G834" i="5"/>
  <c r="E834" i="5"/>
  <c r="H969" i="5"/>
  <c r="G969" i="5"/>
  <c r="E969" i="5"/>
  <c r="H1013" i="5"/>
  <c r="I1013" i="5"/>
  <c r="G1013" i="5"/>
  <c r="F1013" i="5"/>
  <c r="E1013" i="5"/>
  <c r="I481" i="5"/>
  <c r="E528" i="5"/>
  <c r="E531" i="5"/>
  <c r="E556" i="5"/>
  <c r="E568" i="5"/>
  <c r="G570" i="5"/>
  <c r="E582" i="5"/>
  <c r="F594" i="5"/>
  <c r="F606" i="5"/>
  <c r="H644" i="5"/>
  <c r="F652" i="5"/>
  <c r="H671" i="5"/>
  <c r="H692" i="5"/>
  <c r="H741" i="5"/>
  <c r="H750" i="5"/>
  <c r="G750" i="5"/>
  <c r="E750" i="5"/>
  <c r="G786" i="5"/>
  <c r="I786" i="5"/>
  <c r="E786" i="5"/>
  <c r="I788" i="5"/>
  <c r="G790" i="5"/>
  <c r="F790" i="5"/>
  <c r="E790" i="5"/>
  <c r="F871" i="5"/>
  <c r="E871" i="5"/>
  <c r="I913" i="5"/>
  <c r="H913" i="5"/>
  <c r="I956" i="5"/>
  <c r="G956" i="5"/>
  <c r="F969" i="5"/>
  <c r="F1023" i="5"/>
  <c r="I1023" i="5"/>
  <c r="F1082" i="5"/>
  <c r="H1082" i="5"/>
  <c r="F1149" i="5"/>
  <c r="G1149" i="5"/>
  <c r="H1167" i="5"/>
  <c r="E1167" i="5"/>
  <c r="I1167" i="5"/>
  <c r="F1245" i="5"/>
  <c r="H1245" i="5"/>
  <c r="G1245" i="5"/>
  <c r="H1270" i="5"/>
  <c r="I1270" i="5"/>
  <c r="F1270" i="5"/>
  <c r="H784" i="5"/>
  <c r="G791" i="5"/>
  <c r="I818" i="5"/>
  <c r="F842" i="5"/>
  <c r="H849" i="5"/>
  <c r="F862" i="5"/>
  <c r="H917" i="5"/>
  <c r="I933" i="5"/>
  <c r="I949" i="5"/>
  <c r="H965" i="5"/>
  <c r="I981" i="5"/>
  <c r="H996" i="5"/>
  <c r="H997" i="5"/>
  <c r="H1032" i="5"/>
  <c r="G1032" i="5"/>
  <c r="F1071" i="5"/>
  <c r="E1111" i="5"/>
  <c r="I1111" i="5"/>
  <c r="G1111" i="5"/>
  <c r="F1111" i="5"/>
  <c r="I1113" i="5"/>
  <c r="E1113" i="5"/>
  <c r="I1149" i="5"/>
  <c r="F1167" i="5"/>
  <c r="F1221" i="5"/>
  <c r="I1221" i="5"/>
  <c r="G1221" i="5"/>
  <c r="H1264" i="5"/>
  <c r="I1264" i="5"/>
  <c r="F1307" i="5"/>
  <c r="H1307" i="5"/>
  <c r="G842" i="5"/>
  <c r="H862" i="5"/>
  <c r="I917" i="5"/>
  <c r="I965" i="5"/>
  <c r="H993" i="5"/>
  <c r="I997" i="5"/>
  <c r="H1034" i="5"/>
  <c r="G1042" i="5"/>
  <c r="G1071" i="5"/>
  <c r="F1085" i="5"/>
  <c r="I1087" i="5"/>
  <c r="H1087" i="5"/>
  <c r="F1102" i="5"/>
  <c r="H1111" i="5"/>
  <c r="G1113" i="5"/>
  <c r="E1119" i="5"/>
  <c r="H1119" i="5"/>
  <c r="F1119" i="5"/>
  <c r="H1156" i="5"/>
  <c r="G1156" i="5"/>
  <c r="I1195" i="5"/>
  <c r="G1195" i="5"/>
  <c r="H1248" i="5"/>
  <c r="I1248" i="5"/>
  <c r="F1248" i="5"/>
  <c r="H1256" i="5"/>
  <c r="F1256" i="5"/>
  <c r="E1256" i="5"/>
  <c r="H1296" i="5"/>
  <c r="I1296" i="5"/>
  <c r="F1296" i="5"/>
  <c r="H1300" i="5"/>
  <c r="F1300" i="5"/>
  <c r="E1300" i="5"/>
  <c r="I1300" i="5"/>
  <c r="H1310" i="5"/>
  <c r="F1310" i="5"/>
  <c r="E1310" i="5"/>
  <c r="H1322" i="5"/>
  <c r="F1322" i="5"/>
  <c r="H1053" i="5"/>
  <c r="F1053" i="5"/>
  <c r="F1062" i="5"/>
  <c r="I1062" i="5"/>
  <c r="H1071" i="5"/>
  <c r="H1075" i="5"/>
  <c r="E1075" i="5"/>
  <c r="F1136" i="5"/>
  <c r="E1136" i="5"/>
  <c r="G1152" i="5"/>
  <c r="H1152" i="5"/>
  <c r="I1162" i="5"/>
  <c r="F1162" i="5"/>
  <c r="E1172" i="5"/>
  <c r="H1172" i="5"/>
  <c r="H1228" i="5"/>
  <c r="I1228" i="5"/>
  <c r="G1228" i="5"/>
  <c r="E1228" i="5"/>
  <c r="H1246" i="5"/>
  <c r="F1246" i="5"/>
  <c r="H1260" i="5"/>
  <c r="F1260" i="5"/>
  <c r="E1260" i="5"/>
  <c r="H1294" i="5"/>
  <c r="F1294" i="5"/>
  <c r="G759" i="5"/>
  <c r="I764" i="5"/>
  <c r="G805" i="5"/>
  <c r="H806" i="5"/>
  <c r="I814" i="5"/>
  <c r="H833" i="5"/>
  <c r="H948" i="5"/>
  <c r="F975" i="5"/>
  <c r="F1001" i="5"/>
  <c r="I1053" i="5"/>
  <c r="E1062" i="5"/>
  <c r="I1071" i="5"/>
  <c r="G1075" i="5"/>
  <c r="E1083" i="5"/>
  <c r="F1084" i="5"/>
  <c r="F1095" i="5"/>
  <c r="G1095" i="5"/>
  <c r="H1108" i="5"/>
  <c r="G1110" i="5"/>
  <c r="I1110" i="5"/>
  <c r="F1110" i="5"/>
  <c r="E1110" i="5"/>
  <c r="F1126" i="5"/>
  <c r="H1136" i="5"/>
  <c r="H1162" i="5"/>
  <c r="G1172" i="5"/>
  <c r="H1176" i="5"/>
  <c r="E1176" i="5"/>
  <c r="G1191" i="5"/>
  <c r="F1228" i="5"/>
  <c r="I1246" i="5"/>
  <c r="G1260" i="5"/>
  <c r="I1294" i="5"/>
  <c r="F1303" i="5"/>
  <c r="E1303" i="5"/>
  <c r="H1308" i="5"/>
  <c r="F1308" i="5"/>
  <c r="H1041" i="5"/>
  <c r="G1041" i="5"/>
  <c r="H1057" i="5"/>
  <c r="F1057" i="5"/>
  <c r="E1064" i="5"/>
  <c r="F1064" i="5"/>
  <c r="H1067" i="5"/>
  <c r="I1067" i="5"/>
  <c r="I1075" i="5"/>
  <c r="F1083" i="5"/>
  <c r="H1232" i="5"/>
  <c r="F1232" i="5"/>
  <c r="E1232" i="5"/>
  <c r="I1232" i="5"/>
  <c r="F1253" i="5"/>
  <c r="I1253" i="5"/>
  <c r="H1253" i="5"/>
  <c r="E1253" i="5"/>
  <c r="I805" i="5"/>
  <c r="E997" i="5"/>
  <c r="F998" i="5"/>
  <c r="G1029" i="5"/>
  <c r="H1039" i="5"/>
  <c r="E1041" i="5"/>
  <c r="G1043" i="5"/>
  <c r="I1057" i="5"/>
  <c r="G1064" i="5"/>
  <c r="E1067" i="5"/>
  <c r="F1074" i="5"/>
  <c r="G1074" i="5"/>
  <c r="G1083" i="5"/>
  <c r="I1084" i="5"/>
  <c r="F1086" i="5"/>
  <c r="H1086" i="5"/>
  <c r="I1091" i="5"/>
  <c r="F1091" i="5"/>
  <c r="H1120" i="5"/>
  <c r="I1120" i="5"/>
  <c r="G1123" i="5"/>
  <c r="G1143" i="5"/>
  <c r="E1143" i="5"/>
  <c r="E1196" i="5"/>
  <c r="G1232" i="5"/>
  <c r="G1253" i="5"/>
  <c r="G1263" i="5"/>
  <c r="H1263" i="5"/>
  <c r="H1278" i="5"/>
  <c r="I1278" i="5"/>
  <c r="E1278" i="5"/>
  <c r="I1039" i="5"/>
  <c r="H1051" i="5"/>
  <c r="I1051" i="5"/>
  <c r="F1054" i="5"/>
  <c r="E1054" i="5"/>
  <c r="H1064" i="5"/>
  <c r="G1067" i="5"/>
  <c r="I1083" i="5"/>
  <c r="F1090" i="5"/>
  <c r="G1090" i="5"/>
  <c r="E1120" i="5"/>
  <c r="E1127" i="5"/>
  <c r="G1127" i="5"/>
  <c r="F1141" i="5"/>
  <c r="I1141" i="5"/>
  <c r="G1141" i="5"/>
  <c r="E1141" i="5"/>
  <c r="I1151" i="5"/>
  <c r="E1151" i="5"/>
  <c r="I1161" i="5"/>
  <c r="G1161" i="5"/>
  <c r="E1161" i="5"/>
  <c r="F1163" i="5"/>
  <c r="I1163" i="5"/>
  <c r="H1177" i="5"/>
  <c r="F1177" i="5"/>
  <c r="E1177" i="5"/>
  <c r="H1194" i="5"/>
  <c r="I1194" i="5"/>
  <c r="H1196" i="5"/>
  <c r="H1210" i="5"/>
  <c r="F1210" i="5"/>
  <c r="F1227" i="5"/>
  <c r="I1227" i="5"/>
  <c r="H1227" i="5"/>
  <c r="E1227" i="5"/>
  <c r="F1247" i="5"/>
  <c r="G1247" i="5"/>
  <c r="H1266" i="5"/>
  <c r="F1266" i="5"/>
  <c r="E1266" i="5"/>
  <c r="G1278" i="5"/>
  <c r="F1295" i="5"/>
  <c r="G1295" i="5"/>
  <c r="H1304" i="5"/>
  <c r="E1304" i="5"/>
  <c r="F1315" i="5"/>
  <c r="H1315" i="5"/>
  <c r="I1159" i="5"/>
  <c r="H1188" i="5"/>
  <c r="F1201" i="5"/>
  <c r="F1213" i="5"/>
  <c r="G1214" i="5"/>
  <c r="F1230" i="5"/>
  <c r="I1231" i="5"/>
  <c r="F1240" i="5"/>
  <c r="I1241" i="5"/>
  <c r="G1242" i="5"/>
  <c r="H1259" i="5"/>
  <c r="G1267" i="5"/>
  <c r="F1268" i="5"/>
  <c r="G1282" i="5"/>
  <c r="G1298" i="5"/>
  <c r="H1299" i="5"/>
  <c r="H1311" i="5"/>
  <c r="G1312" i="5"/>
  <c r="G1326" i="5"/>
  <c r="G1201" i="5"/>
  <c r="G1213" i="5"/>
  <c r="H1214" i="5"/>
  <c r="G1230" i="5"/>
  <c r="G1240" i="5"/>
  <c r="G1268" i="5"/>
  <c r="I1298" i="5"/>
  <c r="I1311" i="5"/>
  <c r="I1312" i="5"/>
  <c r="G1077" i="5"/>
  <c r="I1116" i="5"/>
  <c r="H1118" i="5"/>
  <c r="H1125" i="5"/>
  <c r="G1153" i="5"/>
  <c r="I1169" i="5"/>
  <c r="I1220" i="5"/>
  <c r="F1254" i="5"/>
  <c r="H1257" i="5"/>
  <c r="F1276" i="5"/>
  <c r="F1286" i="5"/>
  <c r="F1288" i="5"/>
  <c r="F1318" i="5"/>
  <c r="F1222" i="5"/>
  <c r="E1231" i="5"/>
  <c r="F1238" i="5"/>
  <c r="G1241" i="5"/>
  <c r="E1242" i="5"/>
  <c r="E1259" i="5"/>
  <c r="F1262" i="5"/>
  <c r="I1280" i="5"/>
  <c r="E1282" i="5"/>
  <c r="E1298" i="5"/>
  <c r="E1299" i="5"/>
  <c r="E1311" i="5"/>
  <c r="E1312" i="5"/>
  <c r="F1324" i="5"/>
  <c r="E1326" i="5"/>
  <c r="H296" i="5"/>
  <c r="I296" i="5"/>
  <c r="G296" i="5"/>
  <c r="F296" i="5"/>
  <c r="E296" i="5"/>
  <c r="I8" i="5"/>
  <c r="E12" i="5"/>
  <c r="F34" i="5"/>
  <c r="H45" i="5"/>
  <c r="F96" i="5"/>
  <c r="E96" i="5"/>
  <c r="E101" i="5"/>
  <c r="I108" i="5"/>
  <c r="G108" i="5"/>
  <c r="E149" i="5"/>
  <c r="H152" i="5"/>
  <c r="I152" i="5"/>
  <c r="E156" i="5"/>
  <c r="F161" i="5"/>
  <c r="G161" i="5"/>
  <c r="F165" i="5"/>
  <c r="G165" i="5"/>
  <c r="F169" i="5"/>
  <c r="G169" i="5"/>
  <c r="E180" i="5"/>
  <c r="H184" i="5"/>
  <c r="G184" i="5"/>
  <c r="F184" i="5"/>
  <c r="I190" i="5"/>
  <c r="H190" i="5"/>
  <c r="F190" i="5"/>
  <c r="E190" i="5"/>
  <c r="E206" i="5"/>
  <c r="H232" i="5"/>
  <c r="I232" i="5"/>
  <c r="G232" i="5"/>
  <c r="F232" i="5"/>
  <c r="E232" i="5"/>
  <c r="F343" i="5"/>
  <c r="I343" i="5"/>
  <c r="H343" i="5"/>
  <c r="G343" i="5"/>
  <c r="E343" i="5"/>
  <c r="I345" i="5"/>
  <c r="E345" i="5"/>
  <c r="I358" i="5"/>
  <c r="H358" i="5"/>
  <c r="G358" i="5"/>
  <c r="F358" i="5"/>
  <c r="E358" i="5"/>
  <c r="F403" i="5"/>
  <c r="I403" i="5"/>
  <c r="H403" i="5"/>
  <c r="G403" i="5"/>
  <c r="E403" i="5"/>
  <c r="E445" i="5"/>
  <c r="I445" i="5"/>
  <c r="H445" i="5"/>
  <c r="G445" i="5"/>
  <c r="F445" i="5"/>
  <c r="F2" i="5"/>
  <c r="H13" i="5"/>
  <c r="F18" i="5"/>
  <c r="I24" i="5"/>
  <c r="H29" i="5"/>
  <c r="E54" i="5"/>
  <c r="G2" i="5"/>
  <c r="E6" i="5"/>
  <c r="F12" i="5"/>
  <c r="I14" i="5"/>
  <c r="G17" i="5"/>
  <c r="G18" i="5"/>
  <c r="E22" i="5"/>
  <c r="F28" i="5"/>
  <c r="I30" i="5"/>
  <c r="G33" i="5"/>
  <c r="G34" i="5"/>
  <c r="E38" i="5"/>
  <c r="F44" i="5"/>
  <c r="I46" i="5"/>
  <c r="G49" i="5"/>
  <c r="G50" i="5"/>
  <c r="F54" i="5"/>
  <c r="E58" i="5"/>
  <c r="F66" i="5"/>
  <c r="F70" i="5"/>
  <c r="F74" i="5"/>
  <c r="G78" i="5"/>
  <c r="I82" i="5"/>
  <c r="I91" i="5"/>
  <c r="G96" i="5"/>
  <c r="H97" i="5"/>
  <c r="H101" i="5"/>
  <c r="G111" i="5"/>
  <c r="F111" i="5"/>
  <c r="E117" i="5"/>
  <c r="I118" i="5"/>
  <c r="H118" i="5"/>
  <c r="E119" i="5"/>
  <c r="H128" i="5"/>
  <c r="I128" i="5"/>
  <c r="G128" i="5"/>
  <c r="H130" i="5"/>
  <c r="G136" i="5"/>
  <c r="F141" i="5"/>
  <c r="G141" i="5"/>
  <c r="E141" i="5"/>
  <c r="E148" i="5"/>
  <c r="G149" i="5"/>
  <c r="G150" i="5"/>
  <c r="E152" i="5"/>
  <c r="I161" i="5"/>
  <c r="E165" i="5"/>
  <c r="H169" i="5"/>
  <c r="E184" i="5"/>
  <c r="G190" i="5"/>
  <c r="H192" i="5"/>
  <c r="I192" i="5"/>
  <c r="F192" i="5"/>
  <c r="E192" i="5"/>
  <c r="G195" i="5"/>
  <c r="F205" i="5"/>
  <c r="I205" i="5"/>
  <c r="H205" i="5"/>
  <c r="H208" i="5"/>
  <c r="G208" i="5"/>
  <c r="F208" i="5"/>
  <c r="I206" i="5"/>
  <c r="G206" i="5"/>
  <c r="F206" i="5"/>
  <c r="I250" i="5"/>
  <c r="H250" i="5"/>
  <c r="G250" i="5"/>
  <c r="F250" i="5"/>
  <c r="E250" i="5"/>
  <c r="F261" i="5"/>
  <c r="G261" i="5"/>
  <c r="E261" i="5"/>
  <c r="H14" i="5"/>
  <c r="E28" i="5"/>
  <c r="H46" i="5"/>
  <c r="E74" i="5"/>
  <c r="H2" i="5"/>
  <c r="F6" i="5"/>
  <c r="I12" i="5"/>
  <c r="E16" i="5"/>
  <c r="H17" i="5"/>
  <c r="H18" i="5"/>
  <c r="F22" i="5"/>
  <c r="I28" i="5"/>
  <c r="E32" i="5"/>
  <c r="H33" i="5"/>
  <c r="H34" i="5"/>
  <c r="F38" i="5"/>
  <c r="I44" i="5"/>
  <c r="E48" i="5"/>
  <c r="H49" i="5"/>
  <c r="H50" i="5"/>
  <c r="G54" i="5"/>
  <c r="F58" i="5"/>
  <c r="E62" i="5"/>
  <c r="G66" i="5"/>
  <c r="G70" i="5"/>
  <c r="G74" i="5"/>
  <c r="G77" i="5"/>
  <c r="H77" i="5"/>
  <c r="I78" i="5"/>
  <c r="E80" i="5"/>
  <c r="E84" i="5"/>
  <c r="H90" i="5"/>
  <c r="F90" i="5"/>
  <c r="H96" i="5"/>
  <c r="I97" i="5"/>
  <c r="E100" i="5"/>
  <c r="H110" i="5"/>
  <c r="G110" i="5"/>
  <c r="E111" i="5"/>
  <c r="G117" i="5"/>
  <c r="E118" i="5"/>
  <c r="E128" i="5"/>
  <c r="I136" i="5"/>
  <c r="H141" i="5"/>
  <c r="G147" i="5"/>
  <c r="F148" i="5"/>
  <c r="H149" i="5"/>
  <c r="H150" i="5"/>
  <c r="F152" i="5"/>
  <c r="H164" i="5"/>
  <c r="G164" i="5"/>
  <c r="F164" i="5"/>
  <c r="I169" i="5"/>
  <c r="F175" i="5"/>
  <c r="E175" i="5"/>
  <c r="F179" i="5"/>
  <c r="I179" i="5"/>
  <c r="H179" i="5"/>
  <c r="F183" i="5"/>
  <c r="I183" i="5"/>
  <c r="H183" i="5"/>
  <c r="I184" i="5"/>
  <c r="G192" i="5"/>
  <c r="H194" i="5"/>
  <c r="G194" i="5"/>
  <c r="H195" i="5"/>
  <c r="I202" i="5"/>
  <c r="G202" i="5"/>
  <c r="F202" i="5"/>
  <c r="E205" i="5"/>
  <c r="E208" i="5"/>
  <c r="F245" i="5"/>
  <c r="I245" i="5"/>
  <c r="H245" i="5"/>
  <c r="G245" i="5"/>
  <c r="E245" i="5"/>
  <c r="F251" i="5"/>
  <c r="E251" i="5"/>
  <c r="F295" i="5"/>
  <c r="I295" i="5"/>
  <c r="H295" i="5"/>
  <c r="G295" i="5"/>
  <c r="I326" i="5"/>
  <c r="H326" i="5"/>
  <c r="G326" i="5"/>
  <c r="F326" i="5"/>
  <c r="E326" i="5"/>
  <c r="H156" i="5"/>
  <c r="I156" i="5"/>
  <c r="G156" i="5"/>
  <c r="F203" i="5"/>
  <c r="I203" i="5"/>
  <c r="H30" i="5"/>
  <c r="E44" i="5"/>
  <c r="F50" i="5"/>
  <c r="E66" i="5"/>
  <c r="E70" i="5"/>
  <c r="G5" i="5"/>
  <c r="F16" i="5"/>
  <c r="G21" i="5"/>
  <c r="F32" i="5"/>
  <c r="G37" i="5"/>
  <c r="G38" i="5"/>
  <c r="F48" i="5"/>
  <c r="H53" i="5"/>
  <c r="H54" i="5"/>
  <c r="G58" i="5"/>
  <c r="H66" i="5"/>
  <c r="H69" i="5"/>
  <c r="H70" i="5"/>
  <c r="H73" i="5"/>
  <c r="H74" i="5"/>
  <c r="F80" i="5"/>
  <c r="F84" i="5"/>
  <c r="E87" i="5"/>
  <c r="E90" i="5"/>
  <c r="G95" i="5"/>
  <c r="F99" i="5"/>
  <c r="E110" i="5"/>
  <c r="H111" i="5"/>
  <c r="H117" i="5"/>
  <c r="F118" i="5"/>
  <c r="F128" i="5"/>
  <c r="H140" i="5"/>
  <c r="F140" i="5"/>
  <c r="E140" i="5"/>
  <c r="I141" i="5"/>
  <c r="I146" i="5"/>
  <c r="H146" i="5"/>
  <c r="H147" i="5"/>
  <c r="G148" i="5"/>
  <c r="I149" i="5"/>
  <c r="G152" i="5"/>
  <c r="E164" i="5"/>
  <c r="G175" i="5"/>
  <c r="H178" i="5"/>
  <c r="G178" i="5"/>
  <c r="G179" i="5"/>
  <c r="E183" i="5"/>
  <c r="E194" i="5"/>
  <c r="E202" i="5"/>
  <c r="G205" i="5"/>
  <c r="I208" i="5"/>
  <c r="F233" i="5"/>
  <c r="I233" i="5"/>
  <c r="H260" i="5"/>
  <c r="I260" i="5"/>
  <c r="G260" i="5"/>
  <c r="F260" i="5"/>
  <c r="E260" i="5"/>
  <c r="I262" i="5"/>
  <c r="H262" i="5"/>
  <c r="G262" i="5"/>
  <c r="F262" i="5"/>
  <c r="F275" i="5"/>
  <c r="I275" i="5"/>
  <c r="G275" i="5"/>
  <c r="E295" i="5"/>
  <c r="F359" i="5"/>
  <c r="I359" i="5"/>
  <c r="H359" i="5"/>
  <c r="G359" i="5"/>
  <c r="E359" i="5"/>
  <c r="I361" i="5"/>
  <c r="E361" i="5"/>
  <c r="I374" i="5"/>
  <c r="H374" i="5"/>
  <c r="G374" i="5"/>
  <c r="F374" i="5"/>
  <c r="E374" i="5"/>
  <c r="E425" i="5"/>
  <c r="I425" i="5"/>
  <c r="H425" i="5"/>
  <c r="G425" i="5"/>
  <c r="F425" i="5"/>
  <c r="F450" i="5"/>
  <c r="I450" i="5"/>
  <c r="G450" i="5"/>
  <c r="E450" i="5"/>
  <c r="F109" i="5"/>
  <c r="I109" i="5"/>
  <c r="H109" i="5"/>
  <c r="I117" i="5"/>
  <c r="I148" i="5"/>
  <c r="F191" i="5"/>
  <c r="I191" i="5"/>
  <c r="G191" i="5"/>
  <c r="E191" i="5"/>
  <c r="H204" i="5"/>
  <c r="I204" i="5"/>
  <c r="G204" i="5"/>
  <c r="H404" i="5"/>
  <c r="I404" i="5"/>
  <c r="G404" i="5"/>
  <c r="F404" i="5"/>
  <c r="E404" i="5"/>
  <c r="I471" i="5"/>
  <c r="G471" i="5"/>
  <c r="F471" i="5"/>
  <c r="E471" i="5"/>
  <c r="H180" i="5"/>
  <c r="I180" i="5"/>
  <c r="G180" i="5"/>
  <c r="H68" i="5"/>
  <c r="F68" i="5"/>
  <c r="H72" i="5"/>
  <c r="E72" i="5"/>
  <c r="E86" i="5"/>
  <c r="H86" i="5"/>
  <c r="G9" i="5"/>
  <c r="E14" i="5"/>
  <c r="G25" i="5"/>
  <c r="E30" i="5"/>
  <c r="G41" i="5"/>
  <c r="E46" i="5"/>
  <c r="E56" i="5"/>
  <c r="H61" i="5"/>
  <c r="H64" i="5"/>
  <c r="I64" i="5"/>
  <c r="E68" i="5"/>
  <c r="F72" i="5"/>
  <c r="F86" i="5"/>
  <c r="E109" i="5"/>
  <c r="E115" i="5"/>
  <c r="H115" i="5"/>
  <c r="G115" i="5"/>
  <c r="I127" i="5"/>
  <c r="G127" i="5"/>
  <c r="G131" i="5"/>
  <c r="G134" i="5"/>
  <c r="F134" i="5"/>
  <c r="H191" i="5"/>
  <c r="F193" i="5"/>
  <c r="I193" i="5"/>
  <c r="E204" i="5"/>
  <c r="F207" i="5"/>
  <c r="G207" i="5"/>
  <c r="E207" i="5"/>
  <c r="F327" i="5"/>
  <c r="I327" i="5"/>
  <c r="H327" i="5"/>
  <c r="G327" i="5"/>
  <c r="E327" i="5"/>
  <c r="I329" i="5"/>
  <c r="E329" i="5"/>
  <c r="I342" i="5"/>
  <c r="H342" i="5"/>
  <c r="G342" i="5"/>
  <c r="F342" i="5"/>
  <c r="E342" i="5"/>
  <c r="I402" i="5"/>
  <c r="H402" i="5"/>
  <c r="G402" i="5"/>
  <c r="F402" i="5"/>
  <c r="E402" i="5"/>
  <c r="H9" i="5"/>
  <c r="H25" i="5"/>
  <c r="H41" i="5"/>
  <c r="F56" i="5"/>
  <c r="I68" i="5"/>
  <c r="I72" i="5"/>
  <c r="G86" i="5"/>
  <c r="G98" i="5"/>
  <c r="H98" i="5"/>
  <c r="G109" i="5"/>
  <c r="H114" i="5"/>
  <c r="G114" i="5"/>
  <c r="G126" i="5"/>
  <c r="F126" i="5"/>
  <c r="H166" i="5"/>
  <c r="G166" i="5"/>
  <c r="H188" i="5"/>
  <c r="F188" i="5"/>
  <c r="E188" i="5"/>
  <c r="H212" i="5"/>
  <c r="F212" i="5"/>
  <c r="E212" i="5"/>
  <c r="I246" i="5"/>
  <c r="H246" i="5"/>
  <c r="G246" i="5"/>
  <c r="F246" i="5"/>
  <c r="E246" i="5"/>
  <c r="I274" i="5"/>
  <c r="H274" i="5"/>
  <c r="G274" i="5"/>
  <c r="F274" i="5"/>
  <c r="I294" i="5"/>
  <c r="H294" i="5"/>
  <c r="G294" i="5"/>
  <c r="F294" i="5"/>
  <c r="H316" i="5"/>
  <c r="I316" i="5"/>
  <c r="G316" i="5"/>
  <c r="F316" i="5"/>
  <c r="F375" i="5"/>
  <c r="I375" i="5"/>
  <c r="H375" i="5"/>
  <c r="G375" i="5"/>
  <c r="E375" i="5"/>
  <c r="I377" i="5"/>
  <c r="E377" i="5"/>
  <c r="F383" i="5"/>
  <c r="I383" i="5"/>
  <c r="H383" i="5"/>
  <c r="G383" i="5"/>
  <c r="E383" i="5"/>
  <c r="F395" i="5"/>
  <c r="H395" i="5"/>
  <c r="G395" i="5"/>
  <c r="F399" i="5"/>
  <c r="I399" i="5"/>
  <c r="H400" i="5"/>
  <c r="I400" i="5"/>
  <c r="G400" i="5"/>
  <c r="H410" i="5"/>
  <c r="G410" i="5"/>
  <c r="F410" i="5"/>
  <c r="H438" i="5"/>
  <c r="I438" i="5"/>
  <c r="G438" i="5"/>
  <c r="I451" i="5"/>
  <c r="G451" i="5"/>
  <c r="I467" i="5"/>
  <c r="G467" i="5"/>
  <c r="F467" i="5"/>
  <c r="I483" i="5"/>
  <c r="G483" i="5"/>
  <c r="F483" i="5"/>
  <c r="E483" i="5"/>
  <c r="I492" i="5"/>
  <c r="E492" i="5"/>
  <c r="H498" i="5"/>
  <c r="G498" i="5"/>
  <c r="F498" i="5"/>
  <c r="E498" i="5"/>
  <c r="I498" i="5"/>
  <c r="I502" i="5"/>
  <c r="H502" i="5"/>
  <c r="G502" i="5"/>
  <c r="F502" i="5"/>
  <c r="F332" i="5"/>
  <c r="F348" i="5"/>
  <c r="F364" i="5"/>
  <c r="H384" i="5"/>
  <c r="I384" i="5"/>
  <c r="G384" i="5"/>
  <c r="G394" i="5"/>
  <c r="F394" i="5"/>
  <c r="I395" i="5"/>
  <c r="I398" i="5"/>
  <c r="H398" i="5"/>
  <c r="G399" i="5"/>
  <c r="F400" i="5"/>
  <c r="I410" i="5"/>
  <c r="F438" i="5"/>
  <c r="F451" i="5"/>
  <c r="E473" i="5"/>
  <c r="I473" i="5"/>
  <c r="H473" i="5"/>
  <c r="G473" i="5"/>
  <c r="I506" i="5"/>
  <c r="H506" i="5"/>
  <c r="G506" i="5"/>
  <c r="F506" i="5"/>
  <c r="I515" i="5"/>
  <c r="H515" i="5"/>
  <c r="G515" i="5"/>
  <c r="F515" i="5"/>
  <c r="E515" i="5"/>
  <c r="I523" i="5"/>
  <c r="H523" i="5"/>
  <c r="I550" i="5"/>
  <c r="H550" i="5"/>
  <c r="G550" i="5"/>
  <c r="F550" i="5"/>
  <c r="E550" i="5"/>
  <c r="I554" i="5"/>
  <c r="H554" i="5"/>
  <c r="G554" i="5"/>
  <c r="F554" i="5"/>
  <c r="E554" i="5"/>
  <c r="I181" i="5"/>
  <c r="H182" i="5"/>
  <c r="H186" i="5"/>
  <c r="I196" i="5"/>
  <c r="I210" i="5"/>
  <c r="E220" i="5"/>
  <c r="I234" i="5"/>
  <c r="I238" i="5"/>
  <c r="E244" i="5"/>
  <c r="E247" i="5"/>
  <c r="G249" i="5"/>
  <c r="E258" i="5"/>
  <c r="G259" i="5"/>
  <c r="E268" i="5"/>
  <c r="E269" i="5"/>
  <c r="E273" i="5"/>
  <c r="I278" i="5"/>
  <c r="E290" i="5"/>
  <c r="E291" i="5"/>
  <c r="I298" i="5"/>
  <c r="E310" i="5"/>
  <c r="E311" i="5"/>
  <c r="E328" i="5"/>
  <c r="G332" i="5"/>
  <c r="E344" i="5"/>
  <c r="G348" i="5"/>
  <c r="E360" i="5"/>
  <c r="G364" i="5"/>
  <c r="E376" i="5"/>
  <c r="E382" i="5"/>
  <c r="E384" i="5"/>
  <c r="E389" i="5"/>
  <c r="E394" i="5"/>
  <c r="E398" i="5"/>
  <c r="H399" i="5"/>
  <c r="H412" i="5"/>
  <c r="G412" i="5"/>
  <c r="F412" i="5"/>
  <c r="E412" i="5"/>
  <c r="F415" i="5"/>
  <c r="I415" i="5"/>
  <c r="H416" i="5"/>
  <c r="I416" i="5"/>
  <c r="G416" i="5"/>
  <c r="I442" i="5"/>
  <c r="H442" i="5"/>
  <c r="I463" i="5"/>
  <c r="G463" i="5"/>
  <c r="F463" i="5"/>
  <c r="F473" i="5"/>
  <c r="I482" i="5"/>
  <c r="H482" i="5"/>
  <c r="E482" i="5"/>
  <c r="I489" i="5"/>
  <c r="E506" i="5"/>
  <c r="H519" i="5"/>
  <c r="G523" i="5"/>
  <c r="E172" i="5"/>
  <c r="E173" i="5"/>
  <c r="G201" i="5"/>
  <c r="F220" i="5"/>
  <c r="E230" i="5"/>
  <c r="E242" i="5"/>
  <c r="F244" i="5"/>
  <c r="G247" i="5"/>
  <c r="E248" i="5"/>
  <c r="H249" i="5"/>
  <c r="G257" i="5"/>
  <c r="F258" i="5"/>
  <c r="H259" i="5"/>
  <c r="E266" i="5"/>
  <c r="G267" i="5"/>
  <c r="F268" i="5"/>
  <c r="G269" i="5"/>
  <c r="E270" i="5"/>
  <c r="E272" i="5"/>
  <c r="E288" i="5"/>
  <c r="E289" i="5"/>
  <c r="F290" i="5"/>
  <c r="G291" i="5"/>
  <c r="E292" i="5"/>
  <c r="E306" i="5"/>
  <c r="E307" i="5"/>
  <c r="F310" i="5"/>
  <c r="G311" i="5"/>
  <c r="E312" i="5"/>
  <c r="E322" i="5"/>
  <c r="E323" i="5"/>
  <c r="E325" i="5"/>
  <c r="F328" i="5"/>
  <c r="I332" i="5"/>
  <c r="E338" i="5"/>
  <c r="E339" i="5"/>
  <c r="E341" i="5"/>
  <c r="F344" i="5"/>
  <c r="I348" i="5"/>
  <c r="E354" i="5"/>
  <c r="E355" i="5"/>
  <c r="E357" i="5"/>
  <c r="F360" i="5"/>
  <c r="I364" i="5"/>
  <c r="E370" i="5"/>
  <c r="E371" i="5"/>
  <c r="E373" i="5"/>
  <c r="F376" i="5"/>
  <c r="F382" i="5"/>
  <c r="F384" i="5"/>
  <c r="E386" i="5"/>
  <c r="E387" i="5"/>
  <c r="E388" i="5"/>
  <c r="H394" i="5"/>
  <c r="F398" i="5"/>
  <c r="I412" i="5"/>
  <c r="E415" i="5"/>
  <c r="E416" i="5"/>
  <c r="E437" i="5"/>
  <c r="I437" i="5"/>
  <c r="H437" i="5"/>
  <c r="G437" i="5"/>
  <c r="E442" i="5"/>
  <c r="F458" i="5"/>
  <c r="I458" i="5"/>
  <c r="E463" i="5"/>
  <c r="F470" i="5"/>
  <c r="H470" i="5"/>
  <c r="G470" i="5"/>
  <c r="E470" i="5"/>
  <c r="I472" i="5"/>
  <c r="H472" i="5"/>
  <c r="E477" i="5"/>
  <c r="I477" i="5"/>
  <c r="H477" i="5"/>
  <c r="G477" i="5"/>
  <c r="G220" i="5"/>
  <c r="G244" i="5"/>
  <c r="H247" i="5"/>
  <c r="G258" i="5"/>
  <c r="G268" i="5"/>
  <c r="H269" i="5"/>
  <c r="G290" i="5"/>
  <c r="H291" i="5"/>
  <c r="G310" i="5"/>
  <c r="H311" i="5"/>
  <c r="G328" i="5"/>
  <c r="G344" i="5"/>
  <c r="G360" i="5"/>
  <c r="G376" i="5"/>
  <c r="G382" i="5"/>
  <c r="I394" i="5"/>
  <c r="G398" i="5"/>
  <c r="F411" i="5"/>
  <c r="I411" i="5"/>
  <c r="H411" i="5"/>
  <c r="G411" i="5"/>
  <c r="I414" i="5"/>
  <c r="H414" i="5"/>
  <c r="E449" i="5"/>
  <c r="I449" i="5"/>
  <c r="H449" i="5"/>
  <c r="G449" i="5"/>
  <c r="I514" i="5"/>
  <c r="H514" i="5"/>
  <c r="G514" i="5"/>
  <c r="F514" i="5"/>
  <c r="I534" i="5"/>
  <c r="H534" i="5"/>
  <c r="G534" i="5"/>
  <c r="F534" i="5"/>
  <c r="E534" i="5"/>
  <c r="I538" i="5"/>
  <c r="H538" i="5"/>
  <c r="G538" i="5"/>
  <c r="F538" i="5"/>
  <c r="E215" i="5"/>
  <c r="G217" i="5"/>
  <c r="I220" i="5"/>
  <c r="E226" i="5"/>
  <c r="G227" i="5"/>
  <c r="E236" i="5"/>
  <c r="E237" i="5"/>
  <c r="E241" i="5"/>
  <c r="I244" i="5"/>
  <c r="I247" i="5"/>
  <c r="H258" i="5"/>
  <c r="G265" i="5"/>
  <c r="I268" i="5"/>
  <c r="I269" i="5"/>
  <c r="E280" i="5"/>
  <c r="E281" i="5"/>
  <c r="E282" i="5"/>
  <c r="E283" i="5"/>
  <c r="H285" i="5"/>
  <c r="H290" i="5"/>
  <c r="I291" i="5"/>
  <c r="E302" i="5"/>
  <c r="E303" i="5"/>
  <c r="H310" i="5"/>
  <c r="I311" i="5"/>
  <c r="E318" i="5"/>
  <c r="E319" i="5"/>
  <c r="E321" i="5"/>
  <c r="I328" i="5"/>
  <c r="E334" i="5"/>
  <c r="E335" i="5"/>
  <c r="E337" i="5"/>
  <c r="I344" i="5"/>
  <c r="E350" i="5"/>
  <c r="E351" i="5"/>
  <c r="E353" i="5"/>
  <c r="I360" i="5"/>
  <c r="E366" i="5"/>
  <c r="E367" i="5"/>
  <c r="E369" i="5"/>
  <c r="I376" i="5"/>
  <c r="F379" i="5"/>
  <c r="H379" i="5"/>
  <c r="H380" i="5"/>
  <c r="F380" i="5"/>
  <c r="H382" i="5"/>
  <c r="E411" i="5"/>
  <c r="E414" i="5"/>
  <c r="E433" i="5"/>
  <c r="I433" i="5"/>
  <c r="F462" i="5"/>
  <c r="I462" i="5"/>
  <c r="E462" i="5"/>
  <c r="I488" i="5"/>
  <c r="E488" i="5"/>
  <c r="H547" i="5"/>
  <c r="G547" i="5"/>
  <c r="H213" i="5"/>
  <c r="G215" i="5"/>
  <c r="E216" i="5"/>
  <c r="H217" i="5"/>
  <c r="G225" i="5"/>
  <c r="H227" i="5"/>
  <c r="G228" i="5"/>
  <c r="G235" i="5"/>
  <c r="F236" i="5"/>
  <c r="G237" i="5"/>
  <c r="E240" i="5"/>
  <c r="I248" i="5"/>
  <c r="E264" i="5"/>
  <c r="I265" i="5"/>
  <c r="I272" i="5"/>
  <c r="E277" i="5"/>
  <c r="G279" i="5"/>
  <c r="F280" i="5"/>
  <c r="G283" i="5"/>
  <c r="E284" i="5"/>
  <c r="I288" i="5"/>
  <c r="I292" i="5"/>
  <c r="E299" i="5"/>
  <c r="G303" i="5"/>
  <c r="E304" i="5"/>
  <c r="I307" i="5"/>
  <c r="I312" i="5"/>
  <c r="G319" i="5"/>
  <c r="E320" i="5"/>
  <c r="I323" i="5"/>
  <c r="G335" i="5"/>
  <c r="E336" i="5"/>
  <c r="I339" i="5"/>
  <c r="G351" i="5"/>
  <c r="E352" i="5"/>
  <c r="I355" i="5"/>
  <c r="G367" i="5"/>
  <c r="E368" i="5"/>
  <c r="I371" i="5"/>
  <c r="G372" i="5"/>
  <c r="E379" i="5"/>
  <c r="E380" i="5"/>
  <c r="I387" i="5"/>
  <c r="I388" i="5"/>
  <c r="H396" i="5"/>
  <c r="F396" i="5"/>
  <c r="E396" i="5"/>
  <c r="F414" i="5"/>
  <c r="G420" i="5"/>
  <c r="E429" i="5"/>
  <c r="I429" i="5"/>
  <c r="G430" i="5"/>
  <c r="F433" i="5"/>
  <c r="E441" i="5"/>
  <c r="I441" i="5"/>
  <c r="H441" i="5"/>
  <c r="G441" i="5"/>
  <c r="E446" i="5"/>
  <c r="H452" i="5"/>
  <c r="I507" i="5"/>
  <c r="H507" i="5"/>
  <c r="G507" i="5"/>
  <c r="I511" i="5"/>
  <c r="F511" i="5"/>
  <c r="I536" i="5"/>
  <c r="I542" i="5"/>
  <c r="H542" i="5"/>
  <c r="G542" i="5"/>
  <c r="F542" i="5"/>
  <c r="H678" i="5"/>
  <c r="F740" i="5"/>
  <c r="H740" i="5"/>
  <c r="G740" i="5"/>
  <c r="E740" i="5"/>
  <c r="G757" i="5"/>
  <c r="F757" i="5"/>
  <c r="E757" i="5"/>
  <c r="E769" i="5"/>
  <c r="I769" i="5"/>
  <c r="H769" i="5"/>
  <c r="I781" i="5"/>
  <c r="H781" i="5"/>
  <c r="G781" i="5"/>
  <c r="F781" i="5"/>
  <c r="F707" i="5"/>
  <c r="E707" i="5"/>
  <c r="G713" i="5"/>
  <c r="I713" i="5"/>
  <c r="H713" i="5"/>
  <c r="F713" i="5"/>
  <c r="G745" i="5"/>
  <c r="F745" i="5"/>
  <c r="E745" i="5"/>
  <c r="G761" i="5"/>
  <c r="F761" i="5"/>
  <c r="E761" i="5"/>
  <c r="E789" i="5"/>
  <c r="I789" i="5"/>
  <c r="H789" i="5"/>
  <c r="F789" i="5"/>
  <c r="E793" i="5"/>
  <c r="I793" i="5"/>
  <c r="H793" i="5"/>
  <c r="F793" i="5"/>
  <c r="G459" i="5"/>
  <c r="H526" i="5"/>
  <c r="F546" i="5"/>
  <c r="F564" i="5"/>
  <c r="F568" i="5"/>
  <c r="H574" i="5"/>
  <c r="E592" i="5"/>
  <c r="H601" i="5"/>
  <c r="H602" i="5"/>
  <c r="G606" i="5"/>
  <c r="H617" i="5"/>
  <c r="H621" i="5"/>
  <c r="H623" i="5"/>
  <c r="E639" i="5"/>
  <c r="H640" i="5"/>
  <c r="F642" i="5"/>
  <c r="F643" i="5"/>
  <c r="G646" i="5"/>
  <c r="E651" i="5"/>
  <c r="F654" i="5"/>
  <c r="F660" i="5"/>
  <c r="E667" i="5"/>
  <c r="F687" i="5"/>
  <c r="E715" i="5"/>
  <c r="H745" i="5"/>
  <c r="E747" i="5"/>
  <c r="H761" i="5"/>
  <c r="F776" i="5"/>
  <c r="I776" i="5"/>
  <c r="H776" i="5"/>
  <c r="G776" i="5"/>
  <c r="G789" i="5"/>
  <c r="G793" i="5"/>
  <c r="E456" i="5"/>
  <c r="F457" i="5"/>
  <c r="F461" i="5"/>
  <c r="F469" i="5"/>
  <c r="F481" i="5"/>
  <c r="E491" i="5"/>
  <c r="E499" i="5"/>
  <c r="G513" i="5"/>
  <c r="H518" i="5"/>
  <c r="H522" i="5"/>
  <c r="I526" i="5"/>
  <c r="H527" i="5"/>
  <c r="H535" i="5"/>
  <c r="G546" i="5"/>
  <c r="G555" i="5"/>
  <c r="E558" i="5"/>
  <c r="E562" i="5"/>
  <c r="I564" i="5"/>
  <c r="I568" i="5"/>
  <c r="E572" i="5"/>
  <c r="I574" i="5"/>
  <c r="H578" i="5"/>
  <c r="H582" i="5"/>
  <c r="H586" i="5"/>
  <c r="E590" i="5"/>
  <c r="F592" i="5"/>
  <c r="E596" i="5"/>
  <c r="I602" i="5"/>
  <c r="H606" i="5"/>
  <c r="H607" i="5"/>
  <c r="E611" i="5"/>
  <c r="I621" i="5"/>
  <c r="I623" i="5"/>
  <c r="E635" i="5"/>
  <c r="H636" i="5"/>
  <c r="F638" i="5"/>
  <c r="F639" i="5"/>
  <c r="G642" i="5"/>
  <c r="G643" i="5"/>
  <c r="G654" i="5"/>
  <c r="E659" i="5"/>
  <c r="F662" i="5"/>
  <c r="I677" i="5"/>
  <c r="F719" i="5"/>
  <c r="E719" i="5"/>
  <c r="I745" i="5"/>
  <c r="I761" i="5"/>
  <c r="H763" i="5"/>
  <c r="F763" i="5"/>
  <c r="G771" i="5"/>
  <c r="G773" i="5"/>
  <c r="F773" i="5"/>
  <c r="E773" i="5"/>
  <c r="E776" i="5"/>
  <c r="E391" i="5"/>
  <c r="E393" i="5"/>
  <c r="E407" i="5"/>
  <c r="E409" i="5"/>
  <c r="E436" i="5"/>
  <c r="E454" i="5"/>
  <c r="E455" i="5"/>
  <c r="H456" i="5"/>
  <c r="G457" i="5"/>
  <c r="G461" i="5"/>
  <c r="G469" i="5"/>
  <c r="E480" i="5"/>
  <c r="G481" i="5"/>
  <c r="E486" i="5"/>
  <c r="E487" i="5"/>
  <c r="F491" i="5"/>
  <c r="G497" i="5"/>
  <c r="F499" i="5"/>
  <c r="E530" i="5"/>
  <c r="H546" i="5"/>
  <c r="F558" i="5"/>
  <c r="F562" i="5"/>
  <c r="G563" i="5"/>
  <c r="E566" i="5"/>
  <c r="E570" i="5"/>
  <c r="F572" i="5"/>
  <c r="E576" i="5"/>
  <c r="F590" i="5"/>
  <c r="F596" i="5"/>
  <c r="E600" i="5"/>
  <c r="H605" i="5"/>
  <c r="I606" i="5"/>
  <c r="F611" i="5"/>
  <c r="E615" i="5"/>
  <c r="H620" i="5"/>
  <c r="E631" i="5"/>
  <c r="H632" i="5"/>
  <c r="F634" i="5"/>
  <c r="F635" i="5"/>
  <c r="G638" i="5"/>
  <c r="G639" i="5"/>
  <c r="H642" i="5"/>
  <c r="H643" i="5"/>
  <c r="G662" i="5"/>
  <c r="F679" i="5"/>
  <c r="H684" i="5"/>
  <c r="F684" i="5"/>
  <c r="G725" i="5"/>
  <c r="F725" i="5"/>
  <c r="I763" i="5"/>
  <c r="H773" i="5"/>
  <c r="G782" i="5"/>
  <c r="H782" i="5"/>
  <c r="G454" i="5"/>
  <c r="F455" i="5"/>
  <c r="H457" i="5"/>
  <c r="H461" i="5"/>
  <c r="H469" i="5"/>
  <c r="H480" i="5"/>
  <c r="H481" i="5"/>
  <c r="F487" i="5"/>
  <c r="G491" i="5"/>
  <c r="H497" i="5"/>
  <c r="G558" i="5"/>
  <c r="G562" i="5"/>
  <c r="I572" i="5"/>
  <c r="F576" i="5"/>
  <c r="G590" i="5"/>
  <c r="F600" i="5"/>
  <c r="F610" i="5"/>
  <c r="F614" i="5"/>
  <c r="E627" i="5"/>
  <c r="F630" i="5"/>
  <c r="F631" i="5"/>
  <c r="G634" i="5"/>
  <c r="G635" i="5"/>
  <c r="H638" i="5"/>
  <c r="H639" i="5"/>
  <c r="I642" i="5"/>
  <c r="I645" i="5"/>
  <c r="I669" i="5"/>
  <c r="I693" i="5"/>
  <c r="H695" i="5"/>
  <c r="F695" i="5"/>
  <c r="H701" i="5"/>
  <c r="I701" i="5"/>
  <c r="H725" i="5"/>
  <c r="G729" i="5"/>
  <c r="I729" i="5"/>
  <c r="H729" i="5"/>
  <c r="F729" i="5"/>
  <c r="G741" i="5"/>
  <c r="F741" i="5"/>
  <c r="E741" i="5"/>
  <c r="F752" i="5"/>
  <c r="I752" i="5"/>
  <c r="H752" i="5"/>
  <c r="G765" i="5"/>
  <c r="F765" i="5"/>
  <c r="E765" i="5"/>
  <c r="G770" i="5"/>
  <c r="F770" i="5"/>
  <c r="I773" i="5"/>
  <c r="H710" i="5"/>
  <c r="G710" i="5"/>
  <c r="F710" i="5"/>
  <c r="E746" i="5"/>
  <c r="H746" i="5"/>
  <c r="G746" i="5"/>
  <c r="F746" i="5"/>
  <c r="E548" i="5"/>
  <c r="E552" i="5"/>
  <c r="E588" i="5"/>
  <c r="H613" i="5"/>
  <c r="H631" i="5"/>
  <c r="I637" i="5"/>
  <c r="I661" i="5"/>
  <c r="F676" i="5"/>
  <c r="G678" i="5"/>
  <c r="G705" i="5"/>
  <c r="F705" i="5"/>
  <c r="H777" i="5"/>
  <c r="G777" i="5"/>
  <c r="F777" i="5"/>
  <c r="E777" i="5"/>
  <c r="G824" i="5"/>
  <c r="F841" i="5"/>
  <c r="I854" i="5"/>
  <c r="E854" i="5"/>
  <c r="G857" i="5"/>
  <c r="G861" i="5"/>
  <c r="F869" i="5"/>
  <c r="F889" i="5"/>
  <c r="H896" i="5"/>
  <c r="H900" i="5"/>
  <c r="I909" i="5"/>
  <c r="H909" i="5"/>
  <c r="H916" i="5"/>
  <c r="I932" i="5"/>
  <c r="H932" i="5"/>
  <c r="G942" i="5"/>
  <c r="F942" i="5"/>
  <c r="H961" i="5"/>
  <c r="G961" i="5"/>
  <c r="F961" i="5"/>
  <c r="E961" i="5"/>
  <c r="I961" i="5"/>
  <c r="G841" i="5"/>
  <c r="H857" i="5"/>
  <c r="H861" i="5"/>
  <c r="G869" i="5"/>
  <c r="I874" i="5"/>
  <c r="E874" i="5"/>
  <c r="H889" i="5"/>
  <c r="E895" i="5"/>
  <c r="I899" i="5"/>
  <c r="F899" i="5"/>
  <c r="E909" i="5"/>
  <c r="I797" i="5"/>
  <c r="H800" i="5"/>
  <c r="H802" i="5"/>
  <c r="I817" i="5"/>
  <c r="F821" i="5"/>
  <c r="F822" i="5"/>
  <c r="F829" i="5"/>
  <c r="E830" i="5"/>
  <c r="E839" i="5"/>
  <c r="H840" i="5"/>
  <c r="H841" i="5"/>
  <c r="F845" i="5"/>
  <c r="G846" i="5"/>
  <c r="G853" i="5"/>
  <c r="H854" i="5"/>
  <c r="I857" i="5"/>
  <c r="G860" i="5"/>
  <c r="I861" i="5"/>
  <c r="F865" i="5"/>
  <c r="G866" i="5"/>
  <c r="H869" i="5"/>
  <c r="E873" i="5"/>
  <c r="F874" i="5"/>
  <c r="F877" i="5"/>
  <c r="G878" i="5"/>
  <c r="H886" i="5"/>
  <c r="G886" i="5"/>
  <c r="I889" i="5"/>
  <c r="E899" i="5"/>
  <c r="F909" i="5"/>
  <c r="I920" i="5"/>
  <c r="H920" i="5"/>
  <c r="I939" i="5"/>
  <c r="E939" i="5"/>
  <c r="G950" i="5"/>
  <c r="F950" i="5"/>
  <c r="F734" i="5"/>
  <c r="F739" i="5"/>
  <c r="E751" i="5"/>
  <c r="H753" i="5"/>
  <c r="E758" i="5"/>
  <c r="E766" i="5"/>
  <c r="E772" i="5"/>
  <c r="E774" i="5"/>
  <c r="F775" i="5"/>
  <c r="E785" i="5"/>
  <c r="G787" i="5"/>
  <c r="I790" i="5"/>
  <c r="H801" i="5"/>
  <c r="I802" i="5"/>
  <c r="E808" i="5"/>
  <c r="E813" i="5"/>
  <c r="E814" i="5"/>
  <c r="E820" i="5"/>
  <c r="G821" i="5"/>
  <c r="H822" i="5"/>
  <c r="E828" i="5"/>
  <c r="G829" i="5"/>
  <c r="F830" i="5"/>
  <c r="F835" i="5"/>
  <c r="E837" i="5"/>
  <c r="F839" i="5"/>
  <c r="I841" i="5"/>
  <c r="H842" i="5"/>
  <c r="G845" i="5"/>
  <c r="E849" i="5"/>
  <c r="G852" i="5"/>
  <c r="H853" i="5"/>
  <c r="G864" i="5"/>
  <c r="G865" i="5"/>
  <c r="H868" i="5"/>
  <c r="I869" i="5"/>
  <c r="G873" i="5"/>
  <c r="G874" i="5"/>
  <c r="G877" i="5"/>
  <c r="E881" i="5"/>
  <c r="E885" i="5"/>
  <c r="G909" i="5"/>
  <c r="G920" i="5"/>
  <c r="I936" i="5"/>
  <c r="H936" i="5"/>
  <c r="G936" i="5"/>
  <c r="G751" i="5"/>
  <c r="G758" i="5"/>
  <c r="F766" i="5"/>
  <c r="H772" i="5"/>
  <c r="F774" i="5"/>
  <c r="G775" i="5"/>
  <c r="F785" i="5"/>
  <c r="G808" i="5"/>
  <c r="F813" i="5"/>
  <c r="F814" i="5"/>
  <c r="G820" i="5"/>
  <c r="H821" i="5"/>
  <c r="I822" i="5"/>
  <c r="G828" i="5"/>
  <c r="H829" i="5"/>
  <c r="H830" i="5"/>
  <c r="F837" i="5"/>
  <c r="F838" i="5"/>
  <c r="H845" i="5"/>
  <c r="F849" i="5"/>
  <c r="E850" i="5"/>
  <c r="I853" i="5"/>
  <c r="H865" i="5"/>
  <c r="H873" i="5"/>
  <c r="H874" i="5"/>
  <c r="H877" i="5"/>
  <c r="F881" i="5"/>
  <c r="G885" i="5"/>
  <c r="E893" i="5"/>
  <c r="F894" i="5"/>
  <c r="E905" i="5"/>
  <c r="E958" i="5"/>
  <c r="G958" i="5"/>
  <c r="F958" i="5"/>
  <c r="I830" i="5"/>
  <c r="I873" i="5"/>
  <c r="G881" i="5"/>
  <c r="I908" i="5"/>
  <c r="H908" i="5"/>
  <c r="G908" i="5"/>
  <c r="I924" i="5"/>
  <c r="H924" i="5"/>
  <c r="H953" i="5"/>
  <c r="G953" i="5"/>
  <c r="F953" i="5"/>
  <c r="E953" i="5"/>
  <c r="I733" i="5"/>
  <c r="G792" i="5"/>
  <c r="H798" i="5"/>
  <c r="F818" i="5"/>
  <c r="E824" i="5"/>
  <c r="F826" i="5"/>
  <c r="H836" i="5"/>
  <c r="E857" i="5"/>
  <c r="F861" i="5"/>
  <c r="F867" i="5"/>
  <c r="E889" i="5"/>
  <c r="F890" i="5"/>
  <c r="G913" i="5"/>
  <c r="F913" i="5"/>
  <c r="E913" i="5"/>
  <c r="G916" i="5"/>
  <c r="G924" i="5"/>
  <c r="I928" i="5"/>
  <c r="H928" i="5"/>
  <c r="I953" i="5"/>
  <c r="F1038" i="5"/>
  <c r="G1038" i="5"/>
  <c r="H1081" i="5"/>
  <c r="E1081" i="5"/>
  <c r="F941" i="5"/>
  <c r="H964" i="5"/>
  <c r="G970" i="5"/>
  <c r="F973" i="5"/>
  <c r="F979" i="5"/>
  <c r="E985" i="5"/>
  <c r="I1021" i="5"/>
  <c r="G1021" i="5"/>
  <c r="F1022" i="5"/>
  <c r="H1038" i="5"/>
  <c r="G941" i="5"/>
  <c r="E945" i="5"/>
  <c r="G968" i="5"/>
  <c r="G973" i="5"/>
  <c r="E977" i="5"/>
  <c r="F985" i="5"/>
  <c r="E986" i="5"/>
  <c r="E989" i="5"/>
  <c r="E998" i="5"/>
  <c r="H1016" i="5"/>
  <c r="E1021" i="5"/>
  <c r="H1022" i="5"/>
  <c r="H1029" i="5"/>
  <c r="F1029" i="5"/>
  <c r="I1035" i="5"/>
  <c r="G1035" i="5"/>
  <c r="E1035" i="5"/>
  <c r="I1038" i="5"/>
  <c r="H1043" i="5"/>
  <c r="F1043" i="5"/>
  <c r="I1060" i="5"/>
  <c r="H1060" i="5"/>
  <c r="F1060" i="5"/>
  <c r="E1063" i="5"/>
  <c r="I1063" i="5"/>
  <c r="I1080" i="5"/>
  <c r="G1080" i="5"/>
  <c r="E1080" i="5"/>
  <c r="F1040" i="5"/>
  <c r="H1040" i="5"/>
  <c r="E1040" i="5"/>
  <c r="I1048" i="5"/>
  <c r="G1048" i="5"/>
  <c r="G1055" i="5"/>
  <c r="E1055" i="5"/>
  <c r="H1059" i="5"/>
  <c r="F1059" i="5"/>
  <c r="H940" i="5"/>
  <c r="G945" i="5"/>
  <c r="F949" i="5"/>
  <c r="F957" i="5"/>
  <c r="H972" i="5"/>
  <c r="G977" i="5"/>
  <c r="H985" i="5"/>
  <c r="G986" i="5"/>
  <c r="G989" i="5"/>
  <c r="E995" i="5"/>
  <c r="G998" i="5"/>
  <c r="I1005" i="5"/>
  <c r="G1005" i="5"/>
  <c r="I1015" i="5"/>
  <c r="E1015" i="5"/>
  <c r="H1021" i="5"/>
  <c r="G1040" i="5"/>
  <c r="E1048" i="5"/>
  <c r="F1055" i="5"/>
  <c r="E1059" i="5"/>
  <c r="F914" i="5"/>
  <c r="E917" i="5"/>
  <c r="E925" i="5"/>
  <c r="E929" i="5"/>
  <c r="E933" i="5"/>
  <c r="G944" i="5"/>
  <c r="H945" i="5"/>
  <c r="G949" i="5"/>
  <c r="G957" i="5"/>
  <c r="F962" i="5"/>
  <c r="E965" i="5"/>
  <c r="H977" i="5"/>
  <c r="E981" i="5"/>
  <c r="E983" i="5"/>
  <c r="H986" i="5"/>
  <c r="H989" i="5"/>
  <c r="E993" i="5"/>
  <c r="F995" i="5"/>
  <c r="E1005" i="5"/>
  <c r="F1015" i="5"/>
  <c r="H1017" i="5"/>
  <c r="F1017" i="5"/>
  <c r="H1018" i="5"/>
  <c r="I1029" i="5"/>
  <c r="F1031" i="5"/>
  <c r="G1039" i="5"/>
  <c r="E1039" i="5"/>
  <c r="I1040" i="5"/>
  <c r="I1043" i="5"/>
  <c r="I1047" i="5"/>
  <c r="G1047" i="5"/>
  <c r="F1048" i="5"/>
  <c r="H1055" i="5"/>
  <c r="G1059" i="5"/>
  <c r="H1063" i="5"/>
  <c r="F1070" i="5"/>
  <c r="I1070" i="5"/>
  <c r="G1070" i="5"/>
  <c r="I1079" i="5"/>
  <c r="G1079" i="5"/>
  <c r="E1079" i="5"/>
  <c r="H944" i="5"/>
  <c r="G962" i="5"/>
  <c r="F981" i="5"/>
  <c r="F983" i="5"/>
  <c r="F993" i="5"/>
  <c r="F1005" i="5"/>
  <c r="I1031" i="5"/>
  <c r="I1033" i="5"/>
  <c r="G1033" i="5"/>
  <c r="E1033" i="5"/>
  <c r="I1055" i="5"/>
  <c r="F1058" i="5"/>
  <c r="H1058" i="5"/>
  <c r="E1058" i="5"/>
  <c r="I1059" i="5"/>
  <c r="H1070" i="5"/>
  <c r="H1073" i="5"/>
  <c r="G1073" i="5"/>
  <c r="E1073" i="5"/>
  <c r="F1079" i="5"/>
  <c r="H1005" i="5"/>
  <c r="H1009" i="5"/>
  <c r="F1009" i="5"/>
  <c r="G1025" i="5"/>
  <c r="E1025" i="5"/>
  <c r="H1061" i="5"/>
  <c r="F1061" i="5"/>
  <c r="F1076" i="5"/>
  <c r="G1076" i="5"/>
  <c r="I1100" i="5"/>
  <c r="F1112" i="5"/>
  <c r="I1126" i="5"/>
  <c r="I1127" i="5"/>
  <c r="I1128" i="5"/>
  <c r="G1132" i="5"/>
  <c r="I1134" i="5"/>
  <c r="G1140" i="5"/>
  <c r="F1181" i="5"/>
  <c r="H1181" i="5"/>
  <c r="G1185" i="5"/>
  <c r="I1185" i="5"/>
  <c r="I1197" i="5"/>
  <c r="E1197" i="5"/>
  <c r="E1087" i="5"/>
  <c r="F1089" i="5"/>
  <c r="F1092" i="5"/>
  <c r="F1093" i="5"/>
  <c r="E1102" i="5"/>
  <c r="G1112" i="5"/>
  <c r="I1140" i="5"/>
  <c r="E1144" i="5"/>
  <c r="E1165" i="5"/>
  <c r="F1166" i="5"/>
  <c r="E1181" i="5"/>
  <c r="E1185" i="5"/>
  <c r="F1197" i="5"/>
  <c r="G1202" i="5"/>
  <c r="I1202" i="5"/>
  <c r="F1202" i="5"/>
  <c r="F1209" i="5"/>
  <c r="H1209" i="5"/>
  <c r="F1243" i="5"/>
  <c r="I1243" i="5"/>
  <c r="G1243" i="5"/>
  <c r="E1243" i="5"/>
  <c r="H1112" i="5"/>
  <c r="H1155" i="5"/>
  <c r="F1155" i="5"/>
  <c r="E1193" i="5"/>
  <c r="I1193" i="5"/>
  <c r="G1193" i="5"/>
  <c r="H1224" i="5"/>
  <c r="I1224" i="5"/>
  <c r="F1224" i="5"/>
  <c r="E1224" i="5"/>
  <c r="F1075" i="5"/>
  <c r="G1085" i="5"/>
  <c r="G1086" i="5"/>
  <c r="G1087" i="5"/>
  <c r="H1088" i="5"/>
  <c r="I1089" i="5"/>
  <c r="I1092" i="5"/>
  <c r="E1097" i="5"/>
  <c r="H1102" i="5"/>
  <c r="G1105" i="5"/>
  <c r="I1112" i="5"/>
  <c r="F1116" i="5"/>
  <c r="F1122" i="5"/>
  <c r="I1123" i="5"/>
  <c r="E1147" i="5"/>
  <c r="G1151" i="5"/>
  <c r="E1155" i="5"/>
  <c r="G1165" i="5"/>
  <c r="I1166" i="5"/>
  <c r="I1181" i="5"/>
  <c r="H1185" i="5"/>
  <c r="F1189" i="5"/>
  <c r="F1193" i="5"/>
  <c r="H1197" i="5"/>
  <c r="G1209" i="5"/>
  <c r="G1224" i="5"/>
  <c r="G1097" i="5"/>
  <c r="G1147" i="5"/>
  <c r="G1155" i="5"/>
  <c r="H1165" i="5"/>
  <c r="I1170" i="5"/>
  <c r="H1170" i="5"/>
  <c r="H1183" i="5"/>
  <c r="F1183" i="5"/>
  <c r="I1183" i="5"/>
  <c r="H1193" i="5"/>
  <c r="I1209" i="5"/>
  <c r="H1218" i="5"/>
  <c r="I1218" i="5"/>
  <c r="G1218" i="5"/>
  <c r="E1218" i="5"/>
  <c r="H1226" i="5"/>
  <c r="I1226" i="5"/>
  <c r="F1226" i="5"/>
  <c r="E1226" i="5"/>
  <c r="F1051" i="5"/>
  <c r="F1052" i="5"/>
  <c r="G1057" i="5"/>
  <c r="H1066" i="5"/>
  <c r="F1067" i="5"/>
  <c r="F1068" i="5"/>
  <c r="H1097" i="5"/>
  <c r="E1100" i="5"/>
  <c r="F1107" i="5"/>
  <c r="F1108" i="5"/>
  <c r="G1115" i="5"/>
  <c r="I1122" i="5"/>
  <c r="E1126" i="5"/>
  <c r="F1127" i="5"/>
  <c r="E1128" i="5"/>
  <c r="F1130" i="5"/>
  <c r="E1134" i="5"/>
  <c r="F1135" i="5"/>
  <c r="G1136" i="5"/>
  <c r="F1137" i="5"/>
  <c r="E1138" i="5"/>
  <c r="E1149" i="5"/>
  <c r="I1155" i="5"/>
  <c r="F1159" i="5"/>
  <c r="E1162" i="5"/>
  <c r="E1163" i="5"/>
  <c r="I1164" i="5"/>
  <c r="E1169" i="5"/>
  <c r="G1170" i="5"/>
  <c r="F1173" i="5"/>
  <c r="E1183" i="5"/>
  <c r="H1187" i="5"/>
  <c r="I1187" i="5"/>
  <c r="H1189" i="5"/>
  <c r="F1195" i="5"/>
  <c r="F1218" i="5"/>
  <c r="G1226" i="5"/>
  <c r="I1146" i="5"/>
  <c r="F1146" i="5"/>
  <c r="G1198" i="5"/>
  <c r="F1198" i="5"/>
  <c r="F1225" i="5"/>
  <c r="H1225" i="5"/>
  <c r="G1225" i="5"/>
  <c r="F1041" i="5"/>
  <c r="F1045" i="5"/>
  <c r="G1053" i="5"/>
  <c r="G1099" i="5"/>
  <c r="H1100" i="5"/>
  <c r="I1107" i="5"/>
  <c r="I1108" i="5"/>
  <c r="F1118" i="5"/>
  <c r="G1119" i="5"/>
  <c r="F1120" i="5"/>
  <c r="H1126" i="5"/>
  <c r="H1127" i="5"/>
  <c r="G1128" i="5"/>
  <c r="I1130" i="5"/>
  <c r="G1133" i="5"/>
  <c r="H1134" i="5"/>
  <c r="I1136" i="5"/>
  <c r="E1140" i="5"/>
  <c r="F1142" i="5"/>
  <c r="H1149" i="5"/>
  <c r="G1158" i="5"/>
  <c r="F1161" i="5"/>
  <c r="G1162" i="5"/>
  <c r="H1169" i="5"/>
  <c r="H1173" i="5"/>
  <c r="G1176" i="5"/>
  <c r="E1182" i="5"/>
  <c r="F1182" i="5"/>
  <c r="I1182" i="5"/>
  <c r="E1186" i="5"/>
  <c r="H1186" i="5"/>
  <c r="G1187" i="5"/>
  <c r="I1191" i="5"/>
  <c r="H1198" i="5"/>
  <c r="G1206" i="5"/>
  <c r="F1206" i="5"/>
  <c r="E1210" i="5"/>
  <c r="G1210" i="5"/>
  <c r="I1210" i="5"/>
  <c r="I1225" i="5"/>
  <c r="G1250" i="5"/>
  <c r="I1256" i="5"/>
  <c r="I1258" i="5"/>
  <c r="F1264" i="5"/>
  <c r="I1272" i="5"/>
  <c r="I1276" i="5"/>
  <c r="F1280" i="5"/>
  <c r="I1286" i="5"/>
  <c r="G1290" i="5"/>
  <c r="H1291" i="5"/>
  <c r="G1292" i="5"/>
  <c r="F1302" i="5"/>
  <c r="H1303" i="5"/>
  <c r="G1304" i="5"/>
  <c r="E1307" i="5"/>
  <c r="I1310" i="5"/>
  <c r="E1315" i="5"/>
  <c r="E1323" i="5"/>
  <c r="G1220" i="5"/>
  <c r="H1221" i="5"/>
  <c r="G1222" i="5"/>
  <c r="G1229" i="5"/>
  <c r="E1236" i="5"/>
  <c r="E1237" i="5"/>
  <c r="E1238" i="5"/>
  <c r="E1246" i="5"/>
  <c r="E1247" i="5"/>
  <c r="E1248" i="5"/>
  <c r="I1250" i="5"/>
  <c r="E1262" i="5"/>
  <c r="G1264" i="5"/>
  <c r="E1270" i="5"/>
  <c r="E1274" i="5"/>
  <c r="F1278" i="5"/>
  <c r="G1280" i="5"/>
  <c r="E1284" i="5"/>
  <c r="I1290" i="5"/>
  <c r="I1292" i="5"/>
  <c r="E1294" i="5"/>
  <c r="E1295" i="5"/>
  <c r="E1296" i="5"/>
  <c r="G1302" i="5"/>
  <c r="I1304" i="5"/>
  <c r="E1306" i="5"/>
  <c r="G1307" i="5"/>
  <c r="E1308" i="5"/>
  <c r="E1314" i="5"/>
  <c r="G1315" i="5"/>
  <c r="E1316" i="5"/>
  <c r="E1322" i="5"/>
  <c r="G1323" i="5"/>
  <c r="E1324" i="5"/>
  <c r="I1302" i="5"/>
  <c r="H1323" i="5"/>
  <c r="G1236" i="5"/>
  <c r="H1237" i="5"/>
  <c r="G1238" i="5"/>
  <c r="E1244" i="5"/>
  <c r="G1246" i="5"/>
  <c r="I1247" i="5"/>
  <c r="G1248" i="5"/>
  <c r="E1252" i="5"/>
  <c r="G1261" i="5"/>
  <c r="G1262" i="5"/>
  <c r="H1269" i="5"/>
  <c r="G1270" i="5"/>
  <c r="G1274" i="5"/>
  <c r="G1284" i="5"/>
  <c r="G1294" i="5"/>
  <c r="H1295" i="5"/>
  <c r="G1296" i="5"/>
  <c r="G1306" i="5"/>
  <c r="I1307" i="5"/>
  <c r="G1308" i="5"/>
  <c r="G1314" i="5"/>
  <c r="I1315" i="5"/>
  <c r="G1316" i="5"/>
  <c r="G1322" i="5"/>
  <c r="I1323" i="5"/>
  <c r="G1324" i="5"/>
  <c r="E1327" i="5"/>
  <c r="F1328" i="5"/>
  <c r="F1244" i="5"/>
  <c r="F1252" i="5"/>
  <c r="H1261" i="5"/>
  <c r="I1306" i="5"/>
  <c r="I1308" i="5"/>
  <c r="I1314" i="5"/>
  <c r="I1316" i="5"/>
  <c r="I1322" i="5"/>
  <c r="I1324" i="5"/>
  <c r="H1327" i="5"/>
  <c r="G1328" i="5"/>
  <c r="I1327" i="5"/>
  <c r="I1244" i="5"/>
  <c r="E1250" i="5"/>
  <c r="I1252" i="5"/>
  <c r="H1265" i="5"/>
  <c r="G1281" i="5"/>
  <c r="E1290" i="5"/>
  <c r="E1291" i="5"/>
  <c r="E1292" i="5"/>
  <c r="E1220" i="5"/>
  <c r="E1221" i="5"/>
  <c r="E1222" i="5"/>
  <c r="I1234" i="5"/>
  <c r="I1240" i="5"/>
  <c r="I1242" i="5"/>
  <c r="F1250" i="5"/>
  <c r="G1256" i="5"/>
  <c r="I1257" i="5"/>
  <c r="G1258" i="5"/>
  <c r="I1259" i="5"/>
  <c r="I1260" i="5"/>
  <c r="E1264" i="5"/>
  <c r="I1266" i="5"/>
  <c r="I1268" i="5"/>
  <c r="G1272" i="5"/>
  <c r="G1276" i="5"/>
  <c r="E1280" i="5"/>
  <c r="I1282" i="5"/>
  <c r="G1286" i="5"/>
  <c r="F1290" i="5"/>
  <c r="G1291" i="5"/>
  <c r="F1292" i="5"/>
  <c r="E1302" i="5"/>
  <c r="G1303" i="5"/>
  <c r="F1304" i="5"/>
  <c r="H112" i="5"/>
  <c r="I112" i="5"/>
  <c r="F113" i="5"/>
  <c r="H113" i="5"/>
  <c r="F155" i="5"/>
  <c r="H155" i="5"/>
  <c r="G155" i="5"/>
  <c r="E3" i="5"/>
  <c r="I5" i="5"/>
  <c r="E7" i="5"/>
  <c r="I9" i="5"/>
  <c r="E11" i="5"/>
  <c r="I13" i="5"/>
  <c r="E15" i="5"/>
  <c r="I17" i="5"/>
  <c r="E19" i="5"/>
  <c r="I21" i="5"/>
  <c r="E23" i="5"/>
  <c r="I25" i="5"/>
  <c r="E27" i="5"/>
  <c r="I29" i="5"/>
  <c r="E31" i="5"/>
  <c r="I33" i="5"/>
  <c r="E35" i="5"/>
  <c r="I37" i="5"/>
  <c r="E39" i="5"/>
  <c r="I41" i="5"/>
  <c r="E43" i="5"/>
  <c r="I45" i="5"/>
  <c r="E47" i="5"/>
  <c r="I49" i="5"/>
  <c r="E51" i="5"/>
  <c r="I53" i="5"/>
  <c r="E55" i="5"/>
  <c r="I57" i="5"/>
  <c r="E59" i="5"/>
  <c r="I61" i="5"/>
  <c r="E63" i="5"/>
  <c r="I65" i="5"/>
  <c r="E67" i="5"/>
  <c r="I69" i="5"/>
  <c r="E71" i="5"/>
  <c r="I73" i="5"/>
  <c r="E75" i="5"/>
  <c r="I77" i="5"/>
  <c r="E79" i="5"/>
  <c r="I81" i="5"/>
  <c r="E83" i="5"/>
  <c r="I85" i="5"/>
  <c r="F87" i="5"/>
  <c r="E88" i="5"/>
  <c r="I98" i="5"/>
  <c r="E112" i="5"/>
  <c r="E113" i="5"/>
  <c r="F123" i="5"/>
  <c r="H124" i="5"/>
  <c r="I124" i="5"/>
  <c r="F125" i="5"/>
  <c r="I125" i="5"/>
  <c r="H125" i="5"/>
  <c r="H127" i="5"/>
  <c r="F127" i="5"/>
  <c r="E127" i="5"/>
  <c r="F153" i="5"/>
  <c r="E153" i="5"/>
  <c r="I153" i="5"/>
  <c r="E155" i="5"/>
  <c r="F3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I86" i="5"/>
  <c r="G87" i="5"/>
  <c r="G88" i="5"/>
  <c r="G94" i="5"/>
  <c r="E95" i="5"/>
  <c r="E104" i="5"/>
  <c r="F112" i="5"/>
  <c r="G113" i="5"/>
  <c r="E116" i="5"/>
  <c r="G123" i="5"/>
  <c r="E124" i="5"/>
  <c r="E125" i="5"/>
  <c r="F139" i="5"/>
  <c r="E139" i="5"/>
  <c r="F145" i="5"/>
  <c r="H145" i="5"/>
  <c r="G145" i="5"/>
  <c r="G153" i="5"/>
  <c r="I155" i="5"/>
  <c r="F167" i="5"/>
  <c r="I167" i="5"/>
  <c r="H167" i="5"/>
  <c r="G167" i="5"/>
  <c r="E167" i="5"/>
  <c r="G15" i="5"/>
  <c r="G23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I87" i="5"/>
  <c r="H88" i="5"/>
  <c r="F95" i="5"/>
  <c r="F104" i="5"/>
  <c r="G112" i="5"/>
  <c r="I113" i="5"/>
  <c r="F116" i="5"/>
  <c r="H119" i="5"/>
  <c r="G119" i="5"/>
  <c r="H120" i="5"/>
  <c r="I120" i="5"/>
  <c r="F120" i="5"/>
  <c r="E120" i="5"/>
  <c r="H123" i="5"/>
  <c r="F124" i="5"/>
  <c r="G125" i="5"/>
  <c r="E145" i="5"/>
  <c r="F163" i="5"/>
  <c r="E163" i="5"/>
  <c r="I163" i="5"/>
  <c r="G11" i="5"/>
  <c r="G19" i="5"/>
  <c r="H27" i="5"/>
  <c r="H31" i="5"/>
  <c r="H35" i="5"/>
  <c r="H63" i="5"/>
  <c r="H67" i="5"/>
  <c r="H71" i="5"/>
  <c r="H75" i="5"/>
  <c r="H79" i="5"/>
  <c r="H83" i="5"/>
  <c r="I88" i="5"/>
  <c r="I123" i="5"/>
  <c r="G124" i="5"/>
  <c r="I145" i="5"/>
  <c r="G163" i="5"/>
  <c r="H3" i="5"/>
  <c r="H7" i="5"/>
  <c r="H11" i="5"/>
  <c r="H23" i="5"/>
  <c r="I3" i="5"/>
  <c r="G4" i="5"/>
  <c r="E5" i="5"/>
  <c r="I7" i="5"/>
  <c r="G8" i="5"/>
  <c r="E9" i="5"/>
  <c r="G12" i="5"/>
  <c r="E13" i="5"/>
  <c r="I15" i="5"/>
  <c r="G16" i="5"/>
  <c r="E17" i="5"/>
  <c r="I19" i="5"/>
  <c r="G20" i="5"/>
  <c r="E21" i="5"/>
  <c r="G24" i="5"/>
  <c r="E25" i="5"/>
  <c r="I27" i="5"/>
  <c r="G28" i="5"/>
  <c r="E29" i="5"/>
  <c r="I31" i="5"/>
  <c r="G32" i="5"/>
  <c r="E33" i="5"/>
  <c r="G36" i="5"/>
  <c r="E37" i="5"/>
  <c r="I39" i="5"/>
  <c r="G40" i="5"/>
  <c r="E41" i="5"/>
  <c r="I43" i="5"/>
  <c r="G44" i="5"/>
  <c r="E45" i="5"/>
  <c r="I47" i="5"/>
  <c r="G48" i="5"/>
  <c r="E49" i="5"/>
  <c r="I51" i="5"/>
  <c r="G52" i="5"/>
  <c r="E53" i="5"/>
  <c r="I55" i="5"/>
  <c r="G56" i="5"/>
  <c r="E57" i="5"/>
  <c r="I59" i="5"/>
  <c r="G60" i="5"/>
  <c r="E61" i="5"/>
  <c r="G64" i="5"/>
  <c r="E65" i="5"/>
  <c r="G68" i="5"/>
  <c r="E69" i="5"/>
  <c r="G72" i="5"/>
  <c r="E73" i="5"/>
  <c r="G76" i="5"/>
  <c r="E77" i="5"/>
  <c r="G80" i="5"/>
  <c r="E81" i="5"/>
  <c r="G84" i="5"/>
  <c r="E85" i="5"/>
  <c r="G90" i="5"/>
  <c r="E91" i="5"/>
  <c r="I95" i="5"/>
  <c r="E98" i="5"/>
  <c r="I104" i="5"/>
  <c r="E107" i="5"/>
  <c r="H108" i="5"/>
  <c r="E108" i="5"/>
  <c r="I116" i="5"/>
  <c r="F131" i="5"/>
  <c r="I131" i="5"/>
  <c r="F133" i="5"/>
  <c r="I133" i="5"/>
  <c r="H133" i="5"/>
  <c r="F135" i="5"/>
  <c r="I135" i="5"/>
  <c r="G135" i="5"/>
  <c r="E135" i="5"/>
  <c r="I139" i="5"/>
  <c r="H163" i="5"/>
  <c r="F177" i="5"/>
  <c r="I177" i="5"/>
  <c r="H177" i="5"/>
  <c r="G177" i="5"/>
  <c r="F53" i="5"/>
  <c r="F57" i="5"/>
  <c r="F61" i="5"/>
  <c r="F65" i="5"/>
  <c r="F69" i="5"/>
  <c r="F73" i="5"/>
  <c r="F77" i="5"/>
  <c r="F81" i="5"/>
  <c r="F85" i="5"/>
  <c r="F91" i="5"/>
  <c r="E92" i="5"/>
  <c r="I96" i="5"/>
  <c r="F98" i="5"/>
  <c r="E99" i="5"/>
  <c r="H100" i="5"/>
  <c r="G100" i="5"/>
  <c r="F101" i="5"/>
  <c r="G101" i="5"/>
  <c r="I105" i="5"/>
  <c r="F107" i="5"/>
  <c r="F108" i="5"/>
  <c r="I119" i="5"/>
  <c r="F129" i="5"/>
  <c r="E129" i="5"/>
  <c r="E131" i="5"/>
  <c r="E133" i="5"/>
  <c r="H135" i="5"/>
  <c r="E177" i="5"/>
  <c r="G91" i="5"/>
  <c r="H107" i="5"/>
  <c r="G133" i="5"/>
  <c r="F157" i="5"/>
  <c r="I157" i="5"/>
  <c r="G157" i="5"/>
  <c r="E157" i="5"/>
  <c r="H293" i="5"/>
  <c r="G293" i="5"/>
  <c r="F293" i="5"/>
  <c r="H297" i="5"/>
  <c r="G297" i="5"/>
  <c r="F297" i="5"/>
  <c r="H143" i="5"/>
  <c r="H165" i="5"/>
  <c r="H175" i="5"/>
  <c r="I185" i="5"/>
  <c r="G187" i="5"/>
  <c r="E189" i="5"/>
  <c r="I195" i="5"/>
  <c r="H197" i="5"/>
  <c r="E199" i="5"/>
  <c r="H207" i="5"/>
  <c r="G209" i="5"/>
  <c r="I217" i="5"/>
  <c r="G219" i="5"/>
  <c r="E221" i="5"/>
  <c r="I227" i="5"/>
  <c r="H229" i="5"/>
  <c r="E231" i="5"/>
  <c r="H239" i="5"/>
  <c r="G241" i="5"/>
  <c r="I249" i="5"/>
  <c r="G251" i="5"/>
  <c r="E253" i="5"/>
  <c r="I259" i="5"/>
  <c r="H261" i="5"/>
  <c r="E263" i="5"/>
  <c r="H271" i="5"/>
  <c r="G273" i="5"/>
  <c r="I287" i="5"/>
  <c r="I293" i="5"/>
  <c r="I297" i="5"/>
  <c r="E121" i="5"/>
  <c r="E137" i="5"/>
  <c r="I143" i="5"/>
  <c r="E147" i="5"/>
  <c r="I165" i="5"/>
  <c r="E169" i="5"/>
  <c r="I175" i="5"/>
  <c r="E179" i="5"/>
  <c r="H187" i="5"/>
  <c r="G189" i="5"/>
  <c r="I197" i="5"/>
  <c r="G199" i="5"/>
  <c r="E201" i="5"/>
  <c r="I207" i="5"/>
  <c r="H209" i="5"/>
  <c r="E211" i="5"/>
  <c r="H219" i="5"/>
  <c r="G221" i="5"/>
  <c r="I229" i="5"/>
  <c r="G231" i="5"/>
  <c r="E233" i="5"/>
  <c r="I239" i="5"/>
  <c r="H241" i="5"/>
  <c r="E243" i="5"/>
  <c r="H251" i="5"/>
  <c r="G253" i="5"/>
  <c r="I261" i="5"/>
  <c r="G263" i="5"/>
  <c r="E265" i="5"/>
  <c r="I271" i="5"/>
  <c r="H273" i="5"/>
  <c r="E275" i="5"/>
  <c r="I187" i="5"/>
  <c r="H189" i="5"/>
  <c r="H199" i="5"/>
  <c r="I209" i="5"/>
  <c r="I219" i="5"/>
  <c r="H221" i="5"/>
  <c r="H231" i="5"/>
  <c r="I241" i="5"/>
  <c r="I251" i="5"/>
  <c r="H253" i="5"/>
  <c r="H263" i="5"/>
  <c r="I273" i="5"/>
  <c r="I313" i="5"/>
  <c r="H313" i="5"/>
  <c r="G313" i="5"/>
  <c r="F313" i="5"/>
  <c r="E161" i="5"/>
  <c r="E171" i="5"/>
  <c r="I189" i="5"/>
  <c r="E193" i="5"/>
  <c r="I199" i="5"/>
  <c r="H201" i="5"/>
  <c r="E203" i="5"/>
  <c r="H211" i="5"/>
  <c r="I221" i="5"/>
  <c r="E225" i="5"/>
  <c r="I231" i="5"/>
  <c r="H233" i="5"/>
  <c r="E235" i="5"/>
  <c r="H243" i="5"/>
  <c r="I253" i="5"/>
  <c r="E257" i="5"/>
  <c r="I263" i="5"/>
  <c r="H265" i="5"/>
  <c r="E267" i="5"/>
  <c r="H275" i="5"/>
  <c r="E279" i="5"/>
  <c r="G281" i="5"/>
  <c r="F281" i="5"/>
  <c r="H309" i="5"/>
  <c r="G309" i="5"/>
  <c r="F309" i="5"/>
  <c r="E313" i="5"/>
  <c r="G285" i="5"/>
  <c r="F285" i="5"/>
  <c r="H305" i="5"/>
  <c r="G305" i="5"/>
  <c r="F305" i="5"/>
  <c r="H161" i="5"/>
  <c r="H171" i="5"/>
  <c r="E185" i="5"/>
  <c r="H193" i="5"/>
  <c r="E195" i="5"/>
  <c r="H203" i="5"/>
  <c r="E217" i="5"/>
  <c r="H225" i="5"/>
  <c r="E227" i="5"/>
  <c r="H235" i="5"/>
  <c r="E249" i="5"/>
  <c r="H257" i="5"/>
  <c r="E259" i="5"/>
  <c r="H267" i="5"/>
  <c r="H279" i="5"/>
  <c r="E285" i="5"/>
  <c r="E287" i="5"/>
  <c r="G289" i="5"/>
  <c r="F289" i="5"/>
  <c r="H301" i="5"/>
  <c r="G301" i="5"/>
  <c r="F301" i="5"/>
  <c r="E305" i="5"/>
  <c r="I443" i="5"/>
  <c r="H443" i="5"/>
  <c r="G444" i="5"/>
  <c r="F444" i="5"/>
  <c r="G476" i="5"/>
  <c r="F476" i="5"/>
  <c r="F317" i="5"/>
  <c r="F321" i="5"/>
  <c r="F325" i="5"/>
  <c r="F329" i="5"/>
  <c r="F333" i="5"/>
  <c r="F337" i="5"/>
  <c r="F341" i="5"/>
  <c r="F345" i="5"/>
  <c r="F349" i="5"/>
  <c r="F353" i="5"/>
  <c r="F357" i="5"/>
  <c r="F361" i="5"/>
  <c r="F365" i="5"/>
  <c r="F369" i="5"/>
  <c r="F373" i="5"/>
  <c r="F377" i="5"/>
  <c r="F381" i="5"/>
  <c r="F385" i="5"/>
  <c r="F389" i="5"/>
  <c r="F393" i="5"/>
  <c r="F397" i="5"/>
  <c r="F401" i="5"/>
  <c r="F405" i="5"/>
  <c r="F409" i="5"/>
  <c r="F413" i="5"/>
  <c r="F417" i="5"/>
  <c r="F421" i="5"/>
  <c r="I434" i="5"/>
  <c r="F439" i="5"/>
  <c r="H440" i="5"/>
  <c r="G442" i="5"/>
  <c r="E443" i="5"/>
  <c r="E444" i="5"/>
  <c r="G446" i="5"/>
  <c r="H448" i="5"/>
  <c r="H450" i="5"/>
  <c r="I454" i="5"/>
  <c r="G472" i="5"/>
  <c r="F472" i="5"/>
  <c r="E474" i="5"/>
  <c r="E476" i="5"/>
  <c r="G478" i="5"/>
  <c r="G486" i="5"/>
  <c r="F486" i="5"/>
  <c r="G492" i="5"/>
  <c r="H492" i="5"/>
  <c r="F492" i="5"/>
  <c r="H500" i="5"/>
  <c r="G500" i="5"/>
  <c r="I500" i="5"/>
  <c r="F500" i="5"/>
  <c r="G317" i="5"/>
  <c r="G321" i="5"/>
  <c r="G325" i="5"/>
  <c r="G329" i="5"/>
  <c r="G333" i="5"/>
  <c r="G337" i="5"/>
  <c r="G341" i="5"/>
  <c r="G345" i="5"/>
  <c r="G349" i="5"/>
  <c r="G353" i="5"/>
  <c r="G357" i="5"/>
  <c r="G361" i="5"/>
  <c r="G365" i="5"/>
  <c r="G369" i="5"/>
  <c r="G373" i="5"/>
  <c r="G377" i="5"/>
  <c r="G381" i="5"/>
  <c r="G385" i="5"/>
  <c r="G389" i="5"/>
  <c r="G393" i="5"/>
  <c r="G397" i="5"/>
  <c r="G401" i="5"/>
  <c r="G405" i="5"/>
  <c r="G409" i="5"/>
  <c r="G413" i="5"/>
  <c r="G417" i="5"/>
  <c r="G421" i="5"/>
  <c r="F443" i="5"/>
  <c r="H444" i="5"/>
  <c r="H446" i="5"/>
  <c r="G468" i="5"/>
  <c r="F468" i="5"/>
  <c r="G474" i="5"/>
  <c r="H476" i="5"/>
  <c r="H478" i="5"/>
  <c r="I503" i="5"/>
  <c r="E503" i="5"/>
  <c r="G503" i="5"/>
  <c r="F503" i="5"/>
  <c r="H317" i="5"/>
  <c r="H321" i="5"/>
  <c r="H325" i="5"/>
  <c r="H329" i="5"/>
  <c r="H333" i="5"/>
  <c r="H337" i="5"/>
  <c r="H341" i="5"/>
  <c r="H345" i="5"/>
  <c r="H349" i="5"/>
  <c r="H353" i="5"/>
  <c r="H357" i="5"/>
  <c r="H361" i="5"/>
  <c r="H365" i="5"/>
  <c r="H369" i="5"/>
  <c r="H373" i="5"/>
  <c r="H377" i="5"/>
  <c r="H381" i="5"/>
  <c r="H385" i="5"/>
  <c r="H389" i="5"/>
  <c r="H393" i="5"/>
  <c r="H397" i="5"/>
  <c r="H401" i="5"/>
  <c r="H405" i="5"/>
  <c r="H409" i="5"/>
  <c r="H413" i="5"/>
  <c r="H417" i="5"/>
  <c r="H421" i="5"/>
  <c r="I423" i="5"/>
  <c r="H423" i="5"/>
  <c r="G424" i="5"/>
  <c r="F424" i="5"/>
  <c r="E426" i="5"/>
  <c r="G443" i="5"/>
  <c r="I444" i="5"/>
  <c r="I446" i="5"/>
  <c r="G464" i="5"/>
  <c r="F464" i="5"/>
  <c r="E466" i="5"/>
  <c r="E468" i="5"/>
  <c r="H474" i="5"/>
  <c r="I476" i="5"/>
  <c r="I478" i="5"/>
  <c r="G484" i="5"/>
  <c r="F484" i="5"/>
  <c r="I490" i="5"/>
  <c r="F490" i="5"/>
  <c r="E490" i="5"/>
  <c r="I427" i="5"/>
  <c r="H427" i="5"/>
  <c r="G428" i="5"/>
  <c r="F428" i="5"/>
  <c r="G460" i="5"/>
  <c r="F460" i="5"/>
  <c r="G466" i="5"/>
  <c r="H468" i="5"/>
  <c r="I474" i="5"/>
  <c r="F423" i="5"/>
  <c r="H424" i="5"/>
  <c r="E427" i="5"/>
  <c r="E428" i="5"/>
  <c r="I431" i="5"/>
  <c r="H431" i="5"/>
  <c r="G432" i="5"/>
  <c r="F432" i="5"/>
  <c r="E434" i="5"/>
  <c r="G456" i="5"/>
  <c r="F456" i="5"/>
  <c r="E458" i="5"/>
  <c r="E460" i="5"/>
  <c r="G462" i="5"/>
  <c r="H464" i="5"/>
  <c r="H466" i="5"/>
  <c r="I468" i="5"/>
  <c r="I470" i="5"/>
  <c r="G482" i="5"/>
  <c r="F482" i="5"/>
  <c r="H484" i="5"/>
  <c r="E489" i="5"/>
  <c r="G489" i="5"/>
  <c r="F489" i="5"/>
  <c r="H490" i="5"/>
  <c r="F501" i="5"/>
  <c r="E501" i="5"/>
  <c r="I501" i="5"/>
  <c r="H501" i="5"/>
  <c r="F427" i="5"/>
  <c r="H428" i="5"/>
  <c r="I435" i="5"/>
  <c r="H435" i="5"/>
  <c r="G436" i="5"/>
  <c r="F436" i="5"/>
  <c r="G452" i="5"/>
  <c r="F452" i="5"/>
  <c r="G458" i="5"/>
  <c r="H460" i="5"/>
  <c r="H462" i="5"/>
  <c r="I464" i="5"/>
  <c r="I466" i="5"/>
  <c r="G480" i="5"/>
  <c r="F480" i="5"/>
  <c r="I484" i="5"/>
  <c r="I439" i="5"/>
  <c r="H439" i="5"/>
  <c r="G440" i="5"/>
  <c r="F440" i="5"/>
  <c r="G448" i="5"/>
  <c r="F448" i="5"/>
  <c r="H458" i="5"/>
  <c r="I460" i="5"/>
  <c r="G488" i="5"/>
  <c r="H488" i="5"/>
  <c r="F488" i="5"/>
  <c r="E493" i="5"/>
  <c r="G493" i="5"/>
  <c r="F493" i="5"/>
  <c r="H447" i="5"/>
  <c r="H451" i="5"/>
  <c r="H455" i="5"/>
  <c r="H459" i="5"/>
  <c r="H463" i="5"/>
  <c r="H467" i="5"/>
  <c r="H471" i="5"/>
  <c r="H475" i="5"/>
  <c r="H479" i="5"/>
  <c r="H483" i="5"/>
  <c r="H487" i="5"/>
  <c r="G499" i="5"/>
  <c r="E504" i="5"/>
  <c r="G505" i="5"/>
  <c r="E507" i="5"/>
  <c r="H508" i="5"/>
  <c r="G508" i="5"/>
  <c r="F509" i="5"/>
  <c r="E509" i="5"/>
  <c r="F532" i="5"/>
  <c r="H533" i="5"/>
  <c r="F535" i="5"/>
  <c r="E536" i="5"/>
  <c r="G537" i="5"/>
  <c r="G545" i="5"/>
  <c r="G553" i="5"/>
  <c r="G561" i="5"/>
  <c r="I575" i="5"/>
  <c r="F575" i="5"/>
  <c r="E575" i="5"/>
  <c r="G581" i="5"/>
  <c r="F581" i="5"/>
  <c r="E581" i="5"/>
  <c r="I581" i="5"/>
  <c r="G595" i="5"/>
  <c r="E666" i="5"/>
  <c r="I666" i="5"/>
  <c r="H666" i="5"/>
  <c r="G666" i="5"/>
  <c r="F666" i="5"/>
  <c r="E718" i="5"/>
  <c r="I718" i="5"/>
  <c r="H718" i="5"/>
  <c r="G718" i="5"/>
  <c r="F718" i="5"/>
  <c r="I723" i="5"/>
  <c r="H723" i="5"/>
  <c r="G723" i="5"/>
  <c r="F723" i="5"/>
  <c r="E723" i="5"/>
  <c r="E485" i="5"/>
  <c r="H499" i="5"/>
  <c r="F507" i="5"/>
  <c r="E508" i="5"/>
  <c r="G509" i="5"/>
  <c r="E511" i="5"/>
  <c r="H512" i="5"/>
  <c r="G512" i="5"/>
  <c r="F513" i="5"/>
  <c r="E513" i="5"/>
  <c r="H531" i="5"/>
  <c r="G535" i="5"/>
  <c r="G575" i="5"/>
  <c r="H581" i="5"/>
  <c r="I587" i="5"/>
  <c r="F587" i="5"/>
  <c r="E587" i="5"/>
  <c r="G593" i="5"/>
  <c r="F593" i="5"/>
  <c r="E593" i="5"/>
  <c r="I593" i="5"/>
  <c r="G629" i="5"/>
  <c r="E629" i="5"/>
  <c r="H629" i="5"/>
  <c r="F629" i="5"/>
  <c r="E674" i="5"/>
  <c r="I674" i="5"/>
  <c r="H674" i="5"/>
  <c r="G674" i="5"/>
  <c r="F674" i="5"/>
  <c r="I728" i="5"/>
  <c r="G728" i="5"/>
  <c r="F728" i="5"/>
  <c r="E728" i="5"/>
  <c r="H728" i="5"/>
  <c r="H516" i="5"/>
  <c r="G516" i="5"/>
  <c r="F517" i="5"/>
  <c r="E517" i="5"/>
  <c r="I543" i="5"/>
  <c r="F543" i="5"/>
  <c r="E543" i="5"/>
  <c r="I551" i="5"/>
  <c r="F551" i="5"/>
  <c r="E551" i="5"/>
  <c r="I559" i="5"/>
  <c r="F559" i="5"/>
  <c r="E559" i="5"/>
  <c r="I567" i="5"/>
  <c r="F567" i="5"/>
  <c r="E567" i="5"/>
  <c r="G573" i="5"/>
  <c r="F573" i="5"/>
  <c r="E573" i="5"/>
  <c r="I573" i="5"/>
  <c r="H575" i="5"/>
  <c r="I599" i="5"/>
  <c r="F599" i="5"/>
  <c r="E599" i="5"/>
  <c r="I616" i="5"/>
  <c r="H616" i="5"/>
  <c r="F616" i="5"/>
  <c r="E616" i="5"/>
  <c r="G625" i="5"/>
  <c r="E625" i="5"/>
  <c r="H625" i="5"/>
  <c r="F625" i="5"/>
  <c r="E682" i="5"/>
  <c r="I682" i="5"/>
  <c r="H682" i="5"/>
  <c r="G682" i="5"/>
  <c r="F682" i="5"/>
  <c r="G794" i="5"/>
  <c r="I794" i="5"/>
  <c r="H794" i="5"/>
  <c r="F794" i="5"/>
  <c r="E794" i="5"/>
  <c r="E516" i="5"/>
  <c r="G517" i="5"/>
  <c r="E519" i="5"/>
  <c r="H520" i="5"/>
  <c r="G520" i="5"/>
  <c r="F521" i="5"/>
  <c r="E521" i="5"/>
  <c r="F541" i="5"/>
  <c r="E541" i="5"/>
  <c r="I541" i="5"/>
  <c r="G543" i="5"/>
  <c r="F549" i="5"/>
  <c r="E549" i="5"/>
  <c r="I549" i="5"/>
  <c r="G551" i="5"/>
  <c r="F557" i="5"/>
  <c r="E557" i="5"/>
  <c r="I557" i="5"/>
  <c r="G559" i="5"/>
  <c r="F565" i="5"/>
  <c r="E565" i="5"/>
  <c r="I565" i="5"/>
  <c r="G567" i="5"/>
  <c r="I579" i="5"/>
  <c r="F579" i="5"/>
  <c r="E579" i="5"/>
  <c r="G585" i="5"/>
  <c r="F585" i="5"/>
  <c r="E585" i="5"/>
  <c r="I585" i="5"/>
  <c r="G616" i="5"/>
  <c r="I625" i="5"/>
  <c r="E690" i="5"/>
  <c r="I690" i="5"/>
  <c r="H690" i="5"/>
  <c r="G690" i="5"/>
  <c r="F690" i="5"/>
  <c r="H511" i="5"/>
  <c r="I512" i="5"/>
  <c r="I513" i="5"/>
  <c r="F516" i="5"/>
  <c r="H517" i="5"/>
  <c r="F519" i="5"/>
  <c r="E520" i="5"/>
  <c r="G521" i="5"/>
  <c r="E523" i="5"/>
  <c r="H524" i="5"/>
  <c r="G524" i="5"/>
  <c r="F525" i="5"/>
  <c r="E525" i="5"/>
  <c r="G541" i="5"/>
  <c r="H543" i="5"/>
  <c r="G549" i="5"/>
  <c r="H551" i="5"/>
  <c r="G557" i="5"/>
  <c r="H559" i="5"/>
  <c r="G565" i="5"/>
  <c r="H567" i="5"/>
  <c r="G579" i="5"/>
  <c r="H585" i="5"/>
  <c r="I591" i="5"/>
  <c r="F591" i="5"/>
  <c r="E591" i="5"/>
  <c r="G597" i="5"/>
  <c r="F597" i="5"/>
  <c r="E597" i="5"/>
  <c r="I597" i="5"/>
  <c r="H599" i="5"/>
  <c r="E698" i="5"/>
  <c r="I698" i="5"/>
  <c r="H698" i="5"/>
  <c r="G698" i="5"/>
  <c r="F698" i="5"/>
  <c r="H496" i="5"/>
  <c r="G496" i="5"/>
  <c r="F497" i="5"/>
  <c r="E497" i="5"/>
  <c r="I516" i="5"/>
  <c r="I517" i="5"/>
  <c r="G519" i="5"/>
  <c r="F520" i="5"/>
  <c r="H521" i="5"/>
  <c r="F523" i="5"/>
  <c r="H528" i="5"/>
  <c r="G528" i="5"/>
  <c r="F529" i="5"/>
  <c r="E529" i="5"/>
  <c r="H541" i="5"/>
  <c r="H549" i="5"/>
  <c r="H557" i="5"/>
  <c r="H565" i="5"/>
  <c r="I571" i="5"/>
  <c r="F571" i="5"/>
  <c r="E571" i="5"/>
  <c r="G577" i="5"/>
  <c r="F577" i="5"/>
  <c r="E577" i="5"/>
  <c r="I577" i="5"/>
  <c r="H579" i="5"/>
  <c r="G591" i="5"/>
  <c r="H597" i="5"/>
  <c r="I603" i="5"/>
  <c r="H603" i="5"/>
  <c r="F603" i="5"/>
  <c r="E603" i="5"/>
  <c r="I628" i="5"/>
  <c r="G628" i="5"/>
  <c r="F628" i="5"/>
  <c r="E628" i="5"/>
  <c r="H532" i="5"/>
  <c r="G532" i="5"/>
  <c r="F533" i="5"/>
  <c r="E533" i="5"/>
  <c r="I539" i="5"/>
  <c r="F539" i="5"/>
  <c r="E539" i="5"/>
  <c r="I547" i="5"/>
  <c r="F547" i="5"/>
  <c r="E547" i="5"/>
  <c r="I555" i="5"/>
  <c r="F555" i="5"/>
  <c r="E555" i="5"/>
  <c r="I563" i="5"/>
  <c r="F563" i="5"/>
  <c r="E563" i="5"/>
  <c r="I583" i="5"/>
  <c r="F583" i="5"/>
  <c r="E583" i="5"/>
  <c r="G589" i="5"/>
  <c r="F589" i="5"/>
  <c r="E589" i="5"/>
  <c r="I589" i="5"/>
  <c r="I608" i="5"/>
  <c r="H608" i="5"/>
  <c r="F608" i="5"/>
  <c r="E608" i="5"/>
  <c r="I624" i="5"/>
  <c r="G624" i="5"/>
  <c r="F624" i="5"/>
  <c r="E624" i="5"/>
  <c r="E650" i="5"/>
  <c r="I650" i="5"/>
  <c r="H650" i="5"/>
  <c r="G650" i="5"/>
  <c r="F650" i="5"/>
  <c r="H504" i="5"/>
  <c r="G504" i="5"/>
  <c r="F505" i="5"/>
  <c r="E505" i="5"/>
  <c r="E532" i="5"/>
  <c r="G533" i="5"/>
  <c r="E535" i="5"/>
  <c r="H536" i="5"/>
  <c r="G536" i="5"/>
  <c r="F537" i="5"/>
  <c r="E537" i="5"/>
  <c r="I537" i="5"/>
  <c r="G539" i="5"/>
  <c r="F545" i="5"/>
  <c r="E545" i="5"/>
  <c r="I545" i="5"/>
  <c r="F553" i="5"/>
  <c r="E553" i="5"/>
  <c r="I553" i="5"/>
  <c r="F561" i="5"/>
  <c r="E561" i="5"/>
  <c r="I561" i="5"/>
  <c r="G569" i="5"/>
  <c r="F569" i="5"/>
  <c r="E569" i="5"/>
  <c r="I569" i="5"/>
  <c r="G583" i="5"/>
  <c r="I595" i="5"/>
  <c r="F595" i="5"/>
  <c r="E595" i="5"/>
  <c r="H624" i="5"/>
  <c r="E658" i="5"/>
  <c r="I658" i="5"/>
  <c r="H658" i="5"/>
  <c r="G658" i="5"/>
  <c r="F658" i="5"/>
  <c r="I601" i="5"/>
  <c r="I605" i="5"/>
  <c r="E632" i="5"/>
  <c r="F633" i="5"/>
  <c r="E636" i="5"/>
  <c r="F637" i="5"/>
  <c r="E640" i="5"/>
  <c r="F641" i="5"/>
  <c r="E644" i="5"/>
  <c r="F645" i="5"/>
  <c r="F653" i="5"/>
  <c r="F661" i="5"/>
  <c r="F669" i="5"/>
  <c r="F677" i="5"/>
  <c r="F685" i="5"/>
  <c r="F693" i="5"/>
  <c r="F701" i="5"/>
  <c r="F706" i="5"/>
  <c r="E710" i="5"/>
  <c r="I710" i="5"/>
  <c r="E711" i="5"/>
  <c r="I715" i="5"/>
  <c r="H715" i="5"/>
  <c r="G715" i="5"/>
  <c r="I720" i="5"/>
  <c r="G720" i="5"/>
  <c r="F720" i="5"/>
  <c r="E720" i="5"/>
  <c r="E609" i="5"/>
  <c r="E617" i="5"/>
  <c r="I651" i="5"/>
  <c r="G651" i="5"/>
  <c r="I652" i="5"/>
  <c r="G652" i="5"/>
  <c r="E652" i="5"/>
  <c r="I659" i="5"/>
  <c r="G659" i="5"/>
  <c r="I660" i="5"/>
  <c r="G660" i="5"/>
  <c r="E660" i="5"/>
  <c r="I667" i="5"/>
  <c r="G667" i="5"/>
  <c r="I668" i="5"/>
  <c r="G668" i="5"/>
  <c r="E668" i="5"/>
  <c r="I675" i="5"/>
  <c r="G675" i="5"/>
  <c r="I676" i="5"/>
  <c r="G676" i="5"/>
  <c r="E676" i="5"/>
  <c r="I683" i="5"/>
  <c r="G683" i="5"/>
  <c r="I684" i="5"/>
  <c r="G684" i="5"/>
  <c r="E684" i="5"/>
  <c r="I691" i="5"/>
  <c r="G691" i="5"/>
  <c r="I692" i="5"/>
  <c r="G692" i="5"/>
  <c r="E692" i="5"/>
  <c r="I699" i="5"/>
  <c r="G699" i="5"/>
  <c r="I700" i="5"/>
  <c r="G700" i="5"/>
  <c r="E700" i="5"/>
  <c r="E714" i="5"/>
  <c r="I714" i="5"/>
  <c r="I719" i="5"/>
  <c r="H719" i="5"/>
  <c r="G719" i="5"/>
  <c r="I724" i="5"/>
  <c r="G724" i="5"/>
  <c r="F724" i="5"/>
  <c r="E724" i="5"/>
  <c r="H739" i="5"/>
  <c r="E739" i="5"/>
  <c r="I742" i="5"/>
  <c r="H742" i="5"/>
  <c r="G742" i="5"/>
  <c r="F742" i="5"/>
  <c r="H747" i="5"/>
  <c r="I747" i="5"/>
  <c r="G747" i="5"/>
  <c r="H755" i="5"/>
  <c r="I755" i="5"/>
  <c r="G755" i="5"/>
  <c r="F755" i="5"/>
  <c r="E755" i="5"/>
  <c r="G649" i="5"/>
  <c r="E649" i="5"/>
  <c r="G657" i="5"/>
  <c r="E657" i="5"/>
  <c r="G665" i="5"/>
  <c r="E665" i="5"/>
  <c r="G673" i="5"/>
  <c r="E673" i="5"/>
  <c r="G681" i="5"/>
  <c r="E681" i="5"/>
  <c r="G689" i="5"/>
  <c r="E689" i="5"/>
  <c r="G697" i="5"/>
  <c r="E697" i="5"/>
  <c r="E722" i="5"/>
  <c r="I722" i="5"/>
  <c r="I727" i="5"/>
  <c r="H727" i="5"/>
  <c r="G727" i="5"/>
  <c r="I732" i="5"/>
  <c r="G732" i="5"/>
  <c r="F732" i="5"/>
  <c r="E732" i="5"/>
  <c r="F796" i="5"/>
  <c r="I796" i="5"/>
  <c r="H796" i="5"/>
  <c r="G796" i="5"/>
  <c r="E796" i="5"/>
  <c r="G540" i="5"/>
  <c r="G544" i="5"/>
  <c r="G548" i="5"/>
  <c r="G552" i="5"/>
  <c r="G556" i="5"/>
  <c r="G560" i="5"/>
  <c r="G564" i="5"/>
  <c r="G568" i="5"/>
  <c r="G572" i="5"/>
  <c r="G576" i="5"/>
  <c r="G580" i="5"/>
  <c r="G584" i="5"/>
  <c r="G588" i="5"/>
  <c r="G592" i="5"/>
  <c r="G596" i="5"/>
  <c r="G600" i="5"/>
  <c r="E601" i="5"/>
  <c r="G604" i="5"/>
  <c r="E605" i="5"/>
  <c r="I609" i="5"/>
  <c r="H610" i="5"/>
  <c r="G611" i="5"/>
  <c r="E612" i="5"/>
  <c r="I617" i="5"/>
  <c r="H618" i="5"/>
  <c r="G619" i="5"/>
  <c r="E620" i="5"/>
  <c r="F649" i="5"/>
  <c r="H651" i="5"/>
  <c r="F657" i="5"/>
  <c r="H659" i="5"/>
  <c r="F665" i="5"/>
  <c r="H667" i="5"/>
  <c r="F673" i="5"/>
  <c r="H675" i="5"/>
  <c r="F681" i="5"/>
  <c r="H683" i="5"/>
  <c r="F689" i="5"/>
  <c r="H691" i="5"/>
  <c r="F697" i="5"/>
  <c r="H699" i="5"/>
  <c r="I704" i="5"/>
  <c r="G704" i="5"/>
  <c r="F704" i="5"/>
  <c r="E704" i="5"/>
  <c r="H714" i="5"/>
  <c r="F722" i="5"/>
  <c r="E726" i="5"/>
  <c r="I726" i="5"/>
  <c r="E727" i="5"/>
  <c r="I731" i="5"/>
  <c r="H731" i="5"/>
  <c r="G731" i="5"/>
  <c r="H732" i="5"/>
  <c r="F736" i="5"/>
  <c r="H736" i="5"/>
  <c r="G736" i="5"/>
  <c r="E736" i="5"/>
  <c r="H592" i="5"/>
  <c r="H596" i="5"/>
  <c r="H600" i="5"/>
  <c r="F601" i="5"/>
  <c r="H604" i="5"/>
  <c r="F605" i="5"/>
  <c r="I610" i="5"/>
  <c r="H611" i="5"/>
  <c r="F612" i="5"/>
  <c r="E613" i="5"/>
  <c r="I618" i="5"/>
  <c r="H619" i="5"/>
  <c r="F620" i="5"/>
  <c r="E621" i="5"/>
  <c r="I647" i="5"/>
  <c r="G647" i="5"/>
  <c r="I648" i="5"/>
  <c r="G648" i="5"/>
  <c r="E648" i="5"/>
  <c r="H649" i="5"/>
  <c r="I655" i="5"/>
  <c r="G655" i="5"/>
  <c r="I656" i="5"/>
  <c r="G656" i="5"/>
  <c r="E656" i="5"/>
  <c r="H657" i="5"/>
  <c r="I663" i="5"/>
  <c r="G663" i="5"/>
  <c r="I664" i="5"/>
  <c r="G664" i="5"/>
  <c r="E664" i="5"/>
  <c r="H665" i="5"/>
  <c r="I671" i="5"/>
  <c r="G671" i="5"/>
  <c r="I672" i="5"/>
  <c r="G672" i="5"/>
  <c r="E672" i="5"/>
  <c r="H673" i="5"/>
  <c r="I679" i="5"/>
  <c r="G679" i="5"/>
  <c r="I680" i="5"/>
  <c r="G680" i="5"/>
  <c r="E680" i="5"/>
  <c r="H681" i="5"/>
  <c r="I687" i="5"/>
  <c r="G687" i="5"/>
  <c r="I688" i="5"/>
  <c r="G688" i="5"/>
  <c r="E688" i="5"/>
  <c r="H689" i="5"/>
  <c r="I695" i="5"/>
  <c r="G695" i="5"/>
  <c r="I696" i="5"/>
  <c r="G696" i="5"/>
  <c r="E696" i="5"/>
  <c r="H697" i="5"/>
  <c r="I703" i="5"/>
  <c r="H703" i="5"/>
  <c r="G703" i="5"/>
  <c r="H704" i="5"/>
  <c r="I708" i="5"/>
  <c r="G708" i="5"/>
  <c r="F708" i="5"/>
  <c r="E708" i="5"/>
  <c r="G722" i="5"/>
  <c r="F726" i="5"/>
  <c r="F727" i="5"/>
  <c r="E730" i="5"/>
  <c r="I730" i="5"/>
  <c r="E731" i="5"/>
  <c r="I735" i="5"/>
  <c r="H735" i="5"/>
  <c r="G735" i="5"/>
  <c r="I736" i="5"/>
  <c r="G778" i="5"/>
  <c r="I778" i="5"/>
  <c r="H778" i="5"/>
  <c r="F778" i="5"/>
  <c r="E778" i="5"/>
  <c r="G612" i="5"/>
  <c r="F613" i="5"/>
  <c r="G620" i="5"/>
  <c r="F621" i="5"/>
  <c r="E646" i="5"/>
  <c r="I646" i="5"/>
  <c r="E647" i="5"/>
  <c r="F648" i="5"/>
  <c r="I649" i="5"/>
  <c r="E654" i="5"/>
  <c r="I654" i="5"/>
  <c r="E655" i="5"/>
  <c r="F656" i="5"/>
  <c r="I657" i="5"/>
  <c r="E662" i="5"/>
  <c r="I662" i="5"/>
  <c r="E663" i="5"/>
  <c r="F664" i="5"/>
  <c r="I665" i="5"/>
  <c r="E670" i="5"/>
  <c r="I670" i="5"/>
  <c r="E671" i="5"/>
  <c r="F672" i="5"/>
  <c r="I673" i="5"/>
  <c r="E678" i="5"/>
  <c r="I678" i="5"/>
  <c r="E679" i="5"/>
  <c r="F680" i="5"/>
  <c r="I681" i="5"/>
  <c r="E686" i="5"/>
  <c r="I686" i="5"/>
  <c r="E687" i="5"/>
  <c r="F688" i="5"/>
  <c r="I689" i="5"/>
  <c r="E694" i="5"/>
  <c r="I694" i="5"/>
  <c r="E695" i="5"/>
  <c r="F696" i="5"/>
  <c r="I697" i="5"/>
  <c r="E702" i="5"/>
  <c r="I702" i="5"/>
  <c r="E703" i="5"/>
  <c r="I707" i="5"/>
  <c r="H707" i="5"/>
  <c r="G707" i="5"/>
  <c r="H708" i="5"/>
  <c r="I712" i="5"/>
  <c r="G712" i="5"/>
  <c r="F712" i="5"/>
  <c r="E712" i="5"/>
  <c r="H722" i="5"/>
  <c r="G726" i="5"/>
  <c r="F730" i="5"/>
  <c r="F731" i="5"/>
  <c r="E734" i="5"/>
  <c r="I734" i="5"/>
  <c r="E735" i="5"/>
  <c r="F780" i="5"/>
  <c r="I780" i="5"/>
  <c r="H780" i="5"/>
  <c r="G780" i="5"/>
  <c r="E780" i="5"/>
  <c r="I632" i="5"/>
  <c r="G632" i="5"/>
  <c r="G633" i="5"/>
  <c r="E633" i="5"/>
  <c r="I636" i="5"/>
  <c r="G636" i="5"/>
  <c r="G637" i="5"/>
  <c r="E637" i="5"/>
  <c r="I640" i="5"/>
  <c r="G640" i="5"/>
  <c r="G641" i="5"/>
  <c r="E641" i="5"/>
  <c r="I644" i="5"/>
  <c r="G644" i="5"/>
  <c r="G645" i="5"/>
  <c r="E645" i="5"/>
  <c r="G653" i="5"/>
  <c r="E653" i="5"/>
  <c r="G661" i="5"/>
  <c r="E661" i="5"/>
  <c r="G669" i="5"/>
  <c r="E669" i="5"/>
  <c r="G677" i="5"/>
  <c r="E677" i="5"/>
  <c r="G685" i="5"/>
  <c r="E685" i="5"/>
  <c r="G693" i="5"/>
  <c r="E693" i="5"/>
  <c r="G701" i="5"/>
  <c r="E701" i="5"/>
  <c r="E706" i="5"/>
  <c r="I706" i="5"/>
  <c r="I711" i="5"/>
  <c r="H711" i="5"/>
  <c r="G711" i="5"/>
  <c r="I716" i="5"/>
  <c r="G716" i="5"/>
  <c r="F716" i="5"/>
  <c r="E716" i="5"/>
  <c r="F748" i="5"/>
  <c r="I748" i="5"/>
  <c r="H748" i="5"/>
  <c r="G748" i="5"/>
  <c r="H767" i="5"/>
  <c r="I767" i="5"/>
  <c r="G767" i="5"/>
  <c r="F767" i="5"/>
  <c r="E767" i="5"/>
  <c r="H779" i="5"/>
  <c r="E779" i="5"/>
  <c r="H795" i="5"/>
  <c r="E795" i="5"/>
  <c r="E810" i="5"/>
  <c r="H811" i="5"/>
  <c r="E811" i="5"/>
  <c r="E812" i="5"/>
  <c r="H831" i="5"/>
  <c r="F831" i="5"/>
  <c r="E831" i="5"/>
  <c r="H843" i="5"/>
  <c r="G843" i="5"/>
  <c r="F843" i="5"/>
  <c r="E843" i="5"/>
  <c r="H891" i="5"/>
  <c r="G891" i="5"/>
  <c r="I891" i="5"/>
  <c r="F891" i="5"/>
  <c r="E891" i="5"/>
  <c r="H959" i="5"/>
  <c r="G959" i="5"/>
  <c r="F959" i="5"/>
  <c r="I959" i="5"/>
  <c r="E959" i="5"/>
  <c r="I746" i="5"/>
  <c r="G754" i="5"/>
  <c r="H760" i="5"/>
  <c r="E762" i="5"/>
  <c r="E768" i="5"/>
  <c r="F779" i="5"/>
  <c r="F795" i="5"/>
  <c r="F810" i="5"/>
  <c r="F811" i="5"/>
  <c r="G812" i="5"/>
  <c r="F816" i="5"/>
  <c r="I816" i="5"/>
  <c r="H816" i="5"/>
  <c r="H819" i="5"/>
  <c r="F819" i="5"/>
  <c r="E819" i="5"/>
  <c r="G831" i="5"/>
  <c r="I843" i="5"/>
  <c r="H927" i="5"/>
  <c r="G927" i="5"/>
  <c r="F927" i="5"/>
  <c r="I927" i="5"/>
  <c r="E927" i="5"/>
  <c r="H754" i="5"/>
  <c r="I760" i="5"/>
  <c r="F762" i="5"/>
  <c r="G768" i="5"/>
  <c r="G779" i="5"/>
  <c r="H783" i="5"/>
  <c r="E783" i="5"/>
  <c r="G795" i="5"/>
  <c r="H799" i="5"/>
  <c r="E799" i="5"/>
  <c r="H810" i="5"/>
  <c r="G811" i="5"/>
  <c r="H812" i="5"/>
  <c r="H815" i="5"/>
  <c r="E815" i="5"/>
  <c r="I831" i="5"/>
  <c r="H855" i="5"/>
  <c r="G855" i="5"/>
  <c r="I855" i="5"/>
  <c r="F855" i="5"/>
  <c r="E855" i="5"/>
  <c r="H999" i="5"/>
  <c r="G999" i="5"/>
  <c r="E999" i="5"/>
  <c r="I999" i="5"/>
  <c r="F999" i="5"/>
  <c r="E705" i="5"/>
  <c r="E709" i="5"/>
  <c r="E713" i="5"/>
  <c r="E717" i="5"/>
  <c r="E721" i="5"/>
  <c r="E725" i="5"/>
  <c r="E729" i="5"/>
  <c r="E733" i="5"/>
  <c r="E738" i="5"/>
  <c r="F743" i="5"/>
  <c r="E744" i="5"/>
  <c r="F750" i="5"/>
  <c r="G756" i="5"/>
  <c r="G762" i="5"/>
  <c r="E763" i="5"/>
  <c r="H768" i="5"/>
  <c r="E770" i="5"/>
  <c r="I779" i="5"/>
  <c r="F782" i="5"/>
  <c r="F783" i="5"/>
  <c r="G784" i="5"/>
  <c r="I795" i="5"/>
  <c r="F798" i="5"/>
  <c r="F799" i="5"/>
  <c r="G800" i="5"/>
  <c r="I810" i="5"/>
  <c r="I811" i="5"/>
  <c r="I812" i="5"/>
  <c r="F815" i="5"/>
  <c r="G816" i="5"/>
  <c r="I819" i="5"/>
  <c r="H827" i="5"/>
  <c r="F827" i="5"/>
  <c r="E827" i="5"/>
  <c r="I858" i="5"/>
  <c r="H858" i="5"/>
  <c r="G858" i="5"/>
  <c r="F858" i="5"/>
  <c r="E858" i="5"/>
  <c r="H762" i="5"/>
  <c r="I768" i="5"/>
  <c r="H771" i="5"/>
  <c r="E771" i="5"/>
  <c r="H787" i="5"/>
  <c r="E787" i="5"/>
  <c r="H803" i="5"/>
  <c r="E803" i="5"/>
  <c r="E934" i="5"/>
  <c r="I934" i="5"/>
  <c r="H934" i="5"/>
  <c r="G934" i="5"/>
  <c r="F934" i="5"/>
  <c r="I971" i="5"/>
  <c r="H971" i="5"/>
  <c r="G971" i="5"/>
  <c r="F971" i="5"/>
  <c r="E971" i="5"/>
  <c r="I743" i="5"/>
  <c r="H744" i="5"/>
  <c r="F751" i="5"/>
  <c r="E752" i="5"/>
  <c r="I756" i="5"/>
  <c r="G763" i="5"/>
  <c r="G764" i="5"/>
  <c r="F771" i="5"/>
  <c r="G772" i="5"/>
  <c r="I782" i="5"/>
  <c r="I783" i="5"/>
  <c r="I784" i="5"/>
  <c r="F786" i="5"/>
  <c r="F787" i="5"/>
  <c r="G788" i="5"/>
  <c r="I798" i="5"/>
  <c r="I799" i="5"/>
  <c r="I800" i="5"/>
  <c r="F802" i="5"/>
  <c r="F803" i="5"/>
  <c r="G804" i="5"/>
  <c r="I815" i="5"/>
  <c r="I827" i="5"/>
  <c r="F844" i="5"/>
  <c r="E844" i="5"/>
  <c r="H844" i="5"/>
  <c r="G844" i="5"/>
  <c r="I892" i="5"/>
  <c r="F892" i="5"/>
  <c r="E892" i="5"/>
  <c r="H892" i="5"/>
  <c r="G892" i="5"/>
  <c r="H775" i="5"/>
  <c r="E775" i="5"/>
  <c r="H791" i="5"/>
  <c r="E791" i="5"/>
  <c r="H807" i="5"/>
  <c r="E807" i="5"/>
  <c r="H823" i="5"/>
  <c r="F823" i="5"/>
  <c r="E823" i="5"/>
  <c r="F856" i="5"/>
  <c r="E856" i="5"/>
  <c r="I856" i="5"/>
  <c r="H856" i="5"/>
  <c r="G856" i="5"/>
  <c r="H907" i="5"/>
  <c r="G907" i="5"/>
  <c r="I907" i="5"/>
  <c r="F907" i="5"/>
  <c r="E907" i="5"/>
  <c r="H875" i="5"/>
  <c r="G875" i="5"/>
  <c r="F876" i="5"/>
  <c r="E876" i="5"/>
  <c r="E882" i="5"/>
  <c r="I882" i="5"/>
  <c r="E898" i="5"/>
  <c r="I898" i="5"/>
  <c r="H923" i="5"/>
  <c r="G923" i="5"/>
  <c r="F923" i="5"/>
  <c r="E930" i="5"/>
  <c r="I930" i="5"/>
  <c r="H930" i="5"/>
  <c r="H955" i="5"/>
  <c r="G955" i="5"/>
  <c r="F955" i="5"/>
  <c r="I1014" i="5"/>
  <c r="E1014" i="5"/>
  <c r="F1014" i="5"/>
  <c r="H1014" i="5"/>
  <c r="G1014" i="5"/>
  <c r="H820" i="5"/>
  <c r="H824" i="5"/>
  <c r="H828" i="5"/>
  <c r="H834" i="5"/>
  <c r="G838" i="5"/>
  <c r="E846" i="5"/>
  <c r="H847" i="5"/>
  <c r="G847" i="5"/>
  <c r="F848" i="5"/>
  <c r="E848" i="5"/>
  <c r="H866" i="5"/>
  <c r="G870" i="5"/>
  <c r="E875" i="5"/>
  <c r="G876" i="5"/>
  <c r="E878" i="5"/>
  <c r="H879" i="5"/>
  <c r="G879" i="5"/>
  <c r="I880" i="5"/>
  <c r="F880" i="5"/>
  <c r="E880" i="5"/>
  <c r="F882" i="5"/>
  <c r="H895" i="5"/>
  <c r="G895" i="5"/>
  <c r="I896" i="5"/>
  <c r="F896" i="5"/>
  <c r="E896" i="5"/>
  <c r="F898" i="5"/>
  <c r="E910" i="5"/>
  <c r="I910" i="5"/>
  <c r="H910" i="5"/>
  <c r="E923" i="5"/>
  <c r="F930" i="5"/>
  <c r="H935" i="5"/>
  <c r="G935" i="5"/>
  <c r="F935" i="5"/>
  <c r="E942" i="5"/>
  <c r="I942" i="5"/>
  <c r="H942" i="5"/>
  <c r="E955" i="5"/>
  <c r="I967" i="5"/>
  <c r="H967" i="5"/>
  <c r="G967" i="5"/>
  <c r="F967" i="5"/>
  <c r="I820" i="5"/>
  <c r="I824" i="5"/>
  <c r="I828" i="5"/>
  <c r="H838" i="5"/>
  <c r="F846" i="5"/>
  <c r="H851" i="5"/>
  <c r="G851" i="5"/>
  <c r="F852" i="5"/>
  <c r="E852" i="5"/>
  <c r="H870" i="5"/>
  <c r="F875" i="5"/>
  <c r="H876" i="5"/>
  <c r="F878" i="5"/>
  <c r="G882" i="5"/>
  <c r="E894" i="5"/>
  <c r="I894" i="5"/>
  <c r="G898" i="5"/>
  <c r="H915" i="5"/>
  <c r="G915" i="5"/>
  <c r="F915" i="5"/>
  <c r="E922" i="5"/>
  <c r="I922" i="5"/>
  <c r="H922" i="5"/>
  <c r="I923" i="5"/>
  <c r="G930" i="5"/>
  <c r="H947" i="5"/>
  <c r="G947" i="5"/>
  <c r="F947" i="5"/>
  <c r="E954" i="5"/>
  <c r="I954" i="5"/>
  <c r="H954" i="5"/>
  <c r="I955" i="5"/>
  <c r="I1030" i="5"/>
  <c r="E1030" i="5"/>
  <c r="F1030" i="5"/>
  <c r="H1030" i="5"/>
  <c r="G1030" i="5"/>
  <c r="H846" i="5"/>
  <c r="I847" i="5"/>
  <c r="I848" i="5"/>
  <c r="G850" i="5"/>
  <c r="F851" i="5"/>
  <c r="H852" i="5"/>
  <c r="F854" i="5"/>
  <c r="H859" i="5"/>
  <c r="G859" i="5"/>
  <c r="F860" i="5"/>
  <c r="E860" i="5"/>
  <c r="H878" i="5"/>
  <c r="I879" i="5"/>
  <c r="E890" i="5"/>
  <c r="I890" i="5"/>
  <c r="G894" i="5"/>
  <c r="I895" i="5"/>
  <c r="E906" i="5"/>
  <c r="I906" i="5"/>
  <c r="E914" i="5"/>
  <c r="I914" i="5"/>
  <c r="H914" i="5"/>
  <c r="I915" i="5"/>
  <c r="G922" i="5"/>
  <c r="H939" i="5"/>
  <c r="G939" i="5"/>
  <c r="F939" i="5"/>
  <c r="E946" i="5"/>
  <c r="I946" i="5"/>
  <c r="H946" i="5"/>
  <c r="I947" i="5"/>
  <c r="G954" i="5"/>
  <c r="F976" i="5"/>
  <c r="I976" i="5"/>
  <c r="H976" i="5"/>
  <c r="G976" i="5"/>
  <c r="I1002" i="5"/>
  <c r="E1002" i="5"/>
  <c r="H1002" i="5"/>
  <c r="G1002" i="5"/>
  <c r="F1002" i="5"/>
  <c r="F1046" i="5"/>
  <c r="G1046" i="5"/>
  <c r="E1046" i="5"/>
  <c r="H1046" i="5"/>
  <c r="I1046" i="5"/>
  <c r="F832" i="5"/>
  <c r="E832" i="5"/>
  <c r="H863" i="5"/>
  <c r="G863" i="5"/>
  <c r="F864" i="5"/>
  <c r="E864" i="5"/>
  <c r="H887" i="5"/>
  <c r="G887" i="5"/>
  <c r="I888" i="5"/>
  <c r="F888" i="5"/>
  <c r="E888" i="5"/>
  <c r="H903" i="5"/>
  <c r="G903" i="5"/>
  <c r="I904" i="5"/>
  <c r="F904" i="5"/>
  <c r="E904" i="5"/>
  <c r="H919" i="5"/>
  <c r="G919" i="5"/>
  <c r="F919" i="5"/>
  <c r="E926" i="5"/>
  <c r="I926" i="5"/>
  <c r="H926" i="5"/>
  <c r="H951" i="5"/>
  <c r="G951" i="5"/>
  <c r="F951" i="5"/>
  <c r="E976" i="5"/>
  <c r="H835" i="5"/>
  <c r="G835" i="5"/>
  <c r="F836" i="5"/>
  <c r="E836" i="5"/>
  <c r="H867" i="5"/>
  <c r="G867" i="5"/>
  <c r="F868" i="5"/>
  <c r="E868" i="5"/>
  <c r="E886" i="5"/>
  <c r="I886" i="5"/>
  <c r="E887" i="5"/>
  <c r="G888" i="5"/>
  <c r="E902" i="5"/>
  <c r="I902" i="5"/>
  <c r="H931" i="5"/>
  <c r="G931" i="5"/>
  <c r="F931" i="5"/>
  <c r="E938" i="5"/>
  <c r="I938" i="5"/>
  <c r="H938" i="5"/>
  <c r="H963" i="5"/>
  <c r="G963" i="5"/>
  <c r="F963" i="5"/>
  <c r="F1078" i="5"/>
  <c r="I1078" i="5"/>
  <c r="H1078" i="5"/>
  <c r="G1078" i="5"/>
  <c r="E1078" i="5"/>
  <c r="H832" i="5"/>
  <c r="F834" i="5"/>
  <c r="E835" i="5"/>
  <c r="G836" i="5"/>
  <c r="E838" i="5"/>
  <c r="H839" i="5"/>
  <c r="G839" i="5"/>
  <c r="F840" i="5"/>
  <c r="E840" i="5"/>
  <c r="I859" i="5"/>
  <c r="I860" i="5"/>
  <c r="G862" i="5"/>
  <c r="F863" i="5"/>
  <c r="H864" i="5"/>
  <c r="F866" i="5"/>
  <c r="E867" i="5"/>
  <c r="G868" i="5"/>
  <c r="E870" i="5"/>
  <c r="H871" i="5"/>
  <c r="G871" i="5"/>
  <c r="F872" i="5"/>
  <c r="E872" i="5"/>
  <c r="H883" i="5"/>
  <c r="G883" i="5"/>
  <c r="I884" i="5"/>
  <c r="F884" i="5"/>
  <c r="E884" i="5"/>
  <c r="F886" i="5"/>
  <c r="F887" i="5"/>
  <c r="H888" i="5"/>
  <c r="H890" i="5"/>
  <c r="H899" i="5"/>
  <c r="G899" i="5"/>
  <c r="I900" i="5"/>
  <c r="F900" i="5"/>
  <c r="E900" i="5"/>
  <c r="F902" i="5"/>
  <c r="F903" i="5"/>
  <c r="H904" i="5"/>
  <c r="H906" i="5"/>
  <c r="H911" i="5"/>
  <c r="G911" i="5"/>
  <c r="F911" i="5"/>
  <c r="E918" i="5"/>
  <c r="I918" i="5"/>
  <c r="H918" i="5"/>
  <c r="I919" i="5"/>
  <c r="G926" i="5"/>
  <c r="E931" i="5"/>
  <c r="F938" i="5"/>
  <c r="H943" i="5"/>
  <c r="G943" i="5"/>
  <c r="F943" i="5"/>
  <c r="E950" i="5"/>
  <c r="I950" i="5"/>
  <c r="H950" i="5"/>
  <c r="I951" i="5"/>
  <c r="E963" i="5"/>
  <c r="F1000" i="5"/>
  <c r="E1000" i="5"/>
  <c r="G1000" i="5"/>
  <c r="I1000" i="5"/>
  <c r="H1000" i="5"/>
  <c r="H1065" i="5"/>
  <c r="I1065" i="5"/>
  <c r="G1065" i="5"/>
  <c r="F1065" i="5"/>
  <c r="E1065" i="5"/>
  <c r="H958" i="5"/>
  <c r="H962" i="5"/>
  <c r="H966" i="5"/>
  <c r="H970" i="5"/>
  <c r="I974" i="5"/>
  <c r="H994" i="5"/>
  <c r="E1003" i="5"/>
  <c r="G1004" i="5"/>
  <c r="E1006" i="5"/>
  <c r="H1007" i="5"/>
  <c r="G1007" i="5"/>
  <c r="F1008" i="5"/>
  <c r="E1008" i="5"/>
  <c r="I1010" i="5"/>
  <c r="E1010" i="5"/>
  <c r="E1011" i="5"/>
  <c r="G1012" i="5"/>
  <c r="I1026" i="5"/>
  <c r="E1026" i="5"/>
  <c r="E1027" i="5"/>
  <c r="G1028" i="5"/>
  <c r="G1106" i="5"/>
  <c r="E1106" i="5"/>
  <c r="I1106" i="5"/>
  <c r="H1106" i="5"/>
  <c r="F1106" i="5"/>
  <c r="I1117" i="5"/>
  <c r="H1117" i="5"/>
  <c r="F1117" i="5"/>
  <c r="E1117" i="5"/>
  <c r="G1117" i="5"/>
  <c r="E1178" i="5"/>
  <c r="I1178" i="5"/>
  <c r="H1178" i="5"/>
  <c r="G1178" i="5"/>
  <c r="F1178" i="5"/>
  <c r="I1297" i="5"/>
  <c r="H1297" i="5"/>
  <c r="G1297" i="5"/>
  <c r="F1297" i="5"/>
  <c r="E1297" i="5"/>
  <c r="I1309" i="5"/>
  <c r="H1309" i="5"/>
  <c r="G1309" i="5"/>
  <c r="F1309" i="5"/>
  <c r="E1309" i="5"/>
  <c r="I1317" i="5"/>
  <c r="H1317" i="5"/>
  <c r="G1317" i="5"/>
  <c r="F1317" i="5"/>
  <c r="E1317" i="5"/>
  <c r="I1325" i="5"/>
  <c r="H1325" i="5"/>
  <c r="G1325" i="5"/>
  <c r="F1325" i="5"/>
  <c r="E1325" i="5"/>
  <c r="E908" i="5"/>
  <c r="E912" i="5"/>
  <c r="E916" i="5"/>
  <c r="E920" i="5"/>
  <c r="E924" i="5"/>
  <c r="E928" i="5"/>
  <c r="E932" i="5"/>
  <c r="E936" i="5"/>
  <c r="E940" i="5"/>
  <c r="E944" i="5"/>
  <c r="E948" i="5"/>
  <c r="E952" i="5"/>
  <c r="E956" i="5"/>
  <c r="I958" i="5"/>
  <c r="E960" i="5"/>
  <c r="I962" i="5"/>
  <c r="E964" i="5"/>
  <c r="I966" i="5"/>
  <c r="E968" i="5"/>
  <c r="I970" i="5"/>
  <c r="E972" i="5"/>
  <c r="I975" i="5"/>
  <c r="E978" i="5"/>
  <c r="H979" i="5"/>
  <c r="G979" i="5"/>
  <c r="F980" i="5"/>
  <c r="E980" i="5"/>
  <c r="H998" i="5"/>
  <c r="F1003" i="5"/>
  <c r="H1004" i="5"/>
  <c r="F1006" i="5"/>
  <c r="E1007" i="5"/>
  <c r="G1008" i="5"/>
  <c r="F1010" i="5"/>
  <c r="F1011" i="5"/>
  <c r="H1023" i="5"/>
  <c r="G1023" i="5"/>
  <c r="F1024" i="5"/>
  <c r="E1024" i="5"/>
  <c r="I1024" i="5"/>
  <c r="F1026" i="5"/>
  <c r="F1027" i="5"/>
  <c r="F1044" i="5"/>
  <c r="E1044" i="5"/>
  <c r="I1044" i="5"/>
  <c r="G1098" i="5"/>
  <c r="E1098" i="5"/>
  <c r="I1098" i="5"/>
  <c r="H1098" i="5"/>
  <c r="F1098" i="5"/>
  <c r="F908" i="5"/>
  <c r="F912" i="5"/>
  <c r="F916" i="5"/>
  <c r="F920" i="5"/>
  <c r="F924" i="5"/>
  <c r="F928" i="5"/>
  <c r="F932" i="5"/>
  <c r="F936" i="5"/>
  <c r="F940" i="5"/>
  <c r="F944" i="5"/>
  <c r="F948" i="5"/>
  <c r="F952" i="5"/>
  <c r="F956" i="5"/>
  <c r="F960" i="5"/>
  <c r="F964" i="5"/>
  <c r="F968" i="5"/>
  <c r="F972" i="5"/>
  <c r="F978" i="5"/>
  <c r="E979" i="5"/>
  <c r="G980" i="5"/>
  <c r="E982" i="5"/>
  <c r="H983" i="5"/>
  <c r="G983" i="5"/>
  <c r="F984" i="5"/>
  <c r="E984" i="5"/>
  <c r="G1006" i="5"/>
  <c r="F1007" i="5"/>
  <c r="H1008" i="5"/>
  <c r="G1010" i="5"/>
  <c r="I1022" i="5"/>
  <c r="E1022" i="5"/>
  <c r="E1023" i="5"/>
  <c r="G1024" i="5"/>
  <c r="G1026" i="5"/>
  <c r="F1042" i="5"/>
  <c r="I1042" i="5"/>
  <c r="H1042" i="5"/>
  <c r="G1044" i="5"/>
  <c r="H1069" i="5"/>
  <c r="F1069" i="5"/>
  <c r="E1069" i="5"/>
  <c r="I1069" i="5"/>
  <c r="H987" i="5"/>
  <c r="G987" i="5"/>
  <c r="F988" i="5"/>
  <c r="E988" i="5"/>
  <c r="H1006" i="5"/>
  <c r="H1019" i="5"/>
  <c r="G1019" i="5"/>
  <c r="F1020" i="5"/>
  <c r="E1020" i="5"/>
  <c r="I1020" i="5"/>
  <c r="H1026" i="5"/>
  <c r="H1044" i="5"/>
  <c r="F1050" i="5"/>
  <c r="G1050" i="5"/>
  <c r="E1050" i="5"/>
  <c r="I1050" i="5"/>
  <c r="G1056" i="5"/>
  <c r="F1056" i="5"/>
  <c r="I1056" i="5"/>
  <c r="G1069" i="5"/>
  <c r="E974" i="5"/>
  <c r="E987" i="5"/>
  <c r="G988" i="5"/>
  <c r="E990" i="5"/>
  <c r="H991" i="5"/>
  <c r="G991" i="5"/>
  <c r="F992" i="5"/>
  <c r="E992" i="5"/>
  <c r="I1018" i="5"/>
  <c r="E1018" i="5"/>
  <c r="E1019" i="5"/>
  <c r="G1020" i="5"/>
  <c r="F1034" i="5"/>
  <c r="E1034" i="5"/>
  <c r="H1036" i="5"/>
  <c r="G1036" i="5"/>
  <c r="H1037" i="5"/>
  <c r="F1037" i="5"/>
  <c r="E1037" i="5"/>
  <c r="H1049" i="5"/>
  <c r="G1049" i="5"/>
  <c r="F1049" i="5"/>
  <c r="F987" i="5"/>
  <c r="H988" i="5"/>
  <c r="F990" i="5"/>
  <c r="E991" i="5"/>
  <c r="G992" i="5"/>
  <c r="E994" i="5"/>
  <c r="H995" i="5"/>
  <c r="G995" i="5"/>
  <c r="F996" i="5"/>
  <c r="E996" i="5"/>
  <c r="H1015" i="5"/>
  <c r="G1015" i="5"/>
  <c r="F1016" i="5"/>
  <c r="E1016" i="5"/>
  <c r="I1016" i="5"/>
  <c r="F1018" i="5"/>
  <c r="F1019" i="5"/>
  <c r="H1020" i="5"/>
  <c r="H1031" i="5"/>
  <c r="G1031" i="5"/>
  <c r="F1032" i="5"/>
  <c r="E1032" i="5"/>
  <c r="I1032" i="5"/>
  <c r="G1034" i="5"/>
  <c r="E1036" i="5"/>
  <c r="G1037" i="5"/>
  <c r="E1049" i="5"/>
  <c r="H1056" i="5"/>
  <c r="H1003" i="5"/>
  <c r="G1003" i="5"/>
  <c r="F1004" i="5"/>
  <c r="E1004" i="5"/>
  <c r="H1011" i="5"/>
  <c r="G1011" i="5"/>
  <c r="F1012" i="5"/>
  <c r="E1012" i="5"/>
  <c r="I1012" i="5"/>
  <c r="H1027" i="5"/>
  <c r="G1027" i="5"/>
  <c r="F1028" i="5"/>
  <c r="E1028" i="5"/>
  <c r="I1028" i="5"/>
  <c r="I1072" i="5"/>
  <c r="H1072" i="5"/>
  <c r="G1072" i="5"/>
  <c r="F1072" i="5"/>
  <c r="E1072" i="5"/>
  <c r="H1076" i="5"/>
  <c r="I1082" i="5"/>
  <c r="I1088" i="5"/>
  <c r="I1094" i="5"/>
  <c r="F1094" i="5"/>
  <c r="H1096" i="5"/>
  <c r="F1096" i="5"/>
  <c r="H1104" i="5"/>
  <c r="F1104" i="5"/>
  <c r="E1053" i="5"/>
  <c r="E1060" i="5"/>
  <c r="E1066" i="5"/>
  <c r="I1076" i="5"/>
  <c r="E1085" i="5"/>
  <c r="E1092" i="5"/>
  <c r="E1093" i="5"/>
  <c r="H1093" i="5"/>
  <c r="E1094" i="5"/>
  <c r="E1096" i="5"/>
  <c r="E1104" i="5"/>
  <c r="H1132" i="5"/>
  <c r="E1132" i="5"/>
  <c r="I1132" i="5"/>
  <c r="I1180" i="5"/>
  <c r="F1180" i="5"/>
  <c r="H1180" i="5"/>
  <c r="G1180" i="5"/>
  <c r="E1180" i="5"/>
  <c r="G1096" i="5"/>
  <c r="G1104" i="5"/>
  <c r="H1150" i="5"/>
  <c r="F1150" i="5"/>
  <c r="E1150" i="5"/>
  <c r="I1150" i="5"/>
  <c r="H1171" i="5"/>
  <c r="E1171" i="5"/>
  <c r="G1171" i="5"/>
  <c r="F1171" i="5"/>
  <c r="E1103" i="5"/>
  <c r="I1103" i="5"/>
  <c r="G1103" i="5"/>
  <c r="G1114" i="5"/>
  <c r="E1114" i="5"/>
  <c r="I1114" i="5"/>
  <c r="E1131" i="5"/>
  <c r="F1131" i="5"/>
  <c r="I1131" i="5"/>
  <c r="I1171" i="5"/>
  <c r="I1101" i="5"/>
  <c r="H1101" i="5"/>
  <c r="E1101" i="5"/>
  <c r="I1109" i="5"/>
  <c r="H1109" i="5"/>
  <c r="E1109" i="5"/>
  <c r="F1114" i="5"/>
  <c r="G1131" i="5"/>
  <c r="H1139" i="5"/>
  <c r="I1139" i="5"/>
  <c r="E1139" i="5"/>
  <c r="G1139" i="5"/>
  <c r="F1139" i="5"/>
  <c r="F1148" i="5"/>
  <c r="E1148" i="5"/>
  <c r="H1148" i="5"/>
  <c r="G1148" i="5"/>
  <c r="F1160" i="5"/>
  <c r="G1160" i="5"/>
  <c r="H1160" i="5"/>
  <c r="E1160" i="5"/>
  <c r="I1041" i="5"/>
  <c r="H1048" i="5"/>
  <c r="I1054" i="5"/>
  <c r="G1061" i="5"/>
  <c r="G1062" i="5"/>
  <c r="G1068" i="5"/>
  <c r="I1073" i="5"/>
  <c r="H1074" i="5"/>
  <c r="E1076" i="5"/>
  <c r="H1080" i="5"/>
  <c r="F1081" i="5"/>
  <c r="E1082" i="5"/>
  <c r="I1086" i="5"/>
  <c r="F1088" i="5"/>
  <c r="F1101" i="5"/>
  <c r="H1103" i="5"/>
  <c r="F1109" i="5"/>
  <c r="H1114" i="5"/>
  <c r="I1129" i="5"/>
  <c r="F1129" i="5"/>
  <c r="E1129" i="5"/>
  <c r="H1131" i="5"/>
  <c r="I1148" i="5"/>
  <c r="F1154" i="5"/>
  <c r="G1154" i="5"/>
  <c r="E1154" i="5"/>
  <c r="I1154" i="5"/>
  <c r="I1160" i="5"/>
  <c r="E1038" i="5"/>
  <c r="E1057" i="5"/>
  <c r="I1061" i="5"/>
  <c r="H1062" i="5"/>
  <c r="E1070" i="5"/>
  <c r="I1074" i="5"/>
  <c r="G1081" i="5"/>
  <c r="G1082" i="5"/>
  <c r="E1089" i="5"/>
  <c r="G1101" i="5"/>
  <c r="G1109" i="5"/>
  <c r="G1129" i="5"/>
  <c r="H1154" i="5"/>
  <c r="H1099" i="5"/>
  <c r="H1107" i="5"/>
  <c r="H1115" i="5"/>
  <c r="G1116" i="5"/>
  <c r="F1138" i="5"/>
  <c r="G1142" i="5"/>
  <c r="F1143" i="5"/>
  <c r="G1146" i="5"/>
  <c r="H1175" i="5"/>
  <c r="E1175" i="5"/>
  <c r="I1175" i="5"/>
  <c r="I1115" i="5"/>
  <c r="H1138" i="5"/>
  <c r="H1142" i="5"/>
  <c r="H1179" i="5"/>
  <c r="I1179" i="5"/>
  <c r="G1179" i="5"/>
  <c r="F1179" i="5"/>
  <c r="I1121" i="5"/>
  <c r="F1121" i="5"/>
  <c r="I1138" i="5"/>
  <c r="I1142" i="5"/>
  <c r="E1174" i="5"/>
  <c r="F1174" i="5"/>
  <c r="I1174" i="5"/>
  <c r="F1217" i="5"/>
  <c r="I1217" i="5"/>
  <c r="G1217" i="5"/>
  <c r="H1217" i="5"/>
  <c r="E1121" i="5"/>
  <c r="F1123" i="5"/>
  <c r="E1124" i="5"/>
  <c r="I1125" i="5"/>
  <c r="F1125" i="5"/>
  <c r="G1174" i="5"/>
  <c r="E1217" i="5"/>
  <c r="F1097" i="5"/>
  <c r="F1105" i="5"/>
  <c r="F1113" i="5"/>
  <c r="H1121" i="5"/>
  <c r="H1123" i="5"/>
  <c r="G1124" i="5"/>
  <c r="I1133" i="5"/>
  <c r="F1133" i="5"/>
  <c r="H1135" i="5"/>
  <c r="E1135" i="5"/>
  <c r="F1144" i="5"/>
  <c r="H1144" i="5"/>
  <c r="H1147" i="5"/>
  <c r="F1147" i="5"/>
  <c r="H1151" i="5"/>
  <c r="F1151" i="5"/>
  <c r="F1152" i="5"/>
  <c r="I1152" i="5"/>
  <c r="E1152" i="5"/>
  <c r="F1156" i="5"/>
  <c r="I1156" i="5"/>
  <c r="I1158" i="5"/>
  <c r="F1158" i="5"/>
  <c r="E1170" i="5"/>
  <c r="F1170" i="5"/>
  <c r="H1143" i="5"/>
  <c r="I1143" i="5"/>
  <c r="H1146" i="5"/>
  <c r="E1146" i="5"/>
  <c r="E1156" i="5"/>
  <c r="E1158" i="5"/>
  <c r="H1163" i="5"/>
  <c r="G1163" i="5"/>
  <c r="F1164" i="5"/>
  <c r="G1164" i="5"/>
  <c r="F1239" i="5"/>
  <c r="I1239" i="5"/>
  <c r="H1239" i="5"/>
  <c r="G1239" i="5"/>
  <c r="E1239" i="5"/>
  <c r="F1251" i="5"/>
  <c r="I1251" i="5"/>
  <c r="H1251" i="5"/>
  <c r="E1251" i="5"/>
  <c r="H1289" i="5"/>
  <c r="G1289" i="5"/>
  <c r="F1289" i="5"/>
  <c r="E1289" i="5"/>
  <c r="F1249" i="5"/>
  <c r="I1249" i="5"/>
  <c r="G1249" i="5"/>
  <c r="G1251" i="5"/>
  <c r="F1283" i="5"/>
  <c r="I1283" i="5"/>
  <c r="H1283" i="5"/>
  <c r="G1283" i="5"/>
  <c r="E1283" i="5"/>
  <c r="I1289" i="5"/>
  <c r="I1168" i="5"/>
  <c r="F1168" i="5"/>
  <c r="I1184" i="5"/>
  <c r="F1184" i="5"/>
  <c r="E1207" i="5"/>
  <c r="H1207" i="5"/>
  <c r="I1208" i="5"/>
  <c r="H1208" i="5"/>
  <c r="F1208" i="5"/>
  <c r="E1211" i="5"/>
  <c r="H1211" i="5"/>
  <c r="I1212" i="5"/>
  <c r="H1212" i="5"/>
  <c r="F1212" i="5"/>
  <c r="E1215" i="5"/>
  <c r="H1215" i="5"/>
  <c r="H1216" i="5"/>
  <c r="I1216" i="5"/>
  <c r="F1216" i="5"/>
  <c r="E1249" i="5"/>
  <c r="F1287" i="5"/>
  <c r="I1287" i="5"/>
  <c r="H1287" i="5"/>
  <c r="G1287" i="5"/>
  <c r="E1203" i="5"/>
  <c r="H1203" i="5"/>
  <c r="I1204" i="5"/>
  <c r="H1204" i="5"/>
  <c r="F1204" i="5"/>
  <c r="F1223" i="5"/>
  <c r="I1223" i="5"/>
  <c r="H1223" i="5"/>
  <c r="G1223" i="5"/>
  <c r="E1223" i="5"/>
  <c r="F1235" i="5"/>
  <c r="I1235" i="5"/>
  <c r="H1235" i="5"/>
  <c r="E1235" i="5"/>
  <c r="E1287" i="5"/>
  <c r="H1140" i="5"/>
  <c r="G1159" i="5"/>
  <c r="H1166" i="5"/>
  <c r="G1167" i="5"/>
  <c r="G1168" i="5"/>
  <c r="I1172" i="5"/>
  <c r="F1172" i="5"/>
  <c r="H1182" i="5"/>
  <c r="G1184" i="5"/>
  <c r="F1186" i="5"/>
  <c r="E1187" i="5"/>
  <c r="I1188" i="5"/>
  <c r="F1188" i="5"/>
  <c r="E1191" i="5"/>
  <c r="H1191" i="5"/>
  <c r="I1192" i="5"/>
  <c r="F1192" i="5"/>
  <c r="E1195" i="5"/>
  <c r="H1195" i="5"/>
  <c r="I1196" i="5"/>
  <c r="F1196" i="5"/>
  <c r="E1199" i="5"/>
  <c r="H1199" i="5"/>
  <c r="I1200" i="5"/>
  <c r="H1200" i="5"/>
  <c r="F1200" i="5"/>
  <c r="F1203" i="5"/>
  <c r="E1204" i="5"/>
  <c r="G1207" i="5"/>
  <c r="G1208" i="5"/>
  <c r="G1211" i="5"/>
  <c r="G1212" i="5"/>
  <c r="G1215" i="5"/>
  <c r="G1216" i="5"/>
  <c r="F1233" i="5"/>
  <c r="I1233" i="5"/>
  <c r="G1233" i="5"/>
  <c r="G1235" i="5"/>
  <c r="G1190" i="5"/>
  <c r="E1190" i="5"/>
  <c r="G1194" i="5"/>
  <c r="E1194" i="5"/>
  <c r="G1203" i="5"/>
  <c r="G1204" i="5"/>
  <c r="I1207" i="5"/>
  <c r="I1211" i="5"/>
  <c r="I1215" i="5"/>
  <c r="E1233" i="5"/>
  <c r="I1176" i="5"/>
  <c r="F1176" i="5"/>
  <c r="F1190" i="5"/>
  <c r="F1194" i="5"/>
  <c r="I1203" i="5"/>
  <c r="F1219" i="5"/>
  <c r="I1219" i="5"/>
  <c r="H1219" i="5"/>
  <c r="E1219" i="5"/>
  <c r="H1233" i="5"/>
  <c r="F1285" i="5"/>
  <c r="E1285" i="5"/>
  <c r="I1285" i="5"/>
  <c r="H1285" i="5"/>
  <c r="G1285" i="5"/>
  <c r="I1229" i="5"/>
  <c r="H1231" i="5"/>
  <c r="I1245" i="5"/>
  <c r="H1247" i="5"/>
  <c r="I1261" i="5"/>
  <c r="F1279" i="5"/>
  <c r="I1279" i="5"/>
  <c r="F1281" i="5"/>
  <c r="E1281" i="5"/>
  <c r="F1275" i="5"/>
  <c r="I1275" i="5"/>
  <c r="F1277" i="5"/>
  <c r="E1277" i="5"/>
  <c r="I1301" i="5"/>
  <c r="H1301" i="5"/>
  <c r="G1301" i="5"/>
  <c r="F1301" i="5"/>
  <c r="E1301" i="5"/>
  <c r="E1255" i="5"/>
  <c r="F1271" i="5"/>
  <c r="I1271" i="5"/>
  <c r="F1273" i="5"/>
  <c r="E1273" i="5"/>
  <c r="E1275" i="5"/>
  <c r="G1277" i="5"/>
  <c r="H1293" i="5"/>
  <c r="G1293" i="5"/>
  <c r="F1293" i="5"/>
  <c r="E1293" i="5"/>
  <c r="I1313" i="5"/>
  <c r="H1313" i="5"/>
  <c r="G1313" i="5"/>
  <c r="F1313" i="5"/>
  <c r="E1313" i="5"/>
  <c r="I1321" i="5"/>
  <c r="H1321" i="5"/>
  <c r="G1321" i="5"/>
  <c r="F1321" i="5"/>
  <c r="E1321" i="5"/>
  <c r="E1198" i="5"/>
  <c r="E1202" i="5"/>
  <c r="E1206" i="5"/>
  <c r="E1225" i="5"/>
  <c r="E1241" i="5"/>
  <c r="G1255" i="5"/>
  <c r="E1257" i="5"/>
  <c r="F1267" i="5"/>
  <c r="I1267" i="5"/>
  <c r="F1269" i="5"/>
  <c r="E1269" i="5"/>
  <c r="E1271" i="5"/>
  <c r="G1273" i="5"/>
  <c r="G1275" i="5"/>
  <c r="H1277" i="5"/>
  <c r="H1279" i="5"/>
  <c r="I1281" i="5"/>
  <c r="I1293" i="5"/>
  <c r="I1305" i="5"/>
  <c r="H1305" i="5"/>
  <c r="G1305" i="5"/>
  <c r="F1305" i="5"/>
  <c r="E1305" i="5"/>
  <c r="H1255" i="5"/>
  <c r="F1263" i="5"/>
  <c r="I1263" i="5"/>
  <c r="F1265" i="5"/>
  <c r="E1265" i="5"/>
  <c r="G1269" i="5"/>
  <c r="G1271" i="5"/>
  <c r="H1273" i="5"/>
  <c r="H1275" i="5"/>
  <c r="I1277" i="5"/>
  <c r="E1229" i="5"/>
  <c r="E1245" i="5"/>
  <c r="I1255" i="5"/>
  <c r="E1261" i="5"/>
  <c r="E1263" i="5"/>
  <c r="G1265" i="5"/>
  <c r="H1271" i="5"/>
  <c r="I1273" i="5"/>
  <c r="I1291" i="5"/>
  <c r="I1295" i="5"/>
  <c r="I1299" i="5"/>
  <c r="I1303" i="5"/>
  <c r="H1328" i="5"/>
  <c r="I1328" i="5"/>
  <c r="H1326" i="5"/>
  <c r="F1327" i="5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E1221" i="2" s="1"/>
  <c r="D1222" i="2"/>
  <c r="H1222" i="2" s="1"/>
  <c r="D1223" i="2"/>
  <c r="D1224" i="2"/>
  <c r="D1225" i="2"/>
  <c r="D1226" i="2"/>
  <c r="D1227" i="2"/>
  <c r="D1228" i="2"/>
  <c r="D1229" i="2"/>
  <c r="E1229" i="2" s="1"/>
  <c r="D1230" i="2"/>
  <c r="H1230" i="2" s="1"/>
  <c r="D1231" i="2"/>
  <c r="D1232" i="2"/>
  <c r="F1232" i="2" s="1"/>
  <c r="D1233" i="2"/>
  <c r="I1233" i="2" s="1"/>
  <c r="D1234" i="2"/>
  <c r="H1234" i="2" s="1"/>
  <c r="D1235" i="2"/>
  <c r="D1236" i="2"/>
  <c r="F1236" i="2" s="1"/>
  <c r="D1237" i="2"/>
  <c r="E1237" i="2" s="1"/>
  <c r="D1238" i="2"/>
  <c r="E1238" i="2" s="1"/>
  <c r="D1239" i="2"/>
  <c r="D1240" i="2"/>
  <c r="D1241" i="2"/>
  <c r="D1242" i="2"/>
  <c r="I1242" i="2" s="1"/>
  <c r="D1243" i="2"/>
  <c r="D1244" i="2"/>
  <c r="F1244" i="2" s="1"/>
  <c r="D1245" i="2"/>
  <c r="E1245" i="2" s="1"/>
  <c r="D1246" i="2"/>
  <c r="E1246" i="2" s="1"/>
  <c r="D1247" i="2"/>
  <c r="G1247" i="2" s="1"/>
  <c r="D1248" i="2"/>
  <c r="D1249" i="2"/>
  <c r="D1250" i="2"/>
  <c r="I1250" i="2" s="1"/>
  <c r="D1251" i="2"/>
  <c r="F1251" i="2" s="1"/>
  <c r="D1252" i="2"/>
  <c r="F1252" i="2" s="1"/>
  <c r="D1253" i="2"/>
  <c r="E1253" i="2" s="1"/>
  <c r="D1254" i="2"/>
  <c r="E1254" i="2" s="1"/>
  <c r="D1255" i="2"/>
  <c r="D1256" i="2"/>
  <c r="D1257" i="2"/>
  <c r="G1257" i="2" s="1"/>
  <c r="D1258" i="2"/>
  <c r="D1259" i="2"/>
  <c r="D1260" i="2"/>
  <c r="E1260" i="2" s="1"/>
  <c r="D1261" i="2"/>
  <c r="I1261" i="2" s="1"/>
  <c r="D1262" i="2"/>
  <c r="I1262" i="2" s="1"/>
  <c r="D1263" i="2"/>
  <c r="G1263" i="2" s="1"/>
  <c r="D1264" i="2"/>
  <c r="D1265" i="2"/>
  <c r="I1265" i="2" s="1"/>
  <c r="D1266" i="2"/>
  <c r="D1267" i="2"/>
  <c r="D1268" i="2"/>
  <c r="E1268" i="2" s="1"/>
  <c r="D1269" i="2"/>
  <c r="E1269" i="2" s="1"/>
  <c r="D1270" i="2"/>
  <c r="I1270" i="2" s="1"/>
  <c r="D1271" i="2"/>
  <c r="D1272" i="2"/>
  <c r="D1273" i="2"/>
  <c r="H1273" i="2" s="1"/>
  <c r="D1274" i="2"/>
  <c r="D1275" i="2"/>
  <c r="D1276" i="2"/>
  <c r="E1276" i="2" s="1"/>
  <c r="D1277" i="2"/>
  <c r="E1277" i="2" s="1"/>
  <c r="D1278" i="2"/>
  <c r="I1278" i="2" s="1"/>
  <c r="D1279" i="2"/>
  <c r="D1280" i="2"/>
  <c r="F1280" i="2" s="1"/>
  <c r="D1281" i="2"/>
  <c r="G1281" i="2" s="1"/>
  <c r="D1282" i="2"/>
  <c r="D1283" i="2"/>
  <c r="H1283" i="2" s="1"/>
  <c r="D1284" i="2"/>
  <c r="E1284" i="2" s="1"/>
  <c r="D1285" i="2"/>
  <c r="E1285" i="2" s="1"/>
  <c r="D1286" i="2"/>
  <c r="I1286" i="2" s="1"/>
  <c r="D1287" i="2"/>
  <c r="F1287" i="2" s="1"/>
  <c r="D1288" i="2"/>
  <c r="D1289" i="2"/>
  <c r="I1289" i="2" s="1"/>
  <c r="D1290" i="2"/>
  <c r="D1291" i="2"/>
  <c r="H1291" i="2" s="1"/>
  <c r="D1292" i="2"/>
  <c r="E1292" i="2" s="1"/>
  <c r="D1293" i="2"/>
  <c r="E1293" i="2" s="1"/>
  <c r="D1294" i="2"/>
  <c r="I1294" i="2" s="1"/>
  <c r="D1295" i="2"/>
  <c r="F1295" i="2" s="1"/>
  <c r="D1296" i="2"/>
  <c r="E1296" i="2" s="1"/>
  <c r="D1297" i="2"/>
  <c r="E1297" i="2" s="1"/>
  <c r="D1298" i="2"/>
  <c r="F1298" i="2" s="1"/>
  <c r="D1299" i="2"/>
  <c r="H1299" i="2" s="1"/>
  <c r="D1300" i="2"/>
  <c r="E1300" i="2" s="1"/>
  <c r="D1301" i="2"/>
  <c r="E1301" i="2" s="1"/>
  <c r="D1302" i="2"/>
  <c r="I1302" i="2" s="1"/>
  <c r="D1303" i="2"/>
  <c r="F1303" i="2" s="1"/>
  <c r="D1304" i="2"/>
  <c r="E1304" i="2" s="1"/>
  <c r="D1305" i="2"/>
  <c r="E1305" i="2" s="1"/>
  <c r="D1306" i="2"/>
  <c r="I1306" i="2" s="1"/>
  <c r="D1307" i="2"/>
  <c r="H1307" i="2" s="1"/>
  <c r="D1308" i="2"/>
  <c r="E1308" i="2" s="1"/>
  <c r="D1309" i="2"/>
  <c r="I1309" i="2" s="1"/>
  <c r="D1310" i="2"/>
  <c r="I1310" i="2" s="1"/>
  <c r="D1311" i="2"/>
  <c r="F1311" i="2" s="1"/>
  <c r="D1312" i="2"/>
  <c r="H1312" i="2" s="1"/>
  <c r="D1313" i="2"/>
  <c r="G1313" i="2" s="1"/>
  <c r="D1314" i="2"/>
  <c r="D1315" i="2"/>
  <c r="H1315" i="2" s="1"/>
  <c r="D1316" i="2"/>
  <c r="E1316" i="2" s="1"/>
  <c r="D1317" i="2"/>
  <c r="E1317" i="2" s="1"/>
  <c r="D1318" i="2"/>
  <c r="I1318" i="2" s="1"/>
  <c r="D1319" i="2"/>
  <c r="F1319" i="2" s="1"/>
  <c r="D1320" i="2"/>
  <c r="D1321" i="2"/>
  <c r="I1321" i="2" s="1"/>
  <c r="D1322" i="2"/>
  <c r="D1323" i="2"/>
  <c r="H1323" i="2" s="1"/>
  <c r="D1324" i="2"/>
  <c r="E1324" i="2" s="1"/>
  <c r="D1325" i="2"/>
  <c r="E1325" i="2" s="1"/>
  <c r="D1326" i="2"/>
  <c r="I1326" i="2" s="1"/>
  <c r="D1327" i="2"/>
  <c r="F1327" i="2" s="1"/>
  <c r="D1328" i="2"/>
  <c r="E1328" i="2" s="1"/>
  <c r="D3" i="2"/>
  <c r="D2" i="2"/>
  <c r="I2" i="2" s="1"/>
  <c r="A1" i="1"/>
  <c r="H1275" i="2" l="1"/>
  <c r="I1275" i="2"/>
  <c r="H1259" i="2"/>
  <c r="I1259" i="2"/>
  <c r="E1259" i="2"/>
  <c r="H1235" i="2"/>
  <c r="I1235" i="2"/>
  <c r="E1235" i="2"/>
  <c r="F1235" i="2"/>
  <c r="H1227" i="2"/>
  <c r="I1227" i="2"/>
  <c r="E1227" i="2"/>
  <c r="F1227" i="2"/>
  <c r="H1219" i="2"/>
  <c r="I1219" i="2"/>
  <c r="E1219" i="2"/>
  <c r="F1219" i="2"/>
  <c r="H1211" i="2"/>
  <c r="I1211" i="2"/>
  <c r="E1211" i="2"/>
  <c r="F1211" i="2"/>
  <c r="H1203" i="2"/>
  <c r="I1203" i="2"/>
  <c r="E1203" i="2"/>
  <c r="F1203" i="2"/>
  <c r="G1203" i="2"/>
  <c r="H1195" i="2"/>
  <c r="I1195" i="2"/>
  <c r="E1195" i="2"/>
  <c r="F1195" i="2"/>
  <c r="G1195" i="2"/>
  <c r="F1187" i="2"/>
  <c r="E1187" i="2"/>
  <c r="G1187" i="2"/>
  <c r="H1187" i="2"/>
  <c r="I1187" i="2"/>
  <c r="F1179" i="2"/>
  <c r="I1179" i="2"/>
  <c r="E1179" i="2"/>
  <c r="G1179" i="2"/>
  <c r="H1179" i="2"/>
  <c r="F1171" i="2"/>
  <c r="H1171" i="2"/>
  <c r="I1171" i="2"/>
  <c r="E1171" i="2"/>
  <c r="G1171" i="2"/>
  <c r="F1163" i="2"/>
  <c r="E1163" i="2"/>
  <c r="G1163" i="2"/>
  <c r="H1163" i="2"/>
  <c r="I1163" i="2"/>
  <c r="F1155" i="2"/>
  <c r="E1155" i="2"/>
  <c r="G1155" i="2"/>
  <c r="H1155" i="2"/>
  <c r="I1155" i="2"/>
  <c r="F1147" i="2"/>
  <c r="E1147" i="2"/>
  <c r="G1147" i="2"/>
  <c r="H1147" i="2"/>
  <c r="I1147" i="2"/>
  <c r="F1139" i="2"/>
  <c r="G1139" i="2"/>
  <c r="H1139" i="2"/>
  <c r="I1139" i="2"/>
  <c r="E1139" i="2"/>
  <c r="F1131" i="2"/>
  <c r="H1131" i="2"/>
  <c r="I1131" i="2"/>
  <c r="E1131" i="2"/>
  <c r="G1131" i="2"/>
  <c r="F1123" i="2"/>
  <c r="I1123" i="2"/>
  <c r="E1123" i="2"/>
  <c r="G1123" i="2"/>
  <c r="H1123" i="2"/>
  <c r="F1115" i="2"/>
  <c r="E1115" i="2"/>
  <c r="G1115" i="2"/>
  <c r="H1115" i="2"/>
  <c r="I1115" i="2"/>
  <c r="F1107" i="2"/>
  <c r="E1107" i="2"/>
  <c r="G1107" i="2"/>
  <c r="H1107" i="2"/>
  <c r="I1107" i="2"/>
  <c r="F1099" i="2"/>
  <c r="E1099" i="2"/>
  <c r="G1099" i="2"/>
  <c r="H1099" i="2"/>
  <c r="I1099" i="2"/>
  <c r="F1091" i="2"/>
  <c r="G1091" i="2"/>
  <c r="H1091" i="2"/>
  <c r="E1091" i="2"/>
  <c r="I1091" i="2"/>
  <c r="F1083" i="2"/>
  <c r="G1083" i="2"/>
  <c r="H1083" i="2"/>
  <c r="E1083" i="2"/>
  <c r="I1083" i="2"/>
  <c r="F1075" i="2"/>
  <c r="G1075" i="2"/>
  <c r="H1075" i="2"/>
  <c r="E1075" i="2"/>
  <c r="I1075" i="2"/>
  <c r="F1067" i="2"/>
  <c r="G1067" i="2"/>
  <c r="H1067" i="2"/>
  <c r="I1067" i="2"/>
  <c r="E1067" i="2"/>
  <c r="F1059" i="2"/>
  <c r="G1059" i="2"/>
  <c r="H1059" i="2"/>
  <c r="I1059" i="2"/>
  <c r="E1059" i="2"/>
  <c r="F1051" i="2"/>
  <c r="G1051" i="2"/>
  <c r="H1051" i="2"/>
  <c r="I1051" i="2"/>
  <c r="E1051" i="2"/>
  <c r="G1043" i="2"/>
  <c r="H1043" i="2"/>
  <c r="I1043" i="2"/>
  <c r="E1043" i="2"/>
  <c r="F1043" i="2"/>
  <c r="E1035" i="2"/>
  <c r="F1035" i="2"/>
  <c r="G1035" i="2"/>
  <c r="H1035" i="2"/>
  <c r="I1035" i="2"/>
  <c r="E1027" i="2"/>
  <c r="F1027" i="2"/>
  <c r="G1027" i="2"/>
  <c r="I1027" i="2"/>
  <c r="H1027" i="2"/>
  <c r="I1019" i="2"/>
  <c r="E1019" i="2"/>
  <c r="G1019" i="2"/>
  <c r="F1019" i="2"/>
  <c r="H1019" i="2"/>
  <c r="G1011" i="2"/>
  <c r="H1011" i="2"/>
  <c r="I1011" i="2"/>
  <c r="E1011" i="2"/>
  <c r="F1011" i="2"/>
  <c r="E1003" i="2"/>
  <c r="F1003" i="2"/>
  <c r="G1003" i="2"/>
  <c r="H1003" i="2"/>
  <c r="I1003" i="2"/>
  <c r="E995" i="2"/>
  <c r="F995" i="2"/>
  <c r="G995" i="2"/>
  <c r="I995" i="2"/>
  <c r="H995" i="2"/>
  <c r="I987" i="2"/>
  <c r="E987" i="2"/>
  <c r="G987" i="2"/>
  <c r="F987" i="2"/>
  <c r="H987" i="2"/>
  <c r="G979" i="2"/>
  <c r="H979" i="2"/>
  <c r="I979" i="2"/>
  <c r="E979" i="2"/>
  <c r="F979" i="2"/>
  <c r="E971" i="2"/>
  <c r="F971" i="2"/>
  <c r="G971" i="2"/>
  <c r="H971" i="2"/>
  <c r="I971" i="2"/>
  <c r="E963" i="2"/>
  <c r="F963" i="2"/>
  <c r="G963" i="2"/>
  <c r="I963" i="2"/>
  <c r="H963" i="2"/>
  <c r="I955" i="2"/>
  <c r="E955" i="2"/>
  <c r="G955" i="2"/>
  <c r="F955" i="2"/>
  <c r="H955" i="2"/>
  <c r="G947" i="2"/>
  <c r="H947" i="2"/>
  <c r="I947" i="2"/>
  <c r="E947" i="2"/>
  <c r="F947" i="2"/>
  <c r="E939" i="2"/>
  <c r="F939" i="2"/>
  <c r="G939" i="2"/>
  <c r="H939" i="2"/>
  <c r="I939" i="2"/>
  <c r="E931" i="2"/>
  <c r="F931" i="2"/>
  <c r="G931" i="2"/>
  <c r="I931" i="2"/>
  <c r="H931" i="2"/>
  <c r="I923" i="2"/>
  <c r="E923" i="2"/>
  <c r="G923" i="2"/>
  <c r="F923" i="2"/>
  <c r="H923" i="2"/>
  <c r="G915" i="2"/>
  <c r="H915" i="2"/>
  <c r="I915" i="2"/>
  <c r="E915" i="2"/>
  <c r="F915" i="2"/>
  <c r="F907" i="2"/>
  <c r="G907" i="2"/>
  <c r="E907" i="2"/>
  <c r="H907" i="2"/>
  <c r="I907" i="2"/>
  <c r="F899" i="2"/>
  <c r="G899" i="2"/>
  <c r="I899" i="2"/>
  <c r="E899" i="2"/>
  <c r="H899" i="2"/>
  <c r="F891" i="2"/>
  <c r="G891" i="2"/>
  <c r="E891" i="2"/>
  <c r="H891" i="2"/>
  <c r="I891" i="2"/>
  <c r="F883" i="2"/>
  <c r="G883" i="2"/>
  <c r="I883" i="2"/>
  <c r="E883" i="2"/>
  <c r="H883" i="2"/>
  <c r="F875" i="2"/>
  <c r="G875" i="2"/>
  <c r="E875" i="2"/>
  <c r="H875" i="2"/>
  <c r="I875" i="2"/>
  <c r="F867" i="2"/>
  <c r="G867" i="2"/>
  <c r="I867" i="2"/>
  <c r="E867" i="2"/>
  <c r="H867" i="2"/>
  <c r="F859" i="2"/>
  <c r="G859" i="2"/>
  <c r="E859" i="2"/>
  <c r="H859" i="2"/>
  <c r="I859" i="2"/>
  <c r="F851" i="2"/>
  <c r="G851" i="2"/>
  <c r="E851" i="2"/>
  <c r="I851" i="2"/>
  <c r="H851" i="2"/>
  <c r="F843" i="2"/>
  <c r="G843" i="2"/>
  <c r="H843" i="2"/>
  <c r="I843" i="2"/>
  <c r="E843" i="2"/>
  <c r="F835" i="2"/>
  <c r="G835" i="2"/>
  <c r="E835" i="2"/>
  <c r="H835" i="2"/>
  <c r="I835" i="2"/>
  <c r="F827" i="2"/>
  <c r="G827" i="2"/>
  <c r="H827" i="2"/>
  <c r="I827" i="2"/>
  <c r="E827" i="2"/>
  <c r="F819" i="2"/>
  <c r="G819" i="2"/>
  <c r="E819" i="2"/>
  <c r="H819" i="2"/>
  <c r="I819" i="2"/>
  <c r="F811" i="2"/>
  <c r="G811" i="2"/>
  <c r="H811" i="2"/>
  <c r="I811" i="2"/>
  <c r="E811" i="2"/>
  <c r="F803" i="2"/>
  <c r="G803" i="2"/>
  <c r="H803" i="2"/>
  <c r="I803" i="2"/>
  <c r="E803" i="2"/>
  <c r="F795" i="2"/>
  <c r="G795" i="2"/>
  <c r="E795" i="2"/>
  <c r="H795" i="2"/>
  <c r="I795" i="2"/>
  <c r="F787" i="2"/>
  <c r="G787" i="2"/>
  <c r="H787" i="2"/>
  <c r="I787" i="2"/>
  <c r="E787" i="2"/>
  <c r="F779" i="2"/>
  <c r="G779" i="2"/>
  <c r="E779" i="2"/>
  <c r="H779" i="2"/>
  <c r="I779" i="2"/>
  <c r="F771" i="2"/>
  <c r="G771" i="2"/>
  <c r="H771" i="2"/>
  <c r="I771" i="2"/>
  <c r="E771" i="2"/>
  <c r="F763" i="2"/>
  <c r="G763" i="2"/>
  <c r="E763" i="2"/>
  <c r="H763" i="2"/>
  <c r="I763" i="2"/>
  <c r="F755" i="2"/>
  <c r="G755" i="2"/>
  <c r="H755" i="2"/>
  <c r="I755" i="2"/>
  <c r="E755" i="2"/>
  <c r="F747" i="2"/>
  <c r="G747" i="2"/>
  <c r="E747" i="2"/>
  <c r="H747" i="2"/>
  <c r="I747" i="2"/>
  <c r="F739" i="2"/>
  <c r="G739" i="2"/>
  <c r="H739" i="2"/>
  <c r="I739" i="2"/>
  <c r="E739" i="2"/>
  <c r="E731" i="2"/>
  <c r="G731" i="2"/>
  <c r="I731" i="2"/>
  <c r="F731" i="2"/>
  <c r="H731" i="2"/>
  <c r="H723" i="2"/>
  <c r="E723" i="2"/>
  <c r="F723" i="2"/>
  <c r="G723" i="2"/>
  <c r="I723" i="2"/>
  <c r="E715" i="2"/>
  <c r="G715" i="2"/>
  <c r="H715" i="2"/>
  <c r="F715" i="2"/>
  <c r="I715" i="2"/>
  <c r="E707" i="2"/>
  <c r="H707" i="2"/>
  <c r="F707" i="2"/>
  <c r="I707" i="2"/>
  <c r="G707" i="2"/>
  <c r="E699" i="2"/>
  <c r="H699" i="2"/>
  <c r="F699" i="2"/>
  <c r="G699" i="2"/>
  <c r="I699" i="2"/>
  <c r="E691" i="2"/>
  <c r="H691" i="2"/>
  <c r="F691" i="2"/>
  <c r="G691" i="2"/>
  <c r="I691" i="2"/>
  <c r="E683" i="2"/>
  <c r="H683" i="2"/>
  <c r="I683" i="2"/>
  <c r="F683" i="2"/>
  <c r="G683" i="2"/>
  <c r="E675" i="2"/>
  <c r="H675" i="2"/>
  <c r="F675" i="2"/>
  <c r="G675" i="2"/>
  <c r="I675" i="2"/>
  <c r="E667" i="2"/>
  <c r="H667" i="2"/>
  <c r="F667" i="2"/>
  <c r="G667" i="2"/>
  <c r="I667" i="2"/>
  <c r="E659" i="2"/>
  <c r="H659" i="2"/>
  <c r="F659" i="2"/>
  <c r="G659" i="2"/>
  <c r="I659" i="2"/>
  <c r="E651" i="2"/>
  <c r="H651" i="2"/>
  <c r="F651" i="2"/>
  <c r="G651" i="2"/>
  <c r="I651" i="2"/>
  <c r="E643" i="2"/>
  <c r="H643" i="2"/>
  <c r="F643" i="2"/>
  <c r="I643" i="2"/>
  <c r="G643" i="2"/>
  <c r="E635" i="2"/>
  <c r="H635" i="2"/>
  <c r="F635" i="2"/>
  <c r="G635" i="2"/>
  <c r="I635" i="2"/>
  <c r="E627" i="2"/>
  <c r="H627" i="2"/>
  <c r="F627" i="2"/>
  <c r="G627" i="2"/>
  <c r="I627" i="2"/>
  <c r="E619" i="2"/>
  <c r="H619" i="2"/>
  <c r="F619" i="2"/>
  <c r="G619" i="2"/>
  <c r="I619" i="2"/>
  <c r="E611" i="2"/>
  <c r="H611" i="2"/>
  <c r="F611" i="2"/>
  <c r="I611" i="2"/>
  <c r="G611" i="2"/>
  <c r="E603" i="2"/>
  <c r="H603" i="2"/>
  <c r="F603" i="2"/>
  <c r="G603" i="2"/>
  <c r="I603" i="2"/>
  <c r="E595" i="2"/>
  <c r="H595" i="2"/>
  <c r="F595" i="2"/>
  <c r="I595" i="2"/>
  <c r="G595" i="2"/>
  <c r="E587" i="2"/>
  <c r="H587" i="2"/>
  <c r="G587" i="2"/>
  <c r="I587" i="2"/>
  <c r="F587" i="2"/>
  <c r="E579" i="2"/>
  <c r="H579" i="2"/>
  <c r="F579" i="2"/>
  <c r="I579" i="2"/>
  <c r="G579" i="2"/>
  <c r="E571" i="2"/>
  <c r="H571" i="2"/>
  <c r="F571" i="2"/>
  <c r="G571" i="2"/>
  <c r="I571" i="2"/>
  <c r="E563" i="2"/>
  <c r="H563" i="2"/>
  <c r="F563" i="2"/>
  <c r="I563" i="2"/>
  <c r="G563" i="2"/>
  <c r="E555" i="2"/>
  <c r="H555" i="2"/>
  <c r="F555" i="2"/>
  <c r="G555" i="2"/>
  <c r="I555" i="2"/>
  <c r="E547" i="2"/>
  <c r="H547" i="2"/>
  <c r="F547" i="2"/>
  <c r="I547" i="2"/>
  <c r="G547" i="2"/>
  <c r="E539" i="2"/>
  <c r="F539" i="2"/>
  <c r="G539" i="2"/>
  <c r="H539" i="2"/>
  <c r="I539" i="2"/>
  <c r="E531" i="2"/>
  <c r="F531" i="2"/>
  <c r="G531" i="2"/>
  <c r="H531" i="2"/>
  <c r="I531" i="2"/>
  <c r="E523" i="2"/>
  <c r="F523" i="2"/>
  <c r="G523" i="2"/>
  <c r="H523" i="2"/>
  <c r="I523" i="2"/>
  <c r="E515" i="2"/>
  <c r="F515" i="2"/>
  <c r="G515" i="2"/>
  <c r="H515" i="2"/>
  <c r="I515" i="2"/>
  <c r="E507" i="2"/>
  <c r="F507" i="2"/>
  <c r="G507" i="2"/>
  <c r="H507" i="2"/>
  <c r="I507" i="2"/>
  <c r="E499" i="2"/>
  <c r="I499" i="2"/>
  <c r="F499" i="2"/>
  <c r="G499" i="2"/>
  <c r="H499" i="2"/>
  <c r="E491" i="2"/>
  <c r="F491" i="2"/>
  <c r="G491" i="2"/>
  <c r="H491" i="2"/>
  <c r="I491" i="2"/>
  <c r="E483" i="2"/>
  <c r="G483" i="2"/>
  <c r="F483" i="2"/>
  <c r="H483" i="2"/>
  <c r="I483" i="2"/>
  <c r="G475" i="2"/>
  <c r="E475" i="2"/>
  <c r="F475" i="2"/>
  <c r="H475" i="2"/>
  <c r="I475" i="2"/>
  <c r="E467" i="2"/>
  <c r="G467" i="2"/>
  <c r="F467" i="2"/>
  <c r="H467" i="2"/>
  <c r="I467" i="2"/>
  <c r="E459" i="2"/>
  <c r="G459" i="2"/>
  <c r="I459" i="2"/>
  <c r="F459" i="2"/>
  <c r="H459" i="2"/>
  <c r="E451" i="2"/>
  <c r="F451" i="2"/>
  <c r="G451" i="2"/>
  <c r="H451" i="2"/>
  <c r="I451" i="2"/>
  <c r="E443" i="2"/>
  <c r="I443" i="2"/>
  <c r="F443" i="2"/>
  <c r="G443" i="2"/>
  <c r="H443" i="2"/>
  <c r="E435" i="2"/>
  <c r="H435" i="2"/>
  <c r="G435" i="2"/>
  <c r="F435" i="2"/>
  <c r="I435" i="2"/>
  <c r="E427" i="2"/>
  <c r="F427" i="2"/>
  <c r="H427" i="2"/>
  <c r="G427" i="2"/>
  <c r="I427" i="2"/>
  <c r="E419" i="2"/>
  <c r="F419" i="2"/>
  <c r="G419" i="2"/>
  <c r="I419" i="2"/>
  <c r="H419" i="2"/>
  <c r="E411" i="2"/>
  <c r="I411" i="2"/>
  <c r="G411" i="2"/>
  <c r="H411" i="2"/>
  <c r="F411" i="2"/>
  <c r="E403" i="2"/>
  <c r="F403" i="2"/>
  <c r="G403" i="2"/>
  <c r="H403" i="2"/>
  <c r="I403" i="2"/>
  <c r="E395" i="2"/>
  <c r="G395" i="2"/>
  <c r="I395" i="2"/>
  <c r="F395" i="2"/>
  <c r="H395" i="2"/>
  <c r="E387" i="2"/>
  <c r="F387" i="2"/>
  <c r="H387" i="2"/>
  <c r="I387" i="2"/>
  <c r="G387" i="2"/>
  <c r="E379" i="2"/>
  <c r="F379" i="2"/>
  <c r="I379" i="2"/>
  <c r="G379" i="2"/>
  <c r="H379" i="2"/>
  <c r="E371" i="2"/>
  <c r="H371" i="2"/>
  <c r="I371" i="2"/>
  <c r="G371" i="2"/>
  <c r="F371" i="2"/>
  <c r="E363" i="2"/>
  <c r="F363" i="2"/>
  <c r="G363" i="2"/>
  <c r="H363" i="2"/>
  <c r="I363" i="2"/>
  <c r="E355" i="2"/>
  <c r="F355" i="2"/>
  <c r="G355" i="2"/>
  <c r="I355" i="2"/>
  <c r="H355" i="2"/>
  <c r="E347" i="2"/>
  <c r="H347" i="2"/>
  <c r="I347" i="2"/>
  <c r="F347" i="2"/>
  <c r="G347" i="2"/>
  <c r="E339" i="2"/>
  <c r="G339" i="2"/>
  <c r="H339" i="2"/>
  <c r="I339" i="2"/>
  <c r="F339" i="2"/>
  <c r="E331" i="2"/>
  <c r="G331" i="2"/>
  <c r="H331" i="2"/>
  <c r="I331" i="2"/>
  <c r="F331" i="2"/>
  <c r="E323" i="2"/>
  <c r="I323" i="2"/>
  <c r="F323" i="2"/>
  <c r="G323" i="2"/>
  <c r="H323" i="2"/>
  <c r="E315" i="2"/>
  <c r="G315" i="2"/>
  <c r="H315" i="2"/>
  <c r="I315" i="2"/>
  <c r="F315" i="2"/>
  <c r="E307" i="2"/>
  <c r="F307" i="2"/>
  <c r="G307" i="2"/>
  <c r="I307" i="2"/>
  <c r="H307" i="2"/>
  <c r="E299" i="2"/>
  <c r="G299" i="2"/>
  <c r="H299" i="2"/>
  <c r="I299" i="2"/>
  <c r="F299" i="2"/>
  <c r="E291" i="2"/>
  <c r="I291" i="2"/>
  <c r="F291" i="2"/>
  <c r="G291" i="2"/>
  <c r="H291" i="2"/>
  <c r="E283" i="2"/>
  <c r="I283" i="2"/>
  <c r="H283" i="2"/>
  <c r="F283" i="2"/>
  <c r="G283" i="2"/>
  <c r="E275" i="2"/>
  <c r="G275" i="2"/>
  <c r="F275" i="2"/>
  <c r="H275" i="2"/>
  <c r="I275" i="2"/>
  <c r="E267" i="2"/>
  <c r="G267" i="2"/>
  <c r="F267" i="2"/>
  <c r="I267" i="2"/>
  <c r="H267" i="2"/>
  <c r="E259" i="2"/>
  <c r="G259" i="2"/>
  <c r="H259" i="2"/>
  <c r="I259" i="2"/>
  <c r="F259" i="2"/>
  <c r="E251" i="2"/>
  <c r="I251" i="2"/>
  <c r="F251" i="2"/>
  <c r="G251" i="2"/>
  <c r="H251" i="2"/>
  <c r="I243" i="2"/>
  <c r="G243" i="2"/>
  <c r="F243" i="2"/>
  <c r="H243" i="2"/>
  <c r="E243" i="2"/>
  <c r="I235" i="2"/>
  <c r="G235" i="2"/>
  <c r="H235" i="2"/>
  <c r="E235" i="2"/>
  <c r="F235" i="2"/>
  <c r="I227" i="2"/>
  <c r="E227" i="2"/>
  <c r="G227" i="2"/>
  <c r="F227" i="2"/>
  <c r="H227" i="2"/>
  <c r="I219" i="2"/>
  <c r="E219" i="2"/>
  <c r="F219" i="2"/>
  <c r="G219" i="2"/>
  <c r="H219" i="2"/>
  <c r="I211" i="2"/>
  <c r="E211" i="2"/>
  <c r="G211" i="2"/>
  <c r="H211" i="2"/>
  <c r="F211" i="2"/>
  <c r="I203" i="2"/>
  <c r="G203" i="2"/>
  <c r="H203" i="2"/>
  <c r="E203" i="2"/>
  <c r="F203" i="2"/>
  <c r="I195" i="2"/>
  <c r="E195" i="2"/>
  <c r="G195" i="2"/>
  <c r="H195" i="2"/>
  <c r="F195" i="2"/>
  <c r="I187" i="2"/>
  <c r="H187" i="2"/>
  <c r="E187" i="2"/>
  <c r="F187" i="2"/>
  <c r="G187" i="2"/>
  <c r="I179" i="2"/>
  <c r="F179" i="2"/>
  <c r="E179" i="2"/>
  <c r="G179" i="2"/>
  <c r="H179" i="2"/>
  <c r="I171" i="2"/>
  <c r="G171" i="2"/>
  <c r="H171" i="2"/>
  <c r="E171" i="2"/>
  <c r="F171" i="2"/>
  <c r="E163" i="2"/>
  <c r="I163" i="2"/>
  <c r="G163" i="2"/>
  <c r="F163" i="2"/>
  <c r="H163" i="2"/>
  <c r="E155" i="2"/>
  <c r="I155" i="2"/>
  <c r="H155" i="2"/>
  <c r="F155" i="2"/>
  <c r="G155" i="2"/>
  <c r="E147" i="2"/>
  <c r="I147" i="2"/>
  <c r="F147" i="2"/>
  <c r="H147" i="2"/>
  <c r="G147" i="2"/>
  <c r="F139" i="2"/>
  <c r="I139" i="2"/>
  <c r="G139" i="2"/>
  <c r="H139" i="2"/>
  <c r="E139" i="2"/>
  <c r="F131" i="2"/>
  <c r="G131" i="2"/>
  <c r="H131" i="2"/>
  <c r="I131" i="2"/>
  <c r="E131" i="2"/>
  <c r="F123" i="2"/>
  <c r="G123" i="2"/>
  <c r="H123" i="2"/>
  <c r="E123" i="2"/>
  <c r="I123" i="2"/>
  <c r="F115" i="2"/>
  <c r="G115" i="2"/>
  <c r="H115" i="2"/>
  <c r="E115" i="2"/>
  <c r="I115" i="2"/>
  <c r="F107" i="2"/>
  <c r="G107" i="2"/>
  <c r="H107" i="2"/>
  <c r="E107" i="2"/>
  <c r="I107" i="2"/>
  <c r="F99" i="2"/>
  <c r="G99" i="2"/>
  <c r="H99" i="2"/>
  <c r="I99" i="2"/>
  <c r="E99" i="2"/>
  <c r="F91" i="2"/>
  <c r="G91" i="2"/>
  <c r="H91" i="2"/>
  <c r="E91" i="2"/>
  <c r="I91" i="2"/>
  <c r="F83" i="2"/>
  <c r="G83" i="2"/>
  <c r="H83" i="2"/>
  <c r="E83" i="2"/>
  <c r="I83" i="2"/>
  <c r="F75" i="2"/>
  <c r="G75" i="2"/>
  <c r="H75" i="2"/>
  <c r="I75" i="2"/>
  <c r="E75" i="2"/>
  <c r="F67" i="2"/>
  <c r="G67" i="2"/>
  <c r="H67" i="2"/>
  <c r="I67" i="2"/>
  <c r="E67" i="2"/>
  <c r="F59" i="2"/>
  <c r="G59" i="2"/>
  <c r="H59" i="2"/>
  <c r="E59" i="2"/>
  <c r="I59" i="2"/>
  <c r="E51" i="2"/>
  <c r="F51" i="2"/>
  <c r="G51" i="2"/>
  <c r="H51" i="2"/>
  <c r="I51" i="2"/>
  <c r="E43" i="2"/>
  <c r="F43" i="2"/>
  <c r="G43" i="2"/>
  <c r="H43" i="2"/>
  <c r="I43" i="2"/>
  <c r="E35" i="2"/>
  <c r="F35" i="2"/>
  <c r="G35" i="2"/>
  <c r="H35" i="2"/>
  <c r="I35" i="2"/>
  <c r="E27" i="2"/>
  <c r="F27" i="2"/>
  <c r="G27" i="2"/>
  <c r="H27" i="2"/>
  <c r="I27" i="2"/>
  <c r="E19" i="2"/>
  <c r="F19" i="2"/>
  <c r="G19" i="2"/>
  <c r="H19" i="2"/>
  <c r="I19" i="2"/>
  <c r="E11" i="2"/>
  <c r="F11" i="2"/>
  <c r="G11" i="2"/>
  <c r="H11" i="2"/>
  <c r="I11" i="2"/>
  <c r="F2" i="2"/>
  <c r="E1326" i="2"/>
  <c r="I1323" i="2"/>
  <c r="H1321" i="2"/>
  <c r="H1319" i="2"/>
  <c r="G1317" i="2"/>
  <c r="F1315" i="2"/>
  <c r="F1313" i="2"/>
  <c r="E1311" i="2"/>
  <c r="I1308" i="2"/>
  <c r="H1304" i="2"/>
  <c r="G1302" i="2"/>
  <c r="G1300" i="2"/>
  <c r="E1294" i="2"/>
  <c r="I1291" i="2"/>
  <c r="H1289" i="2"/>
  <c r="H1287" i="2"/>
  <c r="G1285" i="2"/>
  <c r="F1283" i="2"/>
  <c r="F1281" i="2"/>
  <c r="G1278" i="2"/>
  <c r="F1276" i="2"/>
  <c r="G1273" i="2"/>
  <c r="H1270" i="2"/>
  <c r="G1268" i="2"/>
  <c r="H1265" i="2"/>
  <c r="H1260" i="2"/>
  <c r="H1257" i="2"/>
  <c r="G1254" i="2"/>
  <c r="H1238" i="2"/>
  <c r="H1267" i="2"/>
  <c r="I1267" i="2"/>
  <c r="E3" i="2"/>
  <c r="F3" i="2"/>
  <c r="E1306" i="2"/>
  <c r="G1306" i="2"/>
  <c r="E1282" i="2"/>
  <c r="G1282" i="2"/>
  <c r="E1258" i="2"/>
  <c r="F1258" i="2"/>
  <c r="G1258" i="2"/>
  <c r="E1242" i="2"/>
  <c r="F1242" i="2"/>
  <c r="G1242" i="2"/>
  <c r="E1226" i="2"/>
  <c r="F1226" i="2"/>
  <c r="G1226" i="2"/>
  <c r="H1226" i="2"/>
  <c r="I1226" i="2"/>
  <c r="E1210" i="2"/>
  <c r="F1210" i="2"/>
  <c r="G1210" i="2"/>
  <c r="H1210" i="2"/>
  <c r="I1210" i="2"/>
  <c r="E1186" i="2"/>
  <c r="F1186" i="2"/>
  <c r="G1186" i="2"/>
  <c r="H1186" i="2"/>
  <c r="I1186" i="2"/>
  <c r="G1170" i="2"/>
  <c r="E1170" i="2"/>
  <c r="F1170" i="2"/>
  <c r="H1170" i="2"/>
  <c r="I1170" i="2"/>
  <c r="G1154" i="2"/>
  <c r="I1154" i="2"/>
  <c r="H1154" i="2"/>
  <c r="E1154" i="2"/>
  <c r="F1154" i="2"/>
  <c r="G1146" i="2"/>
  <c r="I1146" i="2"/>
  <c r="E1146" i="2"/>
  <c r="F1146" i="2"/>
  <c r="H1146" i="2"/>
  <c r="G1138" i="2"/>
  <c r="I1138" i="2"/>
  <c r="E1138" i="2"/>
  <c r="F1138" i="2"/>
  <c r="H1138" i="2"/>
  <c r="G1122" i="2"/>
  <c r="I1122" i="2"/>
  <c r="E1122" i="2"/>
  <c r="F1122" i="2"/>
  <c r="H1122" i="2"/>
  <c r="G1114" i="2"/>
  <c r="I1114" i="2"/>
  <c r="E1114" i="2"/>
  <c r="F1114" i="2"/>
  <c r="H1114" i="2"/>
  <c r="G1106" i="2"/>
  <c r="I1106" i="2"/>
  <c r="E1106" i="2"/>
  <c r="F1106" i="2"/>
  <c r="H1106" i="2"/>
  <c r="G1098" i="2"/>
  <c r="I1098" i="2"/>
  <c r="F1098" i="2"/>
  <c r="H1098" i="2"/>
  <c r="E1098" i="2"/>
  <c r="E1090" i="2"/>
  <c r="G1090" i="2"/>
  <c r="I1090" i="2"/>
  <c r="F1090" i="2"/>
  <c r="H1090" i="2"/>
  <c r="E1082" i="2"/>
  <c r="G1082" i="2"/>
  <c r="I1082" i="2"/>
  <c r="F1082" i="2"/>
  <c r="H1082" i="2"/>
  <c r="E1074" i="2"/>
  <c r="G1074" i="2"/>
  <c r="I1074" i="2"/>
  <c r="F1074" i="2"/>
  <c r="H1074" i="2"/>
  <c r="E1066" i="2"/>
  <c r="F1066" i="2"/>
  <c r="G1066" i="2"/>
  <c r="I1066" i="2"/>
  <c r="H1066" i="2"/>
  <c r="E1058" i="2"/>
  <c r="F1058" i="2"/>
  <c r="G1058" i="2"/>
  <c r="I1058" i="2"/>
  <c r="H1058" i="2"/>
  <c r="E1050" i="2"/>
  <c r="F1050" i="2"/>
  <c r="G1050" i="2"/>
  <c r="I1050" i="2"/>
  <c r="H1050" i="2"/>
  <c r="H1042" i="2"/>
  <c r="I1042" i="2"/>
  <c r="E1042" i="2"/>
  <c r="F1042" i="2"/>
  <c r="G1042" i="2"/>
  <c r="H1034" i="2"/>
  <c r="I1034" i="2"/>
  <c r="F1034" i="2"/>
  <c r="E1034" i="2"/>
  <c r="G1034" i="2"/>
  <c r="H1026" i="2"/>
  <c r="I1026" i="2"/>
  <c r="F1026" i="2"/>
  <c r="G1026" i="2"/>
  <c r="E1026" i="2"/>
  <c r="H1018" i="2"/>
  <c r="I1018" i="2"/>
  <c r="E1018" i="2"/>
  <c r="F1018" i="2"/>
  <c r="G1018" i="2"/>
  <c r="H1010" i="2"/>
  <c r="I1010" i="2"/>
  <c r="E1010" i="2"/>
  <c r="F1010" i="2"/>
  <c r="G1010" i="2"/>
  <c r="H1002" i="2"/>
  <c r="I1002" i="2"/>
  <c r="F1002" i="2"/>
  <c r="E1002" i="2"/>
  <c r="G1002" i="2"/>
  <c r="H994" i="2"/>
  <c r="I994" i="2"/>
  <c r="F994" i="2"/>
  <c r="G994" i="2"/>
  <c r="E994" i="2"/>
  <c r="H986" i="2"/>
  <c r="I986" i="2"/>
  <c r="E986" i="2"/>
  <c r="F986" i="2"/>
  <c r="G986" i="2"/>
  <c r="H978" i="2"/>
  <c r="I978" i="2"/>
  <c r="E978" i="2"/>
  <c r="F978" i="2"/>
  <c r="G978" i="2"/>
  <c r="H970" i="2"/>
  <c r="I970" i="2"/>
  <c r="F970" i="2"/>
  <c r="E970" i="2"/>
  <c r="G970" i="2"/>
  <c r="H962" i="2"/>
  <c r="I962" i="2"/>
  <c r="F962" i="2"/>
  <c r="G962" i="2"/>
  <c r="E962" i="2"/>
  <c r="H954" i="2"/>
  <c r="I954" i="2"/>
  <c r="E954" i="2"/>
  <c r="F954" i="2"/>
  <c r="G954" i="2"/>
  <c r="H946" i="2"/>
  <c r="I946" i="2"/>
  <c r="E946" i="2"/>
  <c r="F946" i="2"/>
  <c r="G946" i="2"/>
  <c r="H938" i="2"/>
  <c r="I938" i="2"/>
  <c r="F938" i="2"/>
  <c r="E938" i="2"/>
  <c r="G938" i="2"/>
  <c r="H930" i="2"/>
  <c r="I930" i="2"/>
  <c r="F930" i="2"/>
  <c r="G930" i="2"/>
  <c r="E930" i="2"/>
  <c r="H922" i="2"/>
  <c r="I922" i="2"/>
  <c r="E922" i="2"/>
  <c r="F922" i="2"/>
  <c r="G922" i="2"/>
  <c r="H914" i="2"/>
  <c r="I914" i="2"/>
  <c r="E914" i="2"/>
  <c r="F914" i="2"/>
  <c r="G914" i="2"/>
  <c r="F906" i="2"/>
  <c r="G906" i="2"/>
  <c r="H906" i="2"/>
  <c r="I906" i="2"/>
  <c r="E906" i="2"/>
  <c r="E898" i="2"/>
  <c r="F898" i="2"/>
  <c r="G898" i="2"/>
  <c r="H898" i="2"/>
  <c r="I898" i="2"/>
  <c r="E890" i="2"/>
  <c r="F890" i="2"/>
  <c r="G890" i="2"/>
  <c r="H890" i="2"/>
  <c r="I890" i="2"/>
  <c r="H882" i="2"/>
  <c r="I882" i="2"/>
  <c r="E882" i="2"/>
  <c r="F882" i="2"/>
  <c r="G882" i="2"/>
  <c r="F874" i="2"/>
  <c r="G874" i="2"/>
  <c r="H874" i="2"/>
  <c r="E874" i="2"/>
  <c r="I874" i="2"/>
  <c r="E866" i="2"/>
  <c r="H866" i="2"/>
  <c r="I866" i="2"/>
  <c r="F866" i="2"/>
  <c r="G866" i="2"/>
  <c r="F858" i="2"/>
  <c r="G858" i="2"/>
  <c r="H858" i="2"/>
  <c r="I858" i="2"/>
  <c r="E858" i="2"/>
  <c r="H850" i="2"/>
  <c r="I850" i="2"/>
  <c r="E850" i="2"/>
  <c r="F850" i="2"/>
  <c r="G850" i="2"/>
  <c r="G842" i="2"/>
  <c r="I842" i="2"/>
  <c r="H842" i="2"/>
  <c r="E842" i="2"/>
  <c r="F842" i="2"/>
  <c r="G834" i="2"/>
  <c r="I834" i="2"/>
  <c r="E834" i="2"/>
  <c r="F834" i="2"/>
  <c r="H834" i="2"/>
  <c r="G826" i="2"/>
  <c r="I826" i="2"/>
  <c r="E826" i="2"/>
  <c r="F826" i="2"/>
  <c r="H826" i="2"/>
  <c r="G818" i="2"/>
  <c r="I818" i="2"/>
  <c r="E818" i="2"/>
  <c r="F818" i="2"/>
  <c r="H818" i="2"/>
  <c r="G810" i="2"/>
  <c r="I810" i="2"/>
  <c r="E810" i="2"/>
  <c r="F810" i="2"/>
  <c r="H810" i="2"/>
  <c r="G802" i="2"/>
  <c r="I802" i="2"/>
  <c r="E802" i="2"/>
  <c r="F802" i="2"/>
  <c r="H802" i="2"/>
  <c r="G794" i="2"/>
  <c r="I794" i="2"/>
  <c r="E794" i="2"/>
  <c r="F794" i="2"/>
  <c r="H794" i="2"/>
  <c r="G786" i="2"/>
  <c r="I786" i="2"/>
  <c r="E786" i="2"/>
  <c r="F786" i="2"/>
  <c r="H786" i="2"/>
  <c r="G778" i="2"/>
  <c r="I778" i="2"/>
  <c r="E778" i="2"/>
  <c r="F778" i="2"/>
  <c r="H778" i="2"/>
  <c r="G770" i="2"/>
  <c r="I770" i="2"/>
  <c r="E770" i="2"/>
  <c r="F770" i="2"/>
  <c r="H770" i="2"/>
  <c r="G762" i="2"/>
  <c r="I762" i="2"/>
  <c r="E762" i="2"/>
  <c r="F762" i="2"/>
  <c r="H762" i="2"/>
  <c r="G754" i="2"/>
  <c r="I754" i="2"/>
  <c r="E754" i="2"/>
  <c r="F754" i="2"/>
  <c r="H754" i="2"/>
  <c r="G746" i="2"/>
  <c r="I746" i="2"/>
  <c r="E746" i="2"/>
  <c r="F746" i="2"/>
  <c r="H746" i="2"/>
  <c r="G738" i="2"/>
  <c r="F738" i="2"/>
  <c r="I738" i="2"/>
  <c r="E738" i="2"/>
  <c r="H738" i="2"/>
  <c r="G730" i="2"/>
  <c r="E730" i="2"/>
  <c r="F730" i="2"/>
  <c r="H730" i="2"/>
  <c r="I730" i="2"/>
  <c r="G722" i="2"/>
  <c r="F722" i="2"/>
  <c r="I722" i="2"/>
  <c r="E722" i="2"/>
  <c r="H722" i="2"/>
  <c r="G714" i="2"/>
  <c r="H714" i="2"/>
  <c r="E714" i="2"/>
  <c r="F714" i="2"/>
  <c r="I714" i="2"/>
  <c r="H706" i="2"/>
  <c r="I706" i="2"/>
  <c r="E706" i="2"/>
  <c r="F706" i="2"/>
  <c r="G706" i="2"/>
  <c r="H698" i="2"/>
  <c r="I698" i="2"/>
  <c r="E698" i="2"/>
  <c r="G698" i="2"/>
  <c r="F698" i="2"/>
  <c r="H690" i="2"/>
  <c r="I690" i="2"/>
  <c r="E690" i="2"/>
  <c r="F690" i="2"/>
  <c r="G690" i="2"/>
  <c r="H682" i="2"/>
  <c r="I682" i="2"/>
  <c r="E682" i="2"/>
  <c r="F682" i="2"/>
  <c r="G682" i="2"/>
  <c r="H674" i="2"/>
  <c r="I674" i="2"/>
  <c r="E674" i="2"/>
  <c r="F674" i="2"/>
  <c r="G674" i="2"/>
  <c r="H666" i="2"/>
  <c r="I666" i="2"/>
  <c r="E666" i="2"/>
  <c r="F666" i="2"/>
  <c r="G666" i="2"/>
  <c r="H658" i="2"/>
  <c r="I658" i="2"/>
  <c r="E658" i="2"/>
  <c r="F658" i="2"/>
  <c r="G658" i="2"/>
  <c r="H650" i="2"/>
  <c r="I650" i="2"/>
  <c r="E650" i="2"/>
  <c r="F650" i="2"/>
  <c r="G650" i="2"/>
  <c r="H642" i="2"/>
  <c r="I642" i="2"/>
  <c r="E642" i="2"/>
  <c r="F642" i="2"/>
  <c r="G642" i="2"/>
  <c r="H634" i="2"/>
  <c r="I634" i="2"/>
  <c r="E634" i="2"/>
  <c r="F634" i="2"/>
  <c r="G634" i="2"/>
  <c r="H626" i="2"/>
  <c r="I626" i="2"/>
  <c r="E626" i="2"/>
  <c r="F626" i="2"/>
  <c r="G626" i="2"/>
  <c r="H618" i="2"/>
  <c r="I618" i="2"/>
  <c r="E618" i="2"/>
  <c r="F618" i="2"/>
  <c r="G618" i="2"/>
  <c r="H610" i="2"/>
  <c r="I610" i="2"/>
  <c r="E610" i="2"/>
  <c r="F610" i="2"/>
  <c r="G610" i="2"/>
  <c r="H602" i="2"/>
  <c r="I602" i="2"/>
  <c r="E602" i="2"/>
  <c r="F602" i="2"/>
  <c r="G602" i="2"/>
  <c r="H594" i="2"/>
  <c r="I594" i="2"/>
  <c r="E594" i="2"/>
  <c r="F594" i="2"/>
  <c r="G594" i="2"/>
  <c r="H586" i="2"/>
  <c r="I586" i="2"/>
  <c r="E586" i="2"/>
  <c r="F586" i="2"/>
  <c r="G586" i="2"/>
  <c r="H578" i="2"/>
  <c r="I578" i="2"/>
  <c r="E578" i="2"/>
  <c r="G578" i="2"/>
  <c r="F578" i="2"/>
  <c r="H570" i="2"/>
  <c r="I570" i="2"/>
  <c r="E570" i="2"/>
  <c r="F570" i="2"/>
  <c r="G570" i="2"/>
  <c r="H562" i="2"/>
  <c r="I562" i="2"/>
  <c r="E562" i="2"/>
  <c r="F562" i="2"/>
  <c r="G562" i="2"/>
  <c r="H554" i="2"/>
  <c r="I554" i="2"/>
  <c r="E554" i="2"/>
  <c r="F554" i="2"/>
  <c r="G554" i="2"/>
  <c r="H546" i="2"/>
  <c r="I546" i="2"/>
  <c r="E546" i="2"/>
  <c r="F546" i="2"/>
  <c r="G546" i="2"/>
  <c r="H538" i="2"/>
  <c r="I538" i="2"/>
  <c r="E538" i="2"/>
  <c r="F538" i="2"/>
  <c r="G538" i="2"/>
  <c r="H530" i="2"/>
  <c r="I530" i="2"/>
  <c r="E530" i="2"/>
  <c r="F530" i="2"/>
  <c r="G530" i="2"/>
  <c r="H522" i="2"/>
  <c r="I522" i="2"/>
  <c r="E522" i="2"/>
  <c r="F522" i="2"/>
  <c r="G522" i="2"/>
  <c r="H514" i="2"/>
  <c r="I514" i="2"/>
  <c r="E514" i="2"/>
  <c r="G514" i="2"/>
  <c r="F514" i="2"/>
  <c r="H506" i="2"/>
  <c r="I506" i="2"/>
  <c r="E506" i="2"/>
  <c r="F506" i="2"/>
  <c r="G506" i="2"/>
  <c r="E498" i="2"/>
  <c r="F498" i="2"/>
  <c r="G498" i="2"/>
  <c r="H498" i="2"/>
  <c r="I498" i="2"/>
  <c r="G490" i="2"/>
  <c r="F490" i="2"/>
  <c r="H490" i="2"/>
  <c r="I490" i="2"/>
  <c r="E490" i="2"/>
  <c r="G482" i="2"/>
  <c r="H482" i="2"/>
  <c r="I482" i="2"/>
  <c r="E482" i="2"/>
  <c r="F482" i="2"/>
  <c r="I474" i="2"/>
  <c r="F474" i="2"/>
  <c r="H474" i="2"/>
  <c r="E474" i="2"/>
  <c r="G474" i="2"/>
  <c r="H466" i="2"/>
  <c r="I466" i="2"/>
  <c r="E466" i="2"/>
  <c r="F466" i="2"/>
  <c r="G466" i="2"/>
  <c r="G458" i="2"/>
  <c r="I458" i="2"/>
  <c r="F458" i="2"/>
  <c r="H458" i="2"/>
  <c r="E458" i="2"/>
  <c r="F450" i="2"/>
  <c r="E450" i="2"/>
  <c r="H450" i="2"/>
  <c r="I450" i="2"/>
  <c r="G450" i="2"/>
  <c r="I442" i="2"/>
  <c r="F442" i="2"/>
  <c r="H442" i="2"/>
  <c r="G442" i="2"/>
  <c r="E442" i="2"/>
  <c r="E434" i="2"/>
  <c r="G434" i="2"/>
  <c r="H434" i="2"/>
  <c r="I434" i="2"/>
  <c r="F434" i="2"/>
  <c r="G426" i="2"/>
  <c r="E426" i="2"/>
  <c r="F426" i="2"/>
  <c r="H426" i="2"/>
  <c r="I426" i="2"/>
  <c r="H418" i="2"/>
  <c r="E418" i="2"/>
  <c r="F418" i="2"/>
  <c r="G418" i="2"/>
  <c r="I418" i="2"/>
  <c r="E410" i="2"/>
  <c r="G410" i="2"/>
  <c r="I410" i="2"/>
  <c r="H410" i="2"/>
  <c r="F410" i="2"/>
  <c r="H402" i="2"/>
  <c r="E402" i="2"/>
  <c r="G402" i="2"/>
  <c r="F402" i="2"/>
  <c r="I402" i="2"/>
  <c r="F394" i="2"/>
  <c r="H394" i="2"/>
  <c r="I394" i="2"/>
  <c r="E394" i="2"/>
  <c r="G394" i="2"/>
  <c r="F386" i="2"/>
  <c r="G386" i="2"/>
  <c r="E386" i="2"/>
  <c r="I386" i="2"/>
  <c r="H386" i="2"/>
  <c r="I378" i="2"/>
  <c r="E378" i="2"/>
  <c r="F378" i="2"/>
  <c r="H378" i="2"/>
  <c r="G378" i="2"/>
  <c r="E370" i="2"/>
  <c r="H370" i="2"/>
  <c r="F370" i="2"/>
  <c r="G370" i="2"/>
  <c r="I370" i="2"/>
  <c r="G362" i="2"/>
  <c r="H362" i="2"/>
  <c r="E362" i="2"/>
  <c r="F362" i="2"/>
  <c r="I362" i="2"/>
  <c r="I354" i="2"/>
  <c r="E354" i="2"/>
  <c r="F354" i="2"/>
  <c r="G354" i="2"/>
  <c r="H354" i="2"/>
  <c r="E346" i="2"/>
  <c r="F346" i="2"/>
  <c r="H346" i="2"/>
  <c r="I346" i="2"/>
  <c r="G346" i="2"/>
  <c r="G338" i="2"/>
  <c r="H338" i="2"/>
  <c r="I338" i="2"/>
  <c r="E338" i="2"/>
  <c r="F338" i="2"/>
  <c r="G330" i="2"/>
  <c r="F330" i="2"/>
  <c r="H330" i="2"/>
  <c r="I330" i="2"/>
  <c r="E330" i="2"/>
  <c r="G322" i="2"/>
  <c r="E322" i="2"/>
  <c r="F322" i="2"/>
  <c r="I322" i="2"/>
  <c r="H322" i="2"/>
  <c r="G314" i="2"/>
  <c r="F314" i="2"/>
  <c r="H314" i="2"/>
  <c r="I314" i="2"/>
  <c r="E314" i="2"/>
  <c r="G306" i="2"/>
  <c r="I306" i="2"/>
  <c r="E306" i="2"/>
  <c r="F306" i="2"/>
  <c r="H306" i="2"/>
  <c r="G298" i="2"/>
  <c r="F298" i="2"/>
  <c r="H298" i="2"/>
  <c r="I298" i="2"/>
  <c r="E298" i="2"/>
  <c r="E290" i="2"/>
  <c r="I290" i="2"/>
  <c r="F290" i="2"/>
  <c r="G290" i="2"/>
  <c r="H290" i="2"/>
  <c r="H282" i="2"/>
  <c r="E282" i="2"/>
  <c r="G282" i="2"/>
  <c r="I282" i="2"/>
  <c r="F282" i="2"/>
  <c r="H274" i="2"/>
  <c r="E274" i="2"/>
  <c r="F274" i="2"/>
  <c r="G274" i="2"/>
  <c r="I274" i="2"/>
  <c r="F266" i="2"/>
  <c r="H266" i="2"/>
  <c r="I266" i="2"/>
  <c r="E266" i="2"/>
  <c r="G266" i="2"/>
  <c r="I258" i="2"/>
  <c r="F258" i="2"/>
  <c r="E258" i="2"/>
  <c r="G258" i="2"/>
  <c r="H258" i="2"/>
  <c r="F250" i="2"/>
  <c r="G250" i="2"/>
  <c r="H250" i="2"/>
  <c r="E250" i="2"/>
  <c r="I250" i="2"/>
  <c r="F242" i="2"/>
  <c r="G242" i="2"/>
  <c r="H242" i="2"/>
  <c r="E242" i="2"/>
  <c r="I242" i="2"/>
  <c r="F234" i="2"/>
  <c r="G234" i="2"/>
  <c r="I234" i="2"/>
  <c r="E234" i="2"/>
  <c r="H234" i="2"/>
  <c r="F226" i="2"/>
  <c r="G226" i="2"/>
  <c r="H226" i="2"/>
  <c r="E226" i="2"/>
  <c r="I226" i="2"/>
  <c r="F218" i="2"/>
  <c r="G218" i="2"/>
  <c r="H218" i="2"/>
  <c r="I218" i="2"/>
  <c r="E218" i="2"/>
  <c r="F210" i="2"/>
  <c r="G210" i="2"/>
  <c r="H210" i="2"/>
  <c r="E210" i="2"/>
  <c r="I210" i="2"/>
  <c r="F202" i="2"/>
  <c r="G202" i="2"/>
  <c r="E202" i="2"/>
  <c r="H202" i="2"/>
  <c r="I202" i="2"/>
  <c r="F194" i="2"/>
  <c r="G194" i="2"/>
  <c r="E194" i="2"/>
  <c r="I194" i="2"/>
  <c r="H194" i="2"/>
  <c r="F186" i="2"/>
  <c r="G186" i="2"/>
  <c r="H186" i="2"/>
  <c r="E186" i="2"/>
  <c r="I186" i="2"/>
  <c r="F178" i="2"/>
  <c r="G178" i="2"/>
  <c r="H178" i="2"/>
  <c r="I178" i="2"/>
  <c r="E178" i="2"/>
  <c r="F170" i="2"/>
  <c r="G170" i="2"/>
  <c r="I170" i="2"/>
  <c r="E170" i="2"/>
  <c r="H170" i="2"/>
  <c r="F162" i="2"/>
  <c r="G162" i="2"/>
  <c r="H162" i="2"/>
  <c r="I162" i="2"/>
  <c r="E162" i="2"/>
  <c r="F154" i="2"/>
  <c r="G154" i="2"/>
  <c r="E154" i="2"/>
  <c r="I154" i="2"/>
  <c r="H154" i="2"/>
  <c r="F146" i="2"/>
  <c r="G146" i="2"/>
  <c r="H146" i="2"/>
  <c r="E146" i="2"/>
  <c r="I146" i="2"/>
  <c r="G138" i="2"/>
  <c r="H138" i="2"/>
  <c r="I138" i="2"/>
  <c r="E138" i="2"/>
  <c r="F138" i="2"/>
  <c r="G130" i="2"/>
  <c r="H130" i="2"/>
  <c r="I130" i="2"/>
  <c r="E130" i="2"/>
  <c r="F130" i="2"/>
  <c r="G122" i="2"/>
  <c r="H122" i="2"/>
  <c r="I122" i="2"/>
  <c r="E122" i="2"/>
  <c r="F122" i="2"/>
  <c r="G114" i="2"/>
  <c r="H114" i="2"/>
  <c r="I114" i="2"/>
  <c r="E114" i="2"/>
  <c r="F114" i="2"/>
  <c r="G106" i="2"/>
  <c r="H106" i="2"/>
  <c r="I106" i="2"/>
  <c r="E106" i="2"/>
  <c r="F106" i="2"/>
  <c r="G98" i="2"/>
  <c r="H98" i="2"/>
  <c r="I98" i="2"/>
  <c r="E98" i="2"/>
  <c r="F98" i="2"/>
  <c r="G90" i="2"/>
  <c r="H90" i="2"/>
  <c r="I90" i="2"/>
  <c r="E90" i="2"/>
  <c r="F90" i="2"/>
  <c r="G82" i="2"/>
  <c r="H82" i="2"/>
  <c r="I82" i="2"/>
  <c r="E82" i="2"/>
  <c r="F82" i="2"/>
  <c r="G74" i="2"/>
  <c r="H74" i="2"/>
  <c r="I74" i="2"/>
  <c r="E74" i="2"/>
  <c r="F74" i="2"/>
  <c r="G66" i="2"/>
  <c r="H66" i="2"/>
  <c r="I66" i="2"/>
  <c r="E66" i="2"/>
  <c r="F66" i="2"/>
  <c r="G58" i="2"/>
  <c r="H58" i="2"/>
  <c r="I58" i="2"/>
  <c r="E58" i="2"/>
  <c r="F58" i="2"/>
  <c r="G50" i="2"/>
  <c r="H50" i="2"/>
  <c r="I50" i="2"/>
  <c r="E50" i="2"/>
  <c r="F50" i="2"/>
  <c r="G42" i="2"/>
  <c r="H42" i="2"/>
  <c r="I42" i="2"/>
  <c r="E42" i="2"/>
  <c r="F42" i="2"/>
  <c r="G34" i="2"/>
  <c r="H34" i="2"/>
  <c r="I34" i="2"/>
  <c r="E34" i="2"/>
  <c r="F34" i="2"/>
  <c r="G26" i="2"/>
  <c r="H26" i="2"/>
  <c r="I26" i="2"/>
  <c r="E26" i="2"/>
  <c r="F26" i="2"/>
  <c r="G18" i="2"/>
  <c r="H18" i="2"/>
  <c r="I18" i="2"/>
  <c r="E18" i="2"/>
  <c r="F18" i="2"/>
  <c r="I1327" i="2"/>
  <c r="I1325" i="2"/>
  <c r="G1323" i="2"/>
  <c r="G1321" i="2"/>
  <c r="G1319" i="2"/>
  <c r="E1315" i="2"/>
  <c r="E1313" i="2"/>
  <c r="H1310" i="2"/>
  <c r="H1308" i="2"/>
  <c r="H1306" i="2"/>
  <c r="F1304" i="2"/>
  <c r="F1302" i="2"/>
  <c r="F1300" i="2"/>
  <c r="I1297" i="2"/>
  <c r="I1295" i="2"/>
  <c r="I1293" i="2"/>
  <c r="G1291" i="2"/>
  <c r="G1289" i="2"/>
  <c r="G1287" i="2"/>
  <c r="E1283" i="2"/>
  <c r="E1281" i="2"/>
  <c r="F1278" i="2"/>
  <c r="G1275" i="2"/>
  <c r="F1273" i="2"/>
  <c r="G1270" i="2"/>
  <c r="F1268" i="2"/>
  <c r="G1265" i="2"/>
  <c r="H1262" i="2"/>
  <c r="G1260" i="2"/>
  <c r="F1257" i="2"/>
  <c r="H1246" i="2"/>
  <c r="H1242" i="2"/>
  <c r="H1243" i="2"/>
  <c r="I1243" i="2"/>
  <c r="E1243" i="2"/>
  <c r="F1243" i="2"/>
  <c r="E1314" i="2"/>
  <c r="G1314" i="2"/>
  <c r="E1290" i="2"/>
  <c r="G1290" i="2"/>
  <c r="E1274" i="2"/>
  <c r="F1274" i="2"/>
  <c r="G1274" i="2"/>
  <c r="E1250" i="2"/>
  <c r="F1250" i="2"/>
  <c r="G1250" i="2"/>
  <c r="E1234" i="2"/>
  <c r="F1234" i="2"/>
  <c r="G1234" i="2"/>
  <c r="E1218" i="2"/>
  <c r="F1218" i="2"/>
  <c r="G1218" i="2"/>
  <c r="H1218" i="2"/>
  <c r="I1218" i="2"/>
  <c r="E1202" i="2"/>
  <c r="F1202" i="2"/>
  <c r="G1202" i="2"/>
  <c r="H1202" i="2"/>
  <c r="I1202" i="2"/>
  <c r="E1194" i="2"/>
  <c r="F1194" i="2"/>
  <c r="G1194" i="2"/>
  <c r="H1194" i="2"/>
  <c r="I1194" i="2"/>
  <c r="E1178" i="2"/>
  <c r="F1178" i="2"/>
  <c r="G1178" i="2"/>
  <c r="H1178" i="2"/>
  <c r="I1178" i="2"/>
  <c r="G1162" i="2"/>
  <c r="I1162" i="2"/>
  <c r="F1162" i="2"/>
  <c r="H1162" i="2"/>
  <c r="E1162" i="2"/>
  <c r="G1130" i="2"/>
  <c r="I1130" i="2"/>
  <c r="E1130" i="2"/>
  <c r="F1130" i="2"/>
  <c r="H1130" i="2"/>
  <c r="G1249" i="2"/>
  <c r="H1249" i="2"/>
  <c r="G1241" i="2"/>
  <c r="H1241" i="2"/>
  <c r="E1233" i="2"/>
  <c r="F1233" i="2"/>
  <c r="G1233" i="2"/>
  <c r="H1233" i="2"/>
  <c r="E1225" i="2"/>
  <c r="F1225" i="2"/>
  <c r="G1225" i="2"/>
  <c r="H1225" i="2"/>
  <c r="E1217" i="2"/>
  <c r="F1217" i="2"/>
  <c r="G1217" i="2"/>
  <c r="H1217" i="2"/>
  <c r="E1209" i="2"/>
  <c r="F1209" i="2"/>
  <c r="G1209" i="2"/>
  <c r="H1209" i="2"/>
  <c r="I1209" i="2"/>
  <c r="E1201" i="2"/>
  <c r="F1201" i="2"/>
  <c r="G1201" i="2"/>
  <c r="H1201" i="2"/>
  <c r="I1201" i="2"/>
  <c r="E1193" i="2"/>
  <c r="F1193" i="2"/>
  <c r="G1193" i="2"/>
  <c r="H1193" i="2"/>
  <c r="I1193" i="2"/>
  <c r="H1185" i="2"/>
  <c r="F1185" i="2"/>
  <c r="G1185" i="2"/>
  <c r="I1185" i="2"/>
  <c r="E1185" i="2"/>
  <c r="H1177" i="2"/>
  <c r="E1177" i="2"/>
  <c r="F1177" i="2"/>
  <c r="G1177" i="2"/>
  <c r="I1177" i="2"/>
  <c r="H1169" i="2"/>
  <c r="G1169" i="2"/>
  <c r="I1169" i="2"/>
  <c r="E1169" i="2"/>
  <c r="F1169" i="2"/>
  <c r="H1161" i="2"/>
  <c r="F1161" i="2"/>
  <c r="E1161" i="2"/>
  <c r="G1161" i="2"/>
  <c r="I1161" i="2"/>
  <c r="H1153" i="2"/>
  <c r="F1153" i="2"/>
  <c r="E1153" i="2"/>
  <c r="G1153" i="2"/>
  <c r="I1153" i="2"/>
  <c r="H1145" i="2"/>
  <c r="F1145" i="2"/>
  <c r="E1145" i="2"/>
  <c r="G1145" i="2"/>
  <c r="I1145" i="2"/>
  <c r="H1137" i="2"/>
  <c r="F1137" i="2"/>
  <c r="E1137" i="2"/>
  <c r="G1137" i="2"/>
  <c r="I1137" i="2"/>
  <c r="H1129" i="2"/>
  <c r="F1129" i="2"/>
  <c r="E1129" i="2"/>
  <c r="G1129" i="2"/>
  <c r="I1129" i="2"/>
  <c r="H1121" i="2"/>
  <c r="F1121" i="2"/>
  <c r="G1121" i="2"/>
  <c r="I1121" i="2"/>
  <c r="E1121" i="2"/>
  <c r="H1113" i="2"/>
  <c r="F1113" i="2"/>
  <c r="I1113" i="2"/>
  <c r="E1113" i="2"/>
  <c r="G1113" i="2"/>
  <c r="H1105" i="2"/>
  <c r="F1105" i="2"/>
  <c r="E1105" i="2"/>
  <c r="G1105" i="2"/>
  <c r="I1105" i="2"/>
  <c r="H1097" i="2"/>
  <c r="I1097" i="2"/>
  <c r="F1097" i="2"/>
  <c r="E1097" i="2"/>
  <c r="G1097" i="2"/>
  <c r="H1089" i="2"/>
  <c r="I1089" i="2"/>
  <c r="F1089" i="2"/>
  <c r="E1089" i="2"/>
  <c r="G1089" i="2"/>
  <c r="H1081" i="2"/>
  <c r="I1081" i="2"/>
  <c r="F1081" i="2"/>
  <c r="G1081" i="2"/>
  <c r="E1081" i="2"/>
  <c r="H1073" i="2"/>
  <c r="I1073" i="2"/>
  <c r="F1073" i="2"/>
  <c r="E1073" i="2"/>
  <c r="G1073" i="2"/>
  <c r="H1065" i="2"/>
  <c r="I1065" i="2"/>
  <c r="F1065" i="2"/>
  <c r="E1065" i="2"/>
  <c r="G1065" i="2"/>
  <c r="H1057" i="2"/>
  <c r="I1057" i="2"/>
  <c r="F1057" i="2"/>
  <c r="E1057" i="2"/>
  <c r="G1057" i="2"/>
  <c r="E1049" i="2"/>
  <c r="H1049" i="2"/>
  <c r="I1049" i="2"/>
  <c r="F1049" i="2"/>
  <c r="G1049" i="2"/>
  <c r="E1041" i="2"/>
  <c r="F1041" i="2"/>
  <c r="G1041" i="2"/>
  <c r="H1041" i="2"/>
  <c r="I1041" i="2"/>
  <c r="E1033" i="2"/>
  <c r="F1033" i="2"/>
  <c r="G1033" i="2"/>
  <c r="H1033" i="2"/>
  <c r="I1033" i="2"/>
  <c r="E1025" i="2"/>
  <c r="F1025" i="2"/>
  <c r="G1025" i="2"/>
  <c r="I1025" i="2"/>
  <c r="H1025" i="2"/>
  <c r="E1017" i="2"/>
  <c r="F1017" i="2"/>
  <c r="I1017" i="2"/>
  <c r="G1017" i="2"/>
  <c r="H1017" i="2"/>
  <c r="E1009" i="2"/>
  <c r="F1009" i="2"/>
  <c r="G1009" i="2"/>
  <c r="H1009" i="2"/>
  <c r="I1009" i="2"/>
  <c r="E1001" i="2"/>
  <c r="F1001" i="2"/>
  <c r="G1001" i="2"/>
  <c r="H1001" i="2"/>
  <c r="I1001" i="2"/>
  <c r="E993" i="2"/>
  <c r="F993" i="2"/>
  <c r="G993" i="2"/>
  <c r="I993" i="2"/>
  <c r="H993" i="2"/>
  <c r="E985" i="2"/>
  <c r="F985" i="2"/>
  <c r="I985" i="2"/>
  <c r="G985" i="2"/>
  <c r="H985" i="2"/>
  <c r="E977" i="2"/>
  <c r="F977" i="2"/>
  <c r="G977" i="2"/>
  <c r="H977" i="2"/>
  <c r="I977" i="2"/>
  <c r="E969" i="2"/>
  <c r="F969" i="2"/>
  <c r="G969" i="2"/>
  <c r="H969" i="2"/>
  <c r="I969" i="2"/>
  <c r="E961" i="2"/>
  <c r="F961" i="2"/>
  <c r="G961" i="2"/>
  <c r="I961" i="2"/>
  <c r="H961" i="2"/>
  <c r="E953" i="2"/>
  <c r="F953" i="2"/>
  <c r="I953" i="2"/>
  <c r="G953" i="2"/>
  <c r="H953" i="2"/>
  <c r="E945" i="2"/>
  <c r="F945" i="2"/>
  <c r="G945" i="2"/>
  <c r="H945" i="2"/>
  <c r="I945" i="2"/>
  <c r="E937" i="2"/>
  <c r="F937" i="2"/>
  <c r="G937" i="2"/>
  <c r="H937" i="2"/>
  <c r="I937" i="2"/>
  <c r="E929" i="2"/>
  <c r="F929" i="2"/>
  <c r="G929" i="2"/>
  <c r="I929" i="2"/>
  <c r="H929" i="2"/>
  <c r="E921" i="2"/>
  <c r="F921" i="2"/>
  <c r="I921" i="2"/>
  <c r="G921" i="2"/>
  <c r="H921" i="2"/>
  <c r="E913" i="2"/>
  <c r="F913" i="2"/>
  <c r="G913" i="2"/>
  <c r="H913" i="2"/>
  <c r="I913" i="2"/>
  <c r="H905" i="2"/>
  <c r="I905" i="2"/>
  <c r="E905" i="2"/>
  <c r="G905" i="2"/>
  <c r="F905" i="2"/>
  <c r="H897" i="2"/>
  <c r="I897" i="2"/>
  <c r="G897" i="2"/>
  <c r="E897" i="2"/>
  <c r="F897" i="2"/>
  <c r="H889" i="2"/>
  <c r="I889" i="2"/>
  <c r="E889" i="2"/>
  <c r="F889" i="2"/>
  <c r="G889" i="2"/>
  <c r="H881" i="2"/>
  <c r="I881" i="2"/>
  <c r="E881" i="2"/>
  <c r="F881" i="2"/>
  <c r="G881" i="2"/>
  <c r="H873" i="2"/>
  <c r="I873" i="2"/>
  <c r="E873" i="2"/>
  <c r="F873" i="2"/>
  <c r="G873" i="2"/>
  <c r="H865" i="2"/>
  <c r="I865" i="2"/>
  <c r="G865" i="2"/>
  <c r="E865" i="2"/>
  <c r="F865" i="2"/>
  <c r="H857" i="2"/>
  <c r="I857" i="2"/>
  <c r="E857" i="2"/>
  <c r="F857" i="2"/>
  <c r="G857" i="2"/>
  <c r="H849" i="2"/>
  <c r="I849" i="2"/>
  <c r="G849" i="2"/>
  <c r="E849" i="2"/>
  <c r="F849" i="2"/>
  <c r="F841" i="2"/>
  <c r="H841" i="2"/>
  <c r="I841" i="2"/>
  <c r="E841" i="2"/>
  <c r="G841" i="2"/>
  <c r="F833" i="2"/>
  <c r="H833" i="2"/>
  <c r="I833" i="2"/>
  <c r="E833" i="2"/>
  <c r="G833" i="2"/>
  <c r="F825" i="2"/>
  <c r="H825" i="2"/>
  <c r="I825" i="2"/>
  <c r="E825" i="2"/>
  <c r="G825" i="2"/>
  <c r="F817" i="2"/>
  <c r="H817" i="2"/>
  <c r="I817" i="2"/>
  <c r="E817" i="2"/>
  <c r="G817" i="2"/>
  <c r="F809" i="2"/>
  <c r="H809" i="2"/>
  <c r="I809" i="2"/>
  <c r="E809" i="2"/>
  <c r="G809" i="2"/>
  <c r="F801" i="2"/>
  <c r="H801" i="2"/>
  <c r="I801" i="2"/>
  <c r="E801" i="2"/>
  <c r="G801" i="2"/>
  <c r="F793" i="2"/>
  <c r="H793" i="2"/>
  <c r="I793" i="2"/>
  <c r="E793" i="2"/>
  <c r="G793" i="2"/>
  <c r="F785" i="2"/>
  <c r="H785" i="2"/>
  <c r="I785" i="2"/>
  <c r="E785" i="2"/>
  <c r="G785" i="2"/>
  <c r="F777" i="2"/>
  <c r="H777" i="2"/>
  <c r="I777" i="2"/>
  <c r="E777" i="2"/>
  <c r="G777" i="2"/>
  <c r="F769" i="2"/>
  <c r="H769" i="2"/>
  <c r="I769" i="2"/>
  <c r="E769" i="2"/>
  <c r="G769" i="2"/>
  <c r="F761" i="2"/>
  <c r="H761" i="2"/>
  <c r="I761" i="2"/>
  <c r="E761" i="2"/>
  <c r="G761" i="2"/>
  <c r="F753" i="2"/>
  <c r="H753" i="2"/>
  <c r="I753" i="2"/>
  <c r="E753" i="2"/>
  <c r="G753" i="2"/>
  <c r="F745" i="2"/>
  <c r="H745" i="2"/>
  <c r="I745" i="2"/>
  <c r="E745" i="2"/>
  <c r="G745" i="2"/>
  <c r="E737" i="2"/>
  <c r="G737" i="2"/>
  <c r="H737" i="2"/>
  <c r="F737" i="2"/>
  <c r="I737" i="2"/>
  <c r="F729" i="2"/>
  <c r="H729" i="2"/>
  <c r="E729" i="2"/>
  <c r="G729" i="2"/>
  <c r="I729" i="2"/>
  <c r="I721" i="2"/>
  <c r="E721" i="2"/>
  <c r="F721" i="2"/>
  <c r="G721" i="2"/>
  <c r="H721" i="2"/>
  <c r="E713" i="2"/>
  <c r="F713" i="2"/>
  <c r="H713" i="2"/>
  <c r="I713" i="2"/>
  <c r="G713" i="2"/>
  <c r="E705" i="2"/>
  <c r="F705" i="2"/>
  <c r="G705" i="2"/>
  <c r="I705" i="2"/>
  <c r="H705" i="2"/>
  <c r="E697" i="2"/>
  <c r="F697" i="2"/>
  <c r="G697" i="2"/>
  <c r="H697" i="2"/>
  <c r="I697" i="2"/>
  <c r="E689" i="2"/>
  <c r="F689" i="2"/>
  <c r="G689" i="2"/>
  <c r="H689" i="2"/>
  <c r="I689" i="2"/>
  <c r="E681" i="2"/>
  <c r="F681" i="2"/>
  <c r="G681" i="2"/>
  <c r="H681" i="2"/>
  <c r="I681" i="2"/>
  <c r="E673" i="2"/>
  <c r="F673" i="2"/>
  <c r="G673" i="2"/>
  <c r="H673" i="2"/>
  <c r="I673" i="2"/>
  <c r="E665" i="2"/>
  <c r="F665" i="2"/>
  <c r="G665" i="2"/>
  <c r="H665" i="2"/>
  <c r="I665" i="2"/>
  <c r="E657" i="2"/>
  <c r="F657" i="2"/>
  <c r="G657" i="2"/>
  <c r="H657" i="2"/>
  <c r="I657" i="2"/>
  <c r="E649" i="2"/>
  <c r="F649" i="2"/>
  <c r="G649" i="2"/>
  <c r="H649" i="2"/>
  <c r="I649" i="2"/>
  <c r="E641" i="2"/>
  <c r="F641" i="2"/>
  <c r="G641" i="2"/>
  <c r="H641" i="2"/>
  <c r="I641" i="2"/>
  <c r="E633" i="2"/>
  <c r="F633" i="2"/>
  <c r="G633" i="2"/>
  <c r="H633" i="2"/>
  <c r="I633" i="2"/>
  <c r="E625" i="2"/>
  <c r="F625" i="2"/>
  <c r="G625" i="2"/>
  <c r="H625" i="2"/>
  <c r="I625" i="2"/>
  <c r="E617" i="2"/>
  <c r="F617" i="2"/>
  <c r="G617" i="2"/>
  <c r="H617" i="2"/>
  <c r="I617" i="2"/>
  <c r="E609" i="2"/>
  <c r="F609" i="2"/>
  <c r="G609" i="2"/>
  <c r="H609" i="2"/>
  <c r="I609" i="2"/>
  <c r="E601" i="2"/>
  <c r="F601" i="2"/>
  <c r="G601" i="2"/>
  <c r="H601" i="2"/>
  <c r="I601" i="2"/>
  <c r="E593" i="2"/>
  <c r="F593" i="2"/>
  <c r="G593" i="2"/>
  <c r="H593" i="2"/>
  <c r="I593" i="2"/>
  <c r="E585" i="2"/>
  <c r="F585" i="2"/>
  <c r="G585" i="2"/>
  <c r="H585" i="2"/>
  <c r="I585" i="2"/>
  <c r="E577" i="2"/>
  <c r="F577" i="2"/>
  <c r="G577" i="2"/>
  <c r="H577" i="2"/>
  <c r="I577" i="2"/>
  <c r="E569" i="2"/>
  <c r="F569" i="2"/>
  <c r="G569" i="2"/>
  <c r="H569" i="2"/>
  <c r="I569" i="2"/>
  <c r="E561" i="2"/>
  <c r="F561" i="2"/>
  <c r="G561" i="2"/>
  <c r="I561" i="2"/>
  <c r="H561" i="2"/>
  <c r="E553" i="2"/>
  <c r="F553" i="2"/>
  <c r="G553" i="2"/>
  <c r="H553" i="2"/>
  <c r="I553" i="2"/>
  <c r="E545" i="2"/>
  <c r="F545" i="2"/>
  <c r="G545" i="2"/>
  <c r="H545" i="2"/>
  <c r="I545" i="2"/>
  <c r="E537" i="2"/>
  <c r="F537" i="2"/>
  <c r="G537" i="2"/>
  <c r="H537" i="2"/>
  <c r="I537" i="2"/>
  <c r="E529" i="2"/>
  <c r="F529" i="2"/>
  <c r="G529" i="2"/>
  <c r="H529" i="2"/>
  <c r="I529" i="2"/>
  <c r="E521" i="2"/>
  <c r="F521" i="2"/>
  <c r="G521" i="2"/>
  <c r="H521" i="2"/>
  <c r="I521" i="2"/>
  <c r="E513" i="2"/>
  <c r="F513" i="2"/>
  <c r="G513" i="2"/>
  <c r="H513" i="2"/>
  <c r="I513" i="2"/>
  <c r="E505" i="2"/>
  <c r="F505" i="2"/>
  <c r="G505" i="2"/>
  <c r="H505" i="2"/>
  <c r="I505" i="2"/>
  <c r="G497" i="2"/>
  <c r="E497" i="2"/>
  <c r="F497" i="2"/>
  <c r="H497" i="2"/>
  <c r="I497" i="2"/>
  <c r="G489" i="2"/>
  <c r="I489" i="2"/>
  <c r="E489" i="2"/>
  <c r="F489" i="2"/>
  <c r="H489" i="2"/>
  <c r="G481" i="2"/>
  <c r="I481" i="2"/>
  <c r="E481" i="2"/>
  <c r="F481" i="2"/>
  <c r="H481" i="2"/>
  <c r="F473" i="2"/>
  <c r="H473" i="2"/>
  <c r="E473" i="2"/>
  <c r="G473" i="2"/>
  <c r="I473" i="2"/>
  <c r="G465" i="2"/>
  <c r="F465" i="2"/>
  <c r="E465" i="2"/>
  <c r="H465" i="2"/>
  <c r="I465" i="2"/>
  <c r="G457" i="2"/>
  <c r="H457" i="2"/>
  <c r="I457" i="2"/>
  <c r="E457" i="2"/>
  <c r="F457" i="2"/>
  <c r="G449" i="2"/>
  <c r="E449" i="2"/>
  <c r="F449" i="2"/>
  <c r="H449" i="2"/>
  <c r="I449" i="2"/>
  <c r="G441" i="2"/>
  <c r="E441" i="2"/>
  <c r="I441" i="2"/>
  <c r="F441" i="2"/>
  <c r="H441" i="2"/>
  <c r="G433" i="2"/>
  <c r="I433" i="2"/>
  <c r="F433" i="2"/>
  <c r="E433" i="2"/>
  <c r="H433" i="2"/>
  <c r="G425" i="2"/>
  <c r="E425" i="2"/>
  <c r="H425" i="2"/>
  <c r="F425" i="2"/>
  <c r="I425" i="2"/>
  <c r="G417" i="2"/>
  <c r="F417" i="2"/>
  <c r="E417" i="2"/>
  <c r="I417" i="2"/>
  <c r="H417" i="2"/>
  <c r="G409" i="2"/>
  <c r="F409" i="2"/>
  <c r="H409" i="2"/>
  <c r="I409" i="2"/>
  <c r="E409" i="2"/>
  <c r="G401" i="2"/>
  <c r="E401" i="2"/>
  <c r="F401" i="2"/>
  <c r="H401" i="2"/>
  <c r="I401" i="2"/>
  <c r="G393" i="2"/>
  <c r="H393" i="2"/>
  <c r="I393" i="2"/>
  <c r="E393" i="2"/>
  <c r="F393" i="2"/>
  <c r="G385" i="2"/>
  <c r="F385" i="2"/>
  <c r="E385" i="2"/>
  <c r="H385" i="2"/>
  <c r="I385" i="2"/>
  <c r="G377" i="2"/>
  <c r="E377" i="2"/>
  <c r="F377" i="2"/>
  <c r="H377" i="2"/>
  <c r="I377" i="2"/>
  <c r="G369" i="2"/>
  <c r="I369" i="2"/>
  <c r="F369" i="2"/>
  <c r="H369" i="2"/>
  <c r="E369" i="2"/>
  <c r="G361" i="2"/>
  <c r="F361" i="2"/>
  <c r="H361" i="2"/>
  <c r="E361" i="2"/>
  <c r="I361" i="2"/>
  <c r="G353" i="2"/>
  <c r="E353" i="2"/>
  <c r="F353" i="2"/>
  <c r="H353" i="2"/>
  <c r="I353" i="2"/>
  <c r="G345" i="2"/>
  <c r="I345" i="2"/>
  <c r="E345" i="2"/>
  <c r="F345" i="2"/>
  <c r="H345" i="2"/>
  <c r="G337" i="2"/>
  <c r="E337" i="2"/>
  <c r="H337" i="2"/>
  <c r="I337" i="2"/>
  <c r="F337" i="2"/>
  <c r="G329" i="2"/>
  <c r="F329" i="2"/>
  <c r="H329" i="2"/>
  <c r="I329" i="2"/>
  <c r="E329" i="2"/>
  <c r="G321" i="2"/>
  <c r="I321" i="2"/>
  <c r="E321" i="2"/>
  <c r="F321" i="2"/>
  <c r="H321" i="2"/>
  <c r="G313" i="2"/>
  <c r="F313" i="2"/>
  <c r="H313" i="2"/>
  <c r="I313" i="2"/>
  <c r="E313" i="2"/>
  <c r="G305" i="2"/>
  <c r="E305" i="2"/>
  <c r="F305" i="2"/>
  <c r="I305" i="2"/>
  <c r="H305" i="2"/>
  <c r="G297" i="2"/>
  <c r="F297" i="2"/>
  <c r="E297" i="2"/>
  <c r="H297" i="2"/>
  <c r="I297" i="2"/>
  <c r="G289" i="2"/>
  <c r="F289" i="2"/>
  <c r="E289" i="2"/>
  <c r="I289" i="2"/>
  <c r="H289" i="2"/>
  <c r="G281" i="2"/>
  <c r="F281" i="2"/>
  <c r="H281" i="2"/>
  <c r="I281" i="2"/>
  <c r="E281" i="2"/>
  <c r="G273" i="2"/>
  <c r="H273" i="2"/>
  <c r="E273" i="2"/>
  <c r="F273" i="2"/>
  <c r="I273" i="2"/>
  <c r="G265" i="2"/>
  <c r="H265" i="2"/>
  <c r="F265" i="2"/>
  <c r="I265" i="2"/>
  <c r="E265" i="2"/>
  <c r="G257" i="2"/>
  <c r="E257" i="2"/>
  <c r="F257" i="2"/>
  <c r="H257" i="2"/>
  <c r="I257" i="2"/>
  <c r="E249" i="2"/>
  <c r="G249" i="2"/>
  <c r="F249" i="2"/>
  <c r="H249" i="2"/>
  <c r="I249" i="2"/>
  <c r="I241" i="2"/>
  <c r="H241" i="2"/>
  <c r="E241" i="2"/>
  <c r="G241" i="2"/>
  <c r="F241" i="2"/>
  <c r="G233" i="2"/>
  <c r="I233" i="2"/>
  <c r="E233" i="2"/>
  <c r="F233" i="2"/>
  <c r="H233" i="2"/>
  <c r="E225" i="2"/>
  <c r="G225" i="2"/>
  <c r="I225" i="2"/>
  <c r="F225" i="2"/>
  <c r="H225" i="2"/>
  <c r="E217" i="2"/>
  <c r="I217" i="2"/>
  <c r="F217" i="2"/>
  <c r="G217" i="2"/>
  <c r="H217" i="2"/>
  <c r="I209" i="2"/>
  <c r="G209" i="2"/>
  <c r="E209" i="2"/>
  <c r="F209" i="2"/>
  <c r="H209" i="2"/>
  <c r="G201" i="2"/>
  <c r="I201" i="2"/>
  <c r="H201" i="2"/>
  <c r="E201" i="2"/>
  <c r="F201" i="2"/>
  <c r="E193" i="2"/>
  <c r="G193" i="2"/>
  <c r="F193" i="2"/>
  <c r="I193" i="2"/>
  <c r="H193" i="2"/>
  <c r="H185" i="2"/>
  <c r="E185" i="2"/>
  <c r="G185" i="2"/>
  <c r="I185" i="2"/>
  <c r="F185" i="2"/>
  <c r="F177" i="2"/>
  <c r="I177" i="2"/>
  <c r="H177" i="2"/>
  <c r="E177" i="2"/>
  <c r="G177" i="2"/>
  <c r="G169" i="2"/>
  <c r="I169" i="2"/>
  <c r="E169" i="2"/>
  <c r="F169" i="2"/>
  <c r="H169" i="2"/>
  <c r="G161" i="2"/>
  <c r="E161" i="2"/>
  <c r="I161" i="2"/>
  <c r="F161" i="2"/>
  <c r="H161" i="2"/>
  <c r="G153" i="2"/>
  <c r="F153" i="2"/>
  <c r="E153" i="2"/>
  <c r="H153" i="2"/>
  <c r="I153" i="2"/>
  <c r="G145" i="2"/>
  <c r="H145" i="2"/>
  <c r="E145" i="2"/>
  <c r="F145" i="2"/>
  <c r="I145" i="2"/>
  <c r="E137" i="2"/>
  <c r="F137" i="2"/>
  <c r="H137" i="2"/>
  <c r="I137" i="2"/>
  <c r="G137" i="2"/>
  <c r="E129" i="2"/>
  <c r="F129" i="2"/>
  <c r="H129" i="2"/>
  <c r="I129" i="2"/>
  <c r="G129" i="2"/>
  <c r="E121" i="2"/>
  <c r="F121" i="2"/>
  <c r="H121" i="2"/>
  <c r="I121" i="2"/>
  <c r="G121" i="2"/>
  <c r="E113" i="2"/>
  <c r="F113" i="2"/>
  <c r="H113" i="2"/>
  <c r="I113" i="2"/>
  <c r="G113" i="2"/>
  <c r="E105" i="2"/>
  <c r="F105" i="2"/>
  <c r="H105" i="2"/>
  <c r="I105" i="2"/>
  <c r="G105" i="2"/>
  <c r="E97" i="2"/>
  <c r="F97" i="2"/>
  <c r="H97" i="2"/>
  <c r="I97" i="2"/>
  <c r="G97" i="2"/>
  <c r="E89" i="2"/>
  <c r="F89" i="2"/>
  <c r="H89" i="2"/>
  <c r="I89" i="2"/>
  <c r="G89" i="2"/>
  <c r="E81" i="2"/>
  <c r="F81" i="2"/>
  <c r="H81" i="2"/>
  <c r="I81" i="2"/>
  <c r="G81" i="2"/>
  <c r="E73" i="2"/>
  <c r="F73" i="2"/>
  <c r="H73" i="2"/>
  <c r="I73" i="2"/>
  <c r="G73" i="2"/>
  <c r="E65" i="2"/>
  <c r="F65" i="2"/>
  <c r="H65" i="2"/>
  <c r="I65" i="2"/>
  <c r="G65" i="2"/>
  <c r="E57" i="2"/>
  <c r="F57" i="2"/>
  <c r="H57" i="2"/>
  <c r="I57" i="2"/>
  <c r="G57" i="2"/>
  <c r="E49" i="2"/>
  <c r="F49" i="2"/>
  <c r="G49" i="2"/>
  <c r="H49" i="2"/>
  <c r="I49" i="2"/>
  <c r="E41" i="2"/>
  <c r="F41" i="2"/>
  <c r="G41" i="2"/>
  <c r="H41" i="2"/>
  <c r="I41" i="2"/>
  <c r="E33" i="2"/>
  <c r="F33" i="2"/>
  <c r="G33" i="2"/>
  <c r="H33" i="2"/>
  <c r="I33" i="2"/>
  <c r="E25" i="2"/>
  <c r="F25" i="2"/>
  <c r="G25" i="2"/>
  <c r="H25" i="2"/>
  <c r="I25" i="2"/>
  <c r="E17" i="2"/>
  <c r="F17" i="2"/>
  <c r="G17" i="2"/>
  <c r="H17" i="2"/>
  <c r="I17" i="2"/>
  <c r="E9" i="2"/>
  <c r="F9" i="2"/>
  <c r="G9" i="2"/>
  <c r="H9" i="2"/>
  <c r="I9" i="2"/>
  <c r="H1327" i="2"/>
  <c r="G1325" i="2"/>
  <c r="F1323" i="2"/>
  <c r="F1321" i="2"/>
  <c r="E1319" i="2"/>
  <c r="I1316" i="2"/>
  <c r="I1314" i="2"/>
  <c r="G1310" i="2"/>
  <c r="G1308" i="2"/>
  <c r="F1306" i="2"/>
  <c r="E1302" i="2"/>
  <c r="I1299" i="2"/>
  <c r="H1297" i="2"/>
  <c r="H1295" i="2"/>
  <c r="G1293" i="2"/>
  <c r="F1291" i="2"/>
  <c r="F1289" i="2"/>
  <c r="E1287" i="2"/>
  <c r="I1284" i="2"/>
  <c r="I1282" i="2"/>
  <c r="E1278" i="2"/>
  <c r="F1275" i="2"/>
  <c r="E1273" i="2"/>
  <c r="F1270" i="2"/>
  <c r="G1267" i="2"/>
  <c r="F1265" i="2"/>
  <c r="G1262" i="2"/>
  <c r="F1260" i="2"/>
  <c r="E1257" i="2"/>
  <c r="I1253" i="2"/>
  <c r="H1250" i="2"/>
  <c r="I1241" i="2"/>
  <c r="I1237" i="2"/>
  <c r="G1219" i="2"/>
  <c r="H1251" i="2"/>
  <c r="I1251" i="2"/>
  <c r="E1251" i="2"/>
  <c r="E1322" i="2"/>
  <c r="G1322" i="2"/>
  <c r="E1298" i="2"/>
  <c r="G1298" i="2"/>
  <c r="E1266" i="2"/>
  <c r="F1266" i="2"/>
  <c r="G1266" i="2"/>
  <c r="G1328" i="2"/>
  <c r="I1328" i="2"/>
  <c r="G1320" i="2"/>
  <c r="I1320" i="2"/>
  <c r="G1312" i="2"/>
  <c r="I1312" i="2"/>
  <c r="G1304" i="2"/>
  <c r="I1304" i="2"/>
  <c r="G1296" i="2"/>
  <c r="I1296" i="2"/>
  <c r="G1288" i="2"/>
  <c r="I1288" i="2"/>
  <c r="G1280" i="2"/>
  <c r="H1280" i="2"/>
  <c r="I1280" i="2"/>
  <c r="G1272" i="2"/>
  <c r="H1272" i="2"/>
  <c r="I1272" i="2"/>
  <c r="G1264" i="2"/>
  <c r="H1264" i="2"/>
  <c r="I1264" i="2"/>
  <c r="G1256" i="2"/>
  <c r="H1256" i="2"/>
  <c r="I1256" i="2"/>
  <c r="G1248" i="2"/>
  <c r="H1248" i="2"/>
  <c r="I1248" i="2"/>
  <c r="E1248" i="2"/>
  <c r="G1240" i="2"/>
  <c r="H1240" i="2"/>
  <c r="I1240" i="2"/>
  <c r="E1240" i="2"/>
  <c r="G1232" i="2"/>
  <c r="H1232" i="2"/>
  <c r="I1232" i="2"/>
  <c r="E1232" i="2"/>
  <c r="G1224" i="2"/>
  <c r="H1224" i="2"/>
  <c r="I1224" i="2"/>
  <c r="E1224" i="2"/>
  <c r="G1216" i="2"/>
  <c r="H1216" i="2"/>
  <c r="I1216" i="2"/>
  <c r="E1216" i="2"/>
  <c r="G1208" i="2"/>
  <c r="H1208" i="2"/>
  <c r="I1208" i="2"/>
  <c r="E1208" i="2"/>
  <c r="F1208" i="2"/>
  <c r="G1200" i="2"/>
  <c r="H1200" i="2"/>
  <c r="I1200" i="2"/>
  <c r="E1200" i="2"/>
  <c r="F1200" i="2"/>
  <c r="G1192" i="2"/>
  <c r="H1192" i="2"/>
  <c r="I1192" i="2"/>
  <c r="E1192" i="2"/>
  <c r="F1192" i="2"/>
  <c r="E1184" i="2"/>
  <c r="F1184" i="2"/>
  <c r="G1184" i="2"/>
  <c r="H1184" i="2"/>
  <c r="I1184" i="2"/>
  <c r="E1176" i="2"/>
  <c r="I1176" i="2"/>
  <c r="F1176" i="2"/>
  <c r="G1176" i="2"/>
  <c r="H1176" i="2"/>
  <c r="E1168" i="2"/>
  <c r="I1168" i="2"/>
  <c r="F1168" i="2"/>
  <c r="G1168" i="2"/>
  <c r="H1168" i="2"/>
  <c r="E1160" i="2"/>
  <c r="I1160" i="2"/>
  <c r="F1160" i="2"/>
  <c r="G1160" i="2"/>
  <c r="H1160" i="2"/>
  <c r="E1152" i="2"/>
  <c r="I1152" i="2"/>
  <c r="F1152" i="2"/>
  <c r="G1152" i="2"/>
  <c r="H1152" i="2"/>
  <c r="E1144" i="2"/>
  <c r="I1144" i="2"/>
  <c r="G1144" i="2"/>
  <c r="H1144" i="2"/>
  <c r="F1144" i="2"/>
  <c r="E1136" i="2"/>
  <c r="I1136" i="2"/>
  <c r="H1136" i="2"/>
  <c r="F1136" i="2"/>
  <c r="G1136" i="2"/>
  <c r="E1128" i="2"/>
  <c r="I1128" i="2"/>
  <c r="F1128" i="2"/>
  <c r="G1128" i="2"/>
  <c r="H1128" i="2"/>
  <c r="E1120" i="2"/>
  <c r="I1120" i="2"/>
  <c r="F1120" i="2"/>
  <c r="G1120" i="2"/>
  <c r="H1120" i="2"/>
  <c r="E1112" i="2"/>
  <c r="I1112" i="2"/>
  <c r="F1112" i="2"/>
  <c r="G1112" i="2"/>
  <c r="H1112" i="2"/>
  <c r="E1104" i="2"/>
  <c r="I1104" i="2"/>
  <c r="F1104" i="2"/>
  <c r="G1104" i="2"/>
  <c r="H1104" i="2"/>
  <c r="E1096" i="2"/>
  <c r="F1096" i="2"/>
  <c r="G1096" i="2"/>
  <c r="I1096" i="2"/>
  <c r="H1096" i="2"/>
  <c r="E1088" i="2"/>
  <c r="F1088" i="2"/>
  <c r="G1088" i="2"/>
  <c r="I1088" i="2"/>
  <c r="H1088" i="2"/>
  <c r="E1080" i="2"/>
  <c r="F1080" i="2"/>
  <c r="G1080" i="2"/>
  <c r="I1080" i="2"/>
  <c r="H1080" i="2"/>
  <c r="E1072" i="2"/>
  <c r="F1072" i="2"/>
  <c r="G1072" i="2"/>
  <c r="I1072" i="2"/>
  <c r="H1072" i="2"/>
  <c r="E1064" i="2"/>
  <c r="F1064" i="2"/>
  <c r="G1064" i="2"/>
  <c r="H1064" i="2"/>
  <c r="I1064" i="2"/>
  <c r="E1056" i="2"/>
  <c r="F1056" i="2"/>
  <c r="G1056" i="2"/>
  <c r="H1056" i="2"/>
  <c r="I1056" i="2"/>
  <c r="E1048" i="2"/>
  <c r="F1048" i="2"/>
  <c r="G1048" i="2"/>
  <c r="H1048" i="2"/>
  <c r="I1048" i="2"/>
  <c r="E1040" i="2"/>
  <c r="F1040" i="2"/>
  <c r="H1040" i="2"/>
  <c r="G1040" i="2"/>
  <c r="I1040" i="2"/>
  <c r="H1032" i="2"/>
  <c r="I1032" i="2"/>
  <c r="F1032" i="2"/>
  <c r="E1032" i="2"/>
  <c r="G1032" i="2"/>
  <c r="F1024" i="2"/>
  <c r="G1024" i="2"/>
  <c r="H1024" i="2"/>
  <c r="I1024" i="2"/>
  <c r="E1024" i="2"/>
  <c r="E1016" i="2"/>
  <c r="F1016" i="2"/>
  <c r="G1016" i="2"/>
  <c r="H1016" i="2"/>
  <c r="I1016" i="2"/>
  <c r="E1008" i="2"/>
  <c r="F1008" i="2"/>
  <c r="H1008" i="2"/>
  <c r="G1008" i="2"/>
  <c r="I1008" i="2"/>
  <c r="H1000" i="2"/>
  <c r="I1000" i="2"/>
  <c r="F1000" i="2"/>
  <c r="E1000" i="2"/>
  <c r="G1000" i="2"/>
  <c r="F992" i="2"/>
  <c r="G992" i="2"/>
  <c r="H992" i="2"/>
  <c r="I992" i="2"/>
  <c r="E992" i="2"/>
  <c r="E984" i="2"/>
  <c r="F984" i="2"/>
  <c r="G984" i="2"/>
  <c r="H984" i="2"/>
  <c r="I984" i="2"/>
  <c r="E976" i="2"/>
  <c r="F976" i="2"/>
  <c r="H976" i="2"/>
  <c r="G976" i="2"/>
  <c r="I976" i="2"/>
  <c r="H968" i="2"/>
  <c r="I968" i="2"/>
  <c r="F968" i="2"/>
  <c r="E968" i="2"/>
  <c r="G968" i="2"/>
  <c r="F960" i="2"/>
  <c r="G960" i="2"/>
  <c r="H960" i="2"/>
  <c r="I960" i="2"/>
  <c r="E960" i="2"/>
  <c r="E952" i="2"/>
  <c r="F952" i="2"/>
  <c r="G952" i="2"/>
  <c r="H952" i="2"/>
  <c r="I952" i="2"/>
  <c r="E944" i="2"/>
  <c r="F944" i="2"/>
  <c r="H944" i="2"/>
  <c r="G944" i="2"/>
  <c r="I944" i="2"/>
  <c r="H936" i="2"/>
  <c r="I936" i="2"/>
  <c r="F936" i="2"/>
  <c r="E936" i="2"/>
  <c r="G936" i="2"/>
  <c r="F928" i="2"/>
  <c r="G928" i="2"/>
  <c r="H928" i="2"/>
  <c r="I928" i="2"/>
  <c r="E928" i="2"/>
  <c r="E920" i="2"/>
  <c r="F920" i="2"/>
  <c r="G920" i="2"/>
  <c r="H920" i="2"/>
  <c r="I920" i="2"/>
  <c r="E912" i="2"/>
  <c r="F912" i="2"/>
  <c r="H912" i="2"/>
  <c r="G912" i="2"/>
  <c r="I912" i="2"/>
  <c r="E904" i="2"/>
  <c r="F904" i="2"/>
  <c r="G904" i="2"/>
  <c r="H904" i="2"/>
  <c r="I904" i="2"/>
  <c r="E896" i="2"/>
  <c r="F896" i="2"/>
  <c r="G896" i="2"/>
  <c r="H896" i="2"/>
  <c r="I896" i="2"/>
  <c r="E888" i="2"/>
  <c r="F888" i="2"/>
  <c r="H888" i="2"/>
  <c r="G888" i="2"/>
  <c r="I888" i="2"/>
  <c r="E880" i="2"/>
  <c r="F880" i="2"/>
  <c r="H880" i="2"/>
  <c r="I880" i="2"/>
  <c r="G880" i="2"/>
  <c r="E872" i="2"/>
  <c r="F872" i="2"/>
  <c r="G872" i="2"/>
  <c r="H872" i="2"/>
  <c r="I872" i="2"/>
  <c r="E864" i="2"/>
  <c r="F864" i="2"/>
  <c r="G864" i="2"/>
  <c r="H864" i="2"/>
  <c r="I864" i="2"/>
  <c r="E856" i="2"/>
  <c r="F856" i="2"/>
  <c r="G856" i="2"/>
  <c r="H856" i="2"/>
  <c r="I856" i="2"/>
  <c r="E848" i="2"/>
  <c r="F848" i="2"/>
  <c r="H848" i="2"/>
  <c r="I848" i="2"/>
  <c r="G848" i="2"/>
  <c r="I840" i="2"/>
  <c r="E840" i="2"/>
  <c r="F840" i="2"/>
  <c r="G840" i="2"/>
  <c r="H840" i="2"/>
  <c r="I832" i="2"/>
  <c r="E832" i="2"/>
  <c r="F832" i="2"/>
  <c r="G832" i="2"/>
  <c r="H832" i="2"/>
  <c r="I824" i="2"/>
  <c r="E824" i="2"/>
  <c r="F824" i="2"/>
  <c r="G824" i="2"/>
  <c r="H824" i="2"/>
  <c r="I816" i="2"/>
  <c r="E816" i="2"/>
  <c r="F816" i="2"/>
  <c r="G816" i="2"/>
  <c r="H816" i="2"/>
  <c r="I808" i="2"/>
  <c r="E808" i="2"/>
  <c r="F808" i="2"/>
  <c r="G808" i="2"/>
  <c r="H808" i="2"/>
  <c r="I800" i="2"/>
  <c r="E800" i="2"/>
  <c r="F800" i="2"/>
  <c r="G800" i="2"/>
  <c r="H800" i="2"/>
  <c r="I792" i="2"/>
  <c r="E792" i="2"/>
  <c r="F792" i="2"/>
  <c r="G792" i="2"/>
  <c r="H792" i="2"/>
  <c r="I784" i="2"/>
  <c r="E784" i="2"/>
  <c r="F784" i="2"/>
  <c r="G784" i="2"/>
  <c r="H784" i="2"/>
  <c r="I776" i="2"/>
  <c r="E776" i="2"/>
  <c r="F776" i="2"/>
  <c r="G776" i="2"/>
  <c r="H776" i="2"/>
  <c r="I768" i="2"/>
  <c r="E768" i="2"/>
  <c r="F768" i="2"/>
  <c r="G768" i="2"/>
  <c r="H768" i="2"/>
  <c r="I760" i="2"/>
  <c r="E760" i="2"/>
  <c r="F760" i="2"/>
  <c r="G760" i="2"/>
  <c r="H760" i="2"/>
  <c r="I752" i="2"/>
  <c r="E752" i="2"/>
  <c r="F752" i="2"/>
  <c r="G752" i="2"/>
  <c r="H752" i="2"/>
  <c r="I744" i="2"/>
  <c r="E744" i="2"/>
  <c r="F744" i="2"/>
  <c r="G744" i="2"/>
  <c r="H744" i="2"/>
  <c r="I736" i="2"/>
  <c r="G736" i="2"/>
  <c r="E736" i="2"/>
  <c r="F736" i="2"/>
  <c r="H736" i="2"/>
  <c r="I728" i="2"/>
  <c r="F728" i="2"/>
  <c r="G728" i="2"/>
  <c r="H728" i="2"/>
  <c r="E728" i="2"/>
  <c r="I720" i="2"/>
  <c r="E720" i="2"/>
  <c r="G720" i="2"/>
  <c r="F720" i="2"/>
  <c r="H720" i="2"/>
  <c r="G712" i="2"/>
  <c r="I712" i="2"/>
  <c r="H712" i="2"/>
  <c r="E712" i="2"/>
  <c r="F712" i="2"/>
  <c r="G704" i="2"/>
  <c r="E704" i="2"/>
  <c r="F704" i="2"/>
  <c r="H704" i="2"/>
  <c r="I704" i="2"/>
  <c r="G696" i="2"/>
  <c r="E696" i="2"/>
  <c r="F696" i="2"/>
  <c r="H696" i="2"/>
  <c r="I696" i="2"/>
  <c r="G688" i="2"/>
  <c r="E688" i="2"/>
  <c r="F688" i="2"/>
  <c r="H688" i="2"/>
  <c r="I688" i="2"/>
  <c r="G680" i="2"/>
  <c r="F680" i="2"/>
  <c r="H680" i="2"/>
  <c r="I680" i="2"/>
  <c r="E680" i="2"/>
  <c r="G672" i="2"/>
  <c r="E672" i="2"/>
  <c r="I672" i="2"/>
  <c r="F672" i="2"/>
  <c r="H672" i="2"/>
  <c r="G664" i="2"/>
  <c r="E664" i="2"/>
  <c r="F664" i="2"/>
  <c r="H664" i="2"/>
  <c r="I664" i="2"/>
  <c r="G656" i="2"/>
  <c r="E656" i="2"/>
  <c r="F656" i="2"/>
  <c r="H656" i="2"/>
  <c r="I656" i="2"/>
  <c r="G648" i="2"/>
  <c r="E648" i="2"/>
  <c r="F648" i="2"/>
  <c r="H648" i="2"/>
  <c r="I648" i="2"/>
  <c r="G640" i="2"/>
  <c r="E640" i="2"/>
  <c r="F640" i="2"/>
  <c r="H640" i="2"/>
  <c r="I640" i="2"/>
  <c r="G632" i="2"/>
  <c r="H632" i="2"/>
  <c r="I632" i="2"/>
  <c r="E632" i="2"/>
  <c r="F632" i="2"/>
  <c r="G624" i="2"/>
  <c r="E624" i="2"/>
  <c r="F624" i="2"/>
  <c r="H624" i="2"/>
  <c r="I624" i="2"/>
  <c r="G616" i="2"/>
  <c r="I616" i="2"/>
  <c r="E616" i="2"/>
  <c r="F616" i="2"/>
  <c r="H616" i="2"/>
  <c r="G608" i="2"/>
  <c r="E608" i="2"/>
  <c r="H608" i="2"/>
  <c r="I608" i="2"/>
  <c r="F608" i="2"/>
  <c r="G600" i="2"/>
  <c r="F600" i="2"/>
  <c r="H600" i="2"/>
  <c r="I600" i="2"/>
  <c r="E600" i="2"/>
  <c r="G592" i="2"/>
  <c r="E592" i="2"/>
  <c r="H592" i="2"/>
  <c r="F592" i="2"/>
  <c r="I592" i="2"/>
  <c r="G584" i="2"/>
  <c r="E584" i="2"/>
  <c r="F584" i="2"/>
  <c r="H584" i="2"/>
  <c r="I584" i="2"/>
  <c r="G576" i="2"/>
  <c r="E576" i="2"/>
  <c r="H576" i="2"/>
  <c r="F576" i="2"/>
  <c r="I576" i="2"/>
  <c r="G568" i="2"/>
  <c r="E568" i="2"/>
  <c r="F568" i="2"/>
  <c r="H568" i="2"/>
  <c r="I568" i="2"/>
  <c r="G560" i="2"/>
  <c r="E560" i="2"/>
  <c r="H560" i="2"/>
  <c r="F560" i="2"/>
  <c r="I560" i="2"/>
  <c r="G552" i="2"/>
  <c r="E552" i="2"/>
  <c r="H552" i="2"/>
  <c r="I552" i="2"/>
  <c r="F552" i="2"/>
  <c r="E544" i="2"/>
  <c r="F544" i="2"/>
  <c r="G544" i="2"/>
  <c r="H544" i="2"/>
  <c r="I544" i="2"/>
  <c r="E536" i="2"/>
  <c r="F536" i="2"/>
  <c r="G536" i="2"/>
  <c r="H536" i="2"/>
  <c r="I536" i="2"/>
  <c r="E528" i="2"/>
  <c r="F528" i="2"/>
  <c r="G528" i="2"/>
  <c r="H528" i="2"/>
  <c r="I528" i="2"/>
  <c r="E520" i="2"/>
  <c r="F520" i="2"/>
  <c r="G520" i="2"/>
  <c r="H520" i="2"/>
  <c r="I520" i="2"/>
  <c r="E512" i="2"/>
  <c r="F512" i="2"/>
  <c r="G512" i="2"/>
  <c r="H512" i="2"/>
  <c r="I512" i="2"/>
  <c r="E504" i="2"/>
  <c r="F504" i="2"/>
  <c r="G504" i="2"/>
  <c r="H504" i="2"/>
  <c r="I504" i="2"/>
  <c r="F496" i="2"/>
  <c r="G496" i="2"/>
  <c r="H496" i="2"/>
  <c r="I496" i="2"/>
  <c r="E496" i="2"/>
  <c r="F488" i="2"/>
  <c r="I488" i="2"/>
  <c r="E488" i="2"/>
  <c r="G488" i="2"/>
  <c r="H488" i="2"/>
  <c r="F480" i="2"/>
  <c r="I480" i="2"/>
  <c r="E480" i="2"/>
  <c r="G480" i="2"/>
  <c r="H480" i="2"/>
  <c r="G472" i="2"/>
  <c r="I472" i="2"/>
  <c r="E472" i="2"/>
  <c r="F472" i="2"/>
  <c r="H472" i="2"/>
  <c r="I464" i="2"/>
  <c r="H464" i="2"/>
  <c r="E464" i="2"/>
  <c r="F464" i="2"/>
  <c r="G464" i="2"/>
  <c r="G456" i="2"/>
  <c r="I456" i="2"/>
  <c r="E456" i="2"/>
  <c r="F456" i="2"/>
  <c r="H456" i="2"/>
  <c r="G448" i="2"/>
  <c r="E448" i="2"/>
  <c r="H448" i="2"/>
  <c r="F448" i="2"/>
  <c r="I448" i="2"/>
  <c r="F440" i="2"/>
  <c r="H440" i="2"/>
  <c r="I440" i="2"/>
  <c r="E440" i="2"/>
  <c r="G440" i="2"/>
  <c r="E432" i="2"/>
  <c r="G432" i="2"/>
  <c r="H432" i="2"/>
  <c r="I432" i="2"/>
  <c r="F432" i="2"/>
  <c r="H424" i="2"/>
  <c r="E424" i="2"/>
  <c r="F424" i="2"/>
  <c r="G424" i="2"/>
  <c r="I424" i="2"/>
  <c r="H416" i="2"/>
  <c r="E416" i="2"/>
  <c r="F416" i="2"/>
  <c r="G416" i="2"/>
  <c r="I416" i="2"/>
  <c r="F408" i="2"/>
  <c r="G408" i="2"/>
  <c r="I408" i="2"/>
  <c r="E408" i="2"/>
  <c r="H408" i="2"/>
  <c r="I400" i="2"/>
  <c r="E400" i="2"/>
  <c r="G400" i="2"/>
  <c r="F400" i="2"/>
  <c r="H400" i="2"/>
  <c r="F392" i="2"/>
  <c r="H392" i="2"/>
  <c r="I392" i="2"/>
  <c r="E392" i="2"/>
  <c r="G392" i="2"/>
  <c r="G384" i="2"/>
  <c r="H384" i="2"/>
  <c r="E384" i="2"/>
  <c r="I384" i="2"/>
  <c r="F384" i="2"/>
  <c r="F376" i="2"/>
  <c r="E376" i="2"/>
  <c r="G376" i="2"/>
  <c r="H376" i="2"/>
  <c r="I376" i="2"/>
  <c r="E368" i="2"/>
  <c r="F368" i="2"/>
  <c r="H368" i="2"/>
  <c r="I368" i="2"/>
  <c r="G368" i="2"/>
  <c r="H360" i="2"/>
  <c r="I360" i="2"/>
  <c r="E360" i="2"/>
  <c r="F360" i="2"/>
  <c r="G360" i="2"/>
  <c r="F352" i="2"/>
  <c r="G352" i="2"/>
  <c r="E352" i="2"/>
  <c r="I352" i="2"/>
  <c r="H352" i="2"/>
  <c r="E344" i="2"/>
  <c r="F344" i="2"/>
  <c r="G344" i="2"/>
  <c r="I344" i="2"/>
  <c r="H344" i="2"/>
  <c r="H336" i="2"/>
  <c r="I336" i="2"/>
  <c r="E336" i="2"/>
  <c r="F336" i="2"/>
  <c r="G336" i="2"/>
  <c r="I328" i="2"/>
  <c r="F328" i="2"/>
  <c r="G328" i="2"/>
  <c r="H328" i="2"/>
  <c r="E328" i="2"/>
  <c r="I320" i="2"/>
  <c r="E320" i="2"/>
  <c r="F320" i="2"/>
  <c r="H320" i="2"/>
  <c r="G320" i="2"/>
  <c r="I312" i="2"/>
  <c r="F312" i="2"/>
  <c r="G312" i="2"/>
  <c r="H312" i="2"/>
  <c r="E312" i="2"/>
  <c r="I304" i="2"/>
  <c r="H304" i="2"/>
  <c r="E304" i="2"/>
  <c r="F304" i="2"/>
  <c r="G304" i="2"/>
  <c r="H296" i="2"/>
  <c r="E296" i="2"/>
  <c r="F296" i="2"/>
  <c r="G296" i="2"/>
  <c r="I296" i="2"/>
  <c r="F288" i="2"/>
  <c r="H288" i="2"/>
  <c r="I288" i="2"/>
  <c r="E288" i="2"/>
  <c r="G288" i="2"/>
  <c r="I280" i="2"/>
  <c r="F280" i="2"/>
  <c r="E280" i="2"/>
  <c r="G280" i="2"/>
  <c r="H280" i="2"/>
  <c r="I272" i="2"/>
  <c r="E272" i="2"/>
  <c r="F272" i="2"/>
  <c r="H272" i="2"/>
  <c r="G272" i="2"/>
  <c r="G264" i="2"/>
  <c r="F264" i="2"/>
  <c r="H264" i="2"/>
  <c r="I264" i="2"/>
  <c r="E264" i="2"/>
  <c r="G256" i="2"/>
  <c r="I256" i="2"/>
  <c r="E256" i="2"/>
  <c r="F256" i="2"/>
  <c r="H256" i="2"/>
  <c r="H248" i="2"/>
  <c r="I248" i="2"/>
  <c r="F248" i="2"/>
  <c r="E248" i="2"/>
  <c r="G248" i="2"/>
  <c r="H240" i="2"/>
  <c r="I240" i="2"/>
  <c r="F240" i="2"/>
  <c r="E240" i="2"/>
  <c r="G240" i="2"/>
  <c r="H232" i="2"/>
  <c r="I232" i="2"/>
  <c r="F232" i="2"/>
  <c r="G232" i="2"/>
  <c r="E232" i="2"/>
  <c r="H224" i="2"/>
  <c r="I224" i="2"/>
  <c r="F224" i="2"/>
  <c r="G224" i="2"/>
  <c r="E224" i="2"/>
  <c r="H216" i="2"/>
  <c r="I216" i="2"/>
  <c r="F216" i="2"/>
  <c r="E216" i="2"/>
  <c r="G216" i="2"/>
  <c r="H208" i="2"/>
  <c r="I208" i="2"/>
  <c r="F208" i="2"/>
  <c r="E208" i="2"/>
  <c r="G208" i="2"/>
  <c r="H200" i="2"/>
  <c r="I200" i="2"/>
  <c r="F200" i="2"/>
  <c r="G200" i="2"/>
  <c r="E200" i="2"/>
  <c r="H192" i="2"/>
  <c r="I192" i="2"/>
  <c r="E192" i="2"/>
  <c r="F192" i="2"/>
  <c r="G192" i="2"/>
  <c r="H184" i="2"/>
  <c r="I184" i="2"/>
  <c r="F184" i="2"/>
  <c r="G184" i="2"/>
  <c r="E184" i="2"/>
  <c r="H176" i="2"/>
  <c r="I176" i="2"/>
  <c r="F176" i="2"/>
  <c r="E176" i="2"/>
  <c r="G176" i="2"/>
  <c r="H168" i="2"/>
  <c r="I168" i="2"/>
  <c r="G168" i="2"/>
  <c r="F168" i="2"/>
  <c r="E168" i="2"/>
  <c r="H160" i="2"/>
  <c r="I160" i="2"/>
  <c r="E160" i="2"/>
  <c r="F160" i="2"/>
  <c r="G160" i="2"/>
  <c r="H152" i="2"/>
  <c r="I152" i="2"/>
  <c r="F152" i="2"/>
  <c r="E152" i="2"/>
  <c r="G152" i="2"/>
  <c r="H144" i="2"/>
  <c r="I144" i="2"/>
  <c r="E144" i="2"/>
  <c r="G144" i="2"/>
  <c r="F144" i="2"/>
  <c r="I136" i="2"/>
  <c r="E136" i="2"/>
  <c r="F136" i="2"/>
  <c r="G136" i="2"/>
  <c r="H136" i="2"/>
  <c r="I128" i="2"/>
  <c r="E128" i="2"/>
  <c r="F128" i="2"/>
  <c r="G128" i="2"/>
  <c r="H128" i="2"/>
  <c r="I120" i="2"/>
  <c r="E120" i="2"/>
  <c r="F120" i="2"/>
  <c r="G120" i="2"/>
  <c r="H120" i="2"/>
  <c r="I112" i="2"/>
  <c r="E112" i="2"/>
  <c r="F112" i="2"/>
  <c r="G112" i="2"/>
  <c r="H112" i="2"/>
  <c r="I104" i="2"/>
  <c r="E104" i="2"/>
  <c r="F104" i="2"/>
  <c r="G104" i="2"/>
  <c r="H104" i="2"/>
  <c r="I96" i="2"/>
  <c r="E96" i="2"/>
  <c r="F96" i="2"/>
  <c r="G96" i="2"/>
  <c r="H96" i="2"/>
  <c r="I88" i="2"/>
  <c r="E88" i="2"/>
  <c r="F88" i="2"/>
  <c r="G88" i="2"/>
  <c r="H88" i="2"/>
  <c r="I80" i="2"/>
  <c r="E80" i="2"/>
  <c r="F80" i="2"/>
  <c r="G80" i="2"/>
  <c r="H80" i="2"/>
  <c r="I72" i="2"/>
  <c r="E72" i="2"/>
  <c r="F72" i="2"/>
  <c r="G72" i="2"/>
  <c r="H72" i="2"/>
  <c r="I64" i="2"/>
  <c r="E64" i="2"/>
  <c r="F64" i="2"/>
  <c r="G64" i="2"/>
  <c r="H64" i="2"/>
  <c r="I56" i="2"/>
  <c r="E56" i="2"/>
  <c r="F56" i="2"/>
  <c r="G56" i="2"/>
  <c r="H56" i="2"/>
  <c r="I48" i="2"/>
  <c r="E48" i="2"/>
  <c r="F48" i="2"/>
  <c r="G48" i="2"/>
  <c r="H48" i="2"/>
  <c r="I40" i="2"/>
  <c r="E40" i="2"/>
  <c r="F40" i="2"/>
  <c r="G40" i="2"/>
  <c r="H40" i="2"/>
  <c r="I32" i="2"/>
  <c r="E32" i="2"/>
  <c r="F32" i="2"/>
  <c r="G32" i="2"/>
  <c r="H32" i="2"/>
  <c r="I24" i="2"/>
  <c r="E24" i="2"/>
  <c r="F24" i="2"/>
  <c r="G24" i="2"/>
  <c r="H24" i="2"/>
  <c r="I16" i="2"/>
  <c r="E16" i="2"/>
  <c r="F16" i="2"/>
  <c r="G16" i="2"/>
  <c r="H16" i="2"/>
  <c r="I8" i="2"/>
  <c r="E8" i="2"/>
  <c r="F8" i="2"/>
  <c r="G8" i="2"/>
  <c r="H8" i="2"/>
  <c r="G1327" i="2"/>
  <c r="E1323" i="2"/>
  <c r="E1321" i="2"/>
  <c r="H1318" i="2"/>
  <c r="H1316" i="2"/>
  <c r="H1314" i="2"/>
  <c r="F1312" i="2"/>
  <c r="F1310" i="2"/>
  <c r="F1308" i="2"/>
  <c r="I1305" i="2"/>
  <c r="I1303" i="2"/>
  <c r="I1301" i="2"/>
  <c r="G1299" i="2"/>
  <c r="G1297" i="2"/>
  <c r="G1295" i="2"/>
  <c r="E1291" i="2"/>
  <c r="E1289" i="2"/>
  <c r="H1286" i="2"/>
  <c r="H1284" i="2"/>
  <c r="H1282" i="2"/>
  <c r="E1280" i="2"/>
  <c r="I1277" i="2"/>
  <c r="E1275" i="2"/>
  <c r="F1272" i="2"/>
  <c r="E1270" i="2"/>
  <c r="F1267" i="2"/>
  <c r="E1265" i="2"/>
  <c r="F1262" i="2"/>
  <c r="G1259" i="2"/>
  <c r="F1256" i="2"/>
  <c r="I1249" i="2"/>
  <c r="I1245" i="2"/>
  <c r="F1241" i="2"/>
  <c r="I1217" i="2"/>
  <c r="E1279" i="2"/>
  <c r="F1279" i="2"/>
  <c r="E1271" i="2"/>
  <c r="F1271" i="2"/>
  <c r="E1263" i="2"/>
  <c r="F1263" i="2"/>
  <c r="E1255" i="2"/>
  <c r="F1255" i="2"/>
  <c r="I1255" i="2"/>
  <c r="E1247" i="2"/>
  <c r="F1247" i="2"/>
  <c r="I1247" i="2"/>
  <c r="E1239" i="2"/>
  <c r="F1239" i="2"/>
  <c r="I1239" i="2"/>
  <c r="E1231" i="2"/>
  <c r="F1231" i="2"/>
  <c r="G1231" i="2"/>
  <c r="H1231" i="2"/>
  <c r="I1231" i="2"/>
  <c r="E1223" i="2"/>
  <c r="F1223" i="2"/>
  <c r="G1223" i="2"/>
  <c r="H1223" i="2"/>
  <c r="I1223" i="2"/>
  <c r="E1215" i="2"/>
  <c r="F1215" i="2"/>
  <c r="G1215" i="2"/>
  <c r="H1215" i="2"/>
  <c r="I1215" i="2"/>
  <c r="E1207" i="2"/>
  <c r="F1207" i="2"/>
  <c r="G1207" i="2"/>
  <c r="H1207" i="2"/>
  <c r="I1207" i="2"/>
  <c r="E1199" i="2"/>
  <c r="F1199" i="2"/>
  <c r="G1199" i="2"/>
  <c r="H1199" i="2"/>
  <c r="I1199" i="2"/>
  <c r="E1191" i="2"/>
  <c r="F1191" i="2"/>
  <c r="G1191" i="2"/>
  <c r="H1191" i="2"/>
  <c r="I1191" i="2"/>
  <c r="G1183" i="2"/>
  <c r="H1183" i="2"/>
  <c r="I1183" i="2"/>
  <c r="E1183" i="2"/>
  <c r="F1183" i="2"/>
  <c r="F1175" i="2"/>
  <c r="I1175" i="2"/>
  <c r="E1175" i="2"/>
  <c r="G1175" i="2"/>
  <c r="H1175" i="2"/>
  <c r="F1167" i="2"/>
  <c r="G1167" i="2"/>
  <c r="H1167" i="2"/>
  <c r="I1167" i="2"/>
  <c r="E1167" i="2"/>
  <c r="F1159" i="2"/>
  <c r="H1159" i="2"/>
  <c r="I1159" i="2"/>
  <c r="E1159" i="2"/>
  <c r="G1159" i="2"/>
  <c r="F1151" i="2"/>
  <c r="H1151" i="2"/>
  <c r="E1151" i="2"/>
  <c r="G1151" i="2"/>
  <c r="I1151" i="2"/>
  <c r="F1143" i="2"/>
  <c r="H1143" i="2"/>
  <c r="E1143" i="2"/>
  <c r="G1143" i="2"/>
  <c r="I1143" i="2"/>
  <c r="F1135" i="2"/>
  <c r="H1135" i="2"/>
  <c r="E1135" i="2"/>
  <c r="G1135" i="2"/>
  <c r="I1135" i="2"/>
  <c r="F1127" i="2"/>
  <c r="H1127" i="2"/>
  <c r="E1127" i="2"/>
  <c r="G1127" i="2"/>
  <c r="I1127" i="2"/>
  <c r="F1119" i="2"/>
  <c r="H1119" i="2"/>
  <c r="E1119" i="2"/>
  <c r="G1119" i="2"/>
  <c r="I1119" i="2"/>
  <c r="F1111" i="2"/>
  <c r="H1111" i="2"/>
  <c r="E1111" i="2"/>
  <c r="G1111" i="2"/>
  <c r="I1111" i="2"/>
  <c r="F1103" i="2"/>
  <c r="H1103" i="2"/>
  <c r="G1103" i="2"/>
  <c r="I1103" i="2"/>
  <c r="E1103" i="2"/>
  <c r="F1095" i="2"/>
  <c r="H1095" i="2"/>
  <c r="E1095" i="2"/>
  <c r="G1095" i="2"/>
  <c r="I1095" i="2"/>
  <c r="F1087" i="2"/>
  <c r="H1087" i="2"/>
  <c r="E1087" i="2"/>
  <c r="G1087" i="2"/>
  <c r="I1087" i="2"/>
  <c r="F1079" i="2"/>
  <c r="H1079" i="2"/>
  <c r="E1079" i="2"/>
  <c r="G1079" i="2"/>
  <c r="I1079" i="2"/>
  <c r="F1071" i="2"/>
  <c r="H1071" i="2"/>
  <c r="E1071" i="2"/>
  <c r="G1071" i="2"/>
  <c r="I1071" i="2"/>
  <c r="E1063" i="2"/>
  <c r="F1063" i="2"/>
  <c r="H1063" i="2"/>
  <c r="G1063" i="2"/>
  <c r="I1063" i="2"/>
  <c r="E1055" i="2"/>
  <c r="F1055" i="2"/>
  <c r="H1055" i="2"/>
  <c r="G1055" i="2"/>
  <c r="I1055" i="2"/>
  <c r="G1047" i="2"/>
  <c r="H1047" i="2"/>
  <c r="I1047" i="2"/>
  <c r="E1047" i="2"/>
  <c r="F1047" i="2"/>
  <c r="G1039" i="2"/>
  <c r="H1039" i="2"/>
  <c r="E1039" i="2"/>
  <c r="F1039" i="2"/>
  <c r="I1039" i="2"/>
  <c r="G1031" i="2"/>
  <c r="H1031" i="2"/>
  <c r="E1031" i="2"/>
  <c r="F1031" i="2"/>
  <c r="I1031" i="2"/>
  <c r="G1023" i="2"/>
  <c r="H1023" i="2"/>
  <c r="E1023" i="2"/>
  <c r="I1023" i="2"/>
  <c r="F1023" i="2"/>
  <c r="G1015" i="2"/>
  <c r="H1015" i="2"/>
  <c r="I1015" i="2"/>
  <c r="E1015" i="2"/>
  <c r="F1015" i="2"/>
  <c r="G1007" i="2"/>
  <c r="H1007" i="2"/>
  <c r="E1007" i="2"/>
  <c r="F1007" i="2"/>
  <c r="I1007" i="2"/>
  <c r="G999" i="2"/>
  <c r="H999" i="2"/>
  <c r="E999" i="2"/>
  <c r="F999" i="2"/>
  <c r="I999" i="2"/>
  <c r="G991" i="2"/>
  <c r="H991" i="2"/>
  <c r="E991" i="2"/>
  <c r="I991" i="2"/>
  <c r="F991" i="2"/>
  <c r="G983" i="2"/>
  <c r="H983" i="2"/>
  <c r="I983" i="2"/>
  <c r="E983" i="2"/>
  <c r="F983" i="2"/>
  <c r="G975" i="2"/>
  <c r="H975" i="2"/>
  <c r="E975" i="2"/>
  <c r="F975" i="2"/>
  <c r="I975" i="2"/>
  <c r="G967" i="2"/>
  <c r="H967" i="2"/>
  <c r="E967" i="2"/>
  <c r="F967" i="2"/>
  <c r="I967" i="2"/>
  <c r="G959" i="2"/>
  <c r="H959" i="2"/>
  <c r="E959" i="2"/>
  <c r="I959" i="2"/>
  <c r="F959" i="2"/>
  <c r="G951" i="2"/>
  <c r="H951" i="2"/>
  <c r="I951" i="2"/>
  <c r="E951" i="2"/>
  <c r="F951" i="2"/>
  <c r="G943" i="2"/>
  <c r="H943" i="2"/>
  <c r="E943" i="2"/>
  <c r="F943" i="2"/>
  <c r="I943" i="2"/>
  <c r="G935" i="2"/>
  <c r="H935" i="2"/>
  <c r="E935" i="2"/>
  <c r="F935" i="2"/>
  <c r="I935" i="2"/>
  <c r="G927" i="2"/>
  <c r="H927" i="2"/>
  <c r="E927" i="2"/>
  <c r="I927" i="2"/>
  <c r="F927" i="2"/>
  <c r="G919" i="2"/>
  <c r="H919" i="2"/>
  <c r="I919" i="2"/>
  <c r="E919" i="2"/>
  <c r="F919" i="2"/>
  <c r="G911" i="2"/>
  <c r="H911" i="2"/>
  <c r="E911" i="2"/>
  <c r="F911" i="2"/>
  <c r="I911" i="2"/>
  <c r="I903" i="2"/>
  <c r="G903" i="2"/>
  <c r="H903" i="2"/>
  <c r="E903" i="2"/>
  <c r="F903" i="2"/>
  <c r="G895" i="2"/>
  <c r="H895" i="2"/>
  <c r="E895" i="2"/>
  <c r="F895" i="2"/>
  <c r="I895" i="2"/>
  <c r="E887" i="2"/>
  <c r="F887" i="2"/>
  <c r="G887" i="2"/>
  <c r="H887" i="2"/>
  <c r="I887" i="2"/>
  <c r="E879" i="2"/>
  <c r="F879" i="2"/>
  <c r="G879" i="2"/>
  <c r="I879" i="2"/>
  <c r="H879" i="2"/>
  <c r="I871" i="2"/>
  <c r="E871" i="2"/>
  <c r="G871" i="2"/>
  <c r="F871" i="2"/>
  <c r="H871" i="2"/>
  <c r="G863" i="2"/>
  <c r="H863" i="2"/>
  <c r="I863" i="2"/>
  <c r="E863" i="2"/>
  <c r="F863" i="2"/>
  <c r="E855" i="2"/>
  <c r="F855" i="2"/>
  <c r="G855" i="2"/>
  <c r="H855" i="2"/>
  <c r="I855" i="2"/>
  <c r="E847" i="2"/>
  <c r="F847" i="2"/>
  <c r="G847" i="2"/>
  <c r="H847" i="2"/>
  <c r="I847" i="2"/>
  <c r="F839" i="2"/>
  <c r="H839" i="2"/>
  <c r="E839" i="2"/>
  <c r="G839" i="2"/>
  <c r="I839" i="2"/>
  <c r="F831" i="2"/>
  <c r="H831" i="2"/>
  <c r="E831" i="2"/>
  <c r="G831" i="2"/>
  <c r="I831" i="2"/>
  <c r="F823" i="2"/>
  <c r="H823" i="2"/>
  <c r="E823" i="2"/>
  <c r="G823" i="2"/>
  <c r="I823" i="2"/>
  <c r="F815" i="2"/>
  <c r="H815" i="2"/>
  <c r="E815" i="2"/>
  <c r="G815" i="2"/>
  <c r="I815" i="2"/>
  <c r="F807" i="2"/>
  <c r="H807" i="2"/>
  <c r="E807" i="2"/>
  <c r="G807" i="2"/>
  <c r="I807" i="2"/>
  <c r="F799" i="2"/>
  <c r="H799" i="2"/>
  <c r="E799" i="2"/>
  <c r="G799" i="2"/>
  <c r="I799" i="2"/>
  <c r="F791" i="2"/>
  <c r="H791" i="2"/>
  <c r="E791" i="2"/>
  <c r="G791" i="2"/>
  <c r="I791" i="2"/>
  <c r="F783" i="2"/>
  <c r="H783" i="2"/>
  <c r="E783" i="2"/>
  <c r="G783" i="2"/>
  <c r="I783" i="2"/>
  <c r="F775" i="2"/>
  <c r="H775" i="2"/>
  <c r="E775" i="2"/>
  <c r="G775" i="2"/>
  <c r="I775" i="2"/>
  <c r="F767" i="2"/>
  <c r="H767" i="2"/>
  <c r="E767" i="2"/>
  <c r="G767" i="2"/>
  <c r="I767" i="2"/>
  <c r="F759" i="2"/>
  <c r="H759" i="2"/>
  <c r="E759" i="2"/>
  <c r="G759" i="2"/>
  <c r="I759" i="2"/>
  <c r="F751" i="2"/>
  <c r="H751" i="2"/>
  <c r="E751" i="2"/>
  <c r="G751" i="2"/>
  <c r="I751" i="2"/>
  <c r="F743" i="2"/>
  <c r="H743" i="2"/>
  <c r="E743" i="2"/>
  <c r="G743" i="2"/>
  <c r="I743" i="2"/>
  <c r="F735" i="2"/>
  <c r="E735" i="2"/>
  <c r="H735" i="2"/>
  <c r="I735" i="2"/>
  <c r="G735" i="2"/>
  <c r="F727" i="2"/>
  <c r="G727" i="2"/>
  <c r="I727" i="2"/>
  <c r="E727" i="2"/>
  <c r="H727" i="2"/>
  <c r="F719" i="2"/>
  <c r="E719" i="2"/>
  <c r="G719" i="2"/>
  <c r="H719" i="2"/>
  <c r="I719" i="2"/>
  <c r="G711" i="2"/>
  <c r="I711" i="2"/>
  <c r="F711" i="2"/>
  <c r="H711" i="2"/>
  <c r="E711" i="2"/>
  <c r="G703" i="2"/>
  <c r="H703" i="2"/>
  <c r="I703" i="2"/>
  <c r="E703" i="2"/>
  <c r="F703" i="2"/>
  <c r="G695" i="2"/>
  <c r="H695" i="2"/>
  <c r="I695" i="2"/>
  <c r="E695" i="2"/>
  <c r="F695" i="2"/>
  <c r="G687" i="2"/>
  <c r="H687" i="2"/>
  <c r="I687" i="2"/>
  <c r="F687" i="2"/>
  <c r="E687" i="2"/>
  <c r="G679" i="2"/>
  <c r="H679" i="2"/>
  <c r="I679" i="2"/>
  <c r="E679" i="2"/>
  <c r="F679" i="2"/>
  <c r="G671" i="2"/>
  <c r="H671" i="2"/>
  <c r="I671" i="2"/>
  <c r="E671" i="2"/>
  <c r="F671" i="2"/>
  <c r="G663" i="2"/>
  <c r="H663" i="2"/>
  <c r="I663" i="2"/>
  <c r="E663" i="2"/>
  <c r="F663" i="2"/>
  <c r="G655" i="2"/>
  <c r="H655" i="2"/>
  <c r="I655" i="2"/>
  <c r="E655" i="2"/>
  <c r="F655" i="2"/>
  <c r="G647" i="2"/>
  <c r="H647" i="2"/>
  <c r="I647" i="2"/>
  <c r="F647" i="2"/>
  <c r="E647" i="2"/>
  <c r="G639" i="2"/>
  <c r="H639" i="2"/>
  <c r="I639" i="2"/>
  <c r="E639" i="2"/>
  <c r="F639" i="2"/>
  <c r="G631" i="2"/>
  <c r="H631" i="2"/>
  <c r="I631" i="2"/>
  <c r="E631" i="2"/>
  <c r="F631" i="2"/>
  <c r="G623" i="2"/>
  <c r="H623" i="2"/>
  <c r="I623" i="2"/>
  <c r="E623" i="2"/>
  <c r="F623" i="2"/>
  <c r="G615" i="2"/>
  <c r="H615" i="2"/>
  <c r="I615" i="2"/>
  <c r="E615" i="2"/>
  <c r="F615" i="2"/>
  <c r="G607" i="2"/>
  <c r="H607" i="2"/>
  <c r="I607" i="2"/>
  <c r="E607" i="2"/>
  <c r="F607" i="2"/>
  <c r="G599" i="2"/>
  <c r="H599" i="2"/>
  <c r="I599" i="2"/>
  <c r="E599" i="2"/>
  <c r="F599" i="2"/>
  <c r="G591" i="2"/>
  <c r="H591" i="2"/>
  <c r="I591" i="2"/>
  <c r="F591" i="2"/>
  <c r="E591" i="2"/>
  <c r="G583" i="2"/>
  <c r="H583" i="2"/>
  <c r="I583" i="2"/>
  <c r="E583" i="2"/>
  <c r="F583" i="2"/>
  <c r="G575" i="2"/>
  <c r="H575" i="2"/>
  <c r="I575" i="2"/>
  <c r="E575" i="2"/>
  <c r="F575" i="2"/>
  <c r="G567" i="2"/>
  <c r="H567" i="2"/>
  <c r="I567" i="2"/>
  <c r="E567" i="2"/>
  <c r="F567" i="2"/>
  <c r="G559" i="2"/>
  <c r="H559" i="2"/>
  <c r="I559" i="2"/>
  <c r="E559" i="2"/>
  <c r="F559" i="2"/>
  <c r="G551" i="2"/>
  <c r="H551" i="2"/>
  <c r="I551" i="2"/>
  <c r="E551" i="2"/>
  <c r="F551" i="2"/>
  <c r="G543" i="2"/>
  <c r="H543" i="2"/>
  <c r="I543" i="2"/>
  <c r="E543" i="2"/>
  <c r="F543" i="2"/>
  <c r="G535" i="2"/>
  <c r="H535" i="2"/>
  <c r="I535" i="2"/>
  <c r="E535" i="2"/>
  <c r="F535" i="2"/>
  <c r="G527" i="2"/>
  <c r="H527" i="2"/>
  <c r="I527" i="2"/>
  <c r="F527" i="2"/>
  <c r="E527" i="2"/>
  <c r="G519" i="2"/>
  <c r="H519" i="2"/>
  <c r="I519" i="2"/>
  <c r="E519" i="2"/>
  <c r="F519" i="2"/>
  <c r="G511" i="2"/>
  <c r="H511" i="2"/>
  <c r="I511" i="2"/>
  <c r="E511" i="2"/>
  <c r="F511" i="2"/>
  <c r="G503" i="2"/>
  <c r="H503" i="2"/>
  <c r="I503" i="2"/>
  <c r="E503" i="2"/>
  <c r="F503" i="2"/>
  <c r="I495" i="2"/>
  <c r="E495" i="2"/>
  <c r="F495" i="2"/>
  <c r="G495" i="2"/>
  <c r="H495" i="2"/>
  <c r="I487" i="2"/>
  <c r="F487" i="2"/>
  <c r="H487" i="2"/>
  <c r="E487" i="2"/>
  <c r="G487" i="2"/>
  <c r="H479" i="2"/>
  <c r="I479" i="2"/>
  <c r="E479" i="2"/>
  <c r="F479" i="2"/>
  <c r="G479" i="2"/>
  <c r="H471" i="2"/>
  <c r="E471" i="2"/>
  <c r="I471" i="2"/>
  <c r="F471" i="2"/>
  <c r="G471" i="2"/>
  <c r="I463" i="2"/>
  <c r="E463" i="2"/>
  <c r="F463" i="2"/>
  <c r="G463" i="2"/>
  <c r="H463" i="2"/>
  <c r="I455" i="2"/>
  <c r="H455" i="2"/>
  <c r="G455" i="2"/>
  <c r="E455" i="2"/>
  <c r="F455" i="2"/>
  <c r="I447" i="2"/>
  <c r="E447" i="2"/>
  <c r="F447" i="2"/>
  <c r="G447" i="2"/>
  <c r="H447" i="2"/>
  <c r="I439" i="2"/>
  <c r="F439" i="2"/>
  <c r="H439" i="2"/>
  <c r="E439" i="2"/>
  <c r="G439" i="2"/>
  <c r="I431" i="2"/>
  <c r="F431" i="2"/>
  <c r="H431" i="2"/>
  <c r="E431" i="2"/>
  <c r="G431" i="2"/>
  <c r="I423" i="2"/>
  <c r="E423" i="2"/>
  <c r="G423" i="2"/>
  <c r="F423" i="2"/>
  <c r="H423" i="2"/>
  <c r="I415" i="2"/>
  <c r="G415" i="2"/>
  <c r="E415" i="2"/>
  <c r="H415" i="2"/>
  <c r="F415" i="2"/>
  <c r="I407" i="2"/>
  <c r="F407" i="2"/>
  <c r="G407" i="2"/>
  <c r="H407" i="2"/>
  <c r="E407" i="2"/>
  <c r="I399" i="2"/>
  <c r="E399" i="2"/>
  <c r="F399" i="2"/>
  <c r="G399" i="2"/>
  <c r="H399" i="2"/>
  <c r="I391" i="2"/>
  <c r="H391" i="2"/>
  <c r="G391" i="2"/>
  <c r="E391" i="2"/>
  <c r="F391" i="2"/>
  <c r="I383" i="2"/>
  <c r="G383" i="2"/>
  <c r="F383" i="2"/>
  <c r="E383" i="2"/>
  <c r="H383" i="2"/>
  <c r="I375" i="2"/>
  <c r="F375" i="2"/>
  <c r="G375" i="2"/>
  <c r="E375" i="2"/>
  <c r="H375" i="2"/>
  <c r="I367" i="2"/>
  <c r="E367" i="2"/>
  <c r="F367" i="2"/>
  <c r="G367" i="2"/>
  <c r="H367" i="2"/>
  <c r="I359" i="2"/>
  <c r="E359" i="2"/>
  <c r="G359" i="2"/>
  <c r="H359" i="2"/>
  <c r="F359" i="2"/>
  <c r="I351" i="2"/>
  <c r="F351" i="2"/>
  <c r="G351" i="2"/>
  <c r="H351" i="2"/>
  <c r="E351" i="2"/>
  <c r="I343" i="2"/>
  <c r="E343" i="2"/>
  <c r="F343" i="2"/>
  <c r="G343" i="2"/>
  <c r="H343" i="2"/>
  <c r="I335" i="2"/>
  <c r="F335" i="2"/>
  <c r="E335" i="2"/>
  <c r="H335" i="2"/>
  <c r="G335" i="2"/>
  <c r="I327" i="2"/>
  <c r="F327" i="2"/>
  <c r="E327" i="2"/>
  <c r="G327" i="2"/>
  <c r="H327" i="2"/>
  <c r="I319" i="2"/>
  <c r="F319" i="2"/>
  <c r="H319" i="2"/>
  <c r="E319" i="2"/>
  <c r="G319" i="2"/>
  <c r="I311" i="2"/>
  <c r="F311" i="2"/>
  <c r="E311" i="2"/>
  <c r="G311" i="2"/>
  <c r="H311" i="2"/>
  <c r="I303" i="2"/>
  <c r="F303" i="2"/>
  <c r="E303" i="2"/>
  <c r="H303" i="2"/>
  <c r="G303" i="2"/>
  <c r="I295" i="2"/>
  <c r="G295" i="2"/>
  <c r="E295" i="2"/>
  <c r="F295" i="2"/>
  <c r="H295" i="2"/>
  <c r="I287" i="2"/>
  <c r="G287" i="2"/>
  <c r="F287" i="2"/>
  <c r="H287" i="2"/>
  <c r="E287" i="2"/>
  <c r="I279" i="2"/>
  <c r="E279" i="2"/>
  <c r="F279" i="2"/>
  <c r="G279" i="2"/>
  <c r="H279" i="2"/>
  <c r="I271" i="2"/>
  <c r="H271" i="2"/>
  <c r="E271" i="2"/>
  <c r="G271" i="2"/>
  <c r="F271" i="2"/>
  <c r="I263" i="2"/>
  <c r="H263" i="2"/>
  <c r="E263" i="2"/>
  <c r="F263" i="2"/>
  <c r="G263" i="2"/>
  <c r="I255" i="2"/>
  <c r="F255" i="2"/>
  <c r="E255" i="2"/>
  <c r="H255" i="2"/>
  <c r="G255" i="2"/>
  <c r="E247" i="2"/>
  <c r="F247" i="2"/>
  <c r="H247" i="2"/>
  <c r="G247" i="2"/>
  <c r="I247" i="2"/>
  <c r="E239" i="2"/>
  <c r="F239" i="2"/>
  <c r="I239" i="2"/>
  <c r="H239" i="2"/>
  <c r="G239" i="2"/>
  <c r="E231" i="2"/>
  <c r="F231" i="2"/>
  <c r="G231" i="2"/>
  <c r="I231" i="2"/>
  <c r="H231" i="2"/>
  <c r="E223" i="2"/>
  <c r="F223" i="2"/>
  <c r="G223" i="2"/>
  <c r="I223" i="2"/>
  <c r="H223" i="2"/>
  <c r="E215" i="2"/>
  <c r="F215" i="2"/>
  <c r="I215" i="2"/>
  <c r="G215" i="2"/>
  <c r="H215" i="2"/>
  <c r="E207" i="2"/>
  <c r="F207" i="2"/>
  <c r="I207" i="2"/>
  <c r="G207" i="2"/>
  <c r="H207" i="2"/>
  <c r="E199" i="2"/>
  <c r="F199" i="2"/>
  <c r="G199" i="2"/>
  <c r="I199" i="2"/>
  <c r="H199" i="2"/>
  <c r="E191" i="2"/>
  <c r="F191" i="2"/>
  <c r="G191" i="2"/>
  <c r="H191" i="2"/>
  <c r="I191" i="2"/>
  <c r="E183" i="2"/>
  <c r="F183" i="2"/>
  <c r="H183" i="2"/>
  <c r="G183" i="2"/>
  <c r="I183" i="2"/>
  <c r="E175" i="2"/>
  <c r="F175" i="2"/>
  <c r="I175" i="2"/>
  <c r="G175" i="2"/>
  <c r="H175" i="2"/>
  <c r="I167" i="2"/>
  <c r="E167" i="2"/>
  <c r="F167" i="2"/>
  <c r="H167" i="2"/>
  <c r="G167" i="2"/>
  <c r="I159" i="2"/>
  <c r="E159" i="2"/>
  <c r="F159" i="2"/>
  <c r="G159" i="2"/>
  <c r="H159" i="2"/>
  <c r="I151" i="2"/>
  <c r="E151" i="2"/>
  <c r="F151" i="2"/>
  <c r="H151" i="2"/>
  <c r="G151" i="2"/>
  <c r="I143" i="2"/>
  <c r="E143" i="2"/>
  <c r="F143" i="2"/>
  <c r="H143" i="2"/>
  <c r="G143" i="2"/>
  <c r="F135" i="2"/>
  <c r="G135" i="2"/>
  <c r="H135" i="2"/>
  <c r="E135" i="2"/>
  <c r="I135" i="2"/>
  <c r="F127" i="2"/>
  <c r="G127" i="2"/>
  <c r="H127" i="2"/>
  <c r="I127" i="2"/>
  <c r="E127" i="2"/>
  <c r="F119" i="2"/>
  <c r="G119" i="2"/>
  <c r="H119" i="2"/>
  <c r="E119" i="2"/>
  <c r="I119" i="2"/>
  <c r="F111" i="2"/>
  <c r="G111" i="2"/>
  <c r="H111" i="2"/>
  <c r="E111" i="2"/>
  <c r="I111" i="2"/>
  <c r="F103" i="2"/>
  <c r="G103" i="2"/>
  <c r="H103" i="2"/>
  <c r="E103" i="2"/>
  <c r="I103" i="2"/>
  <c r="F95" i="2"/>
  <c r="G95" i="2"/>
  <c r="H95" i="2"/>
  <c r="I95" i="2"/>
  <c r="E95" i="2"/>
  <c r="F87" i="2"/>
  <c r="G87" i="2"/>
  <c r="H87" i="2"/>
  <c r="E87" i="2"/>
  <c r="I87" i="2"/>
  <c r="F79" i="2"/>
  <c r="G79" i="2"/>
  <c r="H79" i="2"/>
  <c r="E79" i="2"/>
  <c r="I79" i="2"/>
  <c r="F71" i="2"/>
  <c r="G71" i="2"/>
  <c r="H71" i="2"/>
  <c r="E71" i="2"/>
  <c r="I71" i="2"/>
  <c r="F63" i="2"/>
  <c r="G63" i="2"/>
  <c r="H63" i="2"/>
  <c r="E63" i="2"/>
  <c r="I63" i="2"/>
  <c r="F55" i="2"/>
  <c r="G55" i="2"/>
  <c r="H55" i="2"/>
  <c r="E55" i="2"/>
  <c r="I55" i="2"/>
  <c r="F47" i="2"/>
  <c r="G47" i="2"/>
  <c r="H47" i="2"/>
  <c r="I47" i="2"/>
  <c r="E47" i="2"/>
  <c r="F39" i="2"/>
  <c r="G39" i="2"/>
  <c r="H39" i="2"/>
  <c r="I39" i="2"/>
  <c r="E39" i="2"/>
  <c r="F31" i="2"/>
  <c r="G31" i="2"/>
  <c r="H31" i="2"/>
  <c r="I31" i="2"/>
  <c r="E31" i="2"/>
  <c r="F23" i="2"/>
  <c r="G23" i="2"/>
  <c r="H23" i="2"/>
  <c r="I23" i="2"/>
  <c r="E23" i="2"/>
  <c r="F15" i="2"/>
  <c r="G15" i="2"/>
  <c r="H15" i="2"/>
  <c r="I15" i="2"/>
  <c r="E15" i="2"/>
  <c r="F7" i="2"/>
  <c r="G7" i="2"/>
  <c r="H7" i="2"/>
  <c r="I7" i="2"/>
  <c r="E7" i="2"/>
  <c r="E1327" i="2"/>
  <c r="I1324" i="2"/>
  <c r="I1322" i="2"/>
  <c r="H1320" i="2"/>
  <c r="G1318" i="2"/>
  <c r="G1316" i="2"/>
  <c r="F1314" i="2"/>
  <c r="E1312" i="2"/>
  <c r="E1310" i="2"/>
  <c r="I1307" i="2"/>
  <c r="H1305" i="2"/>
  <c r="H1303" i="2"/>
  <c r="G1301" i="2"/>
  <c r="F1299" i="2"/>
  <c r="F1297" i="2"/>
  <c r="E1295" i="2"/>
  <c r="I1292" i="2"/>
  <c r="I1290" i="2"/>
  <c r="H1288" i="2"/>
  <c r="G1286" i="2"/>
  <c r="G1284" i="2"/>
  <c r="F1282" i="2"/>
  <c r="I1279" i="2"/>
  <c r="I1274" i="2"/>
  <c r="E1272" i="2"/>
  <c r="I1269" i="2"/>
  <c r="E1267" i="2"/>
  <c r="F1264" i="2"/>
  <c r="E1262" i="2"/>
  <c r="F1259" i="2"/>
  <c r="E1256" i="2"/>
  <c r="I1252" i="2"/>
  <c r="F1249" i="2"/>
  <c r="E1241" i="2"/>
  <c r="G1236" i="2"/>
  <c r="F1216" i="2"/>
  <c r="I1246" i="2"/>
  <c r="F1246" i="2"/>
  <c r="G1246" i="2"/>
  <c r="I1230" i="2"/>
  <c r="E1230" i="2"/>
  <c r="F1230" i="2"/>
  <c r="G1230" i="2"/>
  <c r="I1222" i="2"/>
  <c r="E1222" i="2"/>
  <c r="F1222" i="2"/>
  <c r="G1222" i="2"/>
  <c r="I1214" i="2"/>
  <c r="E1214" i="2"/>
  <c r="F1214" i="2"/>
  <c r="G1214" i="2"/>
  <c r="I1206" i="2"/>
  <c r="E1206" i="2"/>
  <c r="F1206" i="2"/>
  <c r="G1206" i="2"/>
  <c r="H1206" i="2"/>
  <c r="I1198" i="2"/>
  <c r="E1198" i="2"/>
  <c r="F1198" i="2"/>
  <c r="G1198" i="2"/>
  <c r="H1198" i="2"/>
  <c r="G1190" i="2"/>
  <c r="I1190" i="2"/>
  <c r="E1190" i="2"/>
  <c r="F1190" i="2"/>
  <c r="H1190" i="2"/>
  <c r="G1182" i="2"/>
  <c r="E1182" i="2"/>
  <c r="F1182" i="2"/>
  <c r="H1182" i="2"/>
  <c r="I1182" i="2"/>
  <c r="G1174" i="2"/>
  <c r="E1174" i="2"/>
  <c r="F1174" i="2"/>
  <c r="H1174" i="2"/>
  <c r="I1174" i="2"/>
  <c r="G1166" i="2"/>
  <c r="E1166" i="2"/>
  <c r="F1166" i="2"/>
  <c r="H1166" i="2"/>
  <c r="I1166" i="2"/>
  <c r="G1158" i="2"/>
  <c r="E1158" i="2"/>
  <c r="F1158" i="2"/>
  <c r="H1158" i="2"/>
  <c r="I1158" i="2"/>
  <c r="G1150" i="2"/>
  <c r="E1150" i="2"/>
  <c r="F1150" i="2"/>
  <c r="H1150" i="2"/>
  <c r="I1150" i="2"/>
  <c r="G1142" i="2"/>
  <c r="E1142" i="2"/>
  <c r="F1142" i="2"/>
  <c r="H1142" i="2"/>
  <c r="I1142" i="2"/>
  <c r="G1134" i="2"/>
  <c r="E1134" i="2"/>
  <c r="F1134" i="2"/>
  <c r="H1134" i="2"/>
  <c r="I1134" i="2"/>
  <c r="G1126" i="2"/>
  <c r="E1126" i="2"/>
  <c r="H1126" i="2"/>
  <c r="I1126" i="2"/>
  <c r="F1126" i="2"/>
  <c r="G1118" i="2"/>
  <c r="E1118" i="2"/>
  <c r="I1118" i="2"/>
  <c r="F1118" i="2"/>
  <c r="H1118" i="2"/>
  <c r="G1110" i="2"/>
  <c r="E1110" i="2"/>
  <c r="F1110" i="2"/>
  <c r="H1110" i="2"/>
  <c r="I1110" i="2"/>
  <c r="G1102" i="2"/>
  <c r="E1102" i="2"/>
  <c r="F1102" i="2"/>
  <c r="H1102" i="2"/>
  <c r="I1102" i="2"/>
  <c r="G1094" i="2"/>
  <c r="H1094" i="2"/>
  <c r="I1094" i="2"/>
  <c r="E1094" i="2"/>
  <c r="F1094" i="2"/>
  <c r="G1086" i="2"/>
  <c r="H1086" i="2"/>
  <c r="I1086" i="2"/>
  <c r="E1086" i="2"/>
  <c r="F1086" i="2"/>
  <c r="G1078" i="2"/>
  <c r="H1078" i="2"/>
  <c r="I1078" i="2"/>
  <c r="E1078" i="2"/>
  <c r="F1078" i="2"/>
  <c r="G1070" i="2"/>
  <c r="H1070" i="2"/>
  <c r="I1070" i="2"/>
  <c r="E1070" i="2"/>
  <c r="F1070" i="2"/>
  <c r="G1062" i="2"/>
  <c r="H1062" i="2"/>
  <c r="I1062" i="2"/>
  <c r="E1062" i="2"/>
  <c r="F1062" i="2"/>
  <c r="G1054" i="2"/>
  <c r="H1054" i="2"/>
  <c r="I1054" i="2"/>
  <c r="E1054" i="2"/>
  <c r="F1054" i="2"/>
  <c r="E1046" i="2"/>
  <c r="F1046" i="2"/>
  <c r="G1046" i="2"/>
  <c r="H1046" i="2"/>
  <c r="I1046" i="2"/>
  <c r="E1038" i="2"/>
  <c r="F1038" i="2"/>
  <c r="H1038" i="2"/>
  <c r="G1038" i="2"/>
  <c r="I1038" i="2"/>
  <c r="E1030" i="2"/>
  <c r="H1030" i="2"/>
  <c r="I1030" i="2"/>
  <c r="F1030" i="2"/>
  <c r="G1030" i="2"/>
  <c r="E1022" i="2"/>
  <c r="F1022" i="2"/>
  <c r="G1022" i="2"/>
  <c r="H1022" i="2"/>
  <c r="I1022" i="2"/>
  <c r="E1014" i="2"/>
  <c r="F1014" i="2"/>
  <c r="G1014" i="2"/>
  <c r="H1014" i="2"/>
  <c r="I1014" i="2"/>
  <c r="E1006" i="2"/>
  <c r="F1006" i="2"/>
  <c r="H1006" i="2"/>
  <c r="G1006" i="2"/>
  <c r="I1006" i="2"/>
  <c r="E998" i="2"/>
  <c r="H998" i="2"/>
  <c r="I998" i="2"/>
  <c r="F998" i="2"/>
  <c r="G998" i="2"/>
  <c r="E990" i="2"/>
  <c r="F990" i="2"/>
  <c r="G990" i="2"/>
  <c r="H990" i="2"/>
  <c r="I990" i="2"/>
  <c r="E982" i="2"/>
  <c r="F982" i="2"/>
  <c r="G982" i="2"/>
  <c r="H982" i="2"/>
  <c r="I982" i="2"/>
  <c r="E974" i="2"/>
  <c r="F974" i="2"/>
  <c r="H974" i="2"/>
  <c r="G974" i="2"/>
  <c r="I974" i="2"/>
  <c r="E966" i="2"/>
  <c r="H966" i="2"/>
  <c r="I966" i="2"/>
  <c r="F966" i="2"/>
  <c r="G966" i="2"/>
  <c r="E958" i="2"/>
  <c r="F958" i="2"/>
  <c r="G958" i="2"/>
  <c r="H958" i="2"/>
  <c r="I958" i="2"/>
  <c r="E950" i="2"/>
  <c r="F950" i="2"/>
  <c r="G950" i="2"/>
  <c r="H950" i="2"/>
  <c r="I950" i="2"/>
  <c r="E942" i="2"/>
  <c r="F942" i="2"/>
  <c r="H942" i="2"/>
  <c r="G942" i="2"/>
  <c r="I942" i="2"/>
  <c r="E934" i="2"/>
  <c r="H934" i="2"/>
  <c r="I934" i="2"/>
  <c r="F934" i="2"/>
  <c r="G934" i="2"/>
  <c r="E926" i="2"/>
  <c r="F926" i="2"/>
  <c r="G926" i="2"/>
  <c r="H926" i="2"/>
  <c r="I926" i="2"/>
  <c r="E918" i="2"/>
  <c r="F918" i="2"/>
  <c r="G918" i="2"/>
  <c r="H918" i="2"/>
  <c r="I918" i="2"/>
  <c r="E910" i="2"/>
  <c r="F910" i="2"/>
  <c r="H910" i="2"/>
  <c r="G910" i="2"/>
  <c r="I910" i="2"/>
  <c r="G902" i="2"/>
  <c r="H902" i="2"/>
  <c r="E902" i="2"/>
  <c r="F902" i="2"/>
  <c r="I902" i="2"/>
  <c r="G894" i="2"/>
  <c r="H894" i="2"/>
  <c r="F894" i="2"/>
  <c r="E894" i="2"/>
  <c r="I894" i="2"/>
  <c r="G886" i="2"/>
  <c r="H886" i="2"/>
  <c r="F886" i="2"/>
  <c r="I886" i="2"/>
  <c r="E886" i="2"/>
  <c r="G878" i="2"/>
  <c r="H878" i="2"/>
  <c r="F878" i="2"/>
  <c r="I878" i="2"/>
  <c r="E878" i="2"/>
  <c r="G870" i="2"/>
  <c r="H870" i="2"/>
  <c r="E870" i="2"/>
  <c r="F870" i="2"/>
  <c r="I870" i="2"/>
  <c r="G862" i="2"/>
  <c r="H862" i="2"/>
  <c r="E862" i="2"/>
  <c r="F862" i="2"/>
  <c r="I862" i="2"/>
  <c r="G854" i="2"/>
  <c r="H854" i="2"/>
  <c r="F854" i="2"/>
  <c r="E854" i="2"/>
  <c r="I854" i="2"/>
  <c r="G846" i="2"/>
  <c r="H846" i="2"/>
  <c r="F846" i="2"/>
  <c r="I846" i="2"/>
  <c r="E846" i="2"/>
  <c r="E838" i="2"/>
  <c r="G838" i="2"/>
  <c r="H838" i="2"/>
  <c r="I838" i="2"/>
  <c r="F838" i="2"/>
  <c r="E830" i="2"/>
  <c r="G830" i="2"/>
  <c r="H830" i="2"/>
  <c r="I830" i="2"/>
  <c r="F830" i="2"/>
  <c r="E822" i="2"/>
  <c r="G822" i="2"/>
  <c r="H822" i="2"/>
  <c r="F822" i="2"/>
  <c r="I822" i="2"/>
  <c r="E814" i="2"/>
  <c r="G814" i="2"/>
  <c r="H814" i="2"/>
  <c r="I814" i="2"/>
  <c r="F814" i="2"/>
  <c r="E806" i="2"/>
  <c r="G806" i="2"/>
  <c r="H806" i="2"/>
  <c r="I806" i="2"/>
  <c r="F806" i="2"/>
  <c r="E798" i="2"/>
  <c r="G798" i="2"/>
  <c r="H798" i="2"/>
  <c r="F798" i="2"/>
  <c r="I798" i="2"/>
  <c r="E790" i="2"/>
  <c r="G790" i="2"/>
  <c r="H790" i="2"/>
  <c r="I790" i="2"/>
  <c r="F790" i="2"/>
  <c r="E782" i="2"/>
  <c r="G782" i="2"/>
  <c r="H782" i="2"/>
  <c r="F782" i="2"/>
  <c r="I782" i="2"/>
  <c r="E774" i="2"/>
  <c r="G774" i="2"/>
  <c r="H774" i="2"/>
  <c r="I774" i="2"/>
  <c r="F774" i="2"/>
  <c r="E766" i="2"/>
  <c r="G766" i="2"/>
  <c r="H766" i="2"/>
  <c r="F766" i="2"/>
  <c r="I766" i="2"/>
  <c r="E758" i="2"/>
  <c r="G758" i="2"/>
  <c r="H758" i="2"/>
  <c r="I758" i="2"/>
  <c r="F758" i="2"/>
  <c r="E750" i="2"/>
  <c r="G750" i="2"/>
  <c r="H750" i="2"/>
  <c r="F750" i="2"/>
  <c r="I750" i="2"/>
  <c r="E742" i="2"/>
  <c r="G742" i="2"/>
  <c r="H742" i="2"/>
  <c r="I742" i="2"/>
  <c r="F742" i="2"/>
  <c r="H734" i="2"/>
  <c r="E734" i="2"/>
  <c r="F734" i="2"/>
  <c r="G734" i="2"/>
  <c r="I734" i="2"/>
  <c r="E726" i="2"/>
  <c r="G726" i="2"/>
  <c r="H726" i="2"/>
  <c r="F726" i="2"/>
  <c r="I726" i="2"/>
  <c r="F718" i="2"/>
  <c r="H718" i="2"/>
  <c r="E718" i="2"/>
  <c r="G718" i="2"/>
  <c r="I718" i="2"/>
  <c r="E710" i="2"/>
  <c r="F710" i="2"/>
  <c r="I710" i="2"/>
  <c r="G710" i="2"/>
  <c r="H710" i="2"/>
  <c r="E702" i="2"/>
  <c r="F702" i="2"/>
  <c r="I702" i="2"/>
  <c r="G702" i="2"/>
  <c r="H702" i="2"/>
  <c r="E694" i="2"/>
  <c r="F694" i="2"/>
  <c r="I694" i="2"/>
  <c r="G694" i="2"/>
  <c r="H694" i="2"/>
  <c r="E686" i="2"/>
  <c r="F686" i="2"/>
  <c r="I686" i="2"/>
  <c r="G686" i="2"/>
  <c r="H686" i="2"/>
  <c r="E678" i="2"/>
  <c r="F678" i="2"/>
  <c r="I678" i="2"/>
  <c r="G678" i="2"/>
  <c r="H678" i="2"/>
  <c r="E670" i="2"/>
  <c r="F670" i="2"/>
  <c r="I670" i="2"/>
  <c r="G670" i="2"/>
  <c r="H670" i="2"/>
  <c r="E662" i="2"/>
  <c r="F662" i="2"/>
  <c r="I662" i="2"/>
  <c r="G662" i="2"/>
  <c r="H662" i="2"/>
  <c r="E654" i="2"/>
  <c r="F654" i="2"/>
  <c r="I654" i="2"/>
  <c r="H654" i="2"/>
  <c r="G654" i="2"/>
  <c r="E646" i="2"/>
  <c r="F646" i="2"/>
  <c r="I646" i="2"/>
  <c r="G646" i="2"/>
  <c r="H646" i="2"/>
  <c r="E638" i="2"/>
  <c r="F638" i="2"/>
  <c r="I638" i="2"/>
  <c r="G638" i="2"/>
  <c r="H638" i="2"/>
  <c r="E630" i="2"/>
  <c r="F630" i="2"/>
  <c r="I630" i="2"/>
  <c r="G630" i="2"/>
  <c r="H630" i="2"/>
  <c r="E622" i="2"/>
  <c r="F622" i="2"/>
  <c r="I622" i="2"/>
  <c r="G622" i="2"/>
  <c r="H622" i="2"/>
  <c r="E614" i="2"/>
  <c r="F614" i="2"/>
  <c r="I614" i="2"/>
  <c r="G614" i="2"/>
  <c r="H614" i="2"/>
  <c r="E606" i="2"/>
  <c r="F606" i="2"/>
  <c r="I606" i="2"/>
  <c r="G606" i="2"/>
  <c r="H606" i="2"/>
  <c r="E598" i="2"/>
  <c r="F598" i="2"/>
  <c r="I598" i="2"/>
  <c r="G598" i="2"/>
  <c r="H598" i="2"/>
  <c r="E590" i="2"/>
  <c r="F590" i="2"/>
  <c r="I590" i="2"/>
  <c r="G590" i="2"/>
  <c r="H590" i="2"/>
  <c r="E582" i="2"/>
  <c r="F582" i="2"/>
  <c r="I582" i="2"/>
  <c r="G582" i="2"/>
  <c r="H582" i="2"/>
  <c r="E574" i="2"/>
  <c r="F574" i="2"/>
  <c r="I574" i="2"/>
  <c r="H574" i="2"/>
  <c r="G574" i="2"/>
  <c r="E566" i="2"/>
  <c r="F566" i="2"/>
  <c r="I566" i="2"/>
  <c r="G566" i="2"/>
  <c r="H566" i="2"/>
  <c r="E558" i="2"/>
  <c r="F558" i="2"/>
  <c r="I558" i="2"/>
  <c r="G558" i="2"/>
  <c r="H558" i="2"/>
  <c r="E550" i="2"/>
  <c r="F550" i="2"/>
  <c r="I550" i="2"/>
  <c r="G550" i="2"/>
  <c r="H550" i="2"/>
  <c r="E542" i="2"/>
  <c r="F542" i="2"/>
  <c r="G542" i="2"/>
  <c r="H542" i="2"/>
  <c r="I542" i="2"/>
  <c r="E534" i="2"/>
  <c r="F534" i="2"/>
  <c r="G534" i="2"/>
  <c r="H534" i="2"/>
  <c r="I534" i="2"/>
  <c r="E526" i="2"/>
  <c r="F526" i="2"/>
  <c r="G526" i="2"/>
  <c r="H526" i="2"/>
  <c r="I526" i="2"/>
  <c r="E518" i="2"/>
  <c r="F518" i="2"/>
  <c r="G518" i="2"/>
  <c r="H518" i="2"/>
  <c r="I518" i="2"/>
  <c r="E510" i="2"/>
  <c r="F510" i="2"/>
  <c r="G510" i="2"/>
  <c r="H510" i="2"/>
  <c r="I510" i="2"/>
  <c r="F502" i="2"/>
  <c r="E502" i="2"/>
  <c r="G502" i="2"/>
  <c r="H502" i="2"/>
  <c r="I502" i="2"/>
  <c r="F494" i="2"/>
  <c r="G494" i="2"/>
  <c r="H494" i="2"/>
  <c r="I494" i="2"/>
  <c r="E494" i="2"/>
  <c r="F486" i="2"/>
  <c r="H486" i="2"/>
  <c r="E486" i="2"/>
  <c r="G486" i="2"/>
  <c r="I486" i="2"/>
  <c r="E478" i="2"/>
  <c r="G478" i="2"/>
  <c r="F478" i="2"/>
  <c r="H478" i="2"/>
  <c r="I478" i="2"/>
  <c r="E470" i="2"/>
  <c r="H470" i="2"/>
  <c r="F470" i="2"/>
  <c r="G470" i="2"/>
  <c r="I470" i="2"/>
  <c r="F462" i="2"/>
  <c r="H462" i="2"/>
  <c r="E462" i="2"/>
  <c r="G462" i="2"/>
  <c r="I462" i="2"/>
  <c r="F454" i="2"/>
  <c r="G454" i="2"/>
  <c r="I454" i="2"/>
  <c r="E454" i="2"/>
  <c r="H454" i="2"/>
  <c r="F446" i="2"/>
  <c r="H446" i="2"/>
  <c r="G446" i="2"/>
  <c r="I446" i="2"/>
  <c r="E446" i="2"/>
  <c r="F438" i="2"/>
  <c r="E438" i="2"/>
  <c r="H438" i="2"/>
  <c r="I438" i="2"/>
  <c r="G438" i="2"/>
  <c r="F430" i="2"/>
  <c r="E430" i="2"/>
  <c r="G430" i="2"/>
  <c r="H430" i="2"/>
  <c r="I430" i="2"/>
  <c r="F422" i="2"/>
  <c r="I422" i="2"/>
  <c r="E422" i="2"/>
  <c r="G422" i="2"/>
  <c r="H422" i="2"/>
  <c r="F414" i="2"/>
  <c r="H414" i="2"/>
  <c r="E414" i="2"/>
  <c r="G414" i="2"/>
  <c r="I414" i="2"/>
  <c r="F406" i="2"/>
  <c r="G406" i="2"/>
  <c r="E406" i="2"/>
  <c r="I406" i="2"/>
  <c r="H406" i="2"/>
  <c r="F398" i="2"/>
  <c r="G398" i="2"/>
  <c r="I398" i="2"/>
  <c r="E398" i="2"/>
  <c r="H398" i="2"/>
  <c r="F390" i="2"/>
  <c r="I390" i="2"/>
  <c r="G390" i="2"/>
  <c r="H390" i="2"/>
  <c r="E390" i="2"/>
  <c r="F382" i="2"/>
  <c r="H382" i="2"/>
  <c r="I382" i="2"/>
  <c r="E382" i="2"/>
  <c r="G382" i="2"/>
  <c r="F374" i="2"/>
  <c r="G374" i="2"/>
  <c r="H374" i="2"/>
  <c r="E374" i="2"/>
  <c r="I374" i="2"/>
  <c r="F366" i="2"/>
  <c r="E366" i="2"/>
  <c r="G366" i="2"/>
  <c r="I366" i="2"/>
  <c r="H366" i="2"/>
  <c r="F358" i="2"/>
  <c r="H358" i="2"/>
  <c r="I358" i="2"/>
  <c r="E358" i="2"/>
  <c r="G358" i="2"/>
  <c r="F350" i="2"/>
  <c r="G350" i="2"/>
  <c r="H350" i="2"/>
  <c r="E350" i="2"/>
  <c r="I350" i="2"/>
  <c r="F342" i="2"/>
  <c r="E342" i="2"/>
  <c r="G342" i="2"/>
  <c r="H342" i="2"/>
  <c r="I342" i="2"/>
  <c r="F334" i="2"/>
  <c r="H334" i="2"/>
  <c r="I334" i="2"/>
  <c r="E334" i="2"/>
  <c r="G334" i="2"/>
  <c r="F326" i="2"/>
  <c r="E326" i="2"/>
  <c r="G326" i="2"/>
  <c r="H326" i="2"/>
  <c r="I326" i="2"/>
  <c r="F318" i="2"/>
  <c r="E318" i="2"/>
  <c r="H318" i="2"/>
  <c r="I318" i="2"/>
  <c r="G318" i="2"/>
  <c r="F310" i="2"/>
  <c r="E310" i="2"/>
  <c r="G310" i="2"/>
  <c r="H310" i="2"/>
  <c r="I310" i="2"/>
  <c r="F302" i="2"/>
  <c r="H302" i="2"/>
  <c r="I302" i="2"/>
  <c r="E302" i="2"/>
  <c r="G302" i="2"/>
  <c r="F294" i="2"/>
  <c r="I294" i="2"/>
  <c r="E294" i="2"/>
  <c r="H294" i="2"/>
  <c r="G294" i="2"/>
  <c r="F286" i="2"/>
  <c r="G286" i="2"/>
  <c r="E286" i="2"/>
  <c r="H286" i="2"/>
  <c r="I286" i="2"/>
  <c r="F278" i="2"/>
  <c r="G278" i="2"/>
  <c r="I278" i="2"/>
  <c r="E278" i="2"/>
  <c r="H278" i="2"/>
  <c r="F270" i="2"/>
  <c r="G270" i="2"/>
  <c r="H270" i="2"/>
  <c r="I270" i="2"/>
  <c r="E270" i="2"/>
  <c r="F262" i="2"/>
  <c r="H262" i="2"/>
  <c r="E262" i="2"/>
  <c r="G262" i="2"/>
  <c r="I262" i="2"/>
  <c r="F254" i="2"/>
  <c r="H254" i="2"/>
  <c r="G254" i="2"/>
  <c r="E254" i="2"/>
  <c r="I254" i="2"/>
  <c r="F246" i="2"/>
  <c r="H246" i="2"/>
  <c r="G246" i="2"/>
  <c r="E246" i="2"/>
  <c r="I246" i="2"/>
  <c r="F238" i="2"/>
  <c r="H238" i="2"/>
  <c r="I238" i="2"/>
  <c r="E238" i="2"/>
  <c r="G238" i="2"/>
  <c r="F230" i="2"/>
  <c r="G230" i="2"/>
  <c r="H230" i="2"/>
  <c r="I230" i="2"/>
  <c r="E230" i="2"/>
  <c r="H222" i="2"/>
  <c r="E222" i="2"/>
  <c r="F222" i="2"/>
  <c r="G222" i="2"/>
  <c r="I222" i="2"/>
  <c r="F214" i="2"/>
  <c r="H214" i="2"/>
  <c r="G214" i="2"/>
  <c r="I214" i="2"/>
  <c r="E214" i="2"/>
  <c r="F206" i="2"/>
  <c r="H206" i="2"/>
  <c r="E206" i="2"/>
  <c r="G206" i="2"/>
  <c r="I206" i="2"/>
  <c r="H198" i="2"/>
  <c r="I198" i="2"/>
  <c r="F198" i="2"/>
  <c r="E198" i="2"/>
  <c r="G198" i="2"/>
  <c r="E190" i="2"/>
  <c r="H190" i="2"/>
  <c r="F190" i="2"/>
  <c r="G190" i="2"/>
  <c r="I190" i="2"/>
  <c r="F182" i="2"/>
  <c r="H182" i="2"/>
  <c r="E182" i="2"/>
  <c r="G182" i="2"/>
  <c r="I182" i="2"/>
  <c r="I174" i="2"/>
  <c r="F174" i="2"/>
  <c r="G174" i="2"/>
  <c r="E174" i="2"/>
  <c r="H174" i="2"/>
  <c r="F166" i="2"/>
  <c r="E166" i="2"/>
  <c r="I166" i="2"/>
  <c r="G166" i="2"/>
  <c r="H166" i="2"/>
  <c r="F158" i="2"/>
  <c r="G158" i="2"/>
  <c r="H158" i="2"/>
  <c r="I158" i="2"/>
  <c r="E158" i="2"/>
  <c r="F150" i="2"/>
  <c r="H150" i="2"/>
  <c r="G150" i="2"/>
  <c r="I150" i="2"/>
  <c r="E150" i="2"/>
  <c r="F142" i="2"/>
  <c r="I142" i="2"/>
  <c r="E142" i="2"/>
  <c r="G142" i="2"/>
  <c r="H142" i="2"/>
  <c r="E134" i="2"/>
  <c r="G134" i="2"/>
  <c r="H134" i="2"/>
  <c r="I134" i="2"/>
  <c r="F134" i="2"/>
  <c r="E126" i="2"/>
  <c r="G126" i="2"/>
  <c r="H126" i="2"/>
  <c r="I126" i="2"/>
  <c r="F126" i="2"/>
  <c r="E118" i="2"/>
  <c r="G118" i="2"/>
  <c r="H118" i="2"/>
  <c r="I118" i="2"/>
  <c r="F118" i="2"/>
  <c r="E110" i="2"/>
  <c r="G110" i="2"/>
  <c r="H110" i="2"/>
  <c r="I110" i="2"/>
  <c r="F110" i="2"/>
  <c r="E102" i="2"/>
  <c r="G102" i="2"/>
  <c r="H102" i="2"/>
  <c r="I102" i="2"/>
  <c r="F102" i="2"/>
  <c r="E94" i="2"/>
  <c r="G94" i="2"/>
  <c r="H94" i="2"/>
  <c r="I94" i="2"/>
  <c r="F94" i="2"/>
  <c r="E86" i="2"/>
  <c r="G86" i="2"/>
  <c r="H86" i="2"/>
  <c r="I86" i="2"/>
  <c r="F86" i="2"/>
  <c r="E78" i="2"/>
  <c r="G78" i="2"/>
  <c r="H78" i="2"/>
  <c r="I78" i="2"/>
  <c r="F78" i="2"/>
  <c r="E70" i="2"/>
  <c r="G70" i="2"/>
  <c r="H70" i="2"/>
  <c r="I70" i="2"/>
  <c r="F70" i="2"/>
  <c r="E62" i="2"/>
  <c r="G62" i="2"/>
  <c r="H62" i="2"/>
  <c r="I62" i="2"/>
  <c r="F62" i="2"/>
  <c r="E54" i="2"/>
  <c r="F54" i="2"/>
  <c r="G54" i="2"/>
  <c r="H54" i="2"/>
  <c r="I54" i="2"/>
  <c r="E46" i="2"/>
  <c r="F46" i="2"/>
  <c r="G46" i="2"/>
  <c r="H46" i="2"/>
  <c r="I46" i="2"/>
  <c r="E38" i="2"/>
  <c r="F38" i="2"/>
  <c r="G38" i="2"/>
  <c r="H38" i="2"/>
  <c r="I38" i="2"/>
  <c r="E30" i="2"/>
  <c r="F30" i="2"/>
  <c r="G30" i="2"/>
  <c r="H30" i="2"/>
  <c r="I30" i="2"/>
  <c r="E22" i="2"/>
  <c r="F22" i="2"/>
  <c r="G22" i="2"/>
  <c r="H22" i="2"/>
  <c r="I22" i="2"/>
  <c r="E14" i="2"/>
  <c r="F14" i="2"/>
  <c r="G14" i="2"/>
  <c r="H14" i="2"/>
  <c r="I14" i="2"/>
  <c r="E6" i="2"/>
  <c r="F6" i="2"/>
  <c r="G6" i="2"/>
  <c r="H6" i="2"/>
  <c r="I6" i="2"/>
  <c r="H1326" i="2"/>
  <c r="H1324" i="2"/>
  <c r="H1322" i="2"/>
  <c r="F1320" i="2"/>
  <c r="F1318" i="2"/>
  <c r="F1316" i="2"/>
  <c r="I1313" i="2"/>
  <c r="I1311" i="2"/>
  <c r="G1307" i="2"/>
  <c r="G1305" i="2"/>
  <c r="G1303" i="2"/>
  <c r="E1299" i="2"/>
  <c r="H1294" i="2"/>
  <c r="H1292" i="2"/>
  <c r="H1290" i="2"/>
  <c r="F1288" i="2"/>
  <c r="F1286" i="2"/>
  <c r="F1284" i="2"/>
  <c r="I1281" i="2"/>
  <c r="H1279" i="2"/>
  <c r="I1276" i="2"/>
  <c r="H1274" i="2"/>
  <c r="I1271" i="2"/>
  <c r="I1266" i="2"/>
  <c r="E1264" i="2"/>
  <c r="I1258" i="2"/>
  <c r="H1255" i="2"/>
  <c r="G1252" i="2"/>
  <c r="E1249" i="2"/>
  <c r="G1244" i="2"/>
  <c r="F1240" i="2"/>
  <c r="G1227" i="2"/>
  <c r="H1214" i="2"/>
  <c r="I1254" i="2"/>
  <c r="F1254" i="2"/>
  <c r="I1238" i="2"/>
  <c r="F1238" i="2"/>
  <c r="G1238" i="2"/>
  <c r="F1325" i="2"/>
  <c r="H1325" i="2"/>
  <c r="F1317" i="2"/>
  <c r="H1317" i="2"/>
  <c r="F1309" i="2"/>
  <c r="H1309" i="2"/>
  <c r="F1301" i="2"/>
  <c r="H1301" i="2"/>
  <c r="F1293" i="2"/>
  <c r="H1293" i="2"/>
  <c r="F1285" i="2"/>
  <c r="H1285" i="2"/>
  <c r="F1277" i="2"/>
  <c r="G1277" i="2"/>
  <c r="H1277" i="2"/>
  <c r="F1269" i="2"/>
  <c r="G1269" i="2"/>
  <c r="H1269" i="2"/>
  <c r="F1261" i="2"/>
  <c r="G1261" i="2"/>
  <c r="H1261" i="2"/>
  <c r="F1253" i="2"/>
  <c r="G1253" i="2"/>
  <c r="H1253" i="2"/>
  <c r="F1245" i="2"/>
  <c r="G1245" i="2"/>
  <c r="H1245" i="2"/>
  <c r="F1237" i="2"/>
  <c r="G1237" i="2"/>
  <c r="H1237" i="2"/>
  <c r="F1229" i="2"/>
  <c r="G1229" i="2"/>
  <c r="H1229" i="2"/>
  <c r="I1229" i="2"/>
  <c r="F1221" i="2"/>
  <c r="G1221" i="2"/>
  <c r="H1221" i="2"/>
  <c r="I1221" i="2"/>
  <c r="F1213" i="2"/>
  <c r="G1213" i="2"/>
  <c r="H1213" i="2"/>
  <c r="I1213" i="2"/>
  <c r="F1205" i="2"/>
  <c r="G1205" i="2"/>
  <c r="H1205" i="2"/>
  <c r="I1205" i="2"/>
  <c r="E1205" i="2"/>
  <c r="F1197" i="2"/>
  <c r="G1197" i="2"/>
  <c r="H1197" i="2"/>
  <c r="I1197" i="2"/>
  <c r="E1197" i="2"/>
  <c r="E1189" i="2"/>
  <c r="F1189" i="2"/>
  <c r="G1189" i="2"/>
  <c r="H1189" i="2"/>
  <c r="I1189" i="2"/>
  <c r="H1181" i="2"/>
  <c r="I1181" i="2"/>
  <c r="E1181" i="2"/>
  <c r="F1181" i="2"/>
  <c r="G1181" i="2"/>
  <c r="H1173" i="2"/>
  <c r="I1173" i="2"/>
  <c r="E1173" i="2"/>
  <c r="F1173" i="2"/>
  <c r="G1173" i="2"/>
  <c r="H1165" i="2"/>
  <c r="E1165" i="2"/>
  <c r="F1165" i="2"/>
  <c r="G1165" i="2"/>
  <c r="I1165" i="2"/>
  <c r="H1157" i="2"/>
  <c r="F1157" i="2"/>
  <c r="G1157" i="2"/>
  <c r="I1157" i="2"/>
  <c r="E1157" i="2"/>
  <c r="H1149" i="2"/>
  <c r="G1149" i="2"/>
  <c r="I1149" i="2"/>
  <c r="E1149" i="2"/>
  <c r="F1149" i="2"/>
  <c r="H1141" i="2"/>
  <c r="I1141" i="2"/>
  <c r="E1141" i="2"/>
  <c r="F1141" i="2"/>
  <c r="G1141" i="2"/>
  <c r="H1133" i="2"/>
  <c r="E1133" i="2"/>
  <c r="F1133" i="2"/>
  <c r="G1133" i="2"/>
  <c r="I1133" i="2"/>
  <c r="H1125" i="2"/>
  <c r="E1125" i="2"/>
  <c r="F1125" i="2"/>
  <c r="G1125" i="2"/>
  <c r="I1125" i="2"/>
  <c r="H1117" i="2"/>
  <c r="E1117" i="2"/>
  <c r="F1117" i="2"/>
  <c r="G1117" i="2"/>
  <c r="I1117" i="2"/>
  <c r="H1109" i="2"/>
  <c r="E1109" i="2"/>
  <c r="F1109" i="2"/>
  <c r="G1109" i="2"/>
  <c r="I1109" i="2"/>
  <c r="H1101" i="2"/>
  <c r="E1101" i="2"/>
  <c r="F1101" i="2"/>
  <c r="G1101" i="2"/>
  <c r="I1101" i="2"/>
  <c r="E1093" i="2"/>
  <c r="F1093" i="2"/>
  <c r="H1093" i="2"/>
  <c r="G1093" i="2"/>
  <c r="I1093" i="2"/>
  <c r="E1085" i="2"/>
  <c r="F1085" i="2"/>
  <c r="H1085" i="2"/>
  <c r="I1085" i="2"/>
  <c r="G1085" i="2"/>
  <c r="E1077" i="2"/>
  <c r="F1077" i="2"/>
  <c r="H1077" i="2"/>
  <c r="G1077" i="2"/>
  <c r="I1077" i="2"/>
  <c r="E1069" i="2"/>
  <c r="F1069" i="2"/>
  <c r="G1069" i="2"/>
  <c r="H1069" i="2"/>
  <c r="I1069" i="2"/>
  <c r="E1061" i="2"/>
  <c r="F1061" i="2"/>
  <c r="G1061" i="2"/>
  <c r="H1061" i="2"/>
  <c r="I1061" i="2"/>
  <c r="E1053" i="2"/>
  <c r="F1053" i="2"/>
  <c r="G1053" i="2"/>
  <c r="H1053" i="2"/>
  <c r="I1053" i="2"/>
  <c r="I1045" i="2"/>
  <c r="G1045" i="2"/>
  <c r="H1045" i="2"/>
  <c r="E1045" i="2"/>
  <c r="F1045" i="2"/>
  <c r="I1037" i="2"/>
  <c r="E1037" i="2"/>
  <c r="F1037" i="2"/>
  <c r="G1037" i="2"/>
  <c r="H1037" i="2"/>
  <c r="I1029" i="2"/>
  <c r="E1029" i="2"/>
  <c r="F1029" i="2"/>
  <c r="G1029" i="2"/>
  <c r="H1029" i="2"/>
  <c r="I1021" i="2"/>
  <c r="E1021" i="2"/>
  <c r="G1021" i="2"/>
  <c r="F1021" i="2"/>
  <c r="H1021" i="2"/>
  <c r="I1013" i="2"/>
  <c r="G1013" i="2"/>
  <c r="H1013" i="2"/>
  <c r="E1013" i="2"/>
  <c r="F1013" i="2"/>
  <c r="I1005" i="2"/>
  <c r="E1005" i="2"/>
  <c r="F1005" i="2"/>
  <c r="G1005" i="2"/>
  <c r="H1005" i="2"/>
  <c r="I997" i="2"/>
  <c r="E997" i="2"/>
  <c r="F997" i="2"/>
  <c r="G997" i="2"/>
  <c r="H997" i="2"/>
  <c r="I989" i="2"/>
  <c r="E989" i="2"/>
  <c r="G989" i="2"/>
  <c r="F989" i="2"/>
  <c r="H989" i="2"/>
  <c r="I981" i="2"/>
  <c r="G981" i="2"/>
  <c r="H981" i="2"/>
  <c r="E981" i="2"/>
  <c r="F981" i="2"/>
  <c r="I973" i="2"/>
  <c r="E973" i="2"/>
  <c r="F973" i="2"/>
  <c r="G973" i="2"/>
  <c r="H973" i="2"/>
  <c r="I965" i="2"/>
  <c r="E965" i="2"/>
  <c r="F965" i="2"/>
  <c r="G965" i="2"/>
  <c r="H965" i="2"/>
  <c r="I957" i="2"/>
  <c r="E957" i="2"/>
  <c r="G957" i="2"/>
  <c r="F957" i="2"/>
  <c r="H957" i="2"/>
  <c r="I949" i="2"/>
  <c r="G949" i="2"/>
  <c r="H949" i="2"/>
  <c r="E949" i="2"/>
  <c r="F949" i="2"/>
  <c r="I941" i="2"/>
  <c r="E941" i="2"/>
  <c r="F941" i="2"/>
  <c r="G941" i="2"/>
  <c r="H941" i="2"/>
  <c r="I933" i="2"/>
  <c r="E933" i="2"/>
  <c r="F933" i="2"/>
  <c r="G933" i="2"/>
  <c r="H933" i="2"/>
  <c r="I925" i="2"/>
  <c r="E925" i="2"/>
  <c r="G925" i="2"/>
  <c r="F925" i="2"/>
  <c r="H925" i="2"/>
  <c r="I917" i="2"/>
  <c r="G917" i="2"/>
  <c r="H917" i="2"/>
  <c r="E917" i="2"/>
  <c r="F917" i="2"/>
  <c r="I909" i="2"/>
  <c r="E909" i="2"/>
  <c r="F909" i="2"/>
  <c r="G909" i="2"/>
  <c r="H909" i="2"/>
  <c r="E901" i="2"/>
  <c r="I901" i="2"/>
  <c r="F901" i="2"/>
  <c r="G901" i="2"/>
  <c r="H901" i="2"/>
  <c r="E893" i="2"/>
  <c r="G893" i="2"/>
  <c r="H893" i="2"/>
  <c r="F893" i="2"/>
  <c r="I893" i="2"/>
  <c r="E885" i="2"/>
  <c r="F885" i="2"/>
  <c r="G885" i="2"/>
  <c r="I885" i="2"/>
  <c r="H885" i="2"/>
  <c r="E877" i="2"/>
  <c r="I877" i="2"/>
  <c r="G877" i="2"/>
  <c r="F877" i="2"/>
  <c r="H877" i="2"/>
  <c r="E869" i="2"/>
  <c r="I869" i="2"/>
  <c r="G869" i="2"/>
  <c r="H869" i="2"/>
  <c r="F869" i="2"/>
  <c r="E861" i="2"/>
  <c r="G861" i="2"/>
  <c r="H861" i="2"/>
  <c r="F861" i="2"/>
  <c r="I861" i="2"/>
  <c r="E853" i="2"/>
  <c r="F853" i="2"/>
  <c r="G853" i="2"/>
  <c r="H853" i="2"/>
  <c r="I853" i="2"/>
  <c r="H845" i="2"/>
  <c r="E845" i="2"/>
  <c r="F845" i="2"/>
  <c r="I845" i="2"/>
  <c r="G845" i="2"/>
  <c r="H837" i="2"/>
  <c r="E837" i="2"/>
  <c r="F837" i="2"/>
  <c r="G837" i="2"/>
  <c r="I837" i="2"/>
  <c r="H829" i="2"/>
  <c r="E829" i="2"/>
  <c r="I829" i="2"/>
  <c r="F829" i="2"/>
  <c r="G829" i="2"/>
  <c r="H821" i="2"/>
  <c r="E821" i="2"/>
  <c r="F821" i="2"/>
  <c r="G821" i="2"/>
  <c r="I821" i="2"/>
  <c r="H813" i="2"/>
  <c r="E813" i="2"/>
  <c r="F813" i="2"/>
  <c r="G813" i="2"/>
  <c r="I813" i="2"/>
  <c r="H805" i="2"/>
  <c r="E805" i="2"/>
  <c r="F805" i="2"/>
  <c r="G805" i="2"/>
  <c r="I805" i="2"/>
  <c r="H797" i="2"/>
  <c r="E797" i="2"/>
  <c r="F797" i="2"/>
  <c r="G797" i="2"/>
  <c r="I797" i="2"/>
  <c r="H789" i="2"/>
  <c r="E789" i="2"/>
  <c r="F789" i="2"/>
  <c r="G789" i="2"/>
  <c r="I789" i="2"/>
  <c r="H781" i="2"/>
  <c r="E781" i="2"/>
  <c r="F781" i="2"/>
  <c r="G781" i="2"/>
  <c r="I781" i="2"/>
  <c r="H773" i="2"/>
  <c r="E773" i="2"/>
  <c r="F773" i="2"/>
  <c r="G773" i="2"/>
  <c r="I773" i="2"/>
  <c r="H765" i="2"/>
  <c r="E765" i="2"/>
  <c r="F765" i="2"/>
  <c r="G765" i="2"/>
  <c r="I765" i="2"/>
  <c r="H757" i="2"/>
  <c r="E757" i="2"/>
  <c r="F757" i="2"/>
  <c r="G757" i="2"/>
  <c r="I757" i="2"/>
  <c r="H749" i="2"/>
  <c r="E749" i="2"/>
  <c r="F749" i="2"/>
  <c r="G749" i="2"/>
  <c r="I749" i="2"/>
  <c r="H741" i="2"/>
  <c r="E741" i="2"/>
  <c r="F741" i="2"/>
  <c r="G741" i="2"/>
  <c r="I741" i="2"/>
  <c r="H733" i="2"/>
  <c r="F733" i="2"/>
  <c r="I733" i="2"/>
  <c r="E733" i="2"/>
  <c r="G733" i="2"/>
  <c r="H725" i="2"/>
  <c r="G725" i="2"/>
  <c r="E725" i="2"/>
  <c r="F725" i="2"/>
  <c r="I725" i="2"/>
  <c r="H717" i="2"/>
  <c r="F717" i="2"/>
  <c r="G717" i="2"/>
  <c r="I717" i="2"/>
  <c r="E717" i="2"/>
  <c r="I709" i="2"/>
  <c r="F709" i="2"/>
  <c r="G709" i="2"/>
  <c r="H709" i="2"/>
  <c r="E709" i="2"/>
  <c r="I701" i="2"/>
  <c r="F701" i="2"/>
  <c r="E701" i="2"/>
  <c r="G701" i="2"/>
  <c r="H701" i="2"/>
  <c r="I693" i="2"/>
  <c r="F693" i="2"/>
  <c r="E693" i="2"/>
  <c r="G693" i="2"/>
  <c r="H693" i="2"/>
  <c r="I685" i="2"/>
  <c r="F685" i="2"/>
  <c r="E685" i="2"/>
  <c r="G685" i="2"/>
  <c r="H685" i="2"/>
  <c r="I677" i="2"/>
  <c r="F677" i="2"/>
  <c r="E677" i="2"/>
  <c r="G677" i="2"/>
  <c r="H677" i="2"/>
  <c r="I669" i="2"/>
  <c r="F669" i="2"/>
  <c r="G669" i="2"/>
  <c r="H669" i="2"/>
  <c r="E669" i="2"/>
  <c r="I661" i="2"/>
  <c r="F661" i="2"/>
  <c r="H661" i="2"/>
  <c r="E661" i="2"/>
  <c r="G661" i="2"/>
  <c r="I653" i="2"/>
  <c r="F653" i="2"/>
  <c r="E653" i="2"/>
  <c r="G653" i="2"/>
  <c r="H653" i="2"/>
  <c r="I645" i="2"/>
  <c r="F645" i="2"/>
  <c r="E645" i="2"/>
  <c r="G645" i="2"/>
  <c r="H645" i="2"/>
  <c r="I637" i="2"/>
  <c r="F637" i="2"/>
  <c r="E637" i="2"/>
  <c r="G637" i="2"/>
  <c r="H637" i="2"/>
  <c r="I629" i="2"/>
  <c r="F629" i="2"/>
  <c r="E629" i="2"/>
  <c r="G629" i="2"/>
  <c r="H629" i="2"/>
  <c r="I621" i="2"/>
  <c r="F621" i="2"/>
  <c r="G621" i="2"/>
  <c r="H621" i="2"/>
  <c r="E621" i="2"/>
  <c r="I613" i="2"/>
  <c r="F613" i="2"/>
  <c r="E613" i="2"/>
  <c r="G613" i="2"/>
  <c r="H613" i="2"/>
  <c r="I605" i="2"/>
  <c r="F605" i="2"/>
  <c r="G605" i="2"/>
  <c r="E605" i="2"/>
  <c r="H605" i="2"/>
  <c r="I597" i="2"/>
  <c r="F597" i="2"/>
  <c r="E597" i="2"/>
  <c r="G597" i="2"/>
  <c r="H597" i="2"/>
  <c r="I589" i="2"/>
  <c r="F589" i="2"/>
  <c r="G589" i="2"/>
  <c r="E589" i="2"/>
  <c r="H589" i="2"/>
  <c r="I581" i="2"/>
  <c r="F581" i="2"/>
  <c r="E581" i="2"/>
  <c r="G581" i="2"/>
  <c r="H581" i="2"/>
  <c r="I573" i="2"/>
  <c r="F573" i="2"/>
  <c r="G573" i="2"/>
  <c r="E573" i="2"/>
  <c r="H573" i="2"/>
  <c r="I565" i="2"/>
  <c r="F565" i="2"/>
  <c r="H565" i="2"/>
  <c r="E565" i="2"/>
  <c r="G565" i="2"/>
  <c r="I557" i="2"/>
  <c r="F557" i="2"/>
  <c r="G557" i="2"/>
  <c r="H557" i="2"/>
  <c r="E557" i="2"/>
  <c r="I549" i="2"/>
  <c r="F549" i="2"/>
  <c r="E549" i="2"/>
  <c r="G549" i="2"/>
  <c r="H549" i="2"/>
  <c r="I541" i="2"/>
  <c r="E541" i="2"/>
  <c r="F541" i="2"/>
  <c r="G541" i="2"/>
  <c r="H541" i="2"/>
  <c r="I533" i="2"/>
  <c r="E533" i="2"/>
  <c r="F533" i="2"/>
  <c r="G533" i="2"/>
  <c r="H533" i="2"/>
  <c r="I525" i="2"/>
  <c r="E525" i="2"/>
  <c r="F525" i="2"/>
  <c r="G525" i="2"/>
  <c r="H525" i="2"/>
  <c r="I517" i="2"/>
  <c r="E517" i="2"/>
  <c r="F517" i="2"/>
  <c r="G517" i="2"/>
  <c r="H517" i="2"/>
  <c r="I509" i="2"/>
  <c r="E509" i="2"/>
  <c r="F509" i="2"/>
  <c r="G509" i="2"/>
  <c r="H509" i="2"/>
  <c r="H501" i="2"/>
  <c r="I501" i="2"/>
  <c r="E501" i="2"/>
  <c r="G501" i="2"/>
  <c r="F501" i="2"/>
  <c r="E493" i="2"/>
  <c r="F493" i="2"/>
  <c r="G493" i="2"/>
  <c r="H493" i="2"/>
  <c r="I493" i="2"/>
  <c r="E485" i="2"/>
  <c r="H485" i="2"/>
  <c r="F485" i="2"/>
  <c r="G485" i="2"/>
  <c r="I485" i="2"/>
  <c r="I477" i="2"/>
  <c r="F477" i="2"/>
  <c r="E477" i="2"/>
  <c r="G477" i="2"/>
  <c r="H477" i="2"/>
  <c r="F469" i="2"/>
  <c r="I469" i="2"/>
  <c r="E469" i="2"/>
  <c r="G469" i="2"/>
  <c r="H469" i="2"/>
  <c r="F461" i="2"/>
  <c r="E461" i="2"/>
  <c r="I461" i="2"/>
  <c r="H461" i="2"/>
  <c r="G461" i="2"/>
  <c r="I453" i="2"/>
  <c r="F453" i="2"/>
  <c r="G453" i="2"/>
  <c r="E453" i="2"/>
  <c r="H453" i="2"/>
  <c r="I445" i="2"/>
  <c r="E445" i="2"/>
  <c r="F445" i="2"/>
  <c r="G445" i="2"/>
  <c r="H445" i="2"/>
  <c r="G437" i="2"/>
  <c r="H437" i="2"/>
  <c r="E437" i="2"/>
  <c r="F437" i="2"/>
  <c r="I437" i="2"/>
  <c r="F429" i="2"/>
  <c r="H429" i="2"/>
  <c r="E429" i="2"/>
  <c r="G429" i="2"/>
  <c r="I429" i="2"/>
  <c r="E421" i="2"/>
  <c r="G421" i="2"/>
  <c r="I421" i="2"/>
  <c r="H421" i="2"/>
  <c r="F421" i="2"/>
  <c r="H413" i="2"/>
  <c r="E413" i="2"/>
  <c r="G413" i="2"/>
  <c r="I413" i="2"/>
  <c r="F413" i="2"/>
  <c r="F405" i="2"/>
  <c r="G405" i="2"/>
  <c r="H405" i="2"/>
  <c r="E405" i="2"/>
  <c r="I405" i="2"/>
  <c r="F397" i="2"/>
  <c r="I397" i="2"/>
  <c r="E397" i="2"/>
  <c r="G397" i="2"/>
  <c r="H397" i="2"/>
  <c r="I389" i="2"/>
  <c r="E389" i="2"/>
  <c r="F389" i="2"/>
  <c r="H389" i="2"/>
  <c r="G389" i="2"/>
  <c r="E381" i="2"/>
  <c r="H381" i="2"/>
  <c r="F381" i="2"/>
  <c r="I381" i="2"/>
  <c r="G381" i="2"/>
  <c r="G373" i="2"/>
  <c r="H373" i="2"/>
  <c r="E373" i="2"/>
  <c r="F373" i="2"/>
  <c r="I373" i="2"/>
  <c r="E365" i="2"/>
  <c r="F365" i="2"/>
  <c r="H365" i="2"/>
  <c r="I365" i="2"/>
  <c r="G365" i="2"/>
  <c r="E357" i="2"/>
  <c r="F357" i="2"/>
  <c r="H357" i="2"/>
  <c r="I357" i="2"/>
  <c r="G357" i="2"/>
  <c r="G349" i="2"/>
  <c r="H349" i="2"/>
  <c r="I349" i="2"/>
  <c r="E349" i="2"/>
  <c r="F349" i="2"/>
  <c r="F341" i="2"/>
  <c r="G341" i="2"/>
  <c r="H341" i="2"/>
  <c r="I341" i="2"/>
  <c r="E341" i="2"/>
  <c r="H333" i="2"/>
  <c r="E333" i="2"/>
  <c r="G333" i="2"/>
  <c r="I333" i="2"/>
  <c r="F333" i="2"/>
  <c r="H325" i="2"/>
  <c r="E325" i="2"/>
  <c r="F325" i="2"/>
  <c r="G325" i="2"/>
  <c r="I325" i="2"/>
  <c r="H317" i="2"/>
  <c r="G317" i="2"/>
  <c r="I317" i="2"/>
  <c r="E317" i="2"/>
  <c r="F317" i="2"/>
  <c r="H309" i="2"/>
  <c r="E309" i="2"/>
  <c r="F309" i="2"/>
  <c r="G309" i="2"/>
  <c r="I309" i="2"/>
  <c r="H301" i="2"/>
  <c r="E301" i="2"/>
  <c r="G301" i="2"/>
  <c r="I301" i="2"/>
  <c r="F301" i="2"/>
  <c r="H293" i="2"/>
  <c r="E293" i="2"/>
  <c r="G293" i="2"/>
  <c r="I293" i="2"/>
  <c r="F293" i="2"/>
  <c r="H285" i="2"/>
  <c r="E285" i="2"/>
  <c r="F285" i="2"/>
  <c r="G285" i="2"/>
  <c r="I285" i="2"/>
  <c r="F277" i="2"/>
  <c r="E277" i="2"/>
  <c r="H277" i="2"/>
  <c r="I277" i="2"/>
  <c r="G277" i="2"/>
  <c r="I269" i="2"/>
  <c r="F269" i="2"/>
  <c r="E269" i="2"/>
  <c r="G269" i="2"/>
  <c r="H269" i="2"/>
  <c r="I261" i="2"/>
  <c r="H261" i="2"/>
  <c r="E261" i="2"/>
  <c r="F261" i="2"/>
  <c r="G261" i="2"/>
  <c r="H253" i="2"/>
  <c r="E253" i="2"/>
  <c r="F253" i="2"/>
  <c r="G253" i="2"/>
  <c r="I253" i="2"/>
  <c r="G245" i="2"/>
  <c r="H245" i="2"/>
  <c r="F245" i="2"/>
  <c r="I245" i="2"/>
  <c r="E245" i="2"/>
  <c r="G237" i="2"/>
  <c r="H237" i="2"/>
  <c r="I237" i="2"/>
  <c r="E237" i="2"/>
  <c r="F237" i="2"/>
  <c r="G229" i="2"/>
  <c r="H229" i="2"/>
  <c r="E229" i="2"/>
  <c r="I229" i="2"/>
  <c r="F229" i="2"/>
  <c r="G221" i="2"/>
  <c r="H221" i="2"/>
  <c r="E221" i="2"/>
  <c r="I221" i="2"/>
  <c r="F221" i="2"/>
  <c r="G213" i="2"/>
  <c r="H213" i="2"/>
  <c r="E213" i="2"/>
  <c r="F213" i="2"/>
  <c r="I213" i="2"/>
  <c r="G205" i="2"/>
  <c r="H205" i="2"/>
  <c r="I205" i="2"/>
  <c r="E205" i="2"/>
  <c r="F205" i="2"/>
  <c r="G197" i="2"/>
  <c r="H197" i="2"/>
  <c r="E197" i="2"/>
  <c r="I197" i="2"/>
  <c r="F197" i="2"/>
  <c r="G189" i="2"/>
  <c r="H189" i="2"/>
  <c r="E189" i="2"/>
  <c r="F189" i="2"/>
  <c r="I189" i="2"/>
  <c r="G181" i="2"/>
  <c r="H181" i="2"/>
  <c r="F181" i="2"/>
  <c r="E181" i="2"/>
  <c r="I181" i="2"/>
  <c r="G173" i="2"/>
  <c r="H173" i="2"/>
  <c r="I173" i="2"/>
  <c r="F173" i="2"/>
  <c r="E173" i="2"/>
  <c r="G165" i="2"/>
  <c r="H165" i="2"/>
  <c r="E165" i="2"/>
  <c r="F165" i="2"/>
  <c r="I165" i="2"/>
  <c r="G157" i="2"/>
  <c r="H157" i="2"/>
  <c r="F157" i="2"/>
  <c r="E157" i="2"/>
  <c r="I157" i="2"/>
  <c r="G149" i="2"/>
  <c r="H149" i="2"/>
  <c r="E149" i="2"/>
  <c r="I149" i="2"/>
  <c r="F149" i="2"/>
  <c r="G141" i="2"/>
  <c r="H141" i="2"/>
  <c r="F141" i="2"/>
  <c r="E141" i="2"/>
  <c r="I141" i="2"/>
  <c r="H133" i="2"/>
  <c r="I133" i="2"/>
  <c r="E133" i="2"/>
  <c r="F133" i="2"/>
  <c r="G133" i="2"/>
  <c r="H125" i="2"/>
  <c r="I125" i="2"/>
  <c r="E125" i="2"/>
  <c r="F125" i="2"/>
  <c r="G125" i="2"/>
  <c r="H117" i="2"/>
  <c r="I117" i="2"/>
  <c r="E117" i="2"/>
  <c r="F117" i="2"/>
  <c r="G117" i="2"/>
  <c r="H109" i="2"/>
  <c r="I109" i="2"/>
  <c r="E109" i="2"/>
  <c r="F109" i="2"/>
  <c r="G109" i="2"/>
  <c r="H101" i="2"/>
  <c r="I101" i="2"/>
  <c r="E101" i="2"/>
  <c r="F101" i="2"/>
  <c r="G101" i="2"/>
  <c r="H93" i="2"/>
  <c r="I93" i="2"/>
  <c r="E93" i="2"/>
  <c r="F93" i="2"/>
  <c r="G93" i="2"/>
  <c r="H85" i="2"/>
  <c r="I85" i="2"/>
  <c r="E85" i="2"/>
  <c r="F85" i="2"/>
  <c r="G85" i="2"/>
  <c r="H77" i="2"/>
  <c r="I77" i="2"/>
  <c r="E77" i="2"/>
  <c r="F77" i="2"/>
  <c r="G77" i="2"/>
  <c r="H69" i="2"/>
  <c r="I69" i="2"/>
  <c r="E69" i="2"/>
  <c r="F69" i="2"/>
  <c r="G69" i="2"/>
  <c r="H61" i="2"/>
  <c r="I61" i="2"/>
  <c r="E61" i="2"/>
  <c r="F61" i="2"/>
  <c r="G61" i="2"/>
  <c r="H53" i="2"/>
  <c r="I53" i="2"/>
  <c r="E53" i="2"/>
  <c r="F53" i="2"/>
  <c r="G53" i="2"/>
  <c r="H45" i="2"/>
  <c r="I45" i="2"/>
  <c r="E45" i="2"/>
  <c r="F45" i="2"/>
  <c r="G45" i="2"/>
  <c r="H37" i="2"/>
  <c r="I37" i="2"/>
  <c r="E37" i="2"/>
  <c r="F37" i="2"/>
  <c r="G37" i="2"/>
  <c r="H29" i="2"/>
  <c r="I29" i="2"/>
  <c r="E29" i="2"/>
  <c r="F29" i="2"/>
  <c r="G29" i="2"/>
  <c r="H21" i="2"/>
  <c r="I21" i="2"/>
  <c r="E21" i="2"/>
  <c r="F21" i="2"/>
  <c r="G21" i="2"/>
  <c r="H13" i="2"/>
  <c r="I13" i="2"/>
  <c r="E13" i="2"/>
  <c r="F13" i="2"/>
  <c r="G13" i="2"/>
  <c r="H5" i="2"/>
  <c r="I5" i="2"/>
  <c r="E5" i="2"/>
  <c r="F5" i="2"/>
  <c r="G5" i="2"/>
  <c r="H1328" i="2"/>
  <c r="G1326" i="2"/>
  <c r="G1324" i="2"/>
  <c r="F1322" i="2"/>
  <c r="E1320" i="2"/>
  <c r="E1318" i="2"/>
  <c r="I1315" i="2"/>
  <c r="H1313" i="2"/>
  <c r="H1311" i="2"/>
  <c r="G1309" i="2"/>
  <c r="F1307" i="2"/>
  <c r="F1305" i="2"/>
  <c r="E1303" i="2"/>
  <c r="I1300" i="2"/>
  <c r="I1298" i="2"/>
  <c r="H1296" i="2"/>
  <c r="G1294" i="2"/>
  <c r="G1292" i="2"/>
  <c r="F1290" i="2"/>
  <c r="E1288" i="2"/>
  <c r="E1286" i="2"/>
  <c r="I1283" i="2"/>
  <c r="H1281" i="2"/>
  <c r="G1279" i="2"/>
  <c r="H1276" i="2"/>
  <c r="I1273" i="2"/>
  <c r="H1271" i="2"/>
  <c r="I1268" i="2"/>
  <c r="H1266" i="2"/>
  <c r="I1263" i="2"/>
  <c r="E1261" i="2"/>
  <c r="H1258" i="2"/>
  <c r="G1255" i="2"/>
  <c r="F1248" i="2"/>
  <c r="H1239" i="2"/>
  <c r="G1235" i="2"/>
  <c r="I1225" i="2"/>
  <c r="E1213" i="2"/>
  <c r="E1252" i="2"/>
  <c r="H1252" i="2"/>
  <c r="E1244" i="2"/>
  <c r="H1244" i="2"/>
  <c r="I1244" i="2"/>
  <c r="E1236" i="2"/>
  <c r="H1236" i="2"/>
  <c r="I1236" i="2"/>
  <c r="E1228" i="2"/>
  <c r="F1228" i="2"/>
  <c r="G1228" i="2"/>
  <c r="H1228" i="2"/>
  <c r="I1228" i="2"/>
  <c r="E1220" i="2"/>
  <c r="F1220" i="2"/>
  <c r="G1220" i="2"/>
  <c r="H1220" i="2"/>
  <c r="I1220" i="2"/>
  <c r="E1212" i="2"/>
  <c r="F1212" i="2"/>
  <c r="G1212" i="2"/>
  <c r="H1212" i="2"/>
  <c r="I1212" i="2"/>
  <c r="E1204" i="2"/>
  <c r="F1204" i="2"/>
  <c r="G1204" i="2"/>
  <c r="H1204" i="2"/>
  <c r="I1204" i="2"/>
  <c r="E1196" i="2"/>
  <c r="F1196" i="2"/>
  <c r="G1196" i="2"/>
  <c r="H1196" i="2"/>
  <c r="I1196" i="2"/>
  <c r="I1188" i="2"/>
  <c r="E1188" i="2"/>
  <c r="F1188" i="2"/>
  <c r="G1188" i="2"/>
  <c r="H1188" i="2"/>
  <c r="I1180" i="2"/>
  <c r="E1180" i="2"/>
  <c r="F1180" i="2"/>
  <c r="G1180" i="2"/>
  <c r="H1180" i="2"/>
  <c r="I1172" i="2"/>
  <c r="E1172" i="2"/>
  <c r="F1172" i="2"/>
  <c r="G1172" i="2"/>
  <c r="H1172" i="2"/>
  <c r="I1164" i="2"/>
  <c r="E1164" i="2"/>
  <c r="G1164" i="2"/>
  <c r="F1164" i="2"/>
  <c r="H1164" i="2"/>
  <c r="I1156" i="2"/>
  <c r="E1156" i="2"/>
  <c r="G1156" i="2"/>
  <c r="F1156" i="2"/>
  <c r="H1156" i="2"/>
  <c r="I1148" i="2"/>
  <c r="E1148" i="2"/>
  <c r="G1148" i="2"/>
  <c r="F1148" i="2"/>
  <c r="H1148" i="2"/>
  <c r="I1140" i="2"/>
  <c r="E1140" i="2"/>
  <c r="G1140" i="2"/>
  <c r="F1140" i="2"/>
  <c r="H1140" i="2"/>
  <c r="I1132" i="2"/>
  <c r="E1132" i="2"/>
  <c r="G1132" i="2"/>
  <c r="F1132" i="2"/>
  <c r="H1132" i="2"/>
  <c r="I1124" i="2"/>
  <c r="E1124" i="2"/>
  <c r="G1124" i="2"/>
  <c r="F1124" i="2"/>
  <c r="H1124" i="2"/>
  <c r="I1116" i="2"/>
  <c r="E1116" i="2"/>
  <c r="G1116" i="2"/>
  <c r="F1116" i="2"/>
  <c r="H1116" i="2"/>
  <c r="I1108" i="2"/>
  <c r="E1108" i="2"/>
  <c r="G1108" i="2"/>
  <c r="H1108" i="2"/>
  <c r="F1108" i="2"/>
  <c r="I1100" i="2"/>
  <c r="E1100" i="2"/>
  <c r="G1100" i="2"/>
  <c r="F1100" i="2"/>
  <c r="H1100" i="2"/>
  <c r="I1092" i="2"/>
  <c r="E1092" i="2"/>
  <c r="G1092" i="2"/>
  <c r="F1092" i="2"/>
  <c r="H1092" i="2"/>
  <c r="I1084" i="2"/>
  <c r="E1084" i="2"/>
  <c r="G1084" i="2"/>
  <c r="F1084" i="2"/>
  <c r="H1084" i="2"/>
  <c r="I1076" i="2"/>
  <c r="E1076" i="2"/>
  <c r="G1076" i="2"/>
  <c r="F1076" i="2"/>
  <c r="H1076" i="2"/>
  <c r="I1068" i="2"/>
  <c r="E1068" i="2"/>
  <c r="G1068" i="2"/>
  <c r="F1068" i="2"/>
  <c r="H1068" i="2"/>
  <c r="I1060" i="2"/>
  <c r="E1060" i="2"/>
  <c r="G1060" i="2"/>
  <c r="F1060" i="2"/>
  <c r="H1060" i="2"/>
  <c r="I1052" i="2"/>
  <c r="E1052" i="2"/>
  <c r="G1052" i="2"/>
  <c r="F1052" i="2"/>
  <c r="H1052" i="2"/>
  <c r="F1044" i="2"/>
  <c r="G1044" i="2"/>
  <c r="E1044" i="2"/>
  <c r="H1044" i="2"/>
  <c r="I1044" i="2"/>
  <c r="F1036" i="2"/>
  <c r="G1036" i="2"/>
  <c r="H1036" i="2"/>
  <c r="E1036" i="2"/>
  <c r="I1036" i="2"/>
  <c r="F1028" i="2"/>
  <c r="G1028" i="2"/>
  <c r="H1028" i="2"/>
  <c r="I1028" i="2"/>
  <c r="E1028" i="2"/>
  <c r="F1020" i="2"/>
  <c r="G1020" i="2"/>
  <c r="E1020" i="2"/>
  <c r="H1020" i="2"/>
  <c r="I1020" i="2"/>
  <c r="F1012" i="2"/>
  <c r="G1012" i="2"/>
  <c r="E1012" i="2"/>
  <c r="H1012" i="2"/>
  <c r="I1012" i="2"/>
  <c r="F1004" i="2"/>
  <c r="G1004" i="2"/>
  <c r="H1004" i="2"/>
  <c r="E1004" i="2"/>
  <c r="I1004" i="2"/>
  <c r="F996" i="2"/>
  <c r="G996" i="2"/>
  <c r="H996" i="2"/>
  <c r="I996" i="2"/>
  <c r="E996" i="2"/>
  <c r="F988" i="2"/>
  <c r="G988" i="2"/>
  <c r="E988" i="2"/>
  <c r="H988" i="2"/>
  <c r="I988" i="2"/>
  <c r="F980" i="2"/>
  <c r="G980" i="2"/>
  <c r="E980" i="2"/>
  <c r="H980" i="2"/>
  <c r="I980" i="2"/>
  <c r="F972" i="2"/>
  <c r="G972" i="2"/>
  <c r="H972" i="2"/>
  <c r="E972" i="2"/>
  <c r="I972" i="2"/>
  <c r="F964" i="2"/>
  <c r="G964" i="2"/>
  <c r="H964" i="2"/>
  <c r="I964" i="2"/>
  <c r="E964" i="2"/>
  <c r="F956" i="2"/>
  <c r="G956" i="2"/>
  <c r="E956" i="2"/>
  <c r="H956" i="2"/>
  <c r="I956" i="2"/>
  <c r="F948" i="2"/>
  <c r="G948" i="2"/>
  <c r="E948" i="2"/>
  <c r="H948" i="2"/>
  <c r="I948" i="2"/>
  <c r="F940" i="2"/>
  <c r="G940" i="2"/>
  <c r="H940" i="2"/>
  <c r="E940" i="2"/>
  <c r="I940" i="2"/>
  <c r="F932" i="2"/>
  <c r="G932" i="2"/>
  <c r="H932" i="2"/>
  <c r="I932" i="2"/>
  <c r="E932" i="2"/>
  <c r="F924" i="2"/>
  <c r="G924" i="2"/>
  <c r="E924" i="2"/>
  <c r="H924" i="2"/>
  <c r="I924" i="2"/>
  <c r="F916" i="2"/>
  <c r="G916" i="2"/>
  <c r="E916" i="2"/>
  <c r="H916" i="2"/>
  <c r="I916" i="2"/>
  <c r="F908" i="2"/>
  <c r="G908" i="2"/>
  <c r="H908" i="2"/>
  <c r="E908" i="2"/>
  <c r="I908" i="2"/>
  <c r="I900" i="2"/>
  <c r="E900" i="2"/>
  <c r="H900" i="2"/>
  <c r="F900" i="2"/>
  <c r="G900" i="2"/>
  <c r="I892" i="2"/>
  <c r="F892" i="2"/>
  <c r="G892" i="2"/>
  <c r="H892" i="2"/>
  <c r="E892" i="2"/>
  <c r="I884" i="2"/>
  <c r="H884" i="2"/>
  <c r="E884" i="2"/>
  <c r="F884" i="2"/>
  <c r="G884" i="2"/>
  <c r="I876" i="2"/>
  <c r="F876" i="2"/>
  <c r="G876" i="2"/>
  <c r="E876" i="2"/>
  <c r="H876" i="2"/>
  <c r="I868" i="2"/>
  <c r="E868" i="2"/>
  <c r="F868" i="2"/>
  <c r="H868" i="2"/>
  <c r="G868" i="2"/>
  <c r="I860" i="2"/>
  <c r="H860" i="2"/>
  <c r="F860" i="2"/>
  <c r="E860" i="2"/>
  <c r="G860" i="2"/>
  <c r="I852" i="2"/>
  <c r="H852" i="2"/>
  <c r="F852" i="2"/>
  <c r="G852" i="2"/>
  <c r="E852" i="2"/>
  <c r="E844" i="2"/>
  <c r="G844" i="2"/>
  <c r="I844" i="2"/>
  <c r="F844" i="2"/>
  <c r="H844" i="2"/>
  <c r="E836" i="2"/>
  <c r="G836" i="2"/>
  <c r="I836" i="2"/>
  <c r="F836" i="2"/>
  <c r="H836" i="2"/>
  <c r="E828" i="2"/>
  <c r="G828" i="2"/>
  <c r="I828" i="2"/>
  <c r="F828" i="2"/>
  <c r="H828" i="2"/>
  <c r="E820" i="2"/>
  <c r="G820" i="2"/>
  <c r="I820" i="2"/>
  <c r="F820" i="2"/>
  <c r="H820" i="2"/>
  <c r="E812" i="2"/>
  <c r="G812" i="2"/>
  <c r="I812" i="2"/>
  <c r="F812" i="2"/>
  <c r="H812" i="2"/>
  <c r="E804" i="2"/>
  <c r="G804" i="2"/>
  <c r="I804" i="2"/>
  <c r="F804" i="2"/>
  <c r="H804" i="2"/>
  <c r="E796" i="2"/>
  <c r="G796" i="2"/>
  <c r="I796" i="2"/>
  <c r="F796" i="2"/>
  <c r="H796" i="2"/>
  <c r="E788" i="2"/>
  <c r="G788" i="2"/>
  <c r="I788" i="2"/>
  <c r="F788" i="2"/>
  <c r="H788" i="2"/>
  <c r="E780" i="2"/>
  <c r="G780" i="2"/>
  <c r="I780" i="2"/>
  <c r="F780" i="2"/>
  <c r="H780" i="2"/>
  <c r="E772" i="2"/>
  <c r="G772" i="2"/>
  <c r="I772" i="2"/>
  <c r="F772" i="2"/>
  <c r="H772" i="2"/>
  <c r="E764" i="2"/>
  <c r="G764" i="2"/>
  <c r="I764" i="2"/>
  <c r="F764" i="2"/>
  <c r="H764" i="2"/>
  <c r="E756" i="2"/>
  <c r="G756" i="2"/>
  <c r="I756" i="2"/>
  <c r="F756" i="2"/>
  <c r="H756" i="2"/>
  <c r="E748" i="2"/>
  <c r="G748" i="2"/>
  <c r="I748" i="2"/>
  <c r="F748" i="2"/>
  <c r="H748" i="2"/>
  <c r="E740" i="2"/>
  <c r="G740" i="2"/>
  <c r="I740" i="2"/>
  <c r="F740" i="2"/>
  <c r="H740" i="2"/>
  <c r="E732" i="2"/>
  <c r="I732" i="2"/>
  <c r="F732" i="2"/>
  <c r="G732" i="2"/>
  <c r="H732" i="2"/>
  <c r="E724" i="2"/>
  <c r="F724" i="2"/>
  <c r="H724" i="2"/>
  <c r="I724" i="2"/>
  <c r="G724" i="2"/>
  <c r="E716" i="2"/>
  <c r="G716" i="2"/>
  <c r="I716" i="2"/>
  <c r="F716" i="2"/>
  <c r="H716" i="2"/>
  <c r="F708" i="2"/>
  <c r="G708" i="2"/>
  <c r="H708" i="2"/>
  <c r="E708" i="2"/>
  <c r="I708" i="2"/>
  <c r="F700" i="2"/>
  <c r="G700" i="2"/>
  <c r="H700" i="2"/>
  <c r="I700" i="2"/>
  <c r="E700" i="2"/>
  <c r="F692" i="2"/>
  <c r="G692" i="2"/>
  <c r="H692" i="2"/>
  <c r="E692" i="2"/>
  <c r="I692" i="2"/>
  <c r="F684" i="2"/>
  <c r="G684" i="2"/>
  <c r="H684" i="2"/>
  <c r="I684" i="2"/>
  <c r="E684" i="2"/>
  <c r="F676" i="2"/>
  <c r="G676" i="2"/>
  <c r="H676" i="2"/>
  <c r="I676" i="2"/>
  <c r="E676" i="2"/>
  <c r="F668" i="2"/>
  <c r="G668" i="2"/>
  <c r="H668" i="2"/>
  <c r="I668" i="2"/>
  <c r="E668" i="2"/>
  <c r="F660" i="2"/>
  <c r="G660" i="2"/>
  <c r="H660" i="2"/>
  <c r="E660" i="2"/>
  <c r="I660" i="2"/>
  <c r="F652" i="2"/>
  <c r="G652" i="2"/>
  <c r="H652" i="2"/>
  <c r="I652" i="2"/>
  <c r="E652" i="2"/>
  <c r="F644" i="2"/>
  <c r="G644" i="2"/>
  <c r="H644" i="2"/>
  <c r="E644" i="2"/>
  <c r="I644" i="2"/>
  <c r="F636" i="2"/>
  <c r="G636" i="2"/>
  <c r="H636" i="2"/>
  <c r="I636" i="2"/>
  <c r="E636" i="2"/>
  <c r="F628" i="2"/>
  <c r="G628" i="2"/>
  <c r="H628" i="2"/>
  <c r="E628" i="2"/>
  <c r="I628" i="2"/>
  <c r="F620" i="2"/>
  <c r="G620" i="2"/>
  <c r="H620" i="2"/>
  <c r="I620" i="2"/>
  <c r="E620" i="2"/>
  <c r="F612" i="2"/>
  <c r="G612" i="2"/>
  <c r="H612" i="2"/>
  <c r="E612" i="2"/>
  <c r="I612" i="2"/>
  <c r="F604" i="2"/>
  <c r="G604" i="2"/>
  <c r="H604" i="2"/>
  <c r="I604" i="2"/>
  <c r="E604" i="2"/>
  <c r="F596" i="2"/>
  <c r="G596" i="2"/>
  <c r="H596" i="2"/>
  <c r="E596" i="2"/>
  <c r="I596" i="2"/>
  <c r="F588" i="2"/>
  <c r="G588" i="2"/>
  <c r="H588" i="2"/>
  <c r="I588" i="2"/>
  <c r="E588" i="2"/>
  <c r="F580" i="2"/>
  <c r="G580" i="2"/>
  <c r="H580" i="2"/>
  <c r="E580" i="2"/>
  <c r="I580" i="2"/>
  <c r="F572" i="2"/>
  <c r="G572" i="2"/>
  <c r="H572" i="2"/>
  <c r="I572" i="2"/>
  <c r="E572" i="2"/>
  <c r="F564" i="2"/>
  <c r="G564" i="2"/>
  <c r="H564" i="2"/>
  <c r="E564" i="2"/>
  <c r="I564" i="2"/>
  <c r="F556" i="2"/>
  <c r="G556" i="2"/>
  <c r="H556" i="2"/>
  <c r="I556" i="2"/>
  <c r="E556" i="2"/>
  <c r="F548" i="2"/>
  <c r="G548" i="2"/>
  <c r="H548" i="2"/>
  <c r="I548" i="2"/>
  <c r="E548" i="2"/>
  <c r="F540" i="2"/>
  <c r="G540" i="2"/>
  <c r="H540" i="2"/>
  <c r="I540" i="2"/>
  <c r="E540" i="2"/>
  <c r="F532" i="2"/>
  <c r="G532" i="2"/>
  <c r="H532" i="2"/>
  <c r="I532" i="2"/>
  <c r="E532" i="2"/>
  <c r="F524" i="2"/>
  <c r="G524" i="2"/>
  <c r="H524" i="2"/>
  <c r="I524" i="2"/>
  <c r="E524" i="2"/>
  <c r="F516" i="2"/>
  <c r="G516" i="2"/>
  <c r="H516" i="2"/>
  <c r="I516" i="2"/>
  <c r="E516" i="2"/>
  <c r="F508" i="2"/>
  <c r="G508" i="2"/>
  <c r="H508" i="2"/>
  <c r="I508" i="2"/>
  <c r="E508" i="2"/>
  <c r="H500" i="2"/>
  <c r="E500" i="2"/>
  <c r="F500" i="2"/>
  <c r="G500" i="2"/>
  <c r="I500" i="2"/>
  <c r="H492" i="2"/>
  <c r="E492" i="2"/>
  <c r="G492" i="2"/>
  <c r="I492" i="2"/>
  <c r="F492" i="2"/>
  <c r="H484" i="2"/>
  <c r="E484" i="2"/>
  <c r="F484" i="2"/>
  <c r="I484" i="2"/>
  <c r="G484" i="2"/>
  <c r="G476" i="2"/>
  <c r="E476" i="2"/>
  <c r="H476" i="2"/>
  <c r="F476" i="2"/>
  <c r="I476" i="2"/>
  <c r="G468" i="2"/>
  <c r="I468" i="2"/>
  <c r="E468" i="2"/>
  <c r="F468" i="2"/>
  <c r="H468" i="2"/>
  <c r="H460" i="2"/>
  <c r="G460" i="2"/>
  <c r="E460" i="2"/>
  <c r="F460" i="2"/>
  <c r="I460" i="2"/>
  <c r="H452" i="2"/>
  <c r="E452" i="2"/>
  <c r="F452" i="2"/>
  <c r="I452" i="2"/>
  <c r="G452" i="2"/>
  <c r="H444" i="2"/>
  <c r="I444" i="2"/>
  <c r="F444" i="2"/>
  <c r="E444" i="2"/>
  <c r="G444" i="2"/>
  <c r="H436" i="2"/>
  <c r="E436" i="2"/>
  <c r="G436" i="2"/>
  <c r="I436" i="2"/>
  <c r="F436" i="2"/>
  <c r="H428" i="2"/>
  <c r="F428" i="2"/>
  <c r="E428" i="2"/>
  <c r="G428" i="2"/>
  <c r="I428" i="2"/>
  <c r="H420" i="2"/>
  <c r="I420" i="2"/>
  <c r="E420" i="2"/>
  <c r="F420" i="2"/>
  <c r="G420" i="2"/>
  <c r="H412" i="2"/>
  <c r="G412" i="2"/>
  <c r="E412" i="2"/>
  <c r="F412" i="2"/>
  <c r="I412" i="2"/>
  <c r="H404" i="2"/>
  <c r="G404" i="2"/>
  <c r="E404" i="2"/>
  <c r="I404" i="2"/>
  <c r="F404" i="2"/>
  <c r="H396" i="2"/>
  <c r="F396" i="2"/>
  <c r="I396" i="2"/>
  <c r="E396" i="2"/>
  <c r="G396" i="2"/>
  <c r="H388" i="2"/>
  <c r="E388" i="2"/>
  <c r="F388" i="2"/>
  <c r="G388" i="2"/>
  <c r="I388" i="2"/>
  <c r="H380" i="2"/>
  <c r="I380" i="2"/>
  <c r="F380" i="2"/>
  <c r="E380" i="2"/>
  <c r="G380" i="2"/>
  <c r="H372" i="2"/>
  <c r="G372" i="2"/>
  <c r="F372" i="2"/>
  <c r="E372" i="2"/>
  <c r="I372" i="2"/>
  <c r="H364" i="2"/>
  <c r="F364" i="2"/>
  <c r="G364" i="2"/>
  <c r="I364" i="2"/>
  <c r="E364" i="2"/>
  <c r="H356" i="2"/>
  <c r="I356" i="2"/>
  <c r="E356" i="2"/>
  <c r="G356" i="2"/>
  <c r="F356" i="2"/>
  <c r="H348" i="2"/>
  <c r="E348" i="2"/>
  <c r="G348" i="2"/>
  <c r="I348" i="2"/>
  <c r="F348" i="2"/>
  <c r="H340" i="2"/>
  <c r="F340" i="2"/>
  <c r="G340" i="2"/>
  <c r="I340" i="2"/>
  <c r="E340" i="2"/>
  <c r="H332" i="2"/>
  <c r="E332" i="2"/>
  <c r="G332" i="2"/>
  <c r="I332" i="2"/>
  <c r="F332" i="2"/>
  <c r="H324" i="2"/>
  <c r="E324" i="2"/>
  <c r="F324" i="2"/>
  <c r="G324" i="2"/>
  <c r="I324" i="2"/>
  <c r="H316" i="2"/>
  <c r="E316" i="2"/>
  <c r="G316" i="2"/>
  <c r="I316" i="2"/>
  <c r="F316" i="2"/>
  <c r="H308" i="2"/>
  <c r="E308" i="2"/>
  <c r="F308" i="2"/>
  <c r="G308" i="2"/>
  <c r="I308" i="2"/>
  <c r="H300" i="2"/>
  <c r="E300" i="2"/>
  <c r="G300" i="2"/>
  <c r="I300" i="2"/>
  <c r="F300" i="2"/>
  <c r="H292" i="2"/>
  <c r="F292" i="2"/>
  <c r="G292" i="2"/>
  <c r="I292" i="2"/>
  <c r="E292" i="2"/>
  <c r="H284" i="2"/>
  <c r="G284" i="2"/>
  <c r="E284" i="2"/>
  <c r="F284" i="2"/>
  <c r="I284" i="2"/>
  <c r="H276" i="2"/>
  <c r="G276" i="2"/>
  <c r="F276" i="2"/>
  <c r="I276" i="2"/>
  <c r="E276" i="2"/>
  <c r="H268" i="2"/>
  <c r="E268" i="2"/>
  <c r="F268" i="2"/>
  <c r="G268" i="2"/>
  <c r="I268" i="2"/>
  <c r="H260" i="2"/>
  <c r="I260" i="2"/>
  <c r="E260" i="2"/>
  <c r="G260" i="2"/>
  <c r="F260" i="2"/>
  <c r="E252" i="2"/>
  <c r="G252" i="2"/>
  <c r="I252" i="2"/>
  <c r="H252" i="2"/>
  <c r="F252" i="2"/>
  <c r="E244" i="2"/>
  <c r="F244" i="2"/>
  <c r="H244" i="2"/>
  <c r="I244" i="2"/>
  <c r="G244" i="2"/>
  <c r="E236" i="2"/>
  <c r="F236" i="2"/>
  <c r="G236" i="2"/>
  <c r="H236" i="2"/>
  <c r="I236" i="2"/>
  <c r="E228" i="2"/>
  <c r="G228" i="2"/>
  <c r="H228" i="2"/>
  <c r="I228" i="2"/>
  <c r="F228" i="2"/>
  <c r="E220" i="2"/>
  <c r="H220" i="2"/>
  <c r="I220" i="2"/>
  <c r="F220" i="2"/>
  <c r="G220" i="2"/>
  <c r="E212" i="2"/>
  <c r="F212" i="2"/>
  <c r="H212" i="2"/>
  <c r="G212" i="2"/>
  <c r="I212" i="2"/>
  <c r="E204" i="2"/>
  <c r="F204" i="2"/>
  <c r="H204" i="2"/>
  <c r="I204" i="2"/>
  <c r="G204" i="2"/>
  <c r="E196" i="2"/>
  <c r="G196" i="2"/>
  <c r="F196" i="2"/>
  <c r="H196" i="2"/>
  <c r="I196" i="2"/>
  <c r="E188" i="2"/>
  <c r="H188" i="2"/>
  <c r="I188" i="2"/>
  <c r="F188" i="2"/>
  <c r="G188" i="2"/>
  <c r="E180" i="2"/>
  <c r="F180" i="2"/>
  <c r="H180" i="2"/>
  <c r="G180" i="2"/>
  <c r="I180" i="2"/>
  <c r="E172" i="2"/>
  <c r="I172" i="2"/>
  <c r="F172" i="2"/>
  <c r="G172" i="2"/>
  <c r="H172" i="2"/>
  <c r="H164" i="2"/>
  <c r="E164" i="2"/>
  <c r="G164" i="2"/>
  <c r="F164" i="2"/>
  <c r="I164" i="2"/>
  <c r="H156" i="2"/>
  <c r="E156" i="2"/>
  <c r="I156" i="2"/>
  <c r="F156" i="2"/>
  <c r="G156" i="2"/>
  <c r="H148" i="2"/>
  <c r="E148" i="2"/>
  <c r="F148" i="2"/>
  <c r="G148" i="2"/>
  <c r="I148" i="2"/>
  <c r="H140" i="2"/>
  <c r="E140" i="2"/>
  <c r="G140" i="2"/>
  <c r="F140" i="2"/>
  <c r="I140" i="2"/>
  <c r="E132" i="2"/>
  <c r="F132" i="2"/>
  <c r="G132" i="2"/>
  <c r="I132" i="2"/>
  <c r="H132" i="2"/>
  <c r="E124" i="2"/>
  <c r="F124" i="2"/>
  <c r="G124" i="2"/>
  <c r="I124" i="2"/>
  <c r="H124" i="2"/>
  <c r="E116" i="2"/>
  <c r="F116" i="2"/>
  <c r="G116" i="2"/>
  <c r="I116" i="2"/>
  <c r="H116" i="2"/>
  <c r="E108" i="2"/>
  <c r="F108" i="2"/>
  <c r="G108" i="2"/>
  <c r="I108" i="2"/>
  <c r="H108" i="2"/>
  <c r="E100" i="2"/>
  <c r="F100" i="2"/>
  <c r="G100" i="2"/>
  <c r="I100" i="2"/>
  <c r="H100" i="2"/>
  <c r="E92" i="2"/>
  <c r="F92" i="2"/>
  <c r="G92" i="2"/>
  <c r="I92" i="2"/>
  <c r="H92" i="2"/>
  <c r="E84" i="2"/>
  <c r="F84" i="2"/>
  <c r="G84" i="2"/>
  <c r="I84" i="2"/>
  <c r="H84" i="2"/>
  <c r="E76" i="2"/>
  <c r="F76" i="2"/>
  <c r="G76" i="2"/>
  <c r="I76" i="2"/>
  <c r="H76" i="2"/>
  <c r="E68" i="2"/>
  <c r="F68" i="2"/>
  <c r="G68" i="2"/>
  <c r="I68" i="2"/>
  <c r="H68" i="2"/>
  <c r="E60" i="2"/>
  <c r="F60" i="2"/>
  <c r="G60" i="2"/>
  <c r="I60" i="2"/>
  <c r="H60" i="2"/>
  <c r="E52" i="2"/>
  <c r="F52" i="2"/>
  <c r="G52" i="2"/>
  <c r="H52" i="2"/>
  <c r="I52" i="2"/>
  <c r="E44" i="2"/>
  <c r="F44" i="2"/>
  <c r="G44" i="2"/>
  <c r="H44" i="2"/>
  <c r="I44" i="2"/>
  <c r="E36" i="2"/>
  <c r="F36" i="2"/>
  <c r="G36" i="2"/>
  <c r="H36" i="2"/>
  <c r="I36" i="2"/>
  <c r="E28" i="2"/>
  <c r="F28" i="2"/>
  <c r="G28" i="2"/>
  <c r="H28" i="2"/>
  <c r="I28" i="2"/>
  <c r="E20" i="2"/>
  <c r="F20" i="2"/>
  <c r="G20" i="2"/>
  <c r="H20" i="2"/>
  <c r="I20" i="2"/>
  <c r="E12" i="2"/>
  <c r="F12" i="2"/>
  <c r="G12" i="2"/>
  <c r="H12" i="2"/>
  <c r="I12" i="2"/>
  <c r="F1328" i="2"/>
  <c r="F1326" i="2"/>
  <c r="F1324" i="2"/>
  <c r="I1319" i="2"/>
  <c r="I1317" i="2"/>
  <c r="G1315" i="2"/>
  <c r="G1311" i="2"/>
  <c r="E1309" i="2"/>
  <c r="E1307" i="2"/>
  <c r="H1302" i="2"/>
  <c r="H1300" i="2"/>
  <c r="H1298" i="2"/>
  <c r="F1296" i="2"/>
  <c r="F1294" i="2"/>
  <c r="F1292" i="2"/>
  <c r="I1287" i="2"/>
  <c r="I1285" i="2"/>
  <c r="G1283" i="2"/>
  <c r="H1278" i="2"/>
  <c r="G1276" i="2"/>
  <c r="G1271" i="2"/>
  <c r="H1268" i="2"/>
  <c r="H1263" i="2"/>
  <c r="I1260" i="2"/>
  <c r="I1257" i="2"/>
  <c r="H1254" i="2"/>
  <c r="G1251" i="2"/>
  <c r="H1247" i="2"/>
  <c r="G1243" i="2"/>
  <c r="G1239" i="2"/>
  <c r="I1234" i="2"/>
  <c r="F1224" i="2"/>
  <c r="G1211" i="2"/>
  <c r="E4" i="2"/>
  <c r="F4" i="2"/>
  <c r="G4" i="2"/>
  <c r="H4" i="2"/>
  <c r="I4" i="2"/>
  <c r="G10" i="2"/>
  <c r="H10" i="2"/>
  <c r="I10" i="2"/>
  <c r="E10" i="2"/>
  <c r="F10" i="2"/>
  <c r="E2" i="2"/>
  <c r="G2" i="2"/>
  <c r="H2" i="2"/>
  <c r="I3" i="2"/>
  <c r="H3" i="2"/>
  <c r="G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<sst xmlns="http://schemas.openxmlformats.org/spreadsheetml/2006/main" count="24469" uniqueCount="8097">
  <si>
    <t>228A5C</t>
  </si>
  <si>
    <t>https://scalablebrainatlas.incf.org/mouse/ABA_v3</t>
  </si>
  <si>
    <t>https://stackoverflow.com/questions/45833797/convert-hex-to-rgb-in-excel</t>
  </si>
  <si>
    <t>[</t>
  </si>
  <si>
    <t xml:space="preserve">  "root",</t>
  </si>
  <si>
    <t xml:space="preserve">  "grey",</t>
  </si>
  <si>
    <t xml:space="preserve">  "CH",</t>
  </si>
  <si>
    <t xml:space="preserve">  "CTX",</t>
  </si>
  <si>
    <t xml:space="preserve">  "CTXpl",</t>
  </si>
  <si>
    <t xml:space="preserve">  "Isocortex",</t>
  </si>
  <si>
    <t xml:space="preserve">  "FRP",</t>
  </si>
  <si>
    <t xml:space="preserve">  "FRP1",</t>
  </si>
  <si>
    <t xml:space="preserve">  "FRP2\/3",</t>
  </si>
  <si>
    <t xml:space="preserve">  "FRP5",</t>
  </si>
  <si>
    <t xml:space="preserve">  "FRP6a",</t>
  </si>
  <si>
    <t xml:space="preserve">  "FRP6b",</t>
  </si>
  <si>
    <t xml:space="preserve">  "MO",</t>
  </si>
  <si>
    <t xml:space="preserve">  "MO1",</t>
  </si>
  <si>
    <t xml:space="preserve">  "MO2\/3",</t>
  </si>
  <si>
    <t xml:space="preserve">  "MO5",</t>
  </si>
  <si>
    <t xml:space="preserve">  "MO6a",</t>
  </si>
  <si>
    <t xml:space="preserve">  "MO6b",</t>
  </si>
  <si>
    <t xml:space="preserve">  "MOp",</t>
  </si>
  <si>
    <t xml:space="preserve">  "MOp1",</t>
  </si>
  <si>
    <t xml:space="preserve">  "MOp2\/3",</t>
  </si>
  <si>
    <t xml:space="preserve">  "MOp5",</t>
  </si>
  <si>
    <t xml:space="preserve">  "MOp6a",</t>
  </si>
  <si>
    <t xml:space="preserve">  "MOp6b",</t>
  </si>
  <si>
    <t xml:space="preserve">  "MOs",</t>
  </si>
  <si>
    <t xml:space="preserve">  "MOs1",</t>
  </si>
  <si>
    <t xml:space="preserve">  "MOs2\/3",</t>
  </si>
  <si>
    <t xml:space="preserve">  "MOs5",</t>
  </si>
  <si>
    <t xml:space="preserve">  "MOs6a",</t>
  </si>
  <si>
    <t xml:space="preserve">  "MOs6b",</t>
  </si>
  <si>
    <t xml:space="preserve">  "SS",</t>
  </si>
  <si>
    <t xml:space="preserve">  "SS1",</t>
  </si>
  <si>
    <t xml:space="preserve">  "SS2\/3",</t>
  </si>
  <si>
    <t xml:space="preserve">  "SS4",</t>
  </si>
  <si>
    <t xml:space="preserve">  "SS5",</t>
  </si>
  <si>
    <t xml:space="preserve">  "SS6a",</t>
  </si>
  <si>
    <t xml:space="preserve">  "SS6b",</t>
  </si>
  <si>
    <t xml:space="preserve">  "SSp",</t>
  </si>
  <si>
    <t xml:space="preserve">  "SSp1",</t>
  </si>
  <si>
    <t xml:space="preserve">  "SSp2\/3",</t>
  </si>
  <si>
    <t xml:space="preserve">  "SSp4",</t>
  </si>
  <si>
    <t xml:space="preserve">  "SSp5",</t>
  </si>
  <si>
    <t xml:space="preserve">  "SSp6a",</t>
  </si>
  <si>
    <t xml:space="preserve">  "SSp6b",</t>
  </si>
  <si>
    <t xml:space="preserve">  "SSp-n",</t>
  </si>
  <si>
    <t xml:space="preserve">  "SSp-n1",</t>
  </si>
  <si>
    <t xml:space="preserve">  "SSp-n2\/3",</t>
  </si>
  <si>
    <t xml:space="preserve">  "SSp-n4",</t>
  </si>
  <si>
    <t xml:space="preserve">  "SSp-n5",</t>
  </si>
  <si>
    <t xml:space="preserve">  "SSp-n6a",</t>
  </si>
  <si>
    <t xml:space="preserve">  "SSp-n6b",</t>
  </si>
  <si>
    <t xml:space="preserve">  "SSp-bfd",</t>
  </si>
  <si>
    <t xml:space="preserve">  "SSp-bfd1",</t>
  </si>
  <si>
    <t xml:space="preserve">  "SSp-bfd2\/3",</t>
  </si>
  <si>
    <t xml:space="preserve">  "SSp-bfd4",</t>
  </si>
  <si>
    <t xml:space="preserve">  "SSp-bfd5",</t>
  </si>
  <si>
    <t xml:space="preserve">  "SSp-bfd6a",</t>
  </si>
  <si>
    <t xml:space="preserve">  "SSp-bfd6b",</t>
  </si>
  <si>
    <t xml:space="preserve">  "VISrll",</t>
  </si>
  <si>
    <t xml:space="preserve">  "VISrll1",</t>
  </si>
  <si>
    <t xml:space="preserve">  "VISrll2\/3",</t>
  </si>
  <si>
    <t xml:space="preserve">  "VISrll4",</t>
  </si>
  <si>
    <t xml:space="preserve">  "VISrll5",</t>
  </si>
  <si>
    <t xml:space="preserve">  "VISrll6a",</t>
  </si>
  <si>
    <t xml:space="preserve">  "VISrll6b",</t>
  </si>
  <si>
    <t xml:space="preserve">  "SSp-ll",</t>
  </si>
  <si>
    <t xml:space="preserve">  "SSp-ll1",</t>
  </si>
  <si>
    <t xml:space="preserve">  "SSp-ll2\/3",</t>
  </si>
  <si>
    <t xml:space="preserve">  "SSp-ll4",</t>
  </si>
  <si>
    <t xml:space="preserve">  "SSp-ll5",</t>
  </si>
  <si>
    <t xml:space="preserve">  "SSp-ll6a",</t>
  </si>
  <si>
    <t xml:space="preserve">  "SSp-ll6b",</t>
  </si>
  <si>
    <t xml:space="preserve">  "SSp-m",</t>
  </si>
  <si>
    <t xml:space="preserve">  "SSp-m1",</t>
  </si>
  <si>
    <t xml:space="preserve">  "SSp-m2\/3",</t>
  </si>
  <si>
    <t xml:space="preserve">  "SSp-m4",</t>
  </si>
  <si>
    <t xml:space="preserve">  "SSp-m5",</t>
  </si>
  <si>
    <t xml:space="preserve">  "SSp-m6a",</t>
  </si>
  <si>
    <t xml:space="preserve">  "SSp-m6b",</t>
  </si>
  <si>
    <t xml:space="preserve">  "SSp-ul",</t>
  </si>
  <si>
    <t xml:space="preserve">  "SSp-ul1",</t>
  </si>
  <si>
    <t xml:space="preserve">  "SSp-ul2\/3",</t>
  </si>
  <si>
    <t xml:space="preserve">  "SSp-ul4",</t>
  </si>
  <si>
    <t xml:space="preserve">  "SSp-ul5",</t>
  </si>
  <si>
    <t xml:space="preserve">  "SSp-ul6a",</t>
  </si>
  <si>
    <t xml:space="preserve">  "SSp-ul6b",</t>
  </si>
  <si>
    <t xml:space="preserve">  "SSp-tr",</t>
  </si>
  <si>
    <t xml:space="preserve">  "SSp-tr1",</t>
  </si>
  <si>
    <t xml:space="preserve">  "SSp-tr2\/3",</t>
  </si>
  <si>
    <t xml:space="preserve">  "SSp-tr4",</t>
  </si>
  <si>
    <t xml:space="preserve">  "SSp-tr5",</t>
  </si>
  <si>
    <t xml:space="preserve">  "SSp-tr6a",</t>
  </si>
  <si>
    <t xml:space="preserve">  "SSp-tr6b",</t>
  </si>
  <si>
    <t xml:space="preserve">  "SSp-un",</t>
  </si>
  <si>
    <t xml:space="preserve">  "SSp-un1",</t>
  </si>
  <si>
    <t xml:space="preserve">  "SSp-un2\/3",</t>
  </si>
  <si>
    <t xml:space="preserve">  "SSp-un4",</t>
  </si>
  <si>
    <t xml:space="preserve">  "SSp-un5",</t>
  </si>
  <si>
    <t xml:space="preserve">  "SSp-un6a",</t>
  </si>
  <si>
    <t xml:space="preserve">  "SSp-un6b",</t>
  </si>
  <si>
    <t xml:space="preserve">  "SSs",</t>
  </si>
  <si>
    <t xml:space="preserve">  "SSs1",</t>
  </si>
  <si>
    <t xml:space="preserve">  "SSs2\/3",</t>
  </si>
  <si>
    <t xml:space="preserve">  "SSs4",</t>
  </si>
  <si>
    <t xml:space="preserve">  "SSs5",</t>
  </si>
  <si>
    <t xml:space="preserve">  "SSs6a",</t>
  </si>
  <si>
    <t xml:space="preserve">  "SSs6b",</t>
  </si>
  <si>
    <t xml:space="preserve">  "GU",</t>
  </si>
  <si>
    <t xml:space="preserve">  "GU1",</t>
  </si>
  <si>
    <t xml:space="preserve">  "GU2\/3",</t>
  </si>
  <si>
    <t xml:space="preserve">  "GU4",</t>
  </si>
  <si>
    <t xml:space="preserve">  "GU5",</t>
  </si>
  <si>
    <t xml:space="preserve">  "GU6a",</t>
  </si>
  <si>
    <t xml:space="preserve">  "GU6b",</t>
  </si>
  <si>
    <t xml:space="preserve">  "VISC",</t>
  </si>
  <si>
    <t xml:space="preserve">  "VISC1",</t>
  </si>
  <si>
    <t xml:space="preserve">  "VISC2\/3",</t>
  </si>
  <si>
    <t xml:space="preserve">  "VISC4",</t>
  </si>
  <si>
    <t xml:space="preserve">  "VISC5",</t>
  </si>
  <si>
    <t xml:space="preserve">  "VISC6a",</t>
  </si>
  <si>
    <t xml:space="preserve">  "VISC6b",</t>
  </si>
  <si>
    <t xml:space="preserve">  "AUD",</t>
  </si>
  <si>
    <t xml:space="preserve">  "AUDd",</t>
  </si>
  <si>
    <t xml:space="preserve">  "AUDd1",</t>
  </si>
  <si>
    <t xml:space="preserve">  "AUDd2\/3",</t>
  </si>
  <si>
    <t xml:space="preserve">  "AUDd4",</t>
  </si>
  <si>
    <t xml:space="preserve">  "AUDd5",</t>
  </si>
  <si>
    <t xml:space="preserve">  "AUDd6a",</t>
  </si>
  <si>
    <t xml:space="preserve">  "AUDd6b",</t>
  </si>
  <si>
    <t xml:space="preserve">  "VISlla",</t>
  </si>
  <si>
    <t xml:space="preserve">  "VISlla1",</t>
  </si>
  <si>
    <t xml:space="preserve">  "VISlla2\/3",</t>
  </si>
  <si>
    <t xml:space="preserve">  "VISlla4",</t>
  </si>
  <si>
    <t xml:space="preserve">  "VISlla5",</t>
  </si>
  <si>
    <t xml:space="preserve">  "VISlla6a",</t>
  </si>
  <si>
    <t xml:space="preserve">  "VISlla6b",</t>
  </si>
  <si>
    <t xml:space="preserve">  "AUDp",</t>
  </si>
  <si>
    <t xml:space="preserve">  "AUDp1",</t>
  </si>
  <si>
    <t xml:space="preserve">  "AUDp2\/3",</t>
  </si>
  <si>
    <t xml:space="preserve">  "AUDp4",</t>
  </si>
  <si>
    <t xml:space="preserve">  "AUDp5",</t>
  </si>
  <si>
    <t xml:space="preserve">  "AUDp6a",</t>
  </si>
  <si>
    <t xml:space="preserve">  "AUDp6b",</t>
  </si>
  <si>
    <t xml:space="preserve">  "AUDpo",</t>
  </si>
  <si>
    <t xml:space="preserve">  "AUDpo1",</t>
  </si>
  <si>
    <t xml:space="preserve">  "AUDpo2\/3",</t>
  </si>
  <si>
    <t xml:space="preserve">  "AUDpo4",</t>
  </si>
  <si>
    <t xml:space="preserve">  "AUDpo5",</t>
  </si>
  <si>
    <t xml:space="preserve">  "AUDpo6a",</t>
  </si>
  <si>
    <t xml:space="preserve">  "AUDpo6b",</t>
  </si>
  <si>
    <t xml:space="preserve">  "AUDv",</t>
  </si>
  <si>
    <t xml:space="preserve">  "AUDv1",</t>
  </si>
  <si>
    <t xml:space="preserve">  "AUDv2\/3",</t>
  </si>
  <si>
    <t xml:space="preserve">  "AUDv4",</t>
  </si>
  <si>
    <t xml:space="preserve">  "AUDv5",</t>
  </si>
  <si>
    <t xml:space="preserve">  "AUDv6a",</t>
  </si>
  <si>
    <t xml:space="preserve">  "AUDv6b",</t>
  </si>
  <si>
    <t xml:space="preserve">  "VIS",</t>
  </si>
  <si>
    <t xml:space="preserve">  "VIS1",</t>
  </si>
  <si>
    <t xml:space="preserve">  "VIS2\/3",</t>
  </si>
  <si>
    <t xml:space="preserve">  "VIS4",</t>
  </si>
  <si>
    <t xml:space="preserve">  "VIS5",</t>
  </si>
  <si>
    <t xml:space="preserve">  "VIS6a",</t>
  </si>
  <si>
    <t xml:space="preserve">  "VIS6b",</t>
  </si>
  <si>
    <t xml:space="preserve">  "VISal",</t>
  </si>
  <si>
    <t xml:space="preserve">  "VISal1",</t>
  </si>
  <si>
    <t xml:space="preserve">  "VISal2\/3",</t>
  </si>
  <si>
    <t xml:space="preserve">  "VISal4",</t>
  </si>
  <si>
    <t xml:space="preserve">  "VISal5",</t>
  </si>
  <si>
    <t xml:space="preserve">  "VISal6a",</t>
  </si>
  <si>
    <t xml:space="preserve">  "VISal6b",</t>
  </si>
  <si>
    <t xml:space="preserve">  "VISam",</t>
  </si>
  <si>
    <t xml:space="preserve">  "VISam1",</t>
  </si>
  <si>
    <t xml:space="preserve">  "VISam2\/3",</t>
  </si>
  <si>
    <t xml:space="preserve">  "VISam4",</t>
  </si>
  <si>
    <t xml:space="preserve">  "VISam5",</t>
  </si>
  <si>
    <t xml:space="preserve">  "VISam6a",</t>
  </si>
  <si>
    <t xml:space="preserve">  "VISam6b",</t>
  </si>
  <si>
    <t xml:space="preserve">  "VISl",</t>
  </si>
  <si>
    <t xml:space="preserve">  "VISl1",</t>
  </si>
  <si>
    <t xml:space="preserve">  "VISl2\/3",</t>
  </si>
  <si>
    <t xml:space="preserve">  "VISl4",</t>
  </si>
  <si>
    <t xml:space="preserve">  "VISl5",</t>
  </si>
  <si>
    <t xml:space="preserve">  "VISl6a",</t>
  </si>
  <si>
    <t xml:space="preserve">  "VISl6b",</t>
  </si>
  <si>
    <t xml:space="preserve">  "VISp",</t>
  </si>
  <si>
    <t xml:space="preserve">  "VISp1",</t>
  </si>
  <si>
    <t xml:space="preserve">  "VISp2\/3",</t>
  </si>
  <si>
    <t xml:space="preserve">  "VISp4",</t>
  </si>
  <si>
    <t xml:space="preserve">  "VISp5",</t>
  </si>
  <si>
    <t xml:space="preserve">  "VISp6a",</t>
  </si>
  <si>
    <t xml:space="preserve">  "VISp6b",</t>
  </si>
  <si>
    <t xml:space="preserve">  "VISpl",</t>
  </si>
  <si>
    <t xml:space="preserve">  "VISpl1",</t>
  </si>
  <si>
    <t xml:space="preserve">  "VISpl2\/3",</t>
  </si>
  <si>
    <t xml:space="preserve">  "VISpl4",</t>
  </si>
  <si>
    <t xml:space="preserve">  "VISpl5",</t>
  </si>
  <si>
    <t xml:space="preserve">  "VISpl6a",</t>
  </si>
  <si>
    <t xml:space="preserve">  "VISpl6b",</t>
  </si>
  <si>
    <t xml:space="preserve">  "VISpm",</t>
  </si>
  <si>
    <t xml:space="preserve">  "VISpm1",</t>
  </si>
  <si>
    <t xml:space="preserve">  "VISpm2\/3",</t>
  </si>
  <si>
    <t xml:space="preserve">  "VISpm4",</t>
  </si>
  <si>
    <t xml:space="preserve">  "VISpm5",</t>
  </si>
  <si>
    <t xml:space="preserve">  "VISpm6a",</t>
  </si>
  <si>
    <t xml:space="preserve">  "VISpm6b",</t>
  </si>
  <si>
    <t xml:space="preserve">  "VISli",</t>
  </si>
  <si>
    <t xml:space="preserve">  "VISli1",</t>
  </si>
  <si>
    <t xml:space="preserve">  "VISli2\/3",</t>
  </si>
  <si>
    <t xml:space="preserve">  "VISli4",</t>
  </si>
  <si>
    <t xml:space="preserve">  "VISli5",</t>
  </si>
  <si>
    <t xml:space="preserve">  "VISli6a",</t>
  </si>
  <si>
    <t xml:space="preserve">  "VISli6b",</t>
  </si>
  <si>
    <t xml:space="preserve">  "VISpor",</t>
  </si>
  <si>
    <t xml:space="preserve">  "VISpor1",</t>
  </si>
  <si>
    <t xml:space="preserve">  "VISpor2\/3",</t>
  </si>
  <si>
    <t xml:space="preserve">  "VISpor4",</t>
  </si>
  <si>
    <t xml:space="preserve">  "VISpor5",</t>
  </si>
  <si>
    <t xml:space="preserve">  "VISpor6a",</t>
  </si>
  <si>
    <t xml:space="preserve">  "VISpor6b",</t>
  </si>
  <si>
    <t xml:space="preserve">  "ACA",</t>
  </si>
  <si>
    <t xml:space="preserve">  "ACA1",</t>
  </si>
  <si>
    <t xml:space="preserve">  "ACA2\/3",</t>
  </si>
  <si>
    <t xml:space="preserve">  "ACA5",</t>
  </si>
  <si>
    <t xml:space="preserve">  "ACA6a",</t>
  </si>
  <si>
    <t xml:space="preserve">  "ACA6b",</t>
  </si>
  <si>
    <t xml:space="preserve">  "ACAd",</t>
  </si>
  <si>
    <t xml:space="preserve">  "ACAd1",</t>
  </si>
  <si>
    <t xml:space="preserve">  "ACAd2\/3",</t>
  </si>
  <si>
    <t xml:space="preserve">  "ACAd5",</t>
  </si>
  <si>
    <t xml:space="preserve">  "ACAd6a",</t>
  </si>
  <si>
    <t xml:space="preserve">  "ACAd6b",</t>
  </si>
  <si>
    <t xml:space="preserve">  "ACAv",</t>
  </si>
  <si>
    <t xml:space="preserve">  "ACAv1",</t>
  </si>
  <si>
    <t xml:space="preserve">  "ACAv2\/3",</t>
  </si>
  <si>
    <t xml:space="preserve">  "ACAv5",</t>
  </si>
  <si>
    <t xml:space="preserve">  "ACAv6a",</t>
  </si>
  <si>
    <t xml:space="preserve">  "ACAv6b",</t>
  </si>
  <si>
    <t xml:space="preserve">  "PL",</t>
  </si>
  <si>
    <t xml:space="preserve">  "PL1",</t>
  </si>
  <si>
    <t xml:space="preserve">  "PL2",</t>
  </si>
  <si>
    <t xml:space="preserve">  "PL2\/3",</t>
  </si>
  <si>
    <t xml:space="preserve">  "PL5",</t>
  </si>
  <si>
    <t xml:space="preserve">  "PL6a",</t>
  </si>
  <si>
    <t xml:space="preserve">  "PL6b",</t>
  </si>
  <si>
    <t xml:space="preserve">  "ILA",</t>
  </si>
  <si>
    <t xml:space="preserve">  "ILA1",</t>
  </si>
  <si>
    <t xml:space="preserve">  "ILA2",</t>
  </si>
  <si>
    <t xml:space="preserve">  "ILA2\/3",</t>
  </si>
  <si>
    <t xml:space="preserve">  "ILA5",</t>
  </si>
  <si>
    <t xml:space="preserve">  "ILA6a",</t>
  </si>
  <si>
    <t xml:space="preserve">  "ILA6b",</t>
  </si>
  <si>
    <t xml:space="preserve">  "ORB",</t>
  </si>
  <si>
    <t xml:space="preserve">  "ORB1",</t>
  </si>
  <si>
    <t xml:space="preserve">  "ORB2\/3",</t>
  </si>
  <si>
    <t xml:space="preserve">  "ORB5",</t>
  </si>
  <si>
    <t xml:space="preserve">  "ORB6a",</t>
  </si>
  <si>
    <t xml:space="preserve">  "ORB6b",</t>
  </si>
  <si>
    <t xml:space="preserve">  "ORBl",</t>
  </si>
  <si>
    <t xml:space="preserve">  "ORBl1",</t>
  </si>
  <si>
    <t xml:space="preserve">  "ORBl2\/3",</t>
  </si>
  <si>
    <t xml:space="preserve">  "ORBl5",</t>
  </si>
  <si>
    <t xml:space="preserve">  "ORBl6a",</t>
  </si>
  <si>
    <t xml:space="preserve">  "ORBl6b",</t>
  </si>
  <si>
    <t xml:space="preserve">  "ORBm",</t>
  </si>
  <si>
    <t xml:space="preserve">  "ORBm1",</t>
  </si>
  <si>
    <t xml:space="preserve">  "ORBm2",</t>
  </si>
  <si>
    <t xml:space="preserve">  "ORBm2\/3",</t>
  </si>
  <si>
    <t xml:space="preserve">  "ORBm5",</t>
  </si>
  <si>
    <t xml:space="preserve">  "ORBm6a",</t>
  </si>
  <si>
    <t xml:space="preserve">  "ORBm6b",</t>
  </si>
  <si>
    <t xml:space="preserve">  "ORBv",</t>
  </si>
  <si>
    <t xml:space="preserve">  "ORBvl",</t>
  </si>
  <si>
    <t xml:space="preserve">  "ORBvl1",</t>
  </si>
  <si>
    <t xml:space="preserve">  "ORBvl2\/3",</t>
  </si>
  <si>
    <t xml:space="preserve">  "ORBvl5",</t>
  </si>
  <si>
    <t xml:space="preserve">  "ORBvl6a",</t>
  </si>
  <si>
    <t xml:space="preserve">  "ORBvl6b",</t>
  </si>
  <si>
    <t xml:space="preserve">  "AI",</t>
  </si>
  <si>
    <t xml:space="preserve">  "AId",</t>
  </si>
  <si>
    <t xml:space="preserve">  "AId1",</t>
  </si>
  <si>
    <t xml:space="preserve">  "AId2\/3",</t>
  </si>
  <si>
    <t xml:space="preserve">  "AId5",</t>
  </si>
  <si>
    <t xml:space="preserve">  "AId6a",</t>
  </si>
  <si>
    <t xml:space="preserve">  "AId6b",</t>
  </si>
  <si>
    <t xml:space="preserve">  "AIp",</t>
  </si>
  <si>
    <t xml:space="preserve">  "AIp1",</t>
  </si>
  <si>
    <t xml:space="preserve">  "AIp2\/3",</t>
  </si>
  <si>
    <t xml:space="preserve">  "AIp5",</t>
  </si>
  <si>
    <t xml:space="preserve">  "AIp6a",</t>
  </si>
  <si>
    <t xml:space="preserve">  "AIp6b",</t>
  </si>
  <si>
    <t xml:space="preserve">  "AIv",</t>
  </si>
  <si>
    <t xml:space="preserve">  "AIv1",</t>
  </si>
  <si>
    <t xml:space="preserve">  "AIv2\/3",</t>
  </si>
  <si>
    <t xml:space="preserve">  "AIv5",</t>
  </si>
  <si>
    <t xml:space="preserve">  "AIv6a",</t>
  </si>
  <si>
    <t xml:space="preserve">  "AIv6b",</t>
  </si>
  <si>
    <t xml:space="preserve">  "RSP",</t>
  </si>
  <si>
    <t xml:space="preserve">  "RSPagl",</t>
  </si>
  <si>
    <t xml:space="preserve">  "RSPagl1",</t>
  </si>
  <si>
    <t xml:space="preserve">  "RSPagl2\/3",</t>
  </si>
  <si>
    <t xml:space="preserve">  "RSPagl5",</t>
  </si>
  <si>
    <t xml:space="preserve">  "RSPagl6a",</t>
  </si>
  <si>
    <t xml:space="preserve">  "RSPagl6b",</t>
  </si>
  <si>
    <t xml:space="preserve">  "VISmma",</t>
  </si>
  <si>
    <t xml:space="preserve">  "VISmma1",</t>
  </si>
  <si>
    <t xml:space="preserve">  "VISmma2\/3",</t>
  </si>
  <si>
    <t xml:space="preserve">  "VISmma4",</t>
  </si>
  <si>
    <t xml:space="preserve">  "VISmma5",</t>
  </si>
  <si>
    <t xml:space="preserve">  "VISmma6a",</t>
  </si>
  <si>
    <t xml:space="preserve">  "VISmma6b",</t>
  </si>
  <si>
    <t xml:space="preserve">  "VISmmp",</t>
  </si>
  <si>
    <t xml:space="preserve">  "VISmmp1",</t>
  </si>
  <si>
    <t xml:space="preserve">  "VISmmp2\/3",</t>
  </si>
  <si>
    <t xml:space="preserve">  "VISmmp4",</t>
  </si>
  <si>
    <t xml:space="preserve">  "VISmmp5",</t>
  </si>
  <si>
    <t xml:space="preserve">  "VISmmp6a",</t>
  </si>
  <si>
    <t xml:space="preserve">  "VISmmp6b",</t>
  </si>
  <si>
    <t xml:space="preserve">  "VISm",</t>
  </si>
  <si>
    <t xml:space="preserve">  "VISm1",</t>
  </si>
  <si>
    <t xml:space="preserve">  "VISm2\/3",</t>
  </si>
  <si>
    <t xml:space="preserve">  "VISm4",</t>
  </si>
  <si>
    <t xml:space="preserve">  "VISm5",</t>
  </si>
  <si>
    <t xml:space="preserve">  "VISm6a",</t>
  </si>
  <si>
    <t xml:space="preserve">  "VISm6b",</t>
  </si>
  <si>
    <t xml:space="preserve">  "RSPd",</t>
  </si>
  <si>
    <t xml:space="preserve">  "RSPd1",</t>
  </si>
  <si>
    <t xml:space="preserve">  "RSPd2\/3",</t>
  </si>
  <si>
    <t xml:space="preserve">  "RSPd4",</t>
  </si>
  <si>
    <t xml:space="preserve">  "RSPd5",</t>
  </si>
  <si>
    <t xml:space="preserve">  "RSPd6a",</t>
  </si>
  <si>
    <t xml:space="preserve">  "RSPd6b",</t>
  </si>
  <si>
    <t xml:space="preserve">  "RSPv",</t>
  </si>
  <si>
    <t xml:space="preserve">  "RSPv1",</t>
  </si>
  <si>
    <t xml:space="preserve">  "RSPv2",</t>
  </si>
  <si>
    <t xml:space="preserve">  "RSPv2\/3",</t>
  </si>
  <si>
    <t xml:space="preserve">  "RSPv5",</t>
  </si>
  <si>
    <t xml:space="preserve">  "RSPv6a",</t>
  </si>
  <si>
    <t xml:space="preserve">  "RSPv6b",</t>
  </si>
  <si>
    <t xml:space="preserve">  "PTLp",</t>
  </si>
  <si>
    <t xml:space="preserve">  "PTLp1",</t>
  </si>
  <si>
    <t xml:space="preserve">  "PTLp2\/3",</t>
  </si>
  <si>
    <t xml:space="preserve">  "PTLp4",</t>
  </si>
  <si>
    <t xml:space="preserve">  "PTLp5",</t>
  </si>
  <si>
    <t xml:space="preserve">  "PTLp6a",</t>
  </si>
  <si>
    <t xml:space="preserve">  "PTLp6b",</t>
  </si>
  <si>
    <t xml:space="preserve">  "VISa",</t>
  </si>
  <si>
    <t xml:space="preserve">  "VISa1",</t>
  </si>
  <si>
    <t xml:space="preserve">  "VISa2\/3",</t>
  </si>
  <si>
    <t xml:space="preserve">  "VISa4",</t>
  </si>
  <si>
    <t xml:space="preserve">  "VISa5",</t>
  </si>
  <si>
    <t xml:space="preserve">  "VISa6a",</t>
  </si>
  <si>
    <t xml:space="preserve">  "VISa6b",</t>
  </si>
  <si>
    <t xml:space="preserve">  "VISrl",</t>
  </si>
  <si>
    <t xml:space="preserve">  "VISrl1",</t>
  </si>
  <si>
    <t xml:space="preserve">  "VISrl2\/3",</t>
  </si>
  <si>
    <t xml:space="preserve">  "VISrl4",</t>
  </si>
  <si>
    <t xml:space="preserve">  "VISrl5",</t>
  </si>
  <si>
    <t xml:space="preserve">  "VISrl6a",</t>
  </si>
  <si>
    <t xml:space="preserve">  "VISrl6b",</t>
  </si>
  <si>
    <t xml:space="preserve">  "TEa",</t>
  </si>
  <si>
    <t xml:space="preserve">  "TEa1",</t>
  </si>
  <si>
    <t xml:space="preserve">  "TEa2\/3",</t>
  </si>
  <si>
    <t xml:space="preserve">  "TEa4",</t>
  </si>
  <si>
    <t xml:space="preserve">  "TEa5",</t>
  </si>
  <si>
    <t xml:space="preserve">  "TEa6a",</t>
  </si>
  <si>
    <t xml:space="preserve">  "TEa6b",</t>
  </si>
  <si>
    <t xml:space="preserve">  "PERI",</t>
  </si>
  <si>
    <t xml:space="preserve">  "PERI1",</t>
  </si>
  <si>
    <t xml:space="preserve">  "PERI2\/3",</t>
  </si>
  <si>
    <t xml:space="preserve">  "PERI5",</t>
  </si>
  <si>
    <t xml:space="preserve">  "PERI6a",</t>
  </si>
  <si>
    <t xml:space="preserve">  "PERI6b",</t>
  </si>
  <si>
    <t xml:space="preserve">  "ECT",</t>
  </si>
  <si>
    <t xml:space="preserve">  "ECT1",</t>
  </si>
  <si>
    <t xml:space="preserve">  "ECT2\/3",</t>
  </si>
  <si>
    <t xml:space="preserve">  "ECT5",</t>
  </si>
  <si>
    <t xml:space="preserve">  "ECT6a",</t>
  </si>
  <si>
    <t xml:space="preserve">  "ECT6b",</t>
  </si>
  <si>
    <t xml:space="preserve">  "OLF",</t>
  </si>
  <si>
    <t xml:space="preserve">  "MOB",</t>
  </si>
  <si>
    <t xml:space="preserve">  "MOBgl",</t>
  </si>
  <si>
    <t xml:space="preserve">  "MOBgr",</t>
  </si>
  <si>
    <t xml:space="preserve">  "MOBipl",</t>
  </si>
  <si>
    <t xml:space="preserve">  "MOBmi",</t>
  </si>
  <si>
    <t xml:space="preserve">  "MOBopl",</t>
  </si>
  <si>
    <t xml:space="preserve">  "AOB",</t>
  </si>
  <si>
    <t xml:space="preserve">  "AOBgl",</t>
  </si>
  <si>
    <t xml:space="preserve">  "AOBgr",</t>
  </si>
  <si>
    <t xml:space="preserve">  "AOBmi",</t>
  </si>
  <si>
    <t xml:space="preserve">  "AON",</t>
  </si>
  <si>
    <t xml:space="preserve">  "AONd",</t>
  </si>
  <si>
    <t xml:space="preserve">  "AONe",</t>
  </si>
  <si>
    <t xml:space="preserve">  "AONl",</t>
  </si>
  <si>
    <t xml:space="preserve">  "AONm",</t>
  </si>
  <si>
    <t xml:space="preserve">  "AONpv",</t>
  </si>
  <si>
    <t xml:space="preserve">  "AON1",</t>
  </si>
  <si>
    <t xml:space="preserve">  "AON2",</t>
  </si>
  <si>
    <t xml:space="preserve">  "TT",</t>
  </si>
  <si>
    <t xml:space="preserve">  "TTd",</t>
  </si>
  <si>
    <t xml:space="preserve">  "TTd1-4",</t>
  </si>
  <si>
    <t xml:space="preserve">  "TTd1",</t>
  </si>
  <si>
    <t xml:space="preserve">  "TTd2",</t>
  </si>
  <si>
    <t xml:space="preserve">  "TTd3",</t>
  </si>
  <si>
    <t xml:space="preserve">  "TTd4",</t>
  </si>
  <si>
    <t xml:space="preserve">  "TTv",</t>
  </si>
  <si>
    <t xml:space="preserve">  "TTv1-3",</t>
  </si>
  <si>
    <t xml:space="preserve">  "TTv1",</t>
  </si>
  <si>
    <t xml:space="preserve">  "TTv2",</t>
  </si>
  <si>
    <t xml:space="preserve">  "TTv3",</t>
  </si>
  <si>
    <t xml:space="preserve">  "DP",</t>
  </si>
  <si>
    <t xml:space="preserve">  "DP1",</t>
  </si>
  <si>
    <t xml:space="preserve">  "DP2",</t>
  </si>
  <si>
    <t xml:space="preserve">  "DP2\/3",</t>
  </si>
  <si>
    <t xml:space="preserve">  "DP5",</t>
  </si>
  <si>
    <t xml:space="preserve">  "DP6a",</t>
  </si>
  <si>
    <t xml:space="preserve">  "PIR",</t>
  </si>
  <si>
    <t xml:space="preserve">  "PIR1-3",</t>
  </si>
  <si>
    <t xml:space="preserve">  "PIR1",</t>
  </si>
  <si>
    <t xml:space="preserve">  "PIR2",</t>
  </si>
  <si>
    <t xml:space="preserve">  "PIR3",</t>
  </si>
  <si>
    <t xml:space="preserve">  "NLOT",</t>
  </si>
  <si>
    <t xml:space="preserve">  "NLOT1-3",</t>
  </si>
  <si>
    <t xml:space="preserve">  "NLOT1",</t>
  </si>
  <si>
    <t xml:space="preserve">  "NLOT2",</t>
  </si>
  <si>
    <t xml:space="preserve">  "NLOT3",</t>
  </si>
  <si>
    <t xml:space="preserve">  "COA",</t>
  </si>
  <si>
    <t xml:space="preserve">  "COAa",</t>
  </si>
  <si>
    <t xml:space="preserve">  "COAa1",</t>
  </si>
  <si>
    <t xml:space="preserve">  "COAa2",</t>
  </si>
  <si>
    <t xml:space="preserve">  "COAa3",</t>
  </si>
  <si>
    <t xml:space="preserve">  "COAp",</t>
  </si>
  <si>
    <t xml:space="preserve">  "COApl",</t>
  </si>
  <si>
    <t xml:space="preserve">  "COApl1-2",</t>
  </si>
  <si>
    <t xml:space="preserve">  "COApl1-3",</t>
  </si>
  <si>
    <t xml:space="preserve">  "COApl1",</t>
  </si>
  <si>
    <t xml:space="preserve">  "COApl2",</t>
  </si>
  <si>
    <t xml:space="preserve">  "COApl3",</t>
  </si>
  <si>
    <t xml:space="preserve">  "COApm",</t>
  </si>
  <si>
    <t xml:space="preserve">  "COApm1-2",</t>
  </si>
  <si>
    <t xml:space="preserve">  "COApm1-3",</t>
  </si>
  <si>
    <t xml:space="preserve">  "COApm1",</t>
  </si>
  <si>
    <t xml:space="preserve">  "COApm2",</t>
  </si>
  <si>
    <t xml:space="preserve">  "COApm3",</t>
  </si>
  <si>
    <t xml:space="preserve">  "PAA",</t>
  </si>
  <si>
    <t xml:space="preserve">  "PAA1-3",</t>
  </si>
  <si>
    <t xml:space="preserve">  "PAA1",</t>
  </si>
  <si>
    <t xml:space="preserve">  "PAA2",</t>
  </si>
  <si>
    <t xml:space="preserve">  "PAA3",</t>
  </si>
  <si>
    <t xml:space="preserve">  "TR",</t>
  </si>
  <si>
    <t xml:space="preserve">  "TR1-3",</t>
  </si>
  <si>
    <t xml:space="preserve">  "TR1",</t>
  </si>
  <si>
    <t xml:space="preserve">  "TR2",</t>
  </si>
  <si>
    <t xml:space="preserve">  "TR3",</t>
  </si>
  <si>
    <t xml:space="preserve">  "HPF",</t>
  </si>
  <si>
    <t xml:space="preserve">  "HIP",</t>
  </si>
  <si>
    <t xml:space="preserve">  "CA",</t>
  </si>
  <si>
    <t xml:space="preserve">  "CA1",</t>
  </si>
  <si>
    <t xml:space="preserve">  "CA1slm",</t>
  </si>
  <si>
    <t xml:space="preserve">  "CA1so",</t>
  </si>
  <si>
    <t xml:space="preserve">  "CA1sp",</t>
  </si>
  <si>
    <t xml:space="preserve">  "CA1sr",</t>
  </si>
  <si>
    <t xml:space="preserve">  "CA2",</t>
  </si>
  <si>
    <t xml:space="preserve">  "CA2slm",</t>
  </si>
  <si>
    <t xml:space="preserve">  "CA2so",</t>
  </si>
  <si>
    <t xml:space="preserve">  "CA2sp",</t>
  </si>
  <si>
    <t xml:space="preserve">  "CA2sr",</t>
  </si>
  <si>
    <t xml:space="preserve">  "CA3",</t>
  </si>
  <si>
    <t xml:space="preserve">  "CA3slm",</t>
  </si>
  <si>
    <t xml:space="preserve">  "CA3slu",</t>
  </si>
  <si>
    <t xml:space="preserve">  "CA3so",</t>
  </si>
  <si>
    <t xml:space="preserve">  "CA3sp",</t>
  </si>
  <si>
    <t xml:space="preserve">  "CA3sr",</t>
  </si>
  <si>
    <t xml:space="preserve">  "DG",</t>
  </si>
  <si>
    <t xml:space="preserve">  "DG-mo",</t>
  </si>
  <si>
    <t xml:space="preserve">  "DG-po",</t>
  </si>
  <si>
    <t xml:space="preserve">  "DG-sg",</t>
  </si>
  <si>
    <t xml:space="preserve">  "DG-sgz",</t>
  </si>
  <si>
    <t xml:space="preserve">  "DGcr",</t>
  </si>
  <si>
    <t xml:space="preserve">  "DGcr-mo",</t>
  </si>
  <si>
    <t xml:space="preserve">  "DGcr-po",</t>
  </si>
  <si>
    <t xml:space="preserve">  "DGcr-sg",</t>
  </si>
  <si>
    <t xml:space="preserve">  "DGlb",</t>
  </si>
  <si>
    <t xml:space="preserve">  "DGlb-mo",</t>
  </si>
  <si>
    <t xml:space="preserve">  "DGlb-po",</t>
  </si>
  <si>
    <t xml:space="preserve">  "DGlb-sg",</t>
  </si>
  <si>
    <t xml:space="preserve">  "DGmb",</t>
  </si>
  <si>
    <t xml:space="preserve">  "DGmb-mo",</t>
  </si>
  <si>
    <t xml:space="preserve">  "DGmb-po",</t>
  </si>
  <si>
    <t xml:space="preserve">  "DGmb-sg",</t>
  </si>
  <si>
    <t xml:space="preserve">  "FC",</t>
  </si>
  <si>
    <t xml:space="preserve">  "IG",</t>
  </si>
  <si>
    <t xml:space="preserve">  "RHP",</t>
  </si>
  <si>
    <t xml:space="preserve">  "ENT",</t>
  </si>
  <si>
    <t xml:space="preserve">  "ENTl",</t>
  </si>
  <si>
    <t xml:space="preserve">  "ENTl1",</t>
  </si>
  <si>
    <t xml:space="preserve">  "ENTl2",</t>
  </si>
  <si>
    <t xml:space="preserve">  "ENTl2\/3",</t>
  </si>
  <si>
    <t xml:space="preserve">  "ENTl2a",</t>
  </si>
  <si>
    <t xml:space="preserve">  "ENTl2b",</t>
  </si>
  <si>
    <t xml:space="preserve">  "ENTl3",</t>
  </si>
  <si>
    <t xml:space="preserve">  "ENTl4",</t>
  </si>
  <si>
    <t xml:space="preserve">  "ENTl4\/5",</t>
  </si>
  <si>
    <t xml:space="preserve">  "ENTl5",</t>
  </si>
  <si>
    <t xml:space="preserve">  "ENTl5\/6",</t>
  </si>
  <si>
    <t xml:space="preserve">  "ENTl6a",</t>
  </si>
  <si>
    <t xml:space="preserve">  "ENTl6b",</t>
  </si>
  <si>
    <t xml:space="preserve">  "ENTm",</t>
  </si>
  <si>
    <t xml:space="preserve">  "ENTm1",</t>
  </si>
  <si>
    <t xml:space="preserve">  "ENTm2",</t>
  </si>
  <si>
    <t xml:space="preserve">  "ENTm2a",</t>
  </si>
  <si>
    <t xml:space="preserve">  "ENTm2b",</t>
  </si>
  <si>
    <t xml:space="preserve">  "ENTm3",</t>
  </si>
  <si>
    <t xml:space="preserve">  "ENTm4",</t>
  </si>
  <si>
    <t xml:space="preserve">  "ENTm5",</t>
  </si>
  <si>
    <t xml:space="preserve">  "ENTm5\/6",</t>
  </si>
  <si>
    <t xml:space="preserve">  "ENTm6",</t>
  </si>
  <si>
    <t xml:space="preserve">  "ENTmv",</t>
  </si>
  <si>
    <t xml:space="preserve">  "ENTmv1",</t>
  </si>
  <si>
    <t xml:space="preserve">  "ENTmv2",</t>
  </si>
  <si>
    <t xml:space="preserve">  "ENTmv3",</t>
  </si>
  <si>
    <t xml:space="preserve">  "ENTmv4",</t>
  </si>
  <si>
    <t xml:space="preserve">  "ENTmv5\/6",</t>
  </si>
  <si>
    <t xml:space="preserve">  "PAR",</t>
  </si>
  <si>
    <t xml:space="preserve">  "PAR1",</t>
  </si>
  <si>
    <t xml:space="preserve">  "PAR2",</t>
  </si>
  <si>
    <t xml:space="preserve">  "PAR3",</t>
  </si>
  <si>
    <t xml:space="preserve">  "POST",</t>
  </si>
  <si>
    <t xml:space="preserve">  "POST1",</t>
  </si>
  <si>
    <t xml:space="preserve">  "POST2",</t>
  </si>
  <si>
    <t xml:space="preserve">  "POST3",</t>
  </si>
  <si>
    <t xml:space="preserve">  "PRE",</t>
  </si>
  <si>
    <t xml:space="preserve">  "PRE1",</t>
  </si>
  <si>
    <t xml:space="preserve">  "PRE2",</t>
  </si>
  <si>
    <t xml:space="preserve">  "PRE3",</t>
  </si>
  <si>
    <t xml:space="preserve">  "SUB",</t>
  </si>
  <si>
    <t xml:space="preserve">  "SUBd",</t>
  </si>
  <si>
    <t xml:space="preserve">  "SUBd-m",</t>
  </si>
  <si>
    <t xml:space="preserve">  "SUBd-sp",</t>
  </si>
  <si>
    <t xml:space="preserve">  "SUBd-sr",</t>
  </si>
  <si>
    <t xml:space="preserve">  "SUBv",</t>
  </si>
  <si>
    <t xml:space="preserve">  "SUBv-m",</t>
  </si>
  <si>
    <t xml:space="preserve">  "SUBv-sp",</t>
  </si>
  <si>
    <t xml:space="preserve">  "SUBv-sr",</t>
  </si>
  <si>
    <t xml:space="preserve">  "ProS",</t>
  </si>
  <si>
    <t xml:space="preserve">  "ProSd",</t>
  </si>
  <si>
    <t xml:space="preserve">  "ProSd-m",</t>
  </si>
  <si>
    <t xml:space="preserve">  "ProSd-sp",</t>
  </si>
  <si>
    <t xml:space="preserve">  "ProSd-sr",</t>
  </si>
  <si>
    <t xml:space="preserve">  "ProSv",</t>
  </si>
  <si>
    <t xml:space="preserve">  "ProSv-m",</t>
  </si>
  <si>
    <t xml:space="preserve">  "ProSv-sp",</t>
  </si>
  <si>
    <t xml:space="preserve">  "Prosv-sr",</t>
  </si>
  <si>
    <t xml:space="preserve">  "HATA",</t>
  </si>
  <si>
    <t xml:space="preserve">  "APr",</t>
  </si>
  <si>
    <t xml:space="preserve">  "CTXsp",</t>
  </si>
  <si>
    <t xml:space="preserve">  "6b",</t>
  </si>
  <si>
    <t xml:space="preserve">  "CLA",</t>
  </si>
  <si>
    <t xml:space="preserve">  "EP",</t>
  </si>
  <si>
    <t xml:space="preserve">  "EPd",</t>
  </si>
  <si>
    <t xml:space="preserve">  "EPv",</t>
  </si>
  <si>
    <t xml:space="preserve">  "LA",</t>
  </si>
  <si>
    <t xml:space="preserve">  "BLA",</t>
  </si>
  <si>
    <t xml:space="preserve">  "BLAa",</t>
  </si>
  <si>
    <t xml:space="preserve">  "BLAp",</t>
  </si>
  <si>
    <t xml:space="preserve">  "BLAv",</t>
  </si>
  <si>
    <t xml:space="preserve">  "BMA",</t>
  </si>
  <si>
    <t xml:space="preserve">  "BMAa",</t>
  </si>
  <si>
    <t xml:space="preserve">  "BMAp",</t>
  </si>
  <si>
    <t xml:space="preserve">  "PA",</t>
  </si>
  <si>
    <t xml:space="preserve">  "CNU",</t>
  </si>
  <si>
    <t xml:space="preserve">  "STR",</t>
  </si>
  <si>
    <t xml:space="preserve">  "STRd",</t>
  </si>
  <si>
    <t xml:space="preserve">  "CP",</t>
  </si>
  <si>
    <t xml:space="preserve">  "STRv",</t>
  </si>
  <si>
    <t xml:space="preserve">  "ACB",</t>
  </si>
  <si>
    <t xml:space="preserve">  "FS",</t>
  </si>
  <si>
    <t xml:space="preserve">  "OT",</t>
  </si>
  <si>
    <t xml:space="preserve">  "isl",</t>
  </si>
  <si>
    <t xml:space="preserve">  "islm",</t>
  </si>
  <si>
    <t xml:space="preserve">  "OT1-3",</t>
  </si>
  <si>
    <t xml:space="preserve">  "OT1",</t>
  </si>
  <si>
    <t xml:space="preserve">  "OT2",</t>
  </si>
  <si>
    <t xml:space="preserve">  "OT3",</t>
  </si>
  <si>
    <t xml:space="preserve">  "LSS",</t>
  </si>
  <si>
    <t xml:space="preserve">  "LSX",</t>
  </si>
  <si>
    <t xml:space="preserve">  "LS",</t>
  </si>
  <si>
    <t xml:space="preserve">  "LSc",</t>
  </si>
  <si>
    <t xml:space="preserve">  "LSr",</t>
  </si>
  <si>
    <t xml:space="preserve">  "LSv",</t>
  </si>
  <si>
    <t xml:space="preserve">  "SF",</t>
  </si>
  <si>
    <t xml:space="preserve">  "SH",</t>
  </si>
  <si>
    <t xml:space="preserve">  "sAMY",</t>
  </si>
  <si>
    <t xml:space="preserve">  "AAA",</t>
  </si>
  <si>
    <t xml:space="preserve">  "BA",</t>
  </si>
  <si>
    <t xml:space="preserve">  "CEA",</t>
  </si>
  <si>
    <t xml:space="preserve">  "CEAc",</t>
  </si>
  <si>
    <t xml:space="preserve">  "CEAl",</t>
  </si>
  <si>
    <t xml:space="preserve">  "CEAm",</t>
  </si>
  <si>
    <t xml:space="preserve">  "IA",</t>
  </si>
  <si>
    <t xml:space="preserve">  "MEA",</t>
  </si>
  <si>
    <t xml:space="preserve">  "MEAad",</t>
  </si>
  <si>
    <t xml:space="preserve">  "MEAav",</t>
  </si>
  <si>
    <t xml:space="preserve">  "MEApd",</t>
  </si>
  <si>
    <t xml:space="preserve">  "MEApd-a",</t>
  </si>
  <si>
    <t xml:space="preserve">  "MEApd-b",</t>
  </si>
  <si>
    <t xml:space="preserve">  "MEApd-c",</t>
  </si>
  <si>
    <t xml:space="preserve">  "MEApv",</t>
  </si>
  <si>
    <t xml:space="preserve">  "PAL",</t>
  </si>
  <si>
    <t xml:space="preserve">  "PALd",</t>
  </si>
  <si>
    <t xml:space="preserve">  "GPe",</t>
  </si>
  <si>
    <t xml:space="preserve">  "GPi",</t>
  </si>
  <si>
    <t xml:space="preserve">  "PALv",</t>
  </si>
  <si>
    <t xml:space="preserve">  "SI",</t>
  </si>
  <si>
    <t xml:space="preserve">  "MA",</t>
  </si>
  <si>
    <t xml:space="preserve">  "PALm",</t>
  </si>
  <si>
    <t xml:space="preserve">  "MSC",</t>
  </si>
  <si>
    <t xml:space="preserve">  "MS",</t>
  </si>
  <si>
    <t xml:space="preserve">  "NDB",</t>
  </si>
  <si>
    <t xml:space="preserve">  "TRS",</t>
  </si>
  <si>
    <t xml:space="preserve">  "PALc",</t>
  </si>
  <si>
    <t xml:space="preserve">  "BST",</t>
  </si>
  <si>
    <t xml:space="preserve">  "BSTa",</t>
  </si>
  <si>
    <t xml:space="preserve">  "BSTal",</t>
  </si>
  <si>
    <t xml:space="preserve">  "BSTam",</t>
  </si>
  <si>
    <t xml:space="preserve">  "BSTdm",</t>
  </si>
  <si>
    <t xml:space="preserve">  "BSTfu",</t>
  </si>
  <si>
    <t xml:space="preserve">  "BSTju",</t>
  </si>
  <si>
    <t xml:space="preserve">  "BSTmg",</t>
  </si>
  <si>
    <t xml:space="preserve">  "BSTov",</t>
  </si>
  <si>
    <t xml:space="preserve">  "BSTrh",</t>
  </si>
  <si>
    <t xml:space="preserve">  "BSTv",</t>
  </si>
  <si>
    <t xml:space="preserve">  "BSTp",</t>
  </si>
  <si>
    <t xml:space="preserve">  "BSTd",</t>
  </si>
  <si>
    <t xml:space="preserve">  "BSTpr",</t>
  </si>
  <si>
    <t xml:space="preserve">  "BSTif",</t>
  </si>
  <si>
    <t xml:space="preserve">  "BSTtr",</t>
  </si>
  <si>
    <t xml:space="preserve">  "BSTse",</t>
  </si>
  <si>
    <t xml:space="preserve">  "BAC",</t>
  </si>
  <si>
    <t xml:space="preserve">  "BS",</t>
  </si>
  <si>
    <t xml:space="preserve">  "IB",</t>
  </si>
  <si>
    <t xml:space="preserve">  "TH",</t>
  </si>
  <si>
    <t xml:space="preserve">  "DORsm",</t>
  </si>
  <si>
    <t xml:space="preserve">  "VENT",</t>
  </si>
  <si>
    <t xml:space="preserve">  "VAL",</t>
  </si>
  <si>
    <t xml:space="preserve">  "VM",</t>
  </si>
  <si>
    <t xml:space="preserve">  "VP",</t>
  </si>
  <si>
    <t xml:space="preserve">  "VPL",</t>
  </si>
  <si>
    <t xml:space="preserve">  "VPLpc",</t>
  </si>
  <si>
    <t xml:space="preserve">  "VPM",</t>
  </si>
  <si>
    <t xml:space="preserve">  "VPMpc",</t>
  </si>
  <si>
    <t xml:space="preserve">  "PoT",</t>
  </si>
  <si>
    <t xml:space="preserve">  "SPF",</t>
  </si>
  <si>
    <t xml:space="preserve">  "SPFm",</t>
  </si>
  <si>
    <t xml:space="preserve">  "SPFp",</t>
  </si>
  <si>
    <t xml:space="preserve">  "SPA",</t>
  </si>
  <si>
    <t xml:space="preserve">  "PP",</t>
  </si>
  <si>
    <t xml:space="preserve">  "GENd",</t>
  </si>
  <si>
    <t xml:space="preserve">  "MG",</t>
  </si>
  <si>
    <t xml:space="preserve">  "MGd",</t>
  </si>
  <si>
    <t xml:space="preserve">  "MGv",</t>
  </si>
  <si>
    <t xml:space="preserve">  "MGm",</t>
  </si>
  <si>
    <t xml:space="preserve">  "LGd",</t>
  </si>
  <si>
    <t xml:space="preserve">  "LGd-sh",</t>
  </si>
  <si>
    <t xml:space="preserve">  "LGd-co",</t>
  </si>
  <si>
    <t xml:space="preserve">  "LGd-ip",</t>
  </si>
  <si>
    <t xml:space="preserve">  "DORpm",</t>
  </si>
  <si>
    <t xml:space="preserve">  "LAT",</t>
  </si>
  <si>
    <t xml:space="preserve">  "LP",</t>
  </si>
  <si>
    <t xml:space="preserve">  "PO",</t>
  </si>
  <si>
    <t xml:space="preserve">  "POL",</t>
  </si>
  <si>
    <t xml:space="preserve">  "SGN",</t>
  </si>
  <si>
    <t xml:space="preserve">  "Eth",</t>
  </si>
  <si>
    <t xml:space="preserve">  "REth",</t>
  </si>
  <si>
    <t xml:space="preserve">  "ATN",</t>
  </si>
  <si>
    <t xml:space="preserve">  "AV",</t>
  </si>
  <si>
    <t xml:space="preserve">  "AM",</t>
  </si>
  <si>
    <t xml:space="preserve">  "AMd",</t>
  </si>
  <si>
    <t xml:space="preserve">  "AMv",</t>
  </si>
  <si>
    <t xml:space="preserve">  "AD",</t>
  </si>
  <si>
    <t xml:space="preserve">  "IAM",</t>
  </si>
  <si>
    <t xml:space="preserve">  "IAD",</t>
  </si>
  <si>
    <t xml:space="preserve">  "LD",</t>
  </si>
  <si>
    <t xml:space="preserve">  "MED",</t>
  </si>
  <si>
    <t xml:space="preserve">  "IMD",</t>
  </si>
  <si>
    <t xml:space="preserve">  "MD",</t>
  </si>
  <si>
    <t xml:space="preserve">  "MDc",</t>
  </si>
  <si>
    <t xml:space="preserve">  "MDl",</t>
  </si>
  <si>
    <t xml:space="preserve">  "MDm",</t>
  </si>
  <si>
    <t xml:space="preserve">  "SMT",</t>
  </si>
  <si>
    <t xml:space="preserve">  "PR",</t>
  </si>
  <si>
    <t xml:space="preserve">  "MTN",</t>
  </si>
  <si>
    <t xml:space="preserve">  "PVT",</t>
  </si>
  <si>
    <t xml:space="preserve">  "PT",</t>
  </si>
  <si>
    <t xml:space="preserve">  "RE",</t>
  </si>
  <si>
    <t xml:space="preserve">  "Xi",</t>
  </si>
  <si>
    <t xml:space="preserve">  "ILM",</t>
  </si>
  <si>
    <t xml:space="preserve">  "RH",</t>
  </si>
  <si>
    <t xml:space="preserve">  "CM",</t>
  </si>
  <si>
    <t xml:space="preserve">  "PCN",</t>
  </si>
  <si>
    <t xml:space="preserve">  "CL",</t>
  </si>
  <si>
    <t xml:space="preserve">  "PF",</t>
  </si>
  <si>
    <t xml:space="preserve">  "PIL",</t>
  </si>
  <si>
    <t xml:space="preserve">  "RT",</t>
  </si>
  <si>
    <t xml:space="preserve">  "GENv",</t>
  </si>
  <si>
    <t xml:space="preserve">  "IGL",</t>
  </si>
  <si>
    <t xml:space="preserve">  "IntG",</t>
  </si>
  <si>
    <t xml:space="preserve">  "LGv",</t>
  </si>
  <si>
    <t xml:space="preserve">  "LGvl",</t>
  </si>
  <si>
    <t xml:space="preserve">  "LGvm",</t>
  </si>
  <si>
    <t xml:space="preserve">  "SubG",</t>
  </si>
  <si>
    <t xml:space="preserve">  "EPI",</t>
  </si>
  <si>
    <t xml:space="preserve">  "MH",</t>
  </si>
  <si>
    <t xml:space="preserve">  "LH",</t>
  </si>
  <si>
    <t xml:space="preserve">  "PIN",</t>
  </si>
  <si>
    <t xml:space="preserve">  "HY",</t>
  </si>
  <si>
    <t xml:space="preserve">  "PVZ",</t>
  </si>
  <si>
    <t xml:space="preserve">  "SO",</t>
  </si>
  <si>
    <t xml:space="preserve">  "ASO",</t>
  </si>
  <si>
    <t xml:space="preserve">  "NC",</t>
  </si>
  <si>
    <t xml:space="preserve">  "PVH",</t>
  </si>
  <si>
    <t xml:space="preserve">  "PVHm",</t>
  </si>
  <si>
    <t xml:space="preserve">  "PVHam",</t>
  </si>
  <si>
    <t xml:space="preserve">  "PVHmm",</t>
  </si>
  <si>
    <t xml:space="preserve">  "PVHpm",</t>
  </si>
  <si>
    <t xml:space="preserve">  "PVHpml",</t>
  </si>
  <si>
    <t xml:space="preserve">  "PVHpmm",</t>
  </si>
  <si>
    <t xml:space="preserve">  "PVHp",</t>
  </si>
  <si>
    <t xml:space="preserve">  "PVHap",</t>
  </si>
  <si>
    <t xml:space="preserve">  "PVHmpd",</t>
  </si>
  <si>
    <t xml:space="preserve">  "PVHpv",</t>
  </si>
  <si>
    <t xml:space="preserve">  "PVa",</t>
  </si>
  <si>
    <t xml:space="preserve">  "PVi",</t>
  </si>
  <si>
    <t xml:space="preserve">  "ARH",</t>
  </si>
  <si>
    <t xml:space="preserve">  "PVR",</t>
  </si>
  <si>
    <t xml:space="preserve">  "ADP",</t>
  </si>
  <si>
    <t xml:space="preserve">  "AHA",</t>
  </si>
  <si>
    <t xml:space="preserve">  "AVP",</t>
  </si>
  <si>
    <t xml:space="preserve">  "AVPV",</t>
  </si>
  <si>
    <t xml:space="preserve">  "DMH",</t>
  </si>
  <si>
    <t xml:space="preserve">  "DMHa",</t>
  </si>
  <si>
    <t xml:space="preserve">  "DMHp",</t>
  </si>
  <si>
    <t xml:space="preserve">  "DMHv",</t>
  </si>
  <si>
    <t xml:space="preserve">  "MEPO",</t>
  </si>
  <si>
    <t xml:space="preserve">  "MPO",</t>
  </si>
  <si>
    <t xml:space="preserve">  "OV",</t>
  </si>
  <si>
    <t xml:space="preserve">  "PD",</t>
  </si>
  <si>
    <t xml:space="preserve">  "PS",</t>
  </si>
  <si>
    <t xml:space="preserve">  "PSCH",</t>
  </si>
  <si>
    <t xml:space="preserve">  "PVp",</t>
  </si>
  <si>
    <t xml:space="preserve">  "PVpo",</t>
  </si>
  <si>
    <t xml:space="preserve">  "SBPV",</t>
  </si>
  <si>
    <t xml:space="preserve">  "SCH",</t>
  </si>
  <si>
    <t xml:space="preserve">  "SFO",</t>
  </si>
  <si>
    <t xml:space="preserve">  "VMPO",</t>
  </si>
  <si>
    <t xml:space="preserve">  "VLPO",</t>
  </si>
  <si>
    <t xml:space="preserve">  "MEZ",</t>
  </si>
  <si>
    <t xml:space="preserve">  "AHN",</t>
  </si>
  <si>
    <t xml:space="preserve">  "AHNa",</t>
  </si>
  <si>
    <t xml:space="preserve">  "AHNc",</t>
  </si>
  <si>
    <t xml:space="preserve">  "AHNd",</t>
  </si>
  <si>
    <t xml:space="preserve">  "AHNp",</t>
  </si>
  <si>
    <t xml:space="preserve">  "MBO",</t>
  </si>
  <si>
    <t xml:space="preserve">  "LM",</t>
  </si>
  <si>
    <t xml:space="preserve">  "MM",</t>
  </si>
  <si>
    <t xml:space="preserve">  "Mmme",</t>
  </si>
  <si>
    <t xml:space="preserve">  "Mml",</t>
  </si>
  <si>
    <t xml:space="preserve">  "Mmm",</t>
  </si>
  <si>
    <t xml:space="preserve">  "Mmp",</t>
  </si>
  <si>
    <t xml:space="preserve">  "Mmd",</t>
  </si>
  <si>
    <t xml:space="preserve">  "SUM",</t>
  </si>
  <si>
    <t xml:space="preserve">  "SUMl",</t>
  </si>
  <si>
    <t xml:space="preserve">  "SUMm",</t>
  </si>
  <si>
    <t xml:space="preserve">  "TM",</t>
  </si>
  <si>
    <t xml:space="preserve">  "TMd",</t>
  </si>
  <si>
    <t xml:space="preserve">  "TMv",</t>
  </si>
  <si>
    <t xml:space="preserve">  "MPN",</t>
  </si>
  <si>
    <t xml:space="preserve">  "MPNc",</t>
  </si>
  <si>
    <t xml:space="preserve">  "MPNl",</t>
  </si>
  <si>
    <t xml:space="preserve">  "MPNm",</t>
  </si>
  <si>
    <t xml:space="preserve">  "PMd",</t>
  </si>
  <si>
    <t xml:space="preserve">  "PMv",</t>
  </si>
  <si>
    <t xml:space="preserve">  "PVHd",</t>
  </si>
  <si>
    <t xml:space="preserve">  "PVHdp",</t>
  </si>
  <si>
    <t xml:space="preserve">  "PVHf",</t>
  </si>
  <si>
    <t xml:space="preserve">  "PVHlp",</t>
  </si>
  <si>
    <t xml:space="preserve">  "PVHmpv",</t>
  </si>
  <si>
    <t xml:space="preserve">  "VMH",</t>
  </si>
  <si>
    <t xml:space="preserve">  "VMHa",</t>
  </si>
  <si>
    <t xml:space="preserve">  "VMHc",</t>
  </si>
  <si>
    <t xml:space="preserve">  "VMHdm",</t>
  </si>
  <si>
    <t xml:space="preserve">  "VMHvl",</t>
  </si>
  <si>
    <t xml:space="preserve">  "PH",</t>
  </si>
  <si>
    <t xml:space="preserve">  "LZ",</t>
  </si>
  <si>
    <t xml:space="preserve">  "LHA",</t>
  </si>
  <si>
    <t xml:space="preserve">  "LPO",</t>
  </si>
  <si>
    <t xml:space="preserve">  "PST",</t>
  </si>
  <si>
    <t xml:space="preserve">  "PSTN",</t>
  </si>
  <si>
    <t xml:space="preserve">  "PeF",</t>
  </si>
  <si>
    <t xml:space="preserve">  "RCH",</t>
  </si>
  <si>
    <t xml:space="preserve">  "STN",</t>
  </si>
  <si>
    <t xml:space="preserve">  "TU",</t>
  </si>
  <si>
    <t xml:space="preserve">  "ZI",</t>
  </si>
  <si>
    <t xml:space="preserve">  "A13",</t>
  </si>
  <si>
    <t xml:space="preserve">  "FF",</t>
  </si>
  <si>
    <t xml:space="preserve">  "ME",</t>
  </si>
  <si>
    <t xml:space="preserve">  "MB",</t>
  </si>
  <si>
    <t xml:space="preserve">  "MBsen",</t>
  </si>
  <si>
    <t xml:space="preserve">  "SCs",</t>
  </si>
  <si>
    <t xml:space="preserve">  "SCop",</t>
  </si>
  <si>
    <t xml:space="preserve">  "SCsg",</t>
  </si>
  <si>
    <t xml:space="preserve">  "SCzo",</t>
  </si>
  <si>
    <t xml:space="preserve">  "IC",</t>
  </si>
  <si>
    <t xml:space="preserve">  "ICc",</t>
  </si>
  <si>
    <t xml:space="preserve">  "ICd",</t>
  </si>
  <si>
    <t xml:space="preserve">  "ICe",</t>
  </si>
  <si>
    <t xml:space="preserve">  "NB",</t>
  </si>
  <si>
    <t xml:space="preserve">  "SAG",</t>
  </si>
  <si>
    <t xml:space="preserve">  "PBG",</t>
  </si>
  <si>
    <t xml:space="preserve">  "MEV",</t>
  </si>
  <si>
    <t xml:space="preserve">  "SCO",</t>
  </si>
  <si>
    <t xml:space="preserve">  "MBmot",</t>
  </si>
  <si>
    <t xml:space="preserve">  "SNr",</t>
  </si>
  <si>
    <t xml:space="preserve">  "VTA",</t>
  </si>
  <si>
    <t xml:space="preserve">  "PN",</t>
  </si>
  <si>
    <t xml:space="preserve">  "RR",</t>
  </si>
  <si>
    <t xml:space="preserve">  "MRN",</t>
  </si>
  <si>
    <t xml:space="preserve">  "MRNm",</t>
  </si>
  <si>
    <t xml:space="preserve">  "MRNmg",</t>
  </si>
  <si>
    <t xml:space="preserve">  "MRNp",</t>
  </si>
  <si>
    <t xml:space="preserve">  "SCm",</t>
  </si>
  <si>
    <t xml:space="preserve">  "SCdg",</t>
  </si>
  <si>
    <t xml:space="preserve">  "SCdw",</t>
  </si>
  <si>
    <t xml:space="preserve">  "SCiw",</t>
  </si>
  <si>
    <t xml:space="preserve">  "SCig",</t>
  </si>
  <si>
    <t xml:space="preserve">  "SCig-a",</t>
  </si>
  <si>
    <t xml:space="preserve">  "SCig-b",</t>
  </si>
  <si>
    <t xml:space="preserve">  "SCig-c",</t>
  </si>
  <si>
    <t xml:space="preserve">  "PAG",</t>
  </si>
  <si>
    <t xml:space="preserve">  "PRC",</t>
  </si>
  <si>
    <t xml:space="preserve">  "INC",</t>
  </si>
  <si>
    <t xml:space="preserve">  "ND",</t>
  </si>
  <si>
    <t xml:space="preserve">  "Su3",</t>
  </si>
  <si>
    <t xml:space="preserve">  "PRT",</t>
  </si>
  <si>
    <t xml:space="preserve">  "APN",</t>
  </si>
  <si>
    <t xml:space="preserve">  "MPT",</t>
  </si>
  <si>
    <t xml:space="preserve">  "NOT",</t>
  </si>
  <si>
    <t xml:space="preserve">  "NPC",</t>
  </si>
  <si>
    <t xml:space="preserve">  "OP",</t>
  </si>
  <si>
    <t xml:space="preserve">  "PPT",</t>
  </si>
  <si>
    <t xml:space="preserve">  "RPF",</t>
  </si>
  <si>
    <t xml:space="preserve">  "InCo",</t>
  </si>
  <si>
    <t xml:space="preserve">  "CUN",</t>
  </si>
  <si>
    <t xml:space="preserve">  "RN",</t>
  </si>
  <si>
    <t xml:space="preserve">  "III",</t>
  </si>
  <si>
    <t xml:space="preserve">  "MA3",</t>
  </si>
  <si>
    <t xml:space="preserve">  "EW",</t>
  </si>
  <si>
    <t xml:space="preserve">  "IV",</t>
  </si>
  <si>
    <t xml:space="preserve">  "Pa4",</t>
  </si>
  <si>
    <t xml:space="preserve">  "VTN",</t>
  </si>
  <si>
    <t xml:space="preserve">  "AT",</t>
  </si>
  <si>
    <t xml:space="preserve">  "LT",</t>
  </si>
  <si>
    <t xml:space="preserve">  "DT",</t>
  </si>
  <si>
    <t xml:space="preserve">  "MT",</t>
  </si>
  <si>
    <t xml:space="preserve">  "SNl",</t>
  </si>
  <si>
    <t xml:space="preserve">  "MBsta",</t>
  </si>
  <si>
    <t xml:space="preserve">  "SNc",</t>
  </si>
  <si>
    <t xml:space="preserve">  "PPN",</t>
  </si>
  <si>
    <t xml:space="preserve">  "RAmb",</t>
  </si>
  <si>
    <t xml:space="preserve">  "IF",</t>
  </si>
  <si>
    <t xml:space="preserve">  "IPN",</t>
  </si>
  <si>
    <t xml:space="preserve">  "IPR",</t>
  </si>
  <si>
    <t xml:space="preserve">  "IPC",</t>
  </si>
  <si>
    <t xml:space="preserve">  "IPA",</t>
  </si>
  <si>
    <t xml:space="preserve">  "IPL",</t>
  </si>
  <si>
    <t xml:space="preserve">  "IPI",</t>
  </si>
  <si>
    <t xml:space="preserve">  "IPDM",</t>
  </si>
  <si>
    <t xml:space="preserve">  "IPDL",</t>
  </si>
  <si>
    <t xml:space="preserve">  "IPRL",</t>
  </si>
  <si>
    <t xml:space="preserve">  "RL",</t>
  </si>
  <si>
    <t xml:space="preserve">  "CLI",</t>
  </si>
  <si>
    <t xml:space="preserve">  "DR",</t>
  </si>
  <si>
    <t xml:space="preserve">  "HB",</t>
  </si>
  <si>
    <t xml:space="preserve">  "P",</t>
  </si>
  <si>
    <t xml:space="preserve">  "P-sen",</t>
  </si>
  <si>
    <t xml:space="preserve">  "NLL",</t>
  </si>
  <si>
    <t xml:space="preserve">  "NLLd",</t>
  </si>
  <si>
    <t xml:space="preserve">  "NLLh",</t>
  </si>
  <si>
    <t xml:space="preserve">  "NLLv",</t>
  </si>
  <si>
    <t xml:space="preserve">  "PSV",</t>
  </si>
  <si>
    <t xml:space="preserve">  "PB",</t>
  </si>
  <si>
    <t xml:space="preserve">  "KF",</t>
  </si>
  <si>
    <t xml:space="preserve">  "PBl",</t>
  </si>
  <si>
    <t xml:space="preserve">  "PBlc",</t>
  </si>
  <si>
    <t xml:space="preserve">  "PBld",</t>
  </si>
  <si>
    <t xml:space="preserve">  "PBle",</t>
  </si>
  <si>
    <t xml:space="preserve">  "PBls",</t>
  </si>
  <si>
    <t xml:space="preserve">  "PBlv",</t>
  </si>
  <si>
    <t xml:space="preserve">  "PBm",</t>
  </si>
  <si>
    <t xml:space="preserve">  "PBme",</t>
  </si>
  <si>
    <t xml:space="preserve">  "PBmm",</t>
  </si>
  <si>
    <t xml:space="preserve">  "PBmv",</t>
  </si>
  <si>
    <t xml:space="preserve">  "SOC",</t>
  </si>
  <si>
    <t xml:space="preserve">  "POR",</t>
  </si>
  <si>
    <t xml:space="preserve">  "SOCm",</t>
  </si>
  <si>
    <t xml:space="preserve">  "SOCl",</t>
  </si>
  <si>
    <t xml:space="preserve">  "P-mot",</t>
  </si>
  <si>
    <t xml:space="preserve">  "B",</t>
  </si>
  <si>
    <t xml:space="preserve">  "DTN",</t>
  </si>
  <si>
    <t xml:space="preserve">  "LTN",</t>
  </si>
  <si>
    <t xml:space="preserve">  "PDTg",</t>
  </si>
  <si>
    <t xml:space="preserve">  "PCG",</t>
  </si>
  <si>
    <t xml:space="preserve">  "PG",</t>
  </si>
  <si>
    <t xml:space="preserve">  "PRNc",</t>
  </si>
  <si>
    <t xml:space="preserve">  "PRNv",</t>
  </si>
  <si>
    <t xml:space="preserve">  "SG",</t>
  </si>
  <si>
    <t xml:space="preserve">  "SSN",</t>
  </si>
  <si>
    <t xml:space="preserve">  "SUT",</t>
  </si>
  <si>
    <t xml:space="preserve">  "TRN",</t>
  </si>
  <si>
    <t xml:space="preserve">  "V",</t>
  </si>
  <si>
    <t xml:space="preserve">  "P5",</t>
  </si>
  <si>
    <t xml:space="preserve">  "Acs5",</t>
  </si>
  <si>
    <t xml:space="preserve">  "PC5",</t>
  </si>
  <si>
    <t xml:space="preserve">  "I5",</t>
  </si>
  <si>
    <t xml:space="preserve">  "P-sat",</t>
  </si>
  <si>
    <t xml:space="preserve">  "CS",</t>
  </si>
  <si>
    <t xml:space="preserve">  "CSl",</t>
  </si>
  <si>
    <t xml:space="preserve">  "CSm",</t>
  </si>
  <si>
    <t xml:space="preserve">  "LC",</t>
  </si>
  <si>
    <t xml:space="preserve">  "LDT",</t>
  </si>
  <si>
    <t xml:space="preserve">  "NI",</t>
  </si>
  <si>
    <t xml:space="preserve">  "PRNr",</t>
  </si>
  <si>
    <t xml:space="preserve">  "RPO",</t>
  </si>
  <si>
    <t xml:space="preserve">  "SLC",</t>
  </si>
  <si>
    <t xml:space="preserve">  "SLD",</t>
  </si>
  <si>
    <t xml:space="preserve">  "MY",</t>
  </si>
  <si>
    <t xml:space="preserve">  "MY-sen",</t>
  </si>
  <si>
    <t xml:space="preserve">  "AP",</t>
  </si>
  <si>
    <t xml:space="preserve">  "CN",</t>
  </si>
  <si>
    <t xml:space="preserve">  "CNlam",</t>
  </si>
  <si>
    <t xml:space="preserve">  "CNspg",</t>
  </si>
  <si>
    <t xml:space="preserve">  "DCO",</t>
  </si>
  <si>
    <t xml:space="preserve">  "VCO",</t>
  </si>
  <si>
    <t xml:space="preserve">  "DCN",</t>
  </si>
  <si>
    <t xml:space="preserve">  "CU",</t>
  </si>
  <si>
    <t xml:space="preserve">  "GR",</t>
  </si>
  <si>
    <t xml:space="preserve">  "ECU",</t>
  </si>
  <si>
    <t xml:space="preserve">  "NTB",</t>
  </si>
  <si>
    <t xml:space="preserve">  "NTS",</t>
  </si>
  <si>
    <t xml:space="preserve">  "NTSce",</t>
  </si>
  <si>
    <t xml:space="preserve">  "NTSco",</t>
  </si>
  <si>
    <t xml:space="preserve">  "NTSge",</t>
  </si>
  <si>
    <t xml:space="preserve">  "NTSl",</t>
  </si>
  <si>
    <t xml:space="preserve">  "NTSm",</t>
  </si>
  <si>
    <t xml:space="preserve">  "SPVC",</t>
  </si>
  <si>
    <t xml:space="preserve">  "SPVI",</t>
  </si>
  <si>
    <t xml:space="preserve">  "SPVO",</t>
  </si>
  <si>
    <t xml:space="preserve">  "SPVOcdm",</t>
  </si>
  <si>
    <t xml:space="preserve">  "SPVOmdmd",</t>
  </si>
  <si>
    <t xml:space="preserve">  "SPVOmdmv",</t>
  </si>
  <si>
    <t xml:space="preserve">  "SPVOrdm",</t>
  </si>
  <si>
    <t xml:space="preserve">  "SPVOvl",</t>
  </si>
  <si>
    <t xml:space="preserve">  "Pa5",</t>
  </si>
  <si>
    <t xml:space="preserve">  "z",</t>
  </si>
  <si>
    <t xml:space="preserve">  "MY-mot",</t>
  </si>
  <si>
    <t xml:space="preserve">  "VI",</t>
  </si>
  <si>
    <t xml:space="preserve">  "ACVI",</t>
  </si>
  <si>
    <t xml:space="preserve">  "VII",</t>
  </si>
  <si>
    <t xml:space="preserve">  "ACVII",</t>
  </si>
  <si>
    <t xml:space="preserve">  "EV",</t>
  </si>
  <si>
    <t xml:space="preserve">  "AMB",</t>
  </si>
  <si>
    <t xml:space="preserve">  "AMBd",</t>
  </si>
  <si>
    <t xml:space="preserve">  "AMBv",</t>
  </si>
  <si>
    <t xml:space="preserve">  "DMX",</t>
  </si>
  <si>
    <t xml:space="preserve">  "ECO",</t>
  </si>
  <si>
    <t xml:space="preserve">  "GRN",</t>
  </si>
  <si>
    <t xml:space="preserve">  "ICB",</t>
  </si>
  <si>
    <t xml:space="preserve">  "IO",</t>
  </si>
  <si>
    <t xml:space="preserve">  "IRN",</t>
  </si>
  <si>
    <t xml:space="preserve">  "ISN",</t>
  </si>
  <si>
    <t xml:space="preserve">  "LIN",</t>
  </si>
  <si>
    <t xml:space="preserve">  "LRN",</t>
  </si>
  <si>
    <t xml:space="preserve">  "LRNm",</t>
  </si>
  <si>
    <t xml:space="preserve">  "LRNp",</t>
  </si>
  <si>
    <t xml:space="preserve">  "MARN",</t>
  </si>
  <si>
    <t xml:space="preserve">  "MDRN",</t>
  </si>
  <si>
    <t xml:space="preserve">  "MDRNd",</t>
  </si>
  <si>
    <t xml:space="preserve">  "MDRNv",</t>
  </si>
  <si>
    <t xml:space="preserve">  "PARN",</t>
  </si>
  <si>
    <t xml:space="preserve">  "PAS",</t>
  </si>
  <si>
    <t xml:space="preserve">  "PGRN",</t>
  </si>
  <si>
    <t xml:space="preserve">  "PGRNd",</t>
  </si>
  <si>
    <t xml:space="preserve">  "PGRNl",</t>
  </si>
  <si>
    <t xml:space="preserve">  "PHY",</t>
  </si>
  <si>
    <t xml:space="preserve">  "NIS",</t>
  </si>
  <si>
    <t xml:space="preserve">  "NR",</t>
  </si>
  <si>
    <t xml:space="preserve">  "PRP",</t>
  </si>
  <si>
    <t xml:space="preserve">  "PMR",</t>
  </si>
  <si>
    <t xml:space="preserve">  "PPY",</t>
  </si>
  <si>
    <t xml:space="preserve">  "PPYd",</t>
  </si>
  <si>
    <t xml:space="preserve">  "PPYs",</t>
  </si>
  <si>
    <t xml:space="preserve">  "VNC",</t>
  </si>
  <si>
    <t xml:space="preserve">  "LAV",</t>
  </si>
  <si>
    <t xml:space="preserve">  "MV",</t>
  </si>
  <si>
    <t xml:space="preserve">  "SPIV",</t>
  </si>
  <si>
    <t xml:space="preserve">  "SUV",</t>
  </si>
  <si>
    <t xml:space="preserve">  "x",</t>
  </si>
  <si>
    <t xml:space="preserve">  "XII",</t>
  </si>
  <si>
    <t xml:space="preserve">  "y",</t>
  </si>
  <si>
    <t xml:space="preserve">  "INV",</t>
  </si>
  <si>
    <t xml:space="preserve">  "MY-sat",</t>
  </si>
  <si>
    <t xml:space="preserve">  "RM",</t>
  </si>
  <si>
    <t xml:space="preserve">  "RPA",</t>
  </si>
  <si>
    <t xml:space="preserve">  "RO",</t>
  </si>
  <si>
    <t xml:space="preserve">  "CB",</t>
  </si>
  <si>
    <t xml:space="preserve">  "CBX",</t>
  </si>
  <si>
    <t xml:space="preserve">  "CBXmo",</t>
  </si>
  <si>
    <t xml:space="preserve">  "CBXpu",</t>
  </si>
  <si>
    <t xml:space="preserve">  "CBXgr",</t>
  </si>
  <si>
    <t xml:space="preserve">  "VERM",</t>
  </si>
  <si>
    <t xml:space="preserve">  "LING",</t>
  </si>
  <si>
    <t xml:space="preserve">  "LINGmo",</t>
  </si>
  <si>
    <t xml:space="preserve">  "LINGpu",</t>
  </si>
  <si>
    <t xml:space="preserve">  "LINGgr",</t>
  </si>
  <si>
    <t xml:space="preserve">  "CENT",</t>
  </si>
  <si>
    <t xml:space="preserve">  "CENT2",</t>
  </si>
  <si>
    <t xml:space="preserve">  "CENT2mo",</t>
  </si>
  <si>
    <t xml:space="preserve">  "CENT2pu",</t>
  </si>
  <si>
    <t xml:space="preserve">  "CENT2gr",</t>
  </si>
  <si>
    <t xml:space="preserve">  "CENT3",</t>
  </si>
  <si>
    <t xml:space="preserve">  "CENT3mo",</t>
  </si>
  <si>
    <t xml:space="preserve">  "CENT3pu",</t>
  </si>
  <si>
    <t xml:space="preserve">  "CENT3gr",</t>
  </si>
  <si>
    <t xml:space="preserve">  "CUL",</t>
  </si>
  <si>
    <t xml:space="preserve">  "CUL4",</t>
  </si>
  <si>
    <t xml:space="preserve">  "CUL4mo",</t>
  </si>
  <si>
    <t xml:space="preserve">  "CUL4pu",</t>
  </si>
  <si>
    <t xml:space="preserve">  "CUL4gr",</t>
  </si>
  <si>
    <t xml:space="preserve">  "CUL5",</t>
  </si>
  <si>
    <t xml:space="preserve">  "CUL5mo",</t>
  </si>
  <si>
    <t xml:space="preserve">  "CUL5pu",</t>
  </si>
  <si>
    <t xml:space="preserve">  "CUL5gr",</t>
  </si>
  <si>
    <t xml:space="preserve">  "CUL4, 5",</t>
  </si>
  <si>
    <t xml:space="preserve">  "CUL4, 5mo",</t>
  </si>
  <si>
    <t xml:space="preserve">  "CUL4, 5pu",</t>
  </si>
  <si>
    <t xml:space="preserve">  "CUL4, 5gr",</t>
  </si>
  <si>
    <t xml:space="preserve">  "DEC",</t>
  </si>
  <si>
    <t xml:space="preserve">  "DECmo",</t>
  </si>
  <si>
    <t xml:space="preserve">  "DECpu",</t>
  </si>
  <si>
    <t xml:space="preserve">  "DECgr",</t>
  </si>
  <si>
    <t xml:space="preserve">  "FOTU",</t>
  </si>
  <si>
    <t xml:space="preserve">  "FOTUmo",</t>
  </si>
  <si>
    <t xml:space="preserve">  "FOTUpu",</t>
  </si>
  <si>
    <t xml:space="preserve">  "FOTUgr",</t>
  </si>
  <si>
    <t xml:space="preserve">  "PYR",</t>
  </si>
  <si>
    <t xml:space="preserve">  "PYRmo",</t>
  </si>
  <si>
    <t xml:space="preserve">  "PYRpu",</t>
  </si>
  <si>
    <t xml:space="preserve">  "PYRgr",</t>
  </si>
  <si>
    <t xml:space="preserve">  "UVU",</t>
  </si>
  <si>
    <t xml:space="preserve">  "UVUmo",</t>
  </si>
  <si>
    <t xml:space="preserve">  "UVUpu",</t>
  </si>
  <si>
    <t xml:space="preserve">  "UVUgr",</t>
  </si>
  <si>
    <t xml:space="preserve">  "NOD",</t>
  </si>
  <si>
    <t xml:space="preserve">  "NODmo",</t>
  </si>
  <si>
    <t xml:space="preserve">  "NODpu",</t>
  </si>
  <si>
    <t xml:space="preserve">  "NODgr",</t>
  </si>
  <si>
    <t xml:space="preserve">  "HEM",</t>
  </si>
  <si>
    <t xml:space="preserve">  "SIM",</t>
  </si>
  <si>
    <t xml:space="preserve">  "SIMmo",</t>
  </si>
  <si>
    <t xml:space="preserve">  "SIMpu",</t>
  </si>
  <si>
    <t xml:space="preserve">  "SIMgr",</t>
  </si>
  <si>
    <t xml:space="preserve">  "AN",</t>
  </si>
  <si>
    <t xml:space="preserve">  "ANcr1",</t>
  </si>
  <si>
    <t xml:space="preserve">  "ANcr1mo",</t>
  </si>
  <si>
    <t xml:space="preserve">  "ANcr1pu",</t>
  </si>
  <si>
    <t xml:space="preserve">  "ANcr1gr",</t>
  </si>
  <si>
    <t xml:space="preserve">  "ANcr2",</t>
  </si>
  <si>
    <t xml:space="preserve">  "ANcr2mo",</t>
  </si>
  <si>
    <t xml:space="preserve">  "ANcr2pu",</t>
  </si>
  <si>
    <t xml:space="preserve">  "ANcr2gr",</t>
  </si>
  <si>
    <t xml:space="preserve">  "PRM",</t>
  </si>
  <si>
    <t xml:space="preserve">  "PRMmo",</t>
  </si>
  <si>
    <t xml:space="preserve">  "PRMpu",</t>
  </si>
  <si>
    <t xml:space="preserve">  "PRMgr",</t>
  </si>
  <si>
    <t xml:space="preserve">  "COPY",</t>
  </si>
  <si>
    <t xml:space="preserve">  "COPYmo",</t>
  </si>
  <si>
    <t xml:space="preserve">  "COPYpu",</t>
  </si>
  <si>
    <t xml:space="preserve">  "COPYgr",</t>
  </si>
  <si>
    <t xml:space="preserve">  "PFL",</t>
  </si>
  <si>
    <t xml:space="preserve">  "PFLmo",</t>
  </si>
  <si>
    <t xml:space="preserve">  "PFLpu",</t>
  </si>
  <si>
    <t xml:space="preserve">  "PFLgr",</t>
  </si>
  <si>
    <t xml:space="preserve">  "FL",</t>
  </si>
  <si>
    <t xml:space="preserve">  "FLmo",</t>
  </si>
  <si>
    <t xml:space="preserve">  "FLpu",</t>
  </si>
  <si>
    <t xml:space="preserve">  "FLgr",</t>
  </si>
  <si>
    <t xml:space="preserve">  "CBN",</t>
  </si>
  <si>
    <t xml:space="preserve">  "FN",</t>
  </si>
  <si>
    <t xml:space="preserve">  "IP",</t>
  </si>
  <si>
    <t xml:space="preserve">  "DN",</t>
  </si>
  <si>
    <t xml:space="preserve">  "VeCB",</t>
  </si>
  <si>
    <t xml:space="preserve">  "fiber tracts",</t>
  </si>
  <si>
    <t xml:space="preserve">  "cm",</t>
  </si>
  <si>
    <t xml:space="preserve">  "tn",</t>
  </si>
  <si>
    <t xml:space="preserve">  "von",</t>
  </si>
  <si>
    <t xml:space="preserve">  "In",</t>
  </si>
  <si>
    <t xml:space="preserve">  "onl",</t>
  </si>
  <si>
    <t xml:space="preserve">  "lotg",</t>
  </si>
  <si>
    <t xml:space="preserve">  "lot",</t>
  </si>
  <si>
    <t xml:space="preserve">  "lotd",</t>
  </si>
  <si>
    <t xml:space="preserve">  "aolt",</t>
  </si>
  <si>
    <t xml:space="preserve">  "aco",</t>
  </si>
  <si>
    <t xml:space="preserve">  "IIn",</t>
  </si>
  <si>
    <t xml:space="preserve">  "aot",</t>
  </si>
  <si>
    <t xml:space="preserve">  "bsc",</t>
  </si>
  <si>
    <t xml:space="preserve">  "csc",</t>
  </si>
  <si>
    <t xml:space="preserve">  "och",</t>
  </si>
  <si>
    <t xml:space="preserve">  "opt",</t>
  </si>
  <si>
    <t xml:space="preserve">  "ttp",</t>
  </si>
  <si>
    <t xml:space="preserve">  "IIIn",</t>
  </si>
  <si>
    <t xml:space="preserve">  "mlf",</t>
  </si>
  <si>
    <t xml:space="preserve">  "pc",</t>
  </si>
  <si>
    <t xml:space="preserve">  "IVn",</t>
  </si>
  <si>
    <t xml:space="preserve">  "IVd",</t>
  </si>
  <si>
    <t xml:space="preserve">  "VIn",</t>
  </si>
  <si>
    <t xml:space="preserve">  "Vn",</t>
  </si>
  <si>
    <t xml:space="preserve">  "moV",</t>
  </si>
  <si>
    <t xml:space="preserve">  "sV",</t>
  </si>
  <si>
    <t xml:space="preserve">  "mtV",</t>
  </si>
  <si>
    <t xml:space="preserve">  "sptV",</t>
  </si>
  <si>
    <t xml:space="preserve">  "VIIn",</t>
  </si>
  <si>
    <t xml:space="preserve">  "iVIIn",</t>
  </si>
  <si>
    <t xml:space="preserve">  "gVIIn",</t>
  </si>
  <si>
    <t xml:space="preserve">  "VIIIn",</t>
  </si>
  <si>
    <t xml:space="preserve">  "cvb",</t>
  </si>
  <si>
    <t xml:space="preserve">  "vVIIIn",</t>
  </si>
  <si>
    <t xml:space="preserve">  "cVIIIn",</t>
  </si>
  <si>
    <t xml:space="preserve">  "tb",</t>
  </si>
  <si>
    <t xml:space="preserve">  "ias",</t>
  </si>
  <si>
    <t xml:space="preserve">  "das",</t>
  </si>
  <si>
    <t xml:space="preserve">  "ll",</t>
  </si>
  <si>
    <t xml:space="preserve">  "cic",</t>
  </si>
  <si>
    <t xml:space="preserve">  "bic",</t>
  </si>
  <si>
    <t xml:space="preserve">  "IXn",</t>
  </si>
  <si>
    <t xml:space="preserve">  "Xn",</t>
  </si>
  <si>
    <t xml:space="preserve">  "ts",</t>
  </si>
  <si>
    <t xml:space="preserve">  "XIn",</t>
  </si>
  <si>
    <t xml:space="preserve">  "XIIn",</t>
  </si>
  <si>
    <t xml:space="preserve">  "vrt",</t>
  </si>
  <si>
    <t xml:space="preserve">  "drt",</t>
  </si>
  <si>
    <t xml:space="preserve">  "cett",</t>
  </si>
  <si>
    <t xml:space="preserve">  "dl",</t>
  </si>
  <si>
    <t xml:space="preserve">  "dcm",</t>
  </si>
  <si>
    <t xml:space="preserve">  "vc",</t>
  </si>
  <si>
    <t xml:space="preserve">  "fpr",</t>
  </si>
  <si>
    <t xml:space="preserve">  "dc",</t>
  </si>
  <si>
    <t xml:space="preserve">  "cuf",</t>
  </si>
  <si>
    <t xml:space="preserve">  "grf",</t>
  </si>
  <si>
    <t xml:space="preserve">  "iaf",</t>
  </si>
  <si>
    <t xml:space="preserve">  "ml",</t>
  </si>
  <si>
    <t xml:space="preserve">  "sst",</t>
  </si>
  <si>
    <t xml:space="preserve">  "sttl",</t>
  </si>
  <si>
    <t xml:space="preserve">  "sttv",</t>
  </si>
  <si>
    <t xml:space="preserve">  "scrt",</t>
  </si>
  <si>
    <t xml:space="preserve">  "sop",</t>
  </si>
  <si>
    <t xml:space="preserve">  "srp",</t>
  </si>
  <si>
    <t xml:space="preserve">  "svp",</t>
  </si>
  <si>
    <t xml:space="preserve">  "stp",</t>
  </si>
  <si>
    <t xml:space="preserve">  "shp",</t>
  </si>
  <si>
    <t xml:space="preserve">  "step",</t>
  </si>
  <si>
    <t xml:space="preserve">  "hht",</t>
  </si>
  <si>
    <t xml:space="preserve">  "cbf",</t>
  </si>
  <si>
    <t xml:space="preserve">  "cbc",</t>
  </si>
  <si>
    <t xml:space="preserve">  "cbp",</t>
  </si>
  <si>
    <t xml:space="preserve">  "scp",</t>
  </si>
  <si>
    <t xml:space="preserve">  "dscp",</t>
  </si>
  <si>
    <t xml:space="preserve">  "sct",</t>
  </si>
  <si>
    <t xml:space="preserve">  "uf",</t>
  </si>
  <si>
    <t xml:space="preserve">  "sctv",</t>
  </si>
  <si>
    <t xml:space="preserve">  "mcp",</t>
  </si>
  <si>
    <t xml:space="preserve">  "icp",</t>
  </si>
  <si>
    <t xml:space="preserve">  "sctd",</t>
  </si>
  <si>
    <t xml:space="preserve">  "cct",</t>
  </si>
  <si>
    <t xml:space="preserve">  "jrb",</t>
  </si>
  <si>
    <t xml:space="preserve">  "bct",</t>
  </si>
  <si>
    <t xml:space="preserve">  "oct",</t>
  </si>
  <si>
    <t xml:space="preserve">  "rct",</t>
  </si>
  <si>
    <t xml:space="preserve">  "tct",</t>
  </si>
  <si>
    <t xml:space="preserve">  "arb",</t>
  </si>
  <si>
    <t xml:space="preserve">  "scwm",</t>
  </si>
  <si>
    <t xml:space="preserve">  "lfbs",</t>
  </si>
  <si>
    <t xml:space="preserve">  "cc",</t>
  </si>
  <si>
    <t xml:space="preserve">  "fa",</t>
  </si>
  <si>
    <t xml:space="preserve">  "ec",</t>
  </si>
  <si>
    <t xml:space="preserve">  "ee",</t>
  </si>
  <si>
    <t xml:space="preserve">  "ccg",</t>
  </si>
  <si>
    <t xml:space="preserve">  "fp",</t>
  </si>
  <si>
    <t xml:space="preserve">  "ccr",</t>
  </si>
  <si>
    <t xml:space="preserve">  "ccb",</t>
  </si>
  <si>
    <t xml:space="preserve">  "ccs",</t>
  </si>
  <si>
    <t xml:space="preserve">  "cst",</t>
  </si>
  <si>
    <t xml:space="preserve">  "int",</t>
  </si>
  <si>
    <t xml:space="preserve">  "cpd",</t>
  </si>
  <si>
    <t xml:space="preserve">  "cte",</t>
  </si>
  <si>
    <t xml:space="preserve">  "crt",</t>
  </si>
  <si>
    <t xml:space="preserve">  "cpt",</t>
  </si>
  <si>
    <t xml:space="preserve">  "cbt",</t>
  </si>
  <si>
    <t xml:space="preserve">  "py",</t>
  </si>
  <si>
    <t xml:space="preserve">  "pyd",</t>
  </si>
  <si>
    <t xml:space="preserve">  "cstc",</t>
  </si>
  <si>
    <t xml:space="preserve">  "cstu",</t>
  </si>
  <si>
    <t xml:space="preserve">  "lfbst",</t>
  </si>
  <si>
    <t xml:space="preserve">  "em",</t>
  </si>
  <si>
    <t xml:space="preserve">  "im",</t>
  </si>
  <si>
    <t xml:space="preserve">  "mtc",</t>
  </si>
  <si>
    <t xml:space="preserve">  "tp",</t>
  </si>
  <si>
    <t xml:space="preserve">  "or",</t>
  </si>
  <si>
    <t xml:space="preserve">  "ar",</t>
  </si>
  <si>
    <t xml:space="preserve">  "eps",</t>
  </si>
  <si>
    <t xml:space="preserve">  "epsc",</t>
  </si>
  <si>
    <t xml:space="preserve">  "pap",</t>
  </si>
  <si>
    <t xml:space="preserve">  "nst",</t>
  </si>
  <si>
    <t xml:space="preserve">  "ntt",</t>
  </si>
  <si>
    <t xml:space="preserve">  "ptf",</t>
  </si>
  <si>
    <t xml:space="preserve">  "snp",</t>
  </si>
  <si>
    <t xml:space="preserve">  "stf",</t>
  </si>
  <si>
    <t xml:space="preserve">  "tsp",</t>
  </si>
  <si>
    <t xml:space="preserve">  "tspd",</t>
  </si>
  <si>
    <t xml:space="preserve">  "dtd",</t>
  </si>
  <si>
    <t xml:space="preserve">  "tspc",</t>
  </si>
  <si>
    <t xml:space="preserve">  "rust",</t>
  </si>
  <si>
    <t xml:space="preserve">  "vtd",</t>
  </si>
  <si>
    <t xml:space="preserve">  "rrt",</t>
  </si>
  <si>
    <t xml:space="preserve">  "ctb",</t>
  </si>
  <si>
    <t xml:space="preserve">  "rst",</t>
  </si>
  <si>
    <t xml:space="preserve">  "rstl",</t>
  </si>
  <si>
    <t xml:space="preserve">  "rstm",</t>
  </si>
  <si>
    <t xml:space="preserve">  "vsp",</t>
  </si>
  <si>
    <t xml:space="preserve">  "mfbs",</t>
  </si>
  <si>
    <t xml:space="preserve">  "mfbc",</t>
  </si>
  <si>
    <t xml:space="preserve">  "amc",</t>
  </si>
  <si>
    <t xml:space="preserve">  "apd",</t>
  </si>
  <si>
    <t xml:space="preserve">  "act",</t>
  </si>
  <si>
    <t xml:space="preserve">  "cing",</t>
  </si>
  <si>
    <t xml:space="preserve">  "fxs",</t>
  </si>
  <si>
    <t xml:space="preserve">  "alv",</t>
  </si>
  <si>
    <t xml:space="preserve">  "df",</t>
  </si>
  <si>
    <t xml:space="preserve">  "fi",</t>
  </si>
  <si>
    <t xml:space="preserve">  "fxprg",</t>
  </si>
  <si>
    <t xml:space="preserve">  "db",</t>
  </si>
  <si>
    <t xml:space="preserve">  "fxpo",</t>
  </si>
  <si>
    <t xml:space="preserve">  "mct",</t>
  </si>
  <si>
    <t xml:space="preserve">  "fx",</t>
  </si>
  <si>
    <t xml:space="preserve">  "hc",</t>
  </si>
  <si>
    <t xml:space="preserve">  "dhc",</t>
  </si>
  <si>
    <t xml:space="preserve">  "vhc",</t>
  </si>
  <si>
    <t xml:space="preserve">  "per",</t>
  </si>
  <si>
    <t xml:space="preserve">  "ab",</t>
  </si>
  <si>
    <t xml:space="preserve">  "lab",</t>
  </si>
  <si>
    <t xml:space="preserve">  "st",</t>
  </si>
  <si>
    <t xml:space="preserve">  "stc",</t>
  </si>
  <si>
    <t xml:space="preserve">  "mfsbshy",</t>
  </si>
  <si>
    <t xml:space="preserve">  "mfb",</t>
  </si>
  <si>
    <t xml:space="preserve">  "vlt",</t>
  </si>
  <si>
    <t xml:space="preserve">  "poc",</t>
  </si>
  <si>
    <t xml:space="preserve">  "sup",</t>
  </si>
  <si>
    <t xml:space="preserve">  "supa",</t>
  </si>
  <si>
    <t xml:space="preserve">  "supd",</t>
  </si>
  <si>
    <t xml:space="preserve">  "supv",</t>
  </si>
  <si>
    <t xml:space="preserve">  "pmx",</t>
  </si>
  <si>
    <t xml:space="preserve">  "smd",</t>
  </si>
  <si>
    <t xml:space="preserve">  "php",</t>
  </si>
  <si>
    <t xml:space="preserve">  "phpd",</t>
  </si>
  <si>
    <t xml:space="preserve">  "phpl",</t>
  </si>
  <si>
    <t xml:space="preserve">  "phpm",</t>
  </si>
  <si>
    <t xml:space="preserve">  "phpv",</t>
  </si>
  <si>
    <t xml:space="preserve">  "pvbh",</t>
  </si>
  <si>
    <t xml:space="preserve">  "mfbsma",</t>
  </si>
  <si>
    <t xml:space="preserve">  "pm",</t>
  </si>
  <si>
    <t xml:space="preserve">  "mtt",</t>
  </si>
  <si>
    <t xml:space="preserve">  "mtg",</t>
  </si>
  <si>
    <t xml:space="preserve">  "mp",</t>
  </si>
  <si>
    <t xml:space="preserve">  "mfbst",</t>
  </si>
  <si>
    <t xml:space="preserve">  "pvbt",</t>
  </si>
  <si>
    <t xml:space="preserve">  "mfbse",</t>
  </si>
  <si>
    <t xml:space="preserve">  "sm",</t>
  </si>
  <si>
    <t xml:space="preserve">  "fr",</t>
  </si>
  <si>
    <t xml:space="preserve">  "hbc",</t>
  </si>
  <si>
    <t xml:space="preserve">  "PIS",</t>
  </si>
  <si>
    <t xml:space="preserve">  "mfbsm",</t>
  </si>
  <si>
    <t xml:space="preserve">  "dlf",</t>
  </si>
  <si>
    <t xml:space="preserve">  "dtt",</t>
  </si>
  <si>
    <t xml:space="preserve">  "VS",</t>
  </si>
  <si>
    <t xml:space="preserve">  "VL",</t>
  </si>
  <si>
    <t xml:space="preserve">  "RC",</t>
  </si>
  <si>
    <t xml:space="preserve">  "SEZ",</t>
  </si>
  <si>
    <t xml:space="preserve">  "chpl",</t>
  </si>
  <si>
    <t xml:space="preserve">  "chfl",</t>
  </si>
  <si>
    <t xml:space="preserve">  "IVF",</t>
  </si>
  <si>
    <t xml:space="preserve">  "V3",</t>
  </si>
  <si>
    <t xml:space="preserve">  "AQ",</t>
  </si>
  <si>
    <t xml:space="preserve">  "V4",</t>
  </si>
  <si>
    <t xml:space="preserve">  "V4r",</t>
  </si>
  <si>
    <t xml:space="preserve">  "c",</t>
  </si>
  <si>
    <t xml:space="preserve">  "grv",</t>
  </si>
  <si>
    <t xml:space="preserve">  "grv of CTX",</t>
  </si>
  <si>
    <t xml:space="preserve">  "eg",</t>
  </si>
  <si>
    <t xml:space="preserve">  "hf",</t>
  </si>
  <si>
    <t xml:space="preserve">  "rf",</t>
  </si>
  <si>
    <t xml:space="preserve">  "ri",</t>
  </si>
  <si>
    <t xml:space="preserve">  "grv of CBX",</t>
  </si>
  <si>
    <t xml:space="preserve">  "pce",</t>
  </si>
  <si>
    <t xml:space="preserve">  "pcf",</t>
  </si>
  <si>
    <t xml:space="preserve">  "pri",</t>
  </si>
  <si>
    <t xml:space="preserve">  "psf",</t>
  </si>
  <si>
    <t xml:space="preserve">  "ppf",</t>
  </si>
  <si>
    <t xml:space="preserve">  "sec",</t>
  </si>
  <si>
    <t xml:space="preserve">  "plf",</t>
  </si>
  <si>
    <t xml:space="preserve">  "nf",</t>
  </si>
  <si>
    <t xml:space="preserve">  "sif",</t>
  </si>
  <si>
    <t xml:space="preserve">  "icf",</t>
  </si>
  <si>
    <t xml:space="preserve">  "apf",</t>
  </si>
  <si>
    <t xml:space="preserve">  "ipf",</t>
  </si>
  <si>
    <t xml:space="preserve">  "pms",</t>
  </si>
  <si>
    <t xml:space="preserve">  "pfs",</t>
  </si>
  <si>
    <t xml:space="preserve">  "IPF",</t>
  </si>
  <si>
    <t xml:space="preserve">  "retina"</t>
  </si>
  <si>
    <t xml:space="preserve">  "000000",</t>
  </si>
  <si>
    <t xml:space="preserve">  "BFDAE3",</t>
  </si>
  <si>
    <t xml:space="preserve">  "B0F0FF",</t>
  </si>
  <si>
    <t xml:space="preserve">  "B0FFB8",</t>
  </si>
  <si>
    <t xml:space="preserve">  "70FF70",</t>
  </si>
  <si>
    <t xml:space="preserve">  "70FF71",</t>
  </si>
  <si>
    <t xml:space="preserve">  "268F44",</t>
  </si>
  <si>
    <t xml:space="preserve">  "268F45",</t>
  </si>
  <si>
    <t xml:space="preserve">  "268E45",</t>
  </si>
  <si>
    <t xml:space="preserve">  "258F45",</t>
  </si>
  <si>
    <t xml:space="preserve">  "268E44",</t>
  </si>
  <si>
    <t xml:space="preserve">  "258F44",</t>
  </si>
  <si>
    <t xml:space="preserve">  "1F9C59",</t>
  </si>
  <si>
    <t xml:space="preserve">  "1F9D5A",</t>
  </si>
  <si>
    <t xml:space="preserve">  "1F9D59",</t>
  </si>
  <si>
    <t xml:space="preserve">  "1F9C5A",</t>
  </si>
  <si>
    <t xml:space="preserve">  "1E9D59",</t>
  </si>
  <si>
    <t xml:space="preserve">  "1F9B59",</t>
  </si>
  <si>
    <t xml:space="preserve">  "1E9B5A",</t>
  </si>
  <si>
    <t xml:space="preserve">  "1E9D5A",</t>
  </si>
  <si>
    <t xml:space="preserve">  "1F9C58",</t>
  </si>
  <si>
    <t xml:space="preserve">  "1E9C5A",</t>
  </si>
  <si>
    <t xml:space="preserve">  "1F9B5A",</t>
  </si>
  <si>
    <t xml:space="preserve">  "1D9D5A",</t>
  </si>
  <si>
    <t xml:space="preserve">  "1D9D59",</t>
  </si>
  <si>
    <t xml:space="preserve">  "1E9C59",</t>
  </si>
  <si>
    <t xml:space="preserve">  "1E9D58",</t>
  </si>
  <si>
    <t xml:space="preserve">  "1F9D58",</t>
  </si>
  <si>
    <t xml:space="preserve">  "1D9C5A",</t>
  </si>
  <si>
    <t xml:space="preserve">  "1E9C58",</t>
  </si>
  <si>
    <t xml:space="preserve">  "1B8061",</t>
  </si>
  <si>
    <t xml:space="preserve">  "1A7F62",</t>
  </si>
  <si>
    <t xml:space="preserve">  "1A7E63",</t>
  </si>
  <si>
    <t xml:space="preserve">  "198064",</t>
  </si>
  <si>
    <t xml:space="preserve">  "1B8064",</t>
  </si>
  <si>
    <t xml:space="preserve">  "187F61",</t>
  </si>
  <si>
    <t xml:space="preserve">  "187D63",</t>
  </si>
  <si>
    <t xml:space="preserve">  "198063",</t>
  </si>
  <si>
    <t xml:space="preserve">  "197D64",</t>
  </si>
  <si>
    <t xml:space="preserve">  "187E64",</t>
  </si>
  <si>
    <t xml:space="preserve">  "1B7F63",</t>
  </si>
  <si>
    <t xml:space="preserve">  "1B7D64",</t>
  </si>
  <si>
    <t xml:space="preserve">  "187D64",</t>
  </si>
  <si>
    <t xml:space="preserve">  "198061",</t>
  </si>
  <si>
    <t xml:space="preserve">  "1A8064",</t>
  </si>
  <si>
    <t xml:space="preserve">  "197E63",</t>
  </si>
  <si>
    <t xml:space="preserve">  "1B7F64",</t>
  </si>
  <si>
    <t xml:space="preserve">  "1A8062",</t>
  </si>
  <si>
    <t xml:space="preserve">  "197E62",</t>
  </si>
  <si>
    <t xml:space="preserve">  "187D62",</t>
  </si>
  <si>
    <t xml:space="preserve">  "1B7E64",</t>
  </si>
  <si>
    <t xml:space="preserve">  "197F64",</t>
  </si>
  <si>
    <t xml:space="preserve">  "188060",</t>
  </si>
  <si>
    <t xml:space="preserve">  "187F63",</t>
  </si>
  <si>
    <t xml:space="preserve">  "197C64",</t>
  </si>
  <si>
    <t xml:space="preserve">  "1A7D62",</t>
  </si>
  <si>
    <t xml:space="preserve">  "198060",</t>
  </si>
  <si>
    <t xml:space="preserve">  "1A7E61",</t>
  </si>
  <si>
    <t xml:space="preserve">  "1B7F61",</t>
  </si>
  <si>
    <t xml:space="preserve">  "1B7D63",</t>
  </si>
  <si>
    <t xml:space="preserve">  "187E60",</t>
  </si>
  <si>
    <t xml:space="preserve">  "187C62",</t>
  </si>
  <si>
    <t xml:space="preserve">  "1A8060",</t>
  </si>
  <si>
    <t xml:space="preserve">  "1A7C64",</t>
  </si>
  <si>
    <t xml:space="preserve">  "1C8062",</t>
  </si>
  <si>
    <t xml:space="preserve">  "197F63",</t>
  </si>
  <si>
    <t xml:space="preserve">  "187F60",</t>
  </si>
  <si>
    <t xml:space="preserve">  "187F64",</t>
  </si>
  <si>
    <t xml:space="preserve">  "1C7F64",</t>
  </si>
  <si>
    <t xml:space="preserve">  "197C63",</t>
  </si>
  <si>
    <t xml:space="preserve">  "1A7F64",</t>
  </si>
  <si>
    <t xml:space="preserve">  "197F62",</t>
  </si>
  <si>
    <t xml:space="preserve">  "188062",</t>
  </si>
  <si>
    <t xml:space="preserve">  "187E61",</t>
  </si>
  <si>
    <t xml:space="preserve">  "1A7E64",</t>
  </si>
  <si>
    <t xml:space="preserve">  "1B7F62",</t>
  </si>
  <si>
    <t xml:space="preserve">  "1B7E63",</t>
  </si>
  <si>
    <t xml:space="preserve">  "187D61",</t>
  </si>
  <si>
    <t xml:space="preserve">  "188064",</t>
  </si>
  <si>
    <t xml:space="preserve">  "187E63",</t>
  </si>
  <si>
    <t xml:space="preserve">  "197E64",</t>
  </si>
  <si>
    <t xml:space="preserve">  "197F61",</t>
  </si>
  <si>
    <t xml:space="preserve">  "1A7F63",</t>
  </si>
  <si>
    <t xml:space="preserve">  "187E62",</t>
  </si>
  <si>
    <t xml:space="preserve">  "197D61",</t>
  </si>
  <si>
    <t xml:space="preserve">  "1C8064",</t>
  </si>
  <si>
    <t xml:space="preserve">  "187F62",</t>
  </si>
  <si>
    <t xml:space="preserve">  "187C64",</t>
  </si>
  <si>
    <t xml:space="preserve">  "188061",</t>
  </si>
  <si>
    <t xml:space="preserve">  "1B7E62",</t>
  </si>
  <si>
    <t xml:space="preserve">  "197F60",</t>
  </si>
  <si>
    <t xml:space="preserve">  "188063",</t>
  </si>
  <si>
    <t xml:space="preserve">  "1A8063",</t>
  </si>
  <si>
    <t xml:space="preserve">  "1A7D64",</t>
  </si>
  <si>
    <t xml:space="preserve">  "1B8062",</t>
  </si>
  <si>
    <t xml:space="preserve">  "1C7F63",</t>
  </si>
  <si>
    <t xml:space="preserve">  "197E61",</t>
  </si>
  <si>
    <t xml:space="preserve">  "197D62",</t>
  </si>
  <si>
    <t xml:space="preserve">  "1A7F61",</t>
  </si>
  <si>
    <t xml:space="preserve">  "1A7D63",</t>
  </si>
  <si>
    <t xml:space="preserve">  "198062",</t>
  </si>
  <si>
    <t xml:space="preserve">  "1A7E62",</t>
  </si>
  <si>
    <t xml:space="preserve">  "1B8063",</t>
  </si>
  <si>
    <t xml:space="preserve">  "187C63",</t>
  </si>
  <si>
    <t xml:space="preserve">  "1C8063",</t>
  </si>
  <si>
    <t xml:space="preserve">  "197D63",</t>
  </si>
  <si>
    <t xml:space="preserve">  "1A8061",</t>
  </si>
  <si>
    <t xml:space="preserve">  "019B75",</t>
  </si>
  <si>
    <t xml:space="preserve">  "009C75",</t>
  </si>
  <si>
    <t xml:space="preserve">  "009B75",</t>
  </si>
  <si>
    <t xml:space="preserve">  "009C74",</t>
  </si>
  <si>
    <t xml:space="preserve">  "019C75",</t>
  </si>
  <si>
    <t xml:space="preserve">  "009B74",</t>
  </si>
  <si>
    <t xml:space="preserve">  "019C74",</t>
  </si>
  <si>
    <t xml:space="preserve">  "11AD83",</t>
  </si>
  <si>
    <t xml:space="preserve">  "12AD83",</t>
  </si>
  <si>
    <t xml:space="preserve">  "12AC83",</t>
  </si>
  <si>
    <t xml:space="preserve">  "11AC82",</t>
  </si>
  <si>
    <t xml:space="preserve">  "12AD82",</t>
  </si>
  <si>
    <t xml:space="preserve">  "11AC83",</t>
  </si>
  <si>
    <t xml:space="preserve">  "11AD82",</t>
  </si>
  <si>
    <t xml:space="preserve">  "019299",</t>
  </si>
  <si>
    <t xml:space="preserve">  "049399",</t>
  </si>
  <si>
    <t xml:space="preserve">  "039399",</t>
  </si>
  <si>
    <t xml:space="preserve">  "029397",</t>
  </si>
  <si>
    <t xml:space="preserve">  "039398",</t>
  </si>
  <si>
    <t xml:space="preserve">  "029398",</t>
  </si>
  <si>
    <t xml:space="preserve">  "019399",</t>
  </si>
  <si>
    <t xml:space="preserve">  "019398",</t>
  </si>
  <si>
    <t xml:space="preserve">  "029099",</t>
  </si>
  <si>
    <t xml:space="preserve">  "029299",</t>
  </si>
  <si>
    <t xml:space="preserve">  "049398",</t>
  </si>
  <si>
    <t xml:space="preserve">  "049299",</t>
  </si>
  <si>
    <t xml:space="preserve">  "029296",</t>
  </si>
  <si>
    <t xml:space="preserve">  "019199",</t>
  </si>
  <si>
    <t xml:space="preserve">  "019297",</t>
  </si>
  <si>
    <t xml:space="preserve">  "039297",</t>
  </si>
  <si>
    <t xml:space="preserve">  "029297",</t>
  </si>
  <si>
    <t xml:space="preserve">  "019298",</t>
  </si>
  <si>
    <t xml:space="preserve">  "039397",</t>
  </si>
  <si>
    <t xml:space="preserve">  "039199",</t>
  </si>
  <si>
    <t xml:space="preserve">  "019396",</t>
  </si>
  <si>
    <t xml:space="preserve">  "039198",</t>
  </si>
  <si>
    <t xml:space="preserve">  "029396",</t>
  </si>
  <si>
    <t xml:space="preserve">  "039299",</t>
  </si>
  <si>
    <t xml:space="preserve">  "029199",</t>
  </si>
  <si>
    <t xml:space="preserve">  "039298",</t>
  </si>
  <si>
    <t xml:space="preserve">  "019197",</t>
  </si>
  <si>
    <t xml:space="preserve">  "029399",</t>
  </si>
  <si>
    <t xml:space="preserve">  "029298",</t>
  </si>
  <si>
    <t xml:space="preserve">  "019296",</t>
  </si>
  <si>
    <t xml:space="preserve">  "019099",</t>
  </si>
  <si>
    <t xml:space="preserve">  "029198",</t>
  </si>
  <si>
    <t xml:space="preserve">  "029197",</t>
  </si>
  <si>
    <t xml:space="preserve">  "019098",</t>
  </si>
  <si>
    <t xml:space="preserve">  "019397",</t>
  </si>
  <si>
    <t xml:space="preserve">  "019198",</t>
  </si>
  <si>
    <t xml:space="preserve">  "098489",</t>
  </si>
  <si>
    <t xml:space="preserve">  "08828A",</t>
  </si>
  <si>
    <t xml:space="preserve">  "0B858C",</t>
  </si>
  <si>
    <t xml:space="preserve">  "09828A",</t>
  </si>
  <si>
    <t xml:space="preserve">  "08818C",</t>
  </si>
  <si>
    <t xml:space="preserve">  "0A838C",</t>
  </si>
  <si>
    <t xml:space="preserve">  "09838A",</t>
  </si>
  <si>
    <t xml:space="preserve">  "09838C",</t>
  </si>
  <si>
    <t xml:space="preserve">  "0B838B",</t>
  </si>
  <si>
    <t xml:space="preserve">  "098389",</t>
  </si>
  <si>
    <t xml:space="preserve">  "088588",</t>
  </si>
  <si>
    <t xml:space="preserve">  "08848B",</t>
  </si>
  <si>
    <t xml:space="preserve">  "09828C",</t>
  </si>
  <si>
    <t xml:space="preserve">  "0B848C",</t>
  </si>
  <si>
    <t xml:space="preserve">  "08838B",</t>
  </si>
  <si>
    <t xml:space="preserve">  "09848B",</t>
  </si>
  <si>
    <t xml:space="preserve">  "0B848A",</t>
  </si>
  <si>
    <t xml:space="preserve">  "09858A",</t>
  </si>
  <si>
    <t xml:space="preserve">  "0A848B",</t>
  </si>
  <si>
    <t xml:space="preserve">  "0A828B",</t>
  </si>
  <si>
    <t xml:space="preserve">  "08838A",</t>
  </si>
  <si>
    <t xml:space="preserve">  "0A848C",</t>
  </si>
  <si>
    <t xml:space="preserve">  "09848A",</t>
  </si>
  <si>
    <t xml:space="preserve">  "0A8489",</t>
  </si>
  <si>
    <t xml:space="preserve">  "08828B",</t>
  </si>
  <si>
    <t xml:space="preserve">  "0B858B",</t>
  </si>
  <si>
    <t xml:space="preserve">  "08848C",</t>
  </si>
  <si>
    <t xml:space="preserve">  "09858C",</t>
  </si>
  <si>
    <t xml:space="preserve">  "0A858C",</t>
  </si>
  <si>
    <t xml:space="preserve">  "098589",</t>
  </si>
  <si>
    <t xml:space="preserve">  "0A828C",</t>
  </si>
  <si>
    <t xml:space="preserve">  "0B848B",</t>
  </si>
  <si>
    <t xml:space="preserve">  "088389",</t>
  </si>
  <si>
    <t xml:space="preserve">  "08858C",</t>
  </si>
  <si>
    <t xml:space="preserve">  "08858A",</t>
  </si>
  <si>
    <t xml:space="preserve">  "09838B",</t>
  </si>
  <si>
    <t xml:space="preserve">  "0A838A",</t>
  </si>
  <si>
    <t xml:space="preserve">  "09848C",</t>
  </si>
  <si>
    <t xml:space="preserve">  "0B858A",</t>
  </si>
  <si>
    <t xml:space="preserve">  "0B838C",</t>
  </si>
  <si>
    <t xml:space="preserve">  "08838C",</t>
  </si>
  <si>
    <t xml:space="preserve">  "08848A",</t>
  </si>
  <si>
    <t xml:space="preserve">  "0A838B",</t>
  </si>
  <si>
    <t xml:space="preserve">  "0A8589",</t>
  </si>
  <si>
    <t xml:space="preserve">  "08858B",</t>
  </si>
  <si>
    <t xml:space="preserve">  "09828B",</t>
  </si>
  <si>
    <t xml:space="preserve">  "088489",</t>
  </si>
  <si>
    <t xml:space="preserve">  "09858B",</t>
  </si>
  <si>
    <t xml:space="preserve">  "088589",</t>
  </si>
  <si>
    <t xml:space="preserve">  "0A858B",</t>
  </si>
  <si>
    <t xml:space="preserve">  "0C858C",</t>
  </si>
  <si>
    <t xml:space="preserve">  "0A858A",</t>
  </si>
  <si>
    <t xml:space="preserve">  "08828C",</t>
  </si>
  <si>
    <t xml:space="preserve">  "0A848A",</t>
  </si>
  <si>
    <t xml:space="preserve">  "088488",</t>
  </si>
  <si>
    <t xml:space="preserve">  "08818B",</t>
  </si>
  <si>
    <t xml:space="preserve">  "098588",</t>
  </si>
  <si>
    <t xml:space="preserve">  "09818C",</t>
  </si>
  <si>
    <t xml:space="preserve">  "0A8389",</t>
  </si>
  <si>
    <t xml:space="preserve">  "0A828A",</t>
  </si>
  <si>
    <t xml:space="preserve">  "0B838A",</t>
  </si>
  <si>
    <t xml:space="preserve">  "0C858B",</t>
  </si>
  <si>
    <t xml:space="preserve">  "0C848C",</t>
  </si>
  <si>
    <t xml:space="preserve">  "40A666",</t>
  </si>
  <si>
    <t xml:space="preserve">  "3FA565",</t>
  </si>
  <si>
    <t xml:space="preserve">  "3FA564",</t>
  </si>
  <si>
    <t xml:space="preserve">  "40A466",</t>
  </si>
  <si>
    <t xml:space="preserve">  "3FA666",</t>
  </si>
  <si>
    <t xml:space="preserve">  "3FA665",</t>
  </si>
  <si>
    <t xml:space="preserve">  "40A665",</t>
  </si>
  <si>
    <t xml:space="preserve">  "3EA665",</t>
  </si>
  <si>
    <t xml:space="preserve">  "40A565",</t>
  </si>
  <si>
    <t xml:space="preserve">  "3EA566",</t>
  </si>
  <si>
    <t xml:space="preserve">  "3FA664",</t>
  </si>
  <si>
    <t xml:space="preserve">  "3FA466",</t>
  </si>
  <si>
    <t xml:space="preserve">  "40A566",</t>
  </si>
  <si>
    <t xml:space="preserve">  "40A664",</t>
  </si>
  <si>
    <t xml:space="preserve">  "3FA566",</t>
  </si>
  <si>
    <t xml:space="preserve">  "3EA666",</t>
  </si>
  <si>
    <t xml:space="preserve">  "40A564",</t>
  </si>
  <si>
    <t xml:space="preserve">  "40A465",</t>
  </si>
  <si>
    <t xml:space="preserve">  "2EA750",</t>
  </si>
  <si>
    <t xml:space="preserve">  "2FA750",</t>
  </si>
  <si>
    <t xml:space="preserve">  "2EA850",</t>
  </si>
  <si>
    <t xml:space="preserve">  "2FA74F",</t>
  </si>
  <si>
    <t xml:space="preserve">  "2EA84F",</t>
  </si>
  <si>
    <t xml:space="preserve">  "2FA850",</t>
  </si>
  <si>
    <t xml:space="preserve">  "2FA84F",</t>
  </si>
  <si>
    <t xml:space="preserve">  "59B363",</t>
  </si>
  <si>
    <t xml:space="preserve">  "59B263",</t>
  </si>
  <si>
    <t xml:space="preserve">  "58B363",</t>
  </si>
  <si>
    <t xml:space="preserve">  "59B362",</t>
  </si>
  <si>
    <t xml:space="preserve">  "59B262",</t>
  </si>
  <si>
    <t xml:space="preserve">  "58B362",</t>
  </si>
  <si>
    <t xml:space="preserve">  "58B263",</t>
  </si>
  <si>
    <t xml:space="preserve">  "23895C",</t>
  </si>
  <si>
    <t xml:space="preserve">  "248A5E",</t>
  </si>
  <si>
    <t xml:space="preserve">  "24885E",</t>
  </si>
  <si>
    <t xml:space="preserve">  "24895E",</t>
  </si>
  <si>
    <t xml:space="preserve">  "23895E",</t>
  </si>
  <si>
    <t xml:space="preserve">  "228A5E",</t>
  </si>
  <si>
    <t xml:space="preserve">  "23885D",</t>
  </si>
  <si>
    <t xml:space="preserve">  "238A5D",</t>
  </si>
  <si>
    <t xml:space="preserve">  "238A5E",</t>
  </si>
  <si>
    <t xml:space="preserve">  "228A5D",</t>
  </si>
  <si>
    <t xml:space="preserve">  "24895D",</t>
  </si>
  <si>
    <t xml:space="preserve">  "248A5C",</t>
  </si>
  <si>
    <t xml:space="preserve">  "22895D",</t>
  </si>
  <si>
    <t xml:space="preserve">  "23895D",</t>
  </si>
  <si>
    <t xml:space="preserve">  "24895C",</t>
  </si>
  <si>
    <t xml:space="preserve">  "24885D",</t>
  </si>
  <si>
    <t xml:space="preserve">  "23885E",</t>
  </si>
  <si>
    <t xml:space="preserve">  "22885E",</t>
  </si>
  <si>
    <t xml:space="preserve">  "24875E",</t>
  </si>
  <si>
    <t xml:space="preserve">  "24885C",</t>
  </si>
  <si>
    <t xml:space="preserve">  "228A5C",</t>
  </si>
  <si>
    <t xml:space="preserve">  "248A5B",</t>
  </si>
  <si>
    <t xml:space="preserve">  "248A5D",</t>
  </si>
  <si>
    <t xml:space="preserve">  "23885C",</t>
  </si>
  <si>
    <t xml:space="preserve">  "238A5C",</t>
  </si>
  <si>
    <t xml:space="preserve">  "22895E",</t>
  </si>
  <si>
    <t xml:space="preserve">  "219866",</t>
  </si>
  <si>
    <t xml:space="preserve">  "219865",</t>
  </si>
  <si>
    <t xml:space="preserve">  "209764",</t>
  </si>
  <si>
    <t xml:space="preserve">  "209765",</t>
  </si>
  <si>
    <t xml:space="preserve">  "209665",</t>
  </si>
  <si>
    <t xml:space="preserve">  "209666",</t>
  </si>
  <si>
    <t xml:space="preserve">  "1F9766",</t>
  </si>
  <si>
    <t xml:space="preserve">  "219766",</t>
  </si>
  <si>
    <t xml:space="preserve">  "219765",</t>
  </si>
  <si>
    <t xml:space="preserve">  "209865",</t>
  </si>
  <si>
    <t xml:space="preserve">  "219864",</t>
  </si>
  <si>
    <t xml:space="preserve">  "209766",</t>
  </si>
  <si>
    <t xml:space="preserve">  "219666",</t>
  </si>
  <si>
    <t xml:space="preserve">  "209866",</t>
  </si>
  <si>
    <t xml:space="preserve">  "209864",</t>
  </si>
  <si>
    <t xml:space="preserve">  "219764",</t>
  </si>
  <si>
    <t xml:space="preserve">  "1F9865",</t>
  </si>
  <si>
    <t xml:space="preserve">  "1F9866",</t>
  </si>
  <si>
    <t xml:space="preserve">  "219665",</t>
  </si>
  <si>
    <t xml:space="preserve">  "1AA698",</t>
  </si>
  <si>
    <t xml:space="preserve">  "1BA497",</t>
  </si>
  <si>
    <t xml:space="preserve">  "1BA696",</t>
  </si>
  <si>
    <t xml:space="preserve">  "1AA496",</t>
  </si>
  <si>
    <t xml:space="preserve">  "1CA697",</t>
  </si>
  <si>
    <t xml:space="preserve">  "1CA597",</t>
  </si>
  <si>
    <t xml:space="preserve">  "1AA598",</t>
  </si>
  <si>
    <t xml:space="preserve">  "1CA696",</t>
  </si>
  <si>
    <t xml:space="preserve">  "1CA498",</t>
  </si>
  <si>
    <t xml:space="preserve">  "1AA695",</t>
  </si>
  <si>
    <t xml:space="preserve">  "1AA398",</t>
  </si>
  <si>
    <t xml:space="preserve">  "1BA496",</t>
  </si>
  <si>
    <t xml:space="preserve">  "1CA596",</t>
  </si>
  <si>
    <t xml:space="preserve">  "1CA497",</t>
  </si>
  <si>
    <t xml:space="preserve">  "1DA698",</t>
  </si>
  <si>
    <t xml:space="preserve">  "1AA595",</t>
  </si>
  <si>
    <t xml:space="preserve">  "1AA397",</t>
  </si>
  <si>
    <t xml:space="preserve">  "1BA695",</t>
  </si>
  <si>
    <t xml:space="preserve">  "1BA398",</t>
  </si>
  <si>
    <t xml:space="preserve">  "1DA697",</t>
  </si>
  <si>
    <t xml:space="preserve">  "1DA598",</t>
  </si>
  <si>
    <t xml:space="preserve">  "1BA595",</t>
  </si>
  <si>
    <t xml:space="preserve">  "1BA397",</t>
  </si>
  <si>
    <t xml:space="preserve">  "1DA597",</t>
  </si>
  <si>
    <t xml:space="preserve">  "1CA496",</t>
  </si>
  <si>
    <t xml:space="preserve">  "1AA495",</t>
  </si>
  <si>
    <t xml:space="preserve">  "1AA396",</t>
  </si>
  <si>
    <t xml:space="preserve">  "1CA695",</t>
  </si>
  <si>
    <t xml:space="preserve">  "1CA598",</t>
  </si>
  <si>
    <t xml:space="preserve">  "1BA598",</t>
  </si>
  <si>
    <t xml:space="preserve">  "1BA697",</t>
  </si>
  <si>
    <t xml:space="preserve">  "1AA696",</t>
  </si>
  <si>
    <t xml:space="preserve">  "1AA596",</t>
  </si>
  <si>
    <t xml:space="preserve">  "1AA697",</t>
  </si>
  <si>
    <t xml:space="preserve">  "1BA698",</t>
  </si>
  <si>
    <t xml:space="preserve">  "1BA596",</t>
  </si>
  <si>
    <t xml:space="preserve">  "1BA597",</t>
  </si>
  <si>
    <t xml:space="preserve">  "1CA698",</t>
  </si>
  <si>
    <t xml:space="preserve">  "1AA597",</t>
  </si>
  <si>
    <t xml:space="preserve">  "1BA498",</t>
  </si>
  <si>
    <t xml:space="preserve">  "1AA498",</t>
  </si>
  <si>
    <t xml:space="preserve">  "1AA497",</t>
  </si>
  <si>
    <t xml:space="preserve">  "009FAC",</t>
  </si>
  <si>
    <t xml:space="preserve">  "009DAB",</t>
  </si>
  <si>
    <t xml:space="preserve">  "009EAC",</t>
  </si>
  <si>
    <t xml:space="preserve">  "019FAA",</t>
  </si>
  <si>
    <t xml:space="preserve">  "019DAC",</t>
  </si>
  <si>
    <t xml:space="preserve">  "019FAB",</t>
  </si>
  <si>
    <t xml:space="preserve">  "009FAA",</t>
  </si>
  <si>
    <t xml:space="preserve">  "009FAB",</t>
  </si>
  <si>
    <t xml:space="preserve">  "019FAC",</t>
  </si>
  <si>
    <t xml:space="preserve">  "009EAB",</t>
  </si>
  <si>
    <t xml:space="preserve">  "019EAC",</t>
  </si>
  <si>
    <t xml:space="preserve">  "019EAB",</t>
  </si>
  <si>
    <t xml:space="preserve">  "009DAC",</t>
  </si>
  <si>
    <t xml:space="preserve">  "029FAC",</t>
  </si>
  <si>
    <t xml:space="preserve">  "009EAA",</t>
  </si>
  <si>
    <t xml:space="preserve">  "029FAB",</t>
  </si>
  <si>
    <t xml:space="preserve">  "029EAC",</t>
  </si>
  <si>
    <t xml:space="preserve">  "019EAA",</t>
  </si>
  <si>
    <t xml:space="preserve">  "019DAB",</t>
  </si>
  <si>
    <t xml:space="preserve">  "029EAB",</t>
  </si>
  <si>
    <t xml:space="preserve">  "009DAA",</t>
  </si>
  <si>
    <t xml:space="preserve">  "16B0B3",</t>
  </si>
  <si>
    <t xml:space="preserve">  "15B0B3",</t>
  </si>
  <si>
    <t xml:space="preserve">  "16AFB3",</t>
  </si>
  <si>
    <t xml:space="preserve">  "15B0B2",</t>
  </si>
  <si>
    <t xml:space="preserve">  "15AFB3",</t>
  </si>
  <si>
    <t xml:space="preserve">  "15AFB2",</t>
  </si>
  <si>
    <t xml:space="preserve">  "16B0B2",</t>
  </si>
  <si>
    <t xml:space="preserve">  "0F9683",</t>
  </si>
  <si>
    <t xml:space="preserve">  "0E9584",</t>
  </si>
  <si>
    <t xml:space="preserve">  "0E9583",</t>
  </si>
  <si>
    <t xml:space="preserve">  "0F9684",</t>
  </si>
  <si>
    <t xml:space="preserve">  "0E9684",</t>
  </si>
  <si>
    <t xml:space="preserve">  "0E9683",</t>
  </si>
  <si>
    <t xml:space="preserve">  "0D9E91",</t>
  </si>
  <si>
    <t xml:space="preserve">  "0D9F90",</t>
  </si>
  <si>
    <t xml:space="preserve">  "0D9F91",</t>
  </si>
  <si>
    <t xml:space="preserve">  "0D9E90",</t>
  </si>
  <si>
    <t xml:space="preserve">  "0E9F91",</t>
  </si>
  <si>
    <t xml:space="preserve">  "0E9F90",</t>
  </si>
  <si>
    <t xml:space="preserve">  "99D2BD",</t>
  </si>
  <si>
    <t xml:space="preserve">  "9AD1BD",</t>
  </si>
  <si>
    <t xml:space="preserve">  "82C7AE",</t>
  </si>
  <si>
    <t xml:space="preserve">  "82C7AD",</t>
  </si>
  <si>
    <t xml:space="preserve">  "9AD2BD",</t>
  </si>
  <si>
    <t xml:space="preserve">  "82C6AE",</t>
  </si>
  <si>
    <t xml:space="preserve">  "9AD2BC",</t>
  </si>
  <si>
    <t xml:space="preserve">  "9DF0D2",</t>
  </si>
  <si>
    <t xml:space="preserve">  "9DF0D1",</t>
  </si>
  <si>
    <t xml:space="preserve">  "95E4C8",</t>
  </si>
  <si>
    <t xml:space="preserve">  "9DEFD2",</t>
  </si>
  <si>
    <t xml:space="preserve">  "54BF94",</t>
  </si>
  <si>
    <t xml:space="preserve">  "54BE94",</t>
  </si>
  <si>
    <t xml:space="preserve">  "54BE93",</t>
  </si>
  <si>
    <t xml:space="preserve">  "53BF93",</t>
  </si>
  <si>
    <t xml:space="preserve">  "53BE94",</t>
  </si>
  <si>
    <t xml:space="preserve">  "53BE93",</t>
  </si>
  <si>
    <t xml:space="preserve">  "54BF93",</t>
  </si>
  <si>
    <t xml:space="preserve">  "53BF94",</t>
  </si>
  <si>
    <t xml:space="preserve">  "62CF9F",</t>
  </si>
  <si>
    <t xml:space="preserve">  "61D09F",</t>
  </si>
  <si>
    <t xml:space="preserve">  "62D09F",</t>
  </si>
  <si>
    <t xml:space="preserve">  "61D09E",</t>
  </si>
  <si>
    <t xml:space="preserve">  "61CF9F",</t>
  </si>
  <si>
    <t xml:space="preserve">  "61CF9E",</t>
  </si>
  <si>
    <t xml:space="preserve">  "62D09D",</t>
  </si>
  <si>
    <t xml:space="preserve">  "62CF9E",</t>
  </si>
  <si>
    <t xml:space="preserve">  "62D09E",</t>
  </si>
  <si>
    <t xml:space="preserve">  "62CE9F",</t>
  </si>
  <si>
    <t xml:space="preserve">  "60D09F",</t>
  </si>
  <si>
    <t xml:space="preserve">  "62CF9D",</t>
  </si>
  <si>
    <t xml:space="preserve">  "A3DAA3",</t>
  </si>
  <si>
    <t xml:space="preserve">  "A4D9A4",</t>
  </si>
  <si>
    <t xml:space="preserve">  "A3DAA4",</t>
  </si>
  <si>
    <t xml:space="preserve">  "A4DAA3",</t>
  </si>
  <si>
    <t xml:space="preserve">  "A4D9A3",</t>
  </si>
  <si>
    <t xml:space="preserve">  "A4DAA4",</t>
  </si>
  <si>
    <t xml:space="preserve">  "6ACAB9",</t>
  </si>
  <si>
    <t xml:space="preserve">  "6ACBBA",</t>
  </si>
  <si>
    <t xml:space="preserve">  "6ACBB9",</t>
  </si>
  <si>
    <t xml:space="preserve">  "6ACABA",</t>
  </si>
  <si>
    <t xml:space="preserve">  "69CBBA",</t>
  </si>
  <si>
    <t xml:space="preserve">  "95E3C7",</t>
  </si>
  <si>
    <t xml:space="preserve">  "94E4C8",</t>
  </si>
  <si>
    <t xml:space="preserve">  "95E4C7",</t>
  </si>
  <si>
    <t xml:space="preserve">  "95E3C8",</t>
  </si>
  <si>
    <t xml:space="preserve">  "94E4C7",</t>
  </si>
  <si>
    <t xml:space="preserve">  "60E7B5",</t>
  </si>
  <si>
    <t xml:space="preserve">  "60E5B7",</t>
  </si>
  <si>
    <t xml:space="preserve">  "61E7B7",</t>
  </si>
  <si>
    <t xml:space="preserve">  "61E7B6",</t>
  </si>
  <si>
    <t xml:space="preserve">  "61E6B7",</t>
  </si>
  <si>
    <t xml:space="preserve">  "5FE7B6",</t>
  </si>
  <si>
    <t xml:space="preserve">  "5FE6B7",</t>
  </si>
  <si>
    <t xml:space="preserve">  "61E6B5",</t>
  </si>
  <si>
    <t xml:space="preserve">  "61E5B7",</t>
  </si>
  <si>
    <t xml:space="preserve">  "60E7B7",</t>
  </si>
  <si>
    <t xml:space="preserve">  "61E6B6",</t>
  </si>
  <si>
    <t xml:space="preserve">  "60E7B6",</t>
  </si>
  <si>
    <t xml:space="preserve">  "60E6B5",</t>
  </si>
  <si>
    <t xml:space="preserve">  "61E5B6",</t>
  </si>
  <si>
    <t xml:space="preserve">  "5FE7B7",</t>
  </si>
  <si>
    <t xml:space="preserve">  "60E6B7",</t>
  </si>
  <si>
    <t xml:space="preserve">  "60E6B6",</t>
  </si>
  <si>
    <t xml:space="preserve">  "61E7B5",</t>
  </si>
  <si>
    <t xml:space="preserve">  "59D9AA",</t>
  </si>
  <si>
    <t xml:space="preserve">  "59DAAB",</t>
  </si>
  <si>
    <t xml:space="preserve">  "59DAAA",</t>
  </si>
  <si>
    <t xml:space="preserve">  "59D9AB",</t>
  </si>
  <si>
    <t xml:space="preserve">  "58DAAB",</t>
  </si>
  <si>
    <t xml:space="preserve">  "A8ECD2",</t>
  </si>
  <si>
    <t xml:space="preserve">  "A8ECD3",</t>
  </si>
  <si>
    <t xml:space="preserve">  "A8EBD3",</t>
  </si>
  <si>
    <t xml:space="preserve">  "A7ECD3",</t>
  </si>
  <si>
    <t xml:space="preserve">  "A8EBD2",</t>
  </si>
  <si>
    <t xml:space="preserve">  "7DCD4B",</t>
  </si>
  <si>
    <t xml:space="preserve">  "7DD048",</t>
  </si>
  <si>
    <t xml:space="preserve">  "7ED04A",</t>
  </si>
  <si>
    <t xml:space="preserve">  "7ECF4B",</t>
  </si>
  <si>
    <t xml:space="preserve">  "7DD04B",</t>
  </si>
  <si>
    <t xml:space="preserve">  "7ECF4A",</t>
  </si>
  <si>
    <t xml:space="preserve">  "66A83D",</t>
  </si>
  <si>
    <t xml:space="preserve">  "7DD04A",</t>
  </si>
  <si>
    <t xml:space="preserve">  "7DCF4B",</t>
  </si>
  <si>
    <t xml:space="preserve">  "7DCF4A",</t>
  </si>
  <si>
    <t xml:space="preserve">  "7ED049",</t>
  </si>
  <si>
    <t xml:space="preserve">  "66A83C",</t>
  </si>
  <si>
    <t xml:space="preserve">  "7ECE4B",</t>
  </si>
  <si>
    <t xml:space="preserve">  "7ECF49",</t>
  </si>
  <si>
    <t xml:space="preserve">  "7DD049",</t>
  </si>
  <si>
    <t xml:space="preserve">  "7DCE4B",</t>
  </si>
  <si>
    <t xml:space="preserve">  "7CD04A",</t>
  </si>
  <si>
    <t xml:space="preserve">  "66A73D",</t>
  </si>
  <si>
    <t xml:space="preserve">  "7CCF4B",</t>
  </si>
  <si>
    <t xml:space="preserve">  "7DCF49",</t>
  </si>
  <si>
    <t xml:space="preserve">  "7BD04A",</t>
  </si>
  <si>
    <t xml:space="preserve">  "7ECE4A",</t>
  </si>
  <si>
    <t xml:space="preserve">  "65A83D",</t>
  </si>
  <si>
    <t xml:space="preserve">  "7CD04B",</t>
  </si>
  <si>
    <t xml:space="preserve">  "7DCE4A",</t>
  </si>
  <si>
    <t xml:space="preserve">  "7CCF4A",</t>
  </si>
  <si>
    <t xml:space="preserve">  "7ECE49",</t>
  </si>
  <si>
    <t xml:space="preserve">  "7CD049",</t>
  </si>
  <si>
    <t xml:space="preserve">  "7CCE4B",</t>
  </si>
  <si>
    <t xml:space="preserve">  "7ED048",</t>
  </si>
  <si>
    <t xml:space="preserve">  "7ECD4B",</t>
  </si>
  <si>
    <t xml:space="preserve">  "7DCE49",</t>
  </si>
  <si>
    <t xml:space="preserve">  "7CCF49",</t>
  </si>
  <si>
    <t xml:space="preserve">  "7CCE4A",</t>
  </si>
  <si>
    <t xml:space="preserve">  "7BD04B",</t>
  </si>
  <si>
    <t xml:space="preserve">  "7ECF48",</t>
  </si>
  <si>
    <t xml:space="preserve">  "7ECD4A",</t>
  </si>
  <si>
    <t xml:space="preserve">  "7ED04B",</t>
  </si>
  <si>
    <t xml:space="preserve">  "30B625",</t>
  </si>
  <si>
    <t xml:space="preserve">  "32B822",</t>
  </si>
  <si>
    <t xml:space="preserve">  "32B525",</t>
  </si>
  <si>
    <t xml:space="preserve">  "32B722",</t>
  </si>
  <si>
    <t xml:space="preserve">  "32B825",</t>
  </si>
  <si>
    <t xml:space="preserve">  "2FB825",</t>
  </si>
  <si>
    <t xml:space="preserve">  "30B624",</t>
  </si>
  <si>
    <t xml:space="preserve">  "30B823",</t>
  </si>
  <si>
    <t xml:space="preserve">  "32B725",</t>
  </si>
  <si>
    <t xml:space="preserve">  "32B724",</t>
  </si>
  <si>
    <t xml:space="preserve">  "31B724",</t>
  </si>
  <si>
    <t xml:space="preserve">  "31B824",</t>
  </si>
  <si>
    <t xml:space="preserve">  "30B825",</t>
  </si>
  <si>
    <t xml:space="preserve">  "32B824",</t>
  </si>
  <si>
    <t xml:space="preserve">  "31B825",</t>
  </si>
  <si>
    <t xml:space="preserve">  "31B623",</t>
  </si>
  <si>
    <t xml:space="preserve">  "31B625",</t>
  </si>
  <si>
    <t xml:space="preserve">  "30B824",</t>
  </si>
  <si>
    <t xml:space="preserve">  "32B624",</t>
  </si>
  <si>
    <t xml:space="preserve">  "31B823",</t>
  </si>
  <si>
    <t xml:space="preserve">  "31B723",</t>
  </si>
  <si>
    <t xml:space="preserve">  "31B624",</t>
  </si>
  <si>
    <t xml:space="preserve">  "30B724",</t>
  </si>
  <si>
    <t xml:space="preserve">  "30B725",</t>
  </si>
  <si>
    <t xml:space="preserve">  "32B623",</t>
  </si>
  <si>
    <t xml:space="preserve">  "30B723",</t>
  </si>
  <si>
    <t xml:space="preserve">  "31B725",</t>
  </si>
  <si>
    <t xml:space="preserve">  "32B823",</t>
  </si>
  <si>
    <t xml:space="preserve">  "32B625",</t>
  </si>
  <si>
    <t xml:space="preserve">  "32B723",</t>
  </si>
  <si>
    <t xml:space="preserve">  "32B524",</t>
  </si>
  <si>
    <t xml:space="preserve">  "72D568",</t>
  </si>
  <si>
    <t xml:space="preserve">  "72D469",</t>
  </si>
  <si>
    <t xml:space="preserve">  "71D569",</t>
  </si>
  <si>
    <t xml:space="preserve">  "72D569",</t>
  </si>
  <si>
    <t xml:space="preserve">  "47C83C",</t>
  </si>
  <si>
    <t xml:space="preserve">  "48C73C",</t>
  </si>
  <si>
    <t xml:space="preserve">  "48C83B",</t>
  </si>
  <si>
    <t xml:space="preserve">  "48C83C",</t>
  </si>
  <si>
    <t xml:space="preserve">  "59B847",</t>
  </si>
  <si>
    <t xml:space="preserve">  "59B947",</t>
  </si>
  <si>
    <t xml:space="preserve">  "59B946",</t>
  </si>
  <si>
    <t xml:space="preserve">  "58B947",</t>
  </si>
  <si>
    <t xml:space="preserve">  "4FC244",</t>
  </si>
  <si>
    <t xml:space="preserve">  "4FC243",</t>
  </si>
  <si>
    <t xml:space="preserve">  "4EC244",</t>
  </si>
  <si>
    <t xml:space="preserve">  "4BB547",</t>
  </si>
  <si>
    <t xml:space="preserve">  "4FC143",</t>
  </si>
  <si>
    <t xml:space="preserve">  "4FC144",</t>
  </si>
  <si>
    <t xml:space="preserve">  "4EC243",</t>
  </si>
  <si>
    <t xml:space="preserve">  "4BB546",</t>
  </si>
  <si>
    <t xml:space="preserve">  "4EC144",</t>
  </si>
  <si>
    <t xml:space="preserve">  "57B947",</t>
  </si>
  <si>
    <t xml:space="preserve">  "57BA47",</t>
  </si>
  <si>
    <t xml:space="preserve">  "58BA48",</t>
  </si>
  <si>
    <t xml:space="preserve">  "56B84B",</t>
  </si>
  <si>
    <t xml:space="preserve">  "57B948",</t>
  </si>
  <si>
    <t xml:space="preserve">  "58BA47",</t>
  </si>
  <si>
    <t xml:space="preserve">  "58B948",</t>
  </si>
  <si>
    <t xml:space="preserve">  "56B84A",</t>
  </si>
  <si>
    <t xml:space="preserve">  "57BA48",</t>
  </si>
  <si>
    <t xml:space="preserve">  "33B931",</t>
  </si>
  <si>
    <t xml:space="preserve">  "33B932",</t>
  </si>
  <si>
    <t xml:space="preserve">  "8AD987",</t>
  </si>
  <si>
    <t xml:space="preserve">  "8ADA87",</t>
  </si>
  <si>
    <t xml:space="preserve">  "8ADA86",</t>
  </si>
  <si>
    <t xml:space="preserve">  "A0EE9D",</t>
  </si>
  <si>
    <t xml:space="preserve">  "A0EE9C",</t>
  </si>
  <si>
    <t xml:space="preserve">  "A0ED9D",</t>
  </si>
  <si>
    <t xml:space="preserve">  "90EB8D",</t>
  </si>
  <si>
    <t xml:space="preserve">  "9DE79C",</t>
  </si>
  <si>
    <t xml:space="preserve">  "9DE79B",</t>
  </si>
  <si>
    <t xml:space="preserve">  "9DE69C",</t>
  </si>
  <si>
    <t xml:space="preserve">  "9CE79C",</t>
  </si>
  <si>
    <t xml:space="preserve">  "84EA81",</t>
  </si>
  <si>
    <t xml:space="preserve">  "84EA80",</t>
  </si>
  <si>
    <t xml:space="preserve">  "84E981",</t>
  </si>
  <si>
    <t xml:space="preserve">  "97EC93",</t>
  </si>
  <si>
    <t xml:space="preserve">  "98D6F8",</t>
  </si>
  <si>
    <t xml:space="preserve">  "97D6F9",</t>
  </si>
  <si>
    <t xml:space="preserve">  "98D6F9",</t>
  </si>
  <si>
    <t xml:space="preserve">  "98D5F9",</t>
  </si>
  <si>
    <t xml:space="preserve">  "7FCDF7",</t>
  </si>
  <si>
    <t xml:space="preserve">  "80CDF8",</t>
  </si>
  <si>
    <t xml:space="preserve">  "7ECDF8",</t>
  </si>
  <si>
    <t xml:space="preserve">  "7FCCF7",</t>
  </si>
  <si>
    <t xml:space="preserve">  "80CCF7",</t>
  </si>
  <si>
    <t xml:space="preserve">  "80CDF6",</t>
  </si>
  <si>
    <t xml:space="preserve">  "80CDF7",</t>
  </si>
  <si>
    <t xml:space="preserve">  "7FCCF8",</t>
  </si>
  <si>
    <t xml:space="preserve">  "80CCF8",</t>
  </si>
  <si>
    <t xml:space="preserve">  "7FCDF8",</t>
  </si>
  <si>
    <t xml:space="preserve">  "80CBF8",</t>
  </si>
  <si>
    <t xml:space="preserve">  "90CAEC",</t>
  </si>
  <si>
    <t xml:space="preserve">  "90CBED",</t>
  </si>
  <si>
    <t xml:space="preserve">  "90CBEC",</t>
  </si>
  <si>
    <t xml:space="preserve">  "90CAED",</t>
  </si>
  <si>
    <t xml:space="preserve">  "8FCBED",</t>
  </si>
  <si>
    <t xml:space="preserve">  "8FCBEC",</t>
  </si>
  <si>
    <t xml:space="preserve">  "8FCAED",</t>
  </si>
  <si>
    <t xml:space="preserve">  "80C0E1",</t>
  </si>
  <si>
    <t xml:space="preserve">  "80C0E2",</t>
  </si>
  <si>
    <t xml:space="preserve">  "80BFE2",</t>
  </si>
  <si>
    <t xml:space="preserve">  "7EC0E2",</t>
  </si>
  <si>
    <t xml:space="preserve">  "80BFE0",</t>
  </si>
  <si>
    <t xml:space="preserve">  "80BEE1",</t>
  </si>
  <si>
    <t xml:space="preserve">  "7FC0E0",</t>
  </si>
  <si>
    <t xml:space="preserve">  "80BEE2",</t>
  </si>
  <si>
    <t xml:space="preserve">  "80BFE1",</t>
  </si>
  <si>
    <t xml:space="preserve">  "7FC0E2",</t>
  </si>
  <si>
    <t xml:space="preserve">  "7FC0E1",</t>
  </si>
  <si>
    <t xml:space="preserve">  "7FBFE2",</t>
  </si>
  <si>
    <t xml:space="preserve">  "7FBFE1",</t>
  </si>
  <si>
    <t xml:space="preserve">  "80C0E0",</t>
  </si>
  <si>
    <t xml:space="preserve">  "7EC0E1",</t>
  </si>
  <si>
    <t xml:space="preserve">  "7FBEE2",</t>
  </si>
  <si>
    <t xml:space="preserve">  "8599CC",</t>
  </si>
  <si>
    <t xml:space="preserve">  "8599CB",</t>
  </si>
  <si>
    <t xml:space="preserve">  "8598CC",</t>
  </si>
  <si>
    <t xml:space="preserve">  "8499CC",</t>
  </si>
  <si>
    <t xml:space="preserve">  "A2B0D8",</t>
  </si>
  <si>
    <t xml:space="preserve">  "A2B1D7",</t>
  </si>
  <si>
    <t xml:space="preserve">  "A2B1D8",</t>
  </si>
  <si>
    <t xml:space="preserve">  "95A7D3",</t>
  </si>
  <si>
    <t xml:space="preserve">  "96A6D2",</t>
  </si>
  <si>
    <t xml:space="preserve">  "96A7D3",</t>
  </si>
  <si>
    <t xml:space="preserve">  "96A6D3",</t>
  </si>
  <si>
    <t xml:space="preserve">  "96A7D2",</t>
  </si>
  <si>
    <t xml:space="preserve">  "B1BFDF",</t>
  </si>
  <si>
    <t xml:space="preserve">  "B3C0DE",</t>
  </si>
  <si>
    <t xml:space="preserve">  "B3BFDF",</t>
  </si>
  <si>
    <t xml:space="preserve">  "B2BFDD",</t>
  </si>
  <si>
    <t xml:space="preserve">  "B3BFDE",</t>
  </si>
  <si>
    <t xml:space="preserve">  "B2C0DE",</t>
  </si>
  <si>
    <t xml:space="preserve">  "B2BFDF",</t>
  </si>
  <si>
    <t xml:space="preserve">  "B3BEDF",</t>
  </si>
  <si>
    <t xml:space="preserve">  "B2BFDE",</t>
  </si>
  <si>
    <t xml:space="preserve">  "B1C0DF",</t>
  </si>
  <si>
    <t xml:space="preserve">  "B3BFDD",</t>
  </si>
  <si>
    <t xml:space="preserve">  "B3C0DD",</t>
  </si>
  <si>
    <t xml:space="preserve">  "B2C0DF",</t>
  </si>
  <si>
    <t xml:space="preserve">  "B3BEDE",</t>
  </si>
  <si>
    <t xml:space="preserve">  "B2C0DD",</t>
  </si>
  <si>
    <t xml:space="preserve">  "B2BEDE",</t>
  </si>
  <si>
    <t xml:space="preserve">  "B2BEDF",</t>
  </si>
  <si>
    <t xml:space="preserve">  "B1C0DE",</t>
  </si>
  <si>
    <t xml:space="preserve">  "B3C0DF",</t>
  </si>
  <si>
    <t xml:space="preserve">  "FF7080",</t>
  </si>
  <si>
    <t xml:space="preserve">  "FF707F",</t>
  </si>
  <si>
    <t xml:space="preserve">  "FF6F80",</t>
  </si>
  <si>
    <t xml:space="preserve">  "FE7E84",</t>
  </si>
  <si>
    <t xml:space="preserve">  "FF8082",</t>
  </si>
  <si>
    <t xml:space="preserve">  "FD7E84",</t>
  </si>
  <si>
    <t xml:space="preserve">  "FF7E84",</t>
  </si>
  <si>
    <t xml:space="preserve">  "FF8081",</t>
  </si>
  <si>
    <t xml:space="preserve">  "FD8084",</t>
  </si>
  <si>
    <t xml:space="preserve">  "FF7F82",</t>
  </si>
  <si>
    <t xml:space="preserve">  "FF7E83",</t>
  </si>
  <si>
    <t xml:space="preserve">  "FE8082",</t>
  </si>
  <si>
    <t xml:space="preserve">  "FF7E82",</t>
  </si>
  <si>
    <t xml:space="preserve">  "FF8083",</t>
  </si>
  <si>
    <t xml:space="preserve">  "FF7F84",</t>
  </si>
  <si>
    <t xml:space="preserve">  "FE8084",</t>
  </si>
  <si>
    <t xml:space="preserve">  "FE7F83",</t>
  </si>
  <si>
    <t xml:space="preserve">  "FD7F84",</t>
  </si>
  <si>
    <t xml:space="preserve">  "FD8083",</t>
  </si>
  <si>
    <t xml:space="preserve">  "FF7F83",</t>
  </si>
  <si>
    <t xml:space="preserve">  "FE7F82",</t>
  </si>
  <si>
    <t xml:space="preserve">  "FE7E83",</t>
  </si>
  <si>
    <t xml:space="preserve">  "FD7F83",</t>
  </si>
  <si>
    <t xml:space="preserve">  "FF8084",</t>
  </si>
  <si>
    <t xml:space="preserve">  "FE8083",</t>
  </si>
  <si>
    <t xml:space="preserve">  "FE7F84",</t>
  </si>
  <si>
    <t xml:space="preserve">  "FD8082",</t>
  </si>
  <si>
    <t xml:space="preserve">  "FE909C",</t>
  </si>
  <si>
    <t xml:space="preserve">  "FE8F9F",</t>
  </si>
  <si>
    <t xml:space="preserve">  "FE909D",</t>
  </si>
  <si>
    <t xml:space="preserve">  "FF8E9C",</t>
  </si>
  <si>
    <t xml:space="preserve">  "FF8D9D",</t>
  </si>
  <si>
    <t xml:space="preserve">  "FF8E9D",</t>
  </si>
  <si>
    <t xml:space="preserve">  "FD8F9C",</t>
  </si>
  <si>
    <t xml:space="preserve">  "FD8D9E",</t>
  </si>
  <si>
    <t xml:space="preserve">  "FE8E9F",</t>
  </si>
  <si>
    <t xml:space="preserve">  "FD909E",</t>
  </si>
  <si>
    <t xml:space="preserve">  "FE909E",</t>
  </si>
  <si>
    <t xml:space="preserve">  "FD8D9F",</t>
  </si>
  <si>
    <t xml:space="preserve">  "FC909D",</t>
  </si>
  <si>
    <t xml:space="preserve">  "FF8F9E",</t>
  </si>
  <si>
    <t xml:space="preserve">  "FE8E9C",</t>
  </si>
  <si>
    <t xml:space="preserve">  "FC8E9F",</t>
  </si>
  <si>
    <t xml:space="preserve">  "FF909D",</t>
  </si>
  <si>
    <t xml:space="preserve">  "FF909C",</t>
  </si>
  <si>
    <t xml:space="preserve">  "FE909F",</t>
  </si>
  <si>
    <t xml:space="preserve">  "FD909D",</t>
  </si>
  <si>
    <t xml:space="preserve">  "FC909F",</t>
  </si>
  <si>
    <t xml:space="preserve">  "FF8F9C",</t>
  </si>
  <si>
    <t xml:space="preserve">  "FF8D9E",</t>
  </si>
  <si>
    <t xml:space="preserve">  "FD8E9F",</t>
  </si>
  <si>
    <t xml:space="preserve">  "FD909C",</t>
  </si>
  <si>
    <t xml:space="preserve">  "FE8E9D",</t>
  </si>
  <si>
    <t xml:space="preserve">  "FE8F9E",</t>
  </si>
  <si>
    <t xml:space="preserve">  "FF909F",</t>
  </si>
  <si>
    <t xml:space="preserve">  "FD909F",</t>
  </si>
  <si>
    <t xml:space="preserve">  "FC8F9F",</t>
  </si>
  <si>
    <t xml:space="preserve">  "FF8F9F",</t>
  </si>
  <si>
    <t xml:space="preserve">  "FF8E9E",</t>
  </si>
  <si>
    <t xml:space="preserve">  "FD8E9E",</t>
  </si>
  <si>
    <t xml:space="preserve">  "FE8D9F",</t>
  </si>
  <si>
    <t xml:space="preserve">  "FD8F9D",</t>
  </si>
  <si>
    <t xml:space="preserve">  "FC909E",</t>
  </si>
  <si>
    <t xml:space="preserve">  "FE8D9E",</t>
  </si>
  <si>
    <t xml:space="preserve">  "FD8F9F",</t>
  </si>
  <si>
    <t xml:space="preserve">  "FD8E9D",</t>
  </si>
  <si>
    <t xml:space="preserve">  "FF909E",</t>
  </si>
  <si>
    <t xml:space="preserve">  "FE8D9D",</t>
  </si>
  <si>
    <t xml:space="preserve">  "FF8E9F",</t>
  </si>
  <si>
    <t xml:space="preserve">  "FE8F9D",</t>
  </si>
  <si>
    <t xml:space="preserve">  "FE8E9E",</t>
  </si>
  <si>
    <t xml:space="preserve">  "FD8F9E",</t>
  </si>
  <si>
    <t xml:space="preserve">  "FC8F9E",</t>
  </si>
  <si>
    <t xml:space="preserve">  "FF8D9F",</t>
  </si>
  <si>
    <t xml:space="preserve">  "FF8F9D",</t>
  </si>
  <si>
    <t xml:space="preserve">  "FE8F9C",</t>
  </si>
  <si>
    <t xml:space="preserve">  "E64438",</t>
  </si>
  <si>
    <t xml:space="preserve">  "FF5C4E",</t>
  </si>
  <si>
    <t xml:space="preserve">  "FE5B50",</t>
  </si>
  <si>
    <t xml:space="preserve">  "FE5D4E",</t>
  </si>
  <si>
    <t xml:space="preserve">  "FD5D4F",</t>
  </si>
  <si>
    <t xml:space="preserve">  "FF5D4F",</t>
  </si>
  <si>
    <t xml:space="preserve">  "FF5C4F",</t>
  </si>
  <si>
    <t xml:space="preserve">  "FF5C50",</t>
  </si>
  <si>
    <t xml:space="preserve">  "FE5D4F",</t>
  </si>
  <si>
    <t xml:space="preserve">  "FF5D4E",</t>
  </si>
  <si>
    <t xml:space="preserve">  "FD5C50",</t>
  </si>
  <si>
    <t xml:space="preserve">  "FE5C4E",</t>
  </si>
  <si>
    <t xml:space="preserve">  "FE5C4F",</t>
  </si>
  <si>
    <t xml:space="preserve">  "FE5D50",</t>
  </si>
  <si>
    <t xml:space="preserve">  "FE5C50",</t>
  </si>
  <si>
    <t xml:space="preserve">  "FF5B50",</t>
  </si>
  <si>
    <t xml:space="preserve">  "FF5D50",</t>
  </si>
  <si>
    <t xml:space="preserve">  "FD5D50",</t>
  </si>
  <si>
    <t xml:space="preserve">  "FF5B4F",</t>
  </si>
  <si>
    <t xml:space="preserve">  "FF5446",</t>
  </si>
  <si>
    <t xml:space="preserve">  "FF5547",</t>
  </si>
  <si>
    <t xml:space="preserve">  "FF5546",</t>
  </si>
  <si>
    <t xml:space="preserve">  "FE5447",</t>
  </si>
  <si>
    <t xml:space="preserve">  "FE5446",</t>
  </si>
  <si>
    <t xml:space="preserve">  "FE5445",</t>
  </si>
  <si>
    <t xml:space="preserve">  "FE5545",</t>
  </si>
  <si>
    <t xml:space="preserve">  "FE5347",</t>
  </si>
  <si>
    <t xml:space="preserve">  "FD5546",</t>
  </si>
  <si>
    <t xml:space="preserve">  "FF5445",</t>
  </si>
  <si>
    <t xml:space="preserve">  "FF5346",</t>
  </si>
  <si>
    <t xml:space="preserve">  "FD5447",</t>
  </si>
  <si>
    <t xml:space="preserve">  "FE5346",</t>
  </si>
  <si>
    <t xml:space="preserve">  "FD5446",</t>
  </si>
  <si>
    <t xml:space="preserve">  "FF5345",</t>
  </si>
  <si>
    <t xml:space="preserve">  "FF5447",</t>
  </si>
  <si>
    <t xml:space="preserve">  "FE5547",</t>
  </si>
  <si>
    <t xml:space="preserve">  "FD5547",</t>
  </si>
  <si>
    <t xml:space="preserve">  "FF5545",</t>
  </si>
  <si>
    <t xml:space="preserve">  "FF5347",</t>
  </si>
  <si>
    <t xml:space="preserve">  "FD5545",</t>
  </si>
  <si>
    <t xml:space="preserve">  "FE5546",</t>
  </si>
  <si>
    <t xml:space="preserve">  "FF4C3C",</t>
  </si>
  <si>
    <t xml:space="preserve">  "FF4B3E",</t>
  </si>
  <si>
    <t xml:space="preserve">  "FE4C3C",</t>
  </si>
  <si>
    <t xml:space="preserve">  "FE4C3E",</t>
  </si>
  <si>
    <t xml:space="preserve">  "FE4A3E",</t>
  </si>
  <si>
    <t xml:space="preserve">  "FD4C3D",</t>
  </si>
  <si>
    <t xml:space="preserve">  "FE4C3D",</t>
  </si>
  <si>
    <t xml:space="preserve">  "FF4B3D",</t>
  </si>
  <si>
    <t xml:space="preserve">  "FF4A3E",</t>
  </si>
  <si>
    <t xml:space="preserve">  "FD4B3E",</t>
  </si>
  <si>
    <t xml:space="preserve">  "FC4B3E",</t>
  </si>
  <si>
    <t xml:space="preserve">  "FE4A3C",</t>
  </si>
  <si>
    <t xml:space="preserve">  "FE493D",</t>
  </si>
  <si>
    <t xml:space="preserve">  "FD4A3D",</t>
  </si>
  <si>
    <t xml:space="preserve">  "FF493D",</t>
  </si>
  <si>
    <t xml:space="preserve">  "FE4C3B",</t>
  </si>
  <si>
    <t xml:space="preserve">  "FE493E",</t>
  </si>
  <si>
    <t xml:space="preserve">  "FF4B3C",</t>
  </si>
  <si>
    <t xml:space="preserve">  "FC4C3D",</t>
  </si>
  <si>
    <t xml:space="preserve">  "FF4C3E",</t>
  </si>
  <si>
    <t xml:space="preserve">  "FD4C3E",</t>
  </si>
  <si>
    <t xml:space="preserve">  "FE4A3D",</t>
  </si>
  <si>
    <t xml:space="preserve">  "FD4B3D",</t>
  </si>
  <si>
    <t xml:space="preserve">  "FF4A3C",</t>
  </si>
  <si>
    <t xml:space="preserve">  "FC4C3E",</t>
  </si>
  <si>
    <t xml:space="preserve">  "FF4B3B",</t>
  </si>
  <si>
    <t xml:space="preserve">  "FF4C3D",</t>
  </si>
  <si>
    <t xml:space="preserve">  "FE4B3E",</t>
  </si>
  <si>
    <t xml:space="preserve">  "FE4B3D",</t>
  </si>
  <si>
    <t xml:space="preserve">  "FE4B3B",</t>
  </si>
  <si>
    <t xml:space="preserve">  "FE4B3C",</t>
  </si>
  <si>
    <t xml:space="preserve">  "FF4A3D",</t>
  </si>
  <si>
    <t xml:space="preserve">  "FD4C3C",</t>
  </si>
  <si>
    <t xml:space="preserve">  "FD4A3E",</t>
  </si>
  <si>
    <t xml:space="preserve">  "FF4C3B",</t>
  </si>
  <si>
    <t xml:space="preserve">  "FF493E",</t>
  </si>
  <si>
    <t xml:space="preserve">  "FD4B3C",</t>
  </si>
  <si>
    <t xml:space="preserve">  "F1483B",</t>
  </si>
  <si>
    <t xml:space="preserve">  "F2483A",</t>
  </si>
  <si>
    <t xml:space="preserve">  "F2473B",</t>
  </si>
  <si>
    <t xml:space="preserve">  "F2473A",</t>
  </si>
  <si>
    <t xml:space="preserve">  "F1483A",</t>
  </si>
  <si>
    <t xml:space="preserve">  "F2463A",</t>
  </si>
  <si>
    <t xml:space="preserve">  "F2483B",</t>
  </si>
  <si>
    <t xml:space="preserve">  "F1473B",</t>
  </si>
  <si>
    <t xml:space="preserve">  "F24839",</t>
  </si>
  <si>
    <t xml:space="preserve">  "F0483B",</t>
  </si>
  <si>
    <t xml:space="preserve">  "F2463B",</t>
  </si>
  <si>
    <t xml:space="preserve">  "F24739",</t>
  </si>
  <si>
    <t xml:space="preserve">  "F1473A",</t>
  </si>
  <si>
    <t xml:space="preserve">  "FF64FF",</t>
  </si>
  <si>
    <t xml:space="preserve">  "FE7AFF",</t>
  </si>
  <si>
    <t xml:space="preserve">  "FF79FF",</t>
  </si>
  <si>
    <t xml:space="preserve">  "FD7AFF",</t>
  </si>
  <si>
    <t xml:space="preserve">  "FF78FF",</t>
  </si>
  <si>
    <t xml:space="preserve">  "FF7AFD",</t>
  </si>
  <si>
    <t xml:space="preserve">  "FF7AFF",</t>
  </si>
  <si>
    <t xml:space="preserve">  "FE7AFE",</t>
  </si>
  <si>
    <t xml:space="preserve">  "FE79FF",</t>
  </si>
  <si>
    <t xml:space="preserve">  "FE79FE",</t>
  </si>
  <si>
    <t xml:space="preserve">  "FE7AFD",</t>
  </si>
  <si>
    <t xml:space="preserve">  "FF7AFE",</t>
  </si>
  <si>
    <t xml:space="preserve">  "FF79FD",</t>
  </si>
  <si>
    <t xml:space="preserve">  "FF79FE",</t>
  </si>
  <si>
    <t xml:space="preserve">  "FF78FE",</t>
  </si>
  <si>
    <t xml:space="preserve">  "FE8EFE",</t>
  </si>
  <si>
    <t xml:space="preserve">  "FF8DFD",</t>
  </si>
  <si>
    <t xml:space="preserve">  "FE8DFF",</t>
  </si>
  <si>
    <t xml:space="preserve">  "FF8EFE",</t>
  </si>
  <si>
    <t xml:space="preserve">  "FD8FFF",</t>
  </si>
  <si>
    <t xml:space="preserve">  "FF8FFD",</t>
  </si>
  <si>
    <t xml:space="preserve">  "FF8EFC",</t>
  </si>
  <si>
    <t xml:space="preserve">  "FF8DFF",</t>
  </si>
  <si>
    <t xml:space="preserve">  "FE8EFD",</t>
  </si>
  <si>
    <t xml:space="preserve">  "FE8FFD",</t>
  </si>
  <si>
    <t xml:space="preserve">  "FF8FFF",</t>
  </si>
  <si>
    <t xml:space="preserve">  "FF8FFE",</t>
  </si>
  <si>
    <t xml:space="preserve">  "FF90FE",</t>
  </si>
  <si>
    <t xml:space="preserve">  "FF90FF",</t>
  </si>
  <si>
    <t xml:space="preserve">  "FF8EFD",</t>
  </si>
  <si>
    <t xml:space="preserve">  "FD90FD",</t>
  </si>
  <si>
    <t xml:space="preserve">  "FD8EFF",</t>
  </si>
  <si>
    <t xml:space="preserve">  "FC8FFF",</t>
  </si>
  <si>
    <t xml:space="preserve">  "FE90FE",</t>
  </si>
  <si>
    <t xml:space="preserve">  "FF90FD",</t>
  </si>
  <si>
    <t xml:space="preserve">  "FD8FFD",</t>
  </si>
  <si>
    <t xml:space="preserve">  "FD90FC",</t>
  </si>
  <si>
    <t xml:space="preserve">  "FD8EFD",</t>
  </si>
  <si>
    <t xml:space="preserve">  "FE8EFF",</t>
  </si>
  <si>
    <t xml:space="preserve">  "FF90FC",</t>
  </si>
  <si>
    <t xml:space="preserve">  "FF8FFC",</t>
  </si>
  <si>
    <t xml:space="preserve">  "FF8DFE",</t>
  </si>
  <si>
    <t xml:space="preserve">  "FE90FC",</t>
  </si>
  <si>
    <t xml:space="preserve">  "FC8FFE",</t>
  </si>
  <si>
    <t xml:space="preserve">  "FD8DFF",</t>
  </si>
  <si>
    <t xml:space="preserve">  "FC90FD",</t>
  </si>
  <si>
    <t xml:space="preserve">  "FC90FF",</t>
  </si>
  <si>
    <t xml:space="preserve">  "FE90FD",</t>
  </si>
  <si>
    <t xml:space="preserve">  "FE90FF",</t>
  </si>
  <si>
    <t xml:space="preserve">  "FC8EFF",</t>
  </si>
  <si>
    <t xml:space="preserve">  "FE8FFC",</t>
  </si>
  <si>
    <t xml:space="preserve">  "FD90FF",</t>
  </si>
  <si>
    <t xml:space="preserve">  "FE8DFE",</t>
  </si>
  <si>
    <t xml:space="preserve">  "FC90FE",</t>
  </si>
  <si>
    <t xml:space="preserve">  "FD90FE",</t>
  </si>
  <si>
    <t xml:space="preserve">  "FE8FFE",</t>
  </si>
  <si>
    <t xml:space="preserve">  "FF8EFF",</t>
  </si>
  <si>
    <t xml:space="preserve">  "FE8FFF",</t>
  </si>
  <si>
    <t xml:space="preserve">  "FD8EFE",</t>
  </si>
  <si>
    <t xml:space="preserve">  "FD8FFE",</t>
  </si>
  <si>
    <t xml:space="preserve">  "FFA6FD",</t>
  </si>
  <si>
    <t xml:space="preserve">  "FFA5FD",</t>
  </si>
  <si>
    <t xml:space="preserve">  "FFA5FF",</t>
  </si>
  <si>
    <t xml:space="preserve">  "FFA6FF",</t>
  </si>
  <si>
    <t xml:space="preserve">  "FFA6FE",</t>
  </si>
  <si>
    <t xml:space="preserve">  "FFA4FE",</t>
  </si>
  <si>
    <t xml:space="preserve">  "FFA5FE",</t>
  </si>
  <si>
    <t xml:space="preserve">  "FEA6FE",</t>
  </si>
  <si>
    <t xml:space="preserve">  "FEA5FF",</t>
  </si>
  <si>
    <t xml:space="preserve">  "FEA6FD",</t>
  </si>
  <si>
    <t xml:space="preserve">  "FEA4FF",</t>
  </si>
  <si>
    <t xml:space="preserve">  "FDA6FE",</t>
  </si>
  <si>
    <t xml:space="preserve">  "FEA5FE",</t>
  </si>
  <si>
    <t xml:space="preserve">  "FEA6FF",</t>
  </si>
  <si>
    <t xml:space="preserve">  "FFA4FF",</t>
  </si>
  <si>
    <t xml:space="preserve">  "FDA6FF",</t>
  </si>
  <si>
    <t xml:space="preserve">  "FF9B87",</t>
  </si>
  <si>
    <t xml:space="preserve">  "FF9B88",</t>
  </si>
  <si>
    <t xml:space="preserve">  "FFAC6D",</t>
  </si>
  <si>
    <t xml:space="preserve">  "FFAC6F",</t>
  </si>
  <si>
    <t xml:space="preserve">  "FFAE6E",</t>
  </si>
  <si>
    <t xml:space="preserve">  "FFAD6F",</t>
  </si>
  <si>
    <t xml:space="preserve">  "FEAE6F",</t>
  </si>
  <si>
    <t xml:space="preserve">  "FFAE6F",</t>
  </si>
  <si>
    <t xml:space="preserve">  "FFAD6D",</t>
  </si>
  <si>
    <t xml:space="preserve">  "FEAD6E",</t>
  </si>
  <si>
    <t xml:space="preserve">  "FEAE6D",</t>
  </si>
  <si>
    <t xml:space="preserve">  "FDAE6F",</t>
  </si>
  <si>
    <t xml:space="preserve">  "FFAC6E",</t>
  </si>
  <si>
    <t xml:space="preserve">  "FDAE6D",</t>
  </si>
  <si>
    <t xml:space="preserve">  "FEAC6F",</t>
  </si>
  <si>
    <t xml:space="preserve">  "FDAD6F",</t>
  </si>
  <si>
    <t xml:space="preserve">  "FDAE6E",</t>
  </si>
  <si>
    <t xml:space="preserve">  "FEAD6D",</t>
  </si>
  <si>
    <t xml:space="preserve">  "FEAC6E",</t>
  </si>
  <si>
    <t xml:space="preserve">  "FDAD6E",</t>
  </si>
  <si>
    <t xml:space="preserve">  "FFAE6D",</t>
  </si>
  <si>
    <t xml:space="preserve">  "FEAD6F",</t>
  </si>
  <si>
    <t xml:space="preserve">  "FFAD6E",</t>
  </si>
  <si>
    <t xml:space="preserve">  "FEAE6E",</t>
  </si>
  <si>
    <t xml:space="preserve">  "FFB886",</t>
  </si>
  <si>
    <t xml:space="preserve">  "FFBA86",</t>
  </si>
  <si>
    <t xml:space="preserve">  "FEB985",</t>
  </si>
  <si>
    <t xml:space="preserve">  "FFBA85",</t>
  </si>
  <si>
    <t xml:space="preserve">  "FFB984",</t>
  </si>
  <si>
    <t xml:space="preserve">  "FFBA84",</t>
  </si>
  <si>
    <t xml:space="preserve">  "FFB885",</t>
  </si>
  <si>
    <t xml:space="preserve">  "FDBA86",</t>
  </si>
  <si>
    <t xml:space="preserve">  "FFB985",</t>
  </si>
  <si>
    <t xml:space="preserve">  "FFB986",</t>
  </si>
  <si>
    <t xml:space="preserve">  "FEBA84",</t>
  </si>
  <si>
    <t xml:space="preserve">  "FEBA86",</t>
  </si>
  <si>
    <t xml:space="preserve">  "FEBA85",</t>
  </si>
  <si>
    <t xml:space="preserve">  "FEB986",</t>
  </si>
  <si>
    <t xml:space="preserve">  "FEB886",</t>
  </si>
  <si>
    <t xml:space="preserve">  "FDBA85",</t>
  </si>
  <si>
    <t xml:space="preserve">  "FDB986",</t>
  </si>
  <si>
    <t xml:space="preserve">  "FEB984",</t>
  </si>
  <si>
    <t xml:space="preserve">  "FFC195",</t>
  </si>
  <si>
    <t xml:space="preserve">  "FFC393",</t>
  </si>
  <si>
    <t xml:space="preserve">  "FFC394",</t>
  </si>
  <si>
    <t xml:space="preserve">  "FFC395",</t>
  </si>
  <si>
    <t xml:space="preserve">  "FDC395",</t>
  </si>
  <si>
    <t xml:space="preserve">  "FEC395",</t>
  </si>
  <si>
    <t xml:space="preserve">  "FEC294",</t>
  </si>
  <si>
    <t xml:space="preserve">  "FFC295",</t>
  </si>
  <si>
    <t xml:space="preserve">  "FFC294",</t>
  </si>
  <si>
    <t xml:space="preserve">  "FEC394",</t>
  </si>
  <si>
    <t xml:space="preserve">  "FEC295",</t>
  </si>
  <si>
    <t xml:space="preserve">  "FF9BCD",</t>
  </si>
  <si>
    <t xml:space="preserve">  "FFA3D2",</t>
  </si>
  <si>
    <t xml:space="preserve">  "FFA5D0",</t>
  </si>
  <si>
    <t xml:space="preserve">  "FEA5D0",</t>
  </si>
  <si>
    <t xml:space="preserve">  "FEA4D1",</t>
  </si>
  <si>
    <t xml:space="preserve">  "FFA3D1",</t>
  </si>
  <si>
    <t xml:space="preserve">  "FEA5D1",</t>
  </si>
  <si>
    <t xml:space="preserve">  "FEA4D2",</t>
  </si>
  <si>
    <t xml:space="preserve">  "FDA3D2",</t>
  </si>
  <si>
    <t xml:space="preserve">  "FDA5D0",</t>
  </si>
  <si>
    <t xml:space="preserve">  "FEA3D0",</t>
  </si>
  <si>
    <t xml:space="preserve">  "FFA2D2",</t>
  </si>
  <si>
    <t xml:space="preserve">  "FEA3D2",</t>
  </si>
  <si>
    <t xml:space="preserve">  "FDA5D1",</t>
  </si>
  <si>
    <t xml:space="preserve">  "FDA4D2",</t>
  </si>
  <si>
    <t xml:space="preserve">  "FEA4D0",</t>
  </si>
  <si>
    <t xml:space="preserve">  "FEA3D1",</t>
  </si>
  <si>
    <t xml:space="preserve">  "FDA4D1",</t>
  </si>
  <si>
    <t xml:space="preserve">  "FFA3D0",</t>
  </si>
  <si>
    <t xml:space="preserve">  "FDA4D0",</t>
  </si>
  <si>
    <t xml:space="preserve">  "FDA5D2",</t>
  </si>
  <si>
    <t xml:space="preserve">  "FFA4D0",</t>
  </si>
  <si>
    <t xml:space="preserve">  "FFA4D1",</t>
  </si>
  <si>
    <t xml:space="preserve">  "FFA5D1",</t>
  </si>
  <si>
    <t xml:space="preserve">  "FFA4D2",</t>
  </si>
  <si>
    <t xml:space="preserve">  "FFA5D2",</t>
  </si>
  <si>
    <t xml:space="preserve">  "FEA5D2",</t>
  </si>
  <si>
    <t xml:space="preserve">  "FDA3D1",</t>
  </si>
  <si>
    <t xml:space="preserve">  "FFA5CF",</t>
  </si>
  <si>
    <t xml:space="preserve">  "FEB2D7",</t>
  </si>
  <si>
    <t xml:space="preserve">  "FDB1D9",</t>
  </si>
  <si>
    <t xml:space="preserve">  "FFB1D7",</t>
  </si>
  <si>
    <t xml:space="preserve">  "FFB3D6",</t>
  </si>
  <si>
    <t xml:space="preserve">  "FDB0D9",</t>
  </si>
  <si>
    <t xml:space="preserve">  "FDB3D7",</t>
  </si>
  <si>
    <t xml:space="preserve">  "FEB3D9",</t>
  </si>
  <si>
    <t xml:space="preserve">  "FEB3D6",</t>
  </si>
  <si>
    <t xml:space="preserve">  "FEB3D8",</t>
  </si>
  <si>
    <t xml:space="preserve">  "FDB1D8",</t>
  </si>
  <si>
    <t xml:space="preserve">  "FEB1D6",</t>
  </si>
  <si>
    <t xml:space="preserve">  "FEB0D8",</t>
  </si>
  <si>
    <t xml:space="preserve">  "FEB1D8",</t>
  </si>
  <si>
    <t xml:space="preserve">  "FFB3D8",</t>
  </si>
  <si>
    <t xml:space="preserve">  "FFB2D8",</t>
  </si>
  <si>
    <t xml:space="preserve">  "FFB2D9",</t>
  </si>
  <si>
    <t xml:space="preserve">  "FFB1D8",</t>
  </si>
  <si>
    <t xml:space="preserve">  "FDB3D8",</t>
  </si>
  <si>
    <t xml:space="preserve">  "FCB3D7",</t>
  </si>
  <si>
    <t xml:space="preserve">  "FEB0D9",</t>
  </si>
  <si>
    <t xml:space="preserve">  "FDB2D9",</t>
  </si>
  <si>
    <t xml:space="preserve">  "FDB2D8",</t>
  </si>
  <si>
    <t xml:space="preserve">  "FDB1D7",</t>
  </si>
  <si>
    <t xml:space="preserve">  "FFB1D6",</t>
  </si>
  <si>
    <t xml:space="preserve">  "FCB3D9",</t>
  </si>
  <si>
    <t xml:space="preserve">  "FFB2D6",</t>
  </si>
  <si>
    <t xml:space="preserve">  "FFB0D8",</t>
  </si>
  <si>
    <t xml:space="preserve">  "FCB3D8",</t>
  </si>
  <si>
    <t xml:space="preserve">  "FCB2D9",</t>
  </si>
  <si>
    <t xml:space="preserve">  "FEB2D9",</t>
  </si>
  <si>
    <t xml:space="preserve">  "FEB2D8",</t>
  </si>
  <si>
    <t xml:space="preserve">  "FFB1D9",</t>
  </si>
  <si>
    <t xml:space="preserve">  "FFB3D7",</t>
  </si>
  <si>
    <t xml:space="preserve">  "FEB2D6",</t>
  </si>
  <si>
    <t xml:space="preserve">  "FCB2D8",</t>
  </si>
  <si>
    <t xml:space="preserve">  "FDB3D9",</t>
  </si>
  <si>
    <t xml:space="preserve">  "FFB2D7",</t>
  </si>
  <si>
    <t xml:space="preserve">  "FCB1D9",</t>
  </si>
  <si>
    <t xml:space="preserve">  "FEB3D7",</t>
  </si>
  <si>
    <t xml:space="preserve">  "FFB0D7",</t>
  </si>
  <si>
    <t xml:space="preserve">  "FEB1D9",</t>
  </si>
  <si>
    <t xml:space="preserve">  "FDB3D6",</t>
  </si>
  <si>
    <t xml:space="preserve">  "FFB0D9",</t>
  </si>
  <si>
    <t xml:space="preserve">  "FEB1D7",</t>
  </si>
  <si>
    <t xml:space="preserve">  "FDB2D7",</t>
  </si>
  <si>
    <t xml:space="preserve">  "FFB3D9",</t>
  </si>
  <si>
    <t xml:space="preserve">  "FFC6E1",</t>
  </si>
  <si>
    <t xml:space="preserve">  "FFC5E2",</t>
  </si>
  <si>
    <t xml:space="preserve">  "FFC6E2",</t>
  </si>
  <si>
    <t xml:space="preserve">  "FEC6E2",</t>
  </si>
  <si>
    <t xml:space="preserve">  "F0F080",</t>
  </si>
  <si>
    <t xml:space="preserve">  "F0EF80",</t>
  </si>
  <si>
    <t xml:space="preserve">  "FFFA8E",</t>
  </si>
  <si>
    <t xml:space="preserve">  "FFF98F",</t>
  </si>
  <si>
    <t xml:space="preserve">  "EBE753",</t>
  </si>
  <si>
    <t xml:space="preserve">  "FFFA91",</t>
  </si>
  <si>
    <t xml:space="preserve">  "FEFA91",</t>
  </si>
  <si>
    <t xml:space="preserve">  "FFFC91",</t>
  </si>
  <si>
    <t xml:space="preserve">  "FEFC90",</t>
  </si>
  <si>
    <t xml:space="preserve">  "EBE553",</t>
  </si>
  <si>
    <t xml:space="preserve">  "FDFB91",</t>
  </si>
  <si>
    <t xml:space="preserve">  "FDFA91",</t>
  </si>
  <si>
    <t xml:space="preserve">  "FEF98F",</t>
  </si>
  <si>
    <t xml:space="preserve">  "FEF891",</t>
  </si>
  <si>
    <t xml:space="preserve">  "EBE654",</t>
  </si>
  <si>
    <t xml:space="preserve">  "FFFC8E",</t>
  </si>
  <si>
    <t xml:space="preserve">  "FDF98F",</t>
  </si>
  <si>
    <t xml:space="preserve">  "FFFC90",</t>
  </si>
  <si>
    <t xml:space="preserve">  "ECE654",</t>
  </si>
  <si>
    <t xml:space="preserve">  "FEFB8F",</t>
  </si>
  <si>
    <t xml:space="preserve">  "FFF991",</t>
  </si>
  <si>
    <t xml:space="preserve">  "FDFA90",</t>
  </si>
  <si>
    <t xml:space="preserve">  "FDFB8E",</t>
  </si>
  <si>
    <t xml:space="preserve">  "ECE754",</t>
  </si>
  <si>
    <t xml:space="preserve">  "FEFA8F",</t>
  </si>
  <si>
    <t xml:space="preserve">  "FEFC8D",</t>
  </si>
  <si>
    <t xml:space="preserve">  "FFF890",</t>
  </si>
  <si>
    <t xml:space="preserve">  "EBE554",</t>
  </si>
  <si>
    <t xml:space="preserve">  "FCFB90",</t>
  </si>
  <si>
    <t xml:space="preserve">  "FEFB91",</t>
  </si>
  <si>
    <t xml:space="preserve">  "FCFA90",</t>
  </si>
  <si>
    <t xml:space="preserve">  "EBE754",</t>
  </si>
  <si>
    <t xml:space="preserve">  "FEFA90",</t>
  </si>
  <si>
    <t xml:space="preserve">  "FFFB8F",</t>
  </si>
  <si>
    <t xml:space="preserve">  "FCFB91",</t>
  </si>
  <si>
    <t xml:space="preserve">  "ECE553",</t>
  </si>
  <si>
    <t xml:space="preserve">  "FDFB90",</t>
  </si>
  <si>
    <t xml:space="preserve">  "FDF991",</t>
  </si>
  <si>
    <t xml:space="preserve">  "FDFA8F",</t>
  </si>
  <si>
    <t xml:space="preserve">  "EAE753",</t>
  </si>
  <si>
    <t xml:space="preserve">  "FBFC91",</t>
  </si>
  <si>
    <t xml:space="preserve">  "FFFB8D",</t>
  </si>
  <si>
    <t xml:space="preserve">  "FEFB90",</t>
  </si>
  <si>
    <t xml:space="preserve">  "ECE752",</t>
  </si>
  <si>
    <t xml:space="preserve">  "FFFA8F",</t>
  </si>
  <si>
    <t xml:space="preserve">  "FDFC90",</t>
  </si>
  <si>
    <t xml:space="preserve">  "FEFC8F",</t>
  </si>
  <si>
    <t xml:space="preserve">  "EBE652",</t>
  </si>
  <si>
    <t xml:space="preserve">  "FDFC8F",</t>
  </si>
  <si>
    <t xml:space="preserve">  "FCFA8F",</t>
  </si>
  <si>
    <t xml:space="preserve">  "FFFA90",</t>
  </si>
  <si>
    <t xml:space="preserve">  "ECE653",</t>
  </si>
  <si>
    <t xml:space="preserve">  "FEF990",</t>
  </si>
  <si>
    <t xml:space="preserve">  "FDFB8F",</t>
  </si>
  <si>
    <t xml:space="preserve">  "FEFB8E",</t>
  </si>
  <si>
    <t xml:space="preserve">  "FEFC8E",</t>
  </si>
  <si>
    <t xml:space="preserve">  "EAE654",</t>
  </si>
  <si>
    <t xml:space="preserve">  "FCFC91",</t>
  </si>
  <si>
    <t xml:space="preserve">  "FCFC90",</t>
  </si>
  <si>
    <t xml:space="preserve">  "FDFC8E",</t>
  </si>
  <si>
    <t xml:space="preserve">  "FFFB91",</t>
  </si>
  <si>
    <t xml:space="preserve">  "ECE753",</t>
  </si>
  <si>
    <t xml:space="preserve">  "FCFA91",</t>
  </si>
  <si>
    <t xml:space="preserve">  "FEFA8E",</t>
  </si>
  <si>
    <t xml:space="preserve">  "FCFC8F",</t>
  </si>
  <si>
    <t xml:space="preserve">  "EBE653",</t>
  </si>
  <si>
    <t xml:space="preserve">  "FFFB8E",</t>
  </si>
  <si>
    <t xml:space="preserve">  "FEFC91",</t>
  </si>
  <si>
    <t xml:space="preserve">  "FDF990",</t>
  </si>
  <si>
    <t xml:space="preserve">  "ECE554",</t>
  </si>
  <si>
    <t xml:space="preserve">  "FFF990",</t>
  </si>
  <si>
    <t xml:space="preserve">  "FDFA8E",</t>
  </si>
  <si>
    <t xml:space="preserve">  "FCFB8F",</t>
  </si>
  <si>
    <t xml:space="preserve">  "EAE754",</t>
  </si>
  <si>
    <t xml:space="preserve">  "FFFC8D",</t>
  </si>
  <si>
    <t xml:space="preserve">  "FFFB90",</t>
  </si>
  <si>
    <t xml:space="preserve">  "FFFC8F",</t>
  </si>
  <si>
    <t xml:space="preserve">  "ECE652",</t>
  </si>
  <si>
    <t xml:space="preserve">  "FEF991",</t>
  </si>
  <si>
    <t xml:space="preserve">  "FDFC91",</t>
  </si>
  <si>
    <t xml:space="preserve">  "FFF891",</t>
  </si>
  <si>
    <t xml:space="preserve">  "EBE752",</t>
  </si>
  <si>
    <t xml:space="preserve">  "F0F07F",</t>
  </si>
  <si>
    <t xml:space="preserve">  "FFFCBC",</t>
  </si>
  <si>
    <t xml:space="preserve">  "FFFDBC",</t>
  </si>
  <si>
    <t xml:space="preserve">  "FFFDBB",</t>
  </si>
  <si>
    <t xml:space="preserve">  "FEFDBC",</t>
  </si>
  <si>
    <t xml:space="preserve">  "CAC7CB",</t>
  </si>
  <si>
    <t xml:space="preserve">  "C8CAC9",</t>
  </si>
  <si>
    <t xml:space="preserve">  "C7CCC9",</t>
  </si>
  <si>
    <t xml:space="preserve">  "CAC8C9",</t>
  </si>
  <si>
    <t xml:space="preserve">  "CCCBC7",</t>
  </si>
  <si>
    <t xml:space="preserve">  "C7CBCA",</t>
  </si>
  <si>
    <t xml:space="preserve">  "CCCCCB",</t>
  </si>
  <si>
    <t xml:space="preserve">  "CAC8C7",</t>
  </si>
  <si>
    <t xml:space="preserve">  "CACAC9",</t>
  </si>
  <si>
    <t xml:space="preserve">  "C9CAC7",</t>
  </si>
  <si>
    <t xml:space="preserve">  "CBCBC7",</t>
  </si>
  <si>
    <t xml:space="preserve">  "CBCCC7",</t>
  </si>
  <si>
    <t xml:space="preserve">  "C9C8CB",</t>
  </si>
  <si>
    <t xml:space="preserve">  "C7CBCB",</t>
  </si>
  <si>
    <t xml:space="preserve">  "C9CBCB",</t>
  </si>
  <si>
    <t xml:space="preserve">  "CBCACC",</t>
  </si>
  <si>
    <t xml:space="preserve">  "CACCCB",</t>
  </si>
  <si>
    <t xml:space="preserve">  "C9CACC",</t>
  </si>
  <si>
    <t xml:space="preserve">  "C7CCCC",</t>
  </si>
  <si>
    <t xml:space="preserve">  "CBCBCC",</t>
  </si>
  <si>
    <t xml:space="preserve">  "CCCACA",</t>
  </si>
  <si>
    <t xml:space="preserve">  "C8C9C8",</t>
  </si>
  <si>
    <t xml:space="preserve">  "C9CCCA",</t>
  </si>
  <si>
    <t xml:space="preserve">  "CBCACB",</t>
  </si>
  <si>
    <t xml:space="preserve">  "CBC7CB",</t>
  </si>
  <si>
    <t xml:space="preserve">  "CCCBCA",</t>
  </si>
  <si>
    <t xml:space="preserve">  "CACACB",</t>
  </si>
  <si>
    <t xml:space="preserve">  "C8C8CA",</t>
  </si>
  <si>
    <t xml:space="preserve">  "C8CACA",</t>
  </si>
  <si>
    <t xml:space="preserve">  "CCCCC7",</t>
  </si>
  <si>
    <t xml:space="preserve">  "C9C8C9",</t>
  </si>
  <si>
    <t xml:space="preserve">  "C9CCC7",</t>
  </si>
  <si>
    <t xml:space="preserve">  "C9C7CA",</t>
  </si>
  <si>
    <t xml:space="preserve">  "C8CBC8",</t>
  </si>
  <si>
    <t xml:space="preserve">  "C9CACB",</t>
  </si>
  <si>
    <t xml:space="preserve">  "CAC9C8",</t>
  </si>
  <si>
    <t xml:space="preserve">  "CCC7CB",</t>
  </si>
  <si>
    <t xml:space="preserve">  "CBC7C8",</t>
  </si>
  <si>
    <t xml:space="preserve">  "CCCBC8",</t>
  </si>
  <si>
    <t xml:space="preserve">  "C9C9CB",</t>
  </si>
  <si>
    <t xml:space="preserve">  "CBC9C9",</t>
  </si>
  <si>
    <t xml:space="preserve">  "C9C8C8",</t>
  </si>
  <si>
    <t xml:space="preserve">  "CCC8C9",</t>
  </si>
  <si>
    <t xml:space="preserve">  "C7C9CB",</t>
  </si>
  <si>
    <t xml:space="preserve">  "C8CAC7",</t>
  </si>
  <si>
    <t xml:space="preserve">  "CAC8CC",</t>
  </si>
  <si>
    <t xml:space="preserve">  "C9CCC8",</t>
  </si>
  <si>
    <t xml:space="preserve">  "CAC7C9",</t>
  </si>
  <si>
    <t xml:space="preserve">  "CAC8CA",</t>
  </si>
  <si>
    <t xml:space="preserve">  "CCC7CA",</t>
  </si>
  <si>
    <t xml:space="preserve">  "C8CCCB",</t>
  </si>
  <si>
    <t xml:space="preserve">  "CBCCC8",</t>
  </si>
  <si>
    <t xml:space="preserve">  "CBC8C9",</t>
  </si>
  <si>
    <t xml:space="preserve">  "CCC9C9",</t>
  </si>
  <si>
    <t xml:space="preserve">  "CCC8CB",</t>
  </si>
  <si>
    <t xml:space="preserve">  "CAC9CC",</t>
  </si>
  <si>
    <t xml:space="preserve">  "CAC8C8",</t>
  </si>
  <si>
    <t xml:space="preserve">  "CBC9CA",</t>
  </si>
  <si>
    <t xml:space="preserve">  "CACCC8",</t>
  </si>
  <si>
    <t xml:space="preserve">  "C9CBC8",</t>
  </si>
  <si>
    <t xml:space="preserve">  "CCCBCC",</t>
  </si>
  <si>
    <t xml:space="preserve">  "CBCAC9",</t>
  </si>
  <si>
    <t xml:space="preserve">  "C9CCCC",</t>
  </si>
  <si>
    <t xml:space="preserve">  "CCC7C8",</t>
  </si>
  <si>
    <t xml:space="preserve">  "CBCCC9",</t>
  </si>
  <si>
    <t xml:space="preserve">  "C9CBCC",</t>
  </si>
  <si>
    <t xml:space="preserve">  "C9CCCB",</t>
  </si>
  <si>
    <t xml:space="preserve">  "CCCBC9",</t>
  </si>
  <si>
    <t xml:space="preserve">  "C7CCC8",</t>
  </si>
  <si>
    <t xml:space="preserve">  "C8CBCB",</t>
  </si>
  <si>
    <t xml:space="preserve">  "C9CAC8",</t>
  </si>
  <si>
    <t xml:space="preserve">  "CBC8CA",</t>
  </si>
  <si>
    <t xml:space="preserve">  "CAC8CB",</t>
  </si>
  <si>
    <t xml:space="preserve">  "CBC9CB",</t>
  </si>
  <si>
    <t xml:space="preserve">  "CCC7CC",</t>
  </si>
  <si>
    <t xml:space="preserve">  "CCCACC",</t>
  </si>
  <si>
    <t xml:space="preserve">  "CBC9C8",</t>
  </si>
  <si>
    <t xml:space="preserve">  "CBC7CC",</t>
  </si>
  <si>
    <t xml:space="preserve">  "CCCCCA",</t>
  </si>
  <si>
    <t xml:space="preserve">  "C9C9C8",</t>
  </si>
  <si>
    <t xml:space="preserve">  "C9CACA",</t>
  </si>
  <si>
    <t xml:space="preserve">  "C8CCCC",</t>
  </si>
  <si>
    <t xml:space="preserve">  "C9CBC9",</t>
  </si>
  <si>
    <t xml:space="preserve">  "C9C9C7",</t>
  </si>
  <si>
    <t xml:space="preserve">  "CAC9CB",</t>
  </si>
  <si>
    <t xml:space="preserve">  "C9CBCA",</t>
  </si>
  <si>
    <t xml:space="preserve">  "CACCC9",</t>
  </si>
  <si>
    <t xml:space="preserve">  "CBC9CC",</t>
  </si>
  <si>
    <t xml:space="preserve">  "C9C9CA",</t>
  </si>
  <si>
    <t xml:space="preserve">  "C7CCCA",</t>
  </si>
  <si>
    <t xml:space="preserve">  "C7C9CA",</t>
  </si>
  <si>
    <t xml:space="preserve">  "CAC7CC",</t>
  </si>
  <si>
    <t xml:space="preserve">  "C8CBCC",</t>
  </si>
  <si>
    <t xml:space="preserve">  "C9C8CA",</t>
  </si>
  <si>
    <t xml:space="preserve">  "CCC7C9",</t>
  </si>
  <si>
    <t xml:space="preserve">  "C8C9CA",</t>
  </si>
  <si>
    <t xml:space="preserve">  "CBC8C7",</t>
  </si>
  <si>
    <t xml:space="preserve">  "C9C7C9",</t>
  </si>
  <si>
    <t xml:space="preserve">  "C7CACC",</t>
  </si>
  <si>
    <t xml:space="preserve">  "C8C7CC",</t>
  </si>
  <si>
    <t xml:space="preserve">  "CCCCCC",</t>
  </si>
  <si>
    <t xml:space="preserve">  "CCCAC7",</t>
  </si>
  <si>
    <t xml:space="preserve">  "C8CCC8",</t>
  </si>
  <si>
    <t xml:space="preserve">  "C8C7CA",</t>
  </si>
  <si>
    <t xml:space="preserve">  "C7C8CB",</t>
  </si>
  <si>
    <t xml:space="preserve">  "CBC7CA",</t>
  </si>
  <si>
    <t xml:space="preserve">  "C7C9C9",</t>
  </si>
  <si>
    <t xml:space="preserve">  "C9C7CC",</t>
  </si>
  <si>
    <t xml:space="preserve">  "C7CACB",</t>
  </si>
  <si>
    <t xml:space="preserve">  "CCC8C8",</t>
  </si>
  <si>
    <t xml:space="preserve">  "C7CBCC",</t>
  </si>
  <si>
    <t xml:space="preserve">  "C7CACA",</t>
  </si>
  <si>
    <t xml:space="preserve">  "CACCCA",</t>
  </si>
  <si>
    <t xml:space="preserve">  "CACCCC",</t>
  </si>
  <si>
    <t xml:space="preserve">  "CCC9CA",</t>
  </si>
  <si>
    <t xml:space="preserve">  "CBC9C7",</t>
  </si>
  <si>
    <t xml:space="preserve">  "CCC8CA",</t>
  </si>
  <si>
    <t xml:space="preserve">  "CACBC7",</t>
  </si>
  <si>
    <t xml:space="preserve">  "C8CACB",</t>
  </si>
  <si>
    <t xml:space="preserve">  "CBCBCA",</t>
  </si>
  <si>
    <t xml:space="preserve">  "CCCACB",</t>
  </si>
  <si>
    <t xml:space="preserve">  "CBCCCA",</t>
  </si>
  <si>
    <t xml:space="preserve">  "CACBCC",</t>
  </si>
  <si>
    <t xml:space="preserve">  "C7CBC9",</t>
  </si>
  <si>
    <t xml:space="preserve">  "CBCBC9",</t>
  </si>
  <si>
    <t xml:space="preserve">  "C8CBC9",</t>
  </si>
  <si>
    <t xml:space="preserve">  "CBC8C8",</t>
  </si>
  <si>
    <t xml:space="preserve">  "CACAC7",</t>
  </si>
  <si>
    <t xml:space="preserve">  "C8C8CC",</t>
  </si>
  <si>
    <t xml:space="preserve">  "C8C8CB",</t>
  </si>
  <si>
    <t xml:space="preserve">  "CACBC9",</t>
  </si>
  <si>
    <t xml:space="preserve">  "CACBCA",</t>
  </si>
  <si>
    <t xml:space="preserve">  "CBCAC8",</t>
  </si>
  <si>
    <t xml:space="preserve">  "C8CAC8",</t>
  </si>
  <si>
    <t xml:space="preserve">  "CCC9CC",</t>
  </si>
  <si>
    <t xml:space="preserve">  "CBCACA",</t>
  </si>
  <si>
    <t xml:space="preserve">  "CCC8C7",</t>
  </si>
  <si>
    <t xml:space="preserve">  "CBCAC7",</t>
  </si>
  <si>
    <t xml:space="preserve">  "C9CBC7",</t>
  </si>
  <si>
    <t xml:space="preserve">  "C8C9CB",</t>
  </si>
  <si>
    <t xml:space="preserve">  "C7CCCB",</t>
  </si>
  <si>
    <t xml:space="preserve">  "C9C9C9",</t>
  </si>
  <si>
    <t xml:space="preserve">  "CACCC7",</t>
  </si>
  <si>
    <t xml:space="preserve">  "CCC9C7",</t>
  </si>
  <si>
    <t xml:space="preserve">  "C7C8CC",</t>
  </si>
  <si>
    <t xml:space="preserve">  "CBC8CC",</t>
  </si>
  <si>
    <t xml:space="preserve">  "CBC8CB",</t>
  </si>
  <si>
    <t xml:space="preserve">  "CACBC8",</t>
  </si>
  <si>
    <t xml:space="preserve">  "CCCCC8",</t>
  </si>
  <si>
    <t xml:space="preserve">  "C8C8C9",</t>
  </si>
  <si>
    <t xml:space="preserve">  "CCC8CC",</t>
  </si>
  <si>
    <t xml:space="preserve">  "C7C8CA",</t>
  </si>
  <si>
    <t xml:space="preserve">  "C9C9CC",</t>
  </si>
  <si>
    <t xml:space="preserve">  "C9CCC9",</t>
  </si>
  <si>
    <t xml:space="preserve">  "C8C9C9",</t>
  </si>
  <si>
    <t xml:space="preserve">  "CBCBC8",</t>
  </si>
  <si>
    <t xml:space="preserve">  "CAC7C8",</t>
  </si>
  <si>
    <t xml:space="preserve">  "CBCCCC",</t>
  </si>
  <si>
    <t xml:space="preserve">  "C8CBC7",</t>
  </si>
  <si>
    <t xml:space="preserve">  "C7CAC8",</t>
  </si>
  <si>
    <t xml:space="preserve">  "C8CCC9",</t>
  </si>
  <si>
    <t xml:space="preserve">  "CBCCCB",</t>
  </si>
  <si>
    <t xml:space="preserve">  "CAC9C7",</t>
  </si>
  <si>
    <t xml:space="preserve">  "CACACC",</t>
  </si>
  <si>
    <t xml:space="preserve">  "CCCAC9",</t>
  </si>
  <si>
    <t xml:space="preserve">  "C9C8CC",</t>
  </si>
  <si>
    <t xml:space="preserve">  "C8C9CC",</t>
  </si>
  <si>
    <t xml:space="preserve">  "CBC7C9",</t>
  </si>
  <si>
    <t xml:space="preserve">  "C7CBC8",</t>
  </si>
  <si>
    <t xml:space="preserve">  "CACACA",</t>
  </si>
  <si>
    <t xml:space="preserve">  "CCCCC9",</t>
  </si>
  <si>
    <t xml:space="preserve">  "CAC9C9",</t>
  </si>
  <si>
    <t xml:space="preserve">  "C9CAC9",</t>
  </si>
  <si>
    <t xml:space="preserve">  "CCC9CB",</t>
  </si>
  <si>
    <t xml:space="preserve">  "CACAC8",</t>
  </si>
  <si>
    <t xml:space="preserve">  "CACBCB",</t>
  </si>
  <si>
    <t xml:space="preserve">  "CCCBCB",</t>
  </si>
  <si>
    <t xml:space="preserve">  "C8CBCA",</t>
  </si>
  <si>
    <t xml:space="preserve">  "C7C9CC",</t>
  </si>
  <si>
    <t xml:space="preserve">  "C8C8C8",</t>
  </si>
  <si>
    <t xml:space="preserve">  "CCCAC8",</t>
  </si>
  <si>
    <t xml:space="preserve">  "CAC7CA",</t>
  </si>
  <si>
    <t xml:space="preserve">  "C8CCCA",</t>
  </si>
  <si>
    <t xml:space="preserve">  "C8C7CB",</t>
  </si>
  <si>
    <t xml:space="preserve">  "CCC9C8",</t>
  </si>
  <si>
    <t xml:space="preserve">  "C7CAC9",</t>
  </si>
  <si>
    <t xml:space="preserve">  "C8CCC7",</t>
  </si>
  <si>
    <t xml:space="preserve">  "C8CACC",</t>
  </si>
  <si>
    <t xml:space="preserve">  "CBCBCB",</t>
  </si>
  <si>
    <t xml:space="preserve">  "CAC9CA",</t>
  </si>
  <si>
    <t xml:space="preserve">  "C9C7CB",</t>
  </si>
  <si>
    <t xml:space="preserve">  "AAA8AA",</t>
  </si>
  <si>
    <t xml:space="preserve">  "A8AAAA",</t>
  </si>
  <si>
    <t xml:space="preserve">  "AAA9A8",</t>
  </si>
  <si>
    <t xml:space="preserve">  "AAA8A9",</t>
  </si>
  <si>
    <t xml:space="preserve">  "A9AAA8",</t>
  </si>
  <si>
    <t xml:space="preserve">  "A9A8AA",</t>
  </si>
  <si>
    <t xml:space="preserve">  "A8AAA9",</t>
  </si>
  <si>
    <t xml:space="preserve">  "A8A9AA",</t>
  </si>
  <si>
    <t xml:space="preserve">  "A9A9A8",</t>
  </si>
  <si>
    <t xml:space="preserve">  "AAA9A7",</t>
  </si>
  <si>
    <t xml:space="preserve">  "A9AAA7",</t>
  </si>
  <si>
    <t xml:space="preserve">  "A7AAA9",</t>
  </si>
  <si>
    <t xml:space="preserve">  "AAA8A8",</t>
  </si>
  <si>
    <t xml:space="preserve">  "A8AAA8",</t>
  </si>
  <si>
    <t xml:space="preserve">  "AAAAA7",</t>
  </si>
  <si>
    <t xml:space="preserve">  "AAA7AA",</t>
  </si>
  <si>
    <t xml:space="preserve">  "AAA7A9",</t>
  </si>
  <si>
    <t xml:space="preserve">  "A9A8A8",</t>
  </si>
  <si>
    <t xml:space="preserve">  "A8A8AA",</t>
  </si>
  <si>
    <t xml:space="preserve">  "A8A9A8",</t>
  </si>
  <si>
    <t xml:space="preserve">  "A8A9A9",</t>
  </si>
  <si>
    <t xml:space="preserve">  "A9A7AA",</t>
  </si>
  <si>
    <t xml:space="preserve">  "A8A8A9",</t>
  </si>
  <si>
    <t xml:space="preserve">  "A7AAAA",</t>
  </si>
  <si>
    <t xml:space="preserve">  "AAAAAA",</t>
  </si>
  <si>
    <t xml:space="preserve">  "AAAAA9",</t>
  </si>
  <si>
    <t xml:space="preserve">  "AAA9AA",</t>
  </si>
  <si>
    <t xml:space="preserve">  "A9AAAA",</t>
  </si>
  <si>
    <t xml:space="preserve">  "AAA9A9",</t>
  </si>
  <si>
    <t xml:space="preserve">  "A9AAA9",</t>
  </si>
  <si>
    <t xml:space="preserve">  "A9A9AA",</t>
  </si>
  <si>
    <t xml:space="preserve">  "A9A9A9",</t>
  </si>
  <si>
    <t xml:space="preserve">  "AAAAA8",</t>
  </si>
  <si>
    <t xml:space="preserve">  "A9A8A9",</t>
  </si>
  <si>
    <t xml:space="preserve">  "7F2E7E"</t>
  </si>
  <si>
    <t xml:space="preserve">  "Basic cell groups and regions",</t>
  </si>
  <si>
    <t xml:space="preserve">  "Cerebrum",</t>
  </si>
  <si>
    <t xml:space="preserve">  "Cerebral cortex",</t>
  </si>
  <si>
    <t xml:space="preserve">  "Cortical plate",</t>
  </si>
  <si>
    <t xml:space="preserve">  "Frontal pole, cerebral cortex",</t>
  </si>
  <si>
    <t xml:space="preserve">  "Frontal pole, layer 1",</t>
  </si>
  <si>
    <t xml:space="preserve">  "Frontal pole, layer 2\/3",</t>
  </si>
  <si>
    <t xml:space="preserve">  "Frontal pole, layer 5",</t>
  </si>
  <si>
    <t xml:space="preserve">  "Frontal pole, layer 6a",</t>
  </si>
  <si>
    <t xml:space="preserve">  "Frontal pole, layer 6b",</t>
  </si>
  <si>
    <t xml:space="preserve">  "Somatomotor areas",</t>
  </si>
  <si>
    <t xml:space="preserve">  "Somatomotor areas, Layer 1",</t>
  </si>
  <si>
    <t xml:space="preserve">  "Somatomotor areas, Layer 2\/3",</t>
  </si>
  <si>
    <t xml:space="preserve">  "Somatomotor areas, Layer 5",</t>
  </si>
  <si>
    <t xml:space="preserve">  "Somatomotor areas, Layer 6a",</t>
  </si>
  <si>
    <t xml:space="preserve">  "Somatomotor areas, Layer 6b",</t>
  </si>
  <si>
    <t xml:space="preserve">  "Primary motor area",</t>
  </si>
  <si>
    <t xml:space="preserve">  "Primary motor area, Layer 1",</t>
  </si>
  <si>
    <t xml:space="preserve">  "Primary motor area, Layer 2\/3",</t>
  </si>
  <si>
    <t xml:space="preserve">  "Primary motor area, Layer 5",</t>
  </si>
  <si>
    <t xml:space="preserve">  "Primary motor area, Layer 6a",</t>
  </si>
  <si>
    <t xml:space="preserve">  "Primary motor area, Layer 6b",</t>
  </si>
  <si>
    <t xml:space="preserve">  "Secondary motor area",</t>
  </si>
  <si>
    <t xml:space="preserve">  "Secondary motor area, layer 1",</t>
  </si>
  <si>
    <t xml:space="preserve">  "Secondary motor area, layer 2\/3",</t>
  </si>
  <si>
    <t xml:space="preserve">  "Secondary motor area, layer 5",</t>
  </si>
  <si>
    <t xml:space="preserve">  "Secondary motor area, layer 6a",</t>
  </si>
  <si>
    <t xml:space="preserve">  "Secondary motor area, layer 6b",</t>
  </si>
  <si>
    <t xml:space="preserve">  "Somatosensory areas",</t>
  </si>
  <si>
    <t xml:space="preserve">  "Somatosensory areas, layer 1",</t>
  </si>
  <si>
    <t xml:space="preserve">  "Somatosensory areas, layer 2\/3",</t>
  </si>
  <si>
    <t xml:space="preserve">  "Somatosensory areas, layer 4",</t>
  </si>
  <si>
    <t xml:space="preserve">  "Somatosensory areas, layer 5",</t>
  </si>
  <si>
    <t xml:space="preserve">  "Somatosensory areas, layer 6a",</t>
  </si>
  <si>
    <t xml:space="preserve">  "Somatosensory areas, layer 6b",</t>
  </si>
  <si>
    <t xml:space="preserve">  "Primary somatosensory area",</t>
  </si>
  <si>
    <t xml:space="preserve">  "Primary somatosensory area, layer 1",</t>
  </si>
  <si>
    <t xml:space="preserve">  "Primary somatosensory area, layer 2\/3",</t>
  </si>
  <si>
    <t xml:space="preserve">  "Primary somatosensory area, layer 4",</t>
  </si>
  <si>
    <t xml:space="preserve">  "Primary somatosensory area, layer 5",</t>
  </si>
  <si>
    <t xml:space="preserve">  "Primary somatosensory area, layer 6a",</t>
  </si>
  <si>
    <t xml:space="preserve">  "Primary somatosensory area, layer 6b",</t>
  </si>
  <si>
    <t xml:space="preserve">  "Primary somatosensory area, nose",</t>
  </si>
  <si>
    <t xml:space="preserve">  "Primary somatosensory area, nose, layer 1",</t>
  </si>
  <si>
    <t xml:space="preserve">  "Primary somatosensory area, nose, layer 2\/3",</t>
  </si>
  <si>
    <t xml:space="preserve">  "Primary somatosensory area, nose, layer 4",</t>
  </si>
  <si>
    <t xml:space="preserve">  "Primary somatosensory area, nose, layer 5",</t>
  </si>
  <si>
    <t xml:space="preserve">  "Primary somatosensory area, nose, layer 6a",</t>
  </si>
  <si>
    <t xml:space="preserve">  "Primary somatosensory area, nose, layer 6b",</t>
  </si>
  <si>
    <t xml:space="preserve">  "Primary somatosensory area, barrel field",</t>
  </si>
  <si>
    <t xml:space="preserve">  "Primary somatosensory area, barrel field, layer 1",</t>
  </si>
  <si>
    <t xml:space="preserve">  "Primary somatosensory area, barrel field, layer 2\/3",</t>
  </si>
  <si>
    <t xml:space="preserve">  "Primary somatosensory area, barrel field, layer 4",</t>
  </si>
  <si>
    <t xml:space="preserve">  "Primary somatosensory area, barrel field, layer 5",</t>
  </si>
  <si>
    <t xml:space="preserve">  "Primary somatosensory area, barrel field, layer 6a",</t>
  </si>
  <si>
    <t xml:space="preserve">  "Primary somatosensory area, barrel field, layer 6b",</t>
  </si>
  <si>
    <t xml:space="preserve">  "Rostrolateral lateral visual area",</t>
  </si>
  <si>
    <t xml:space="preserve">  "Rostrolateral lateral visual area, layer 1",</t>
  </si>
  <si>
    <t xml:space="preserve">  "Rostrolateral lateral visual area, layer 2\/3",</t>
  </si>
  <si>
    <t xml:space="preserve">  "Rostrolateral lateral visual area, layer 4",</t>
  </si>
  <si>
    <t xml:space="preserve">  "Rostrolateral lateral visual area,layer 5",</t>
  </si>
  <si>
    <t xml:space="preserve">  "Rostrolateral lateral visual area, layer 6a",</t>
  </si>
  <si>
    <t xml:space="preserve">  "Rostrolateral lateral visual area, layer 6b",</t>
  </si>
  <si>
    <t xml:space="preserve">  "Primary somatosensory area, lower limb",</t>
  </si>
  <si>
    <t xml:space="preserve">  "Primary somatosensory area, lower limb, layer 1",</t>
  </si>
  <si>
    <t xml:space="preserve">  "Primary somatosensory area, lower limb, layer 2\/3",</t>
  </si>
  <si>
    <t xml:space="preserve">  "Primary somatosensory area, lower limb, layer 4",</t>
  </si>
  <si>
    <t xml:space="preserve">  "Primary somatosensory area, lower limb, layer 5",</t>
  </si>
  <si>
    <t xml:space="preserve">  "Primary somatosensory area, lower limb, layer 6a",</t>
  </si>
  <si>
    <t xml:space="preserve">  "Primary somatosensory area, lower limb, layer 6b",</t>
  </si>
  <si>
    <t xml:space="preserve">  "Primary somatosensory area, mouth",</t>
  </si>
  <si>
    <t xml:space="preserve">  "Primary somatosensory area, mouth, layer 1",</t>
  </si>
  <si>
    <t xml:space="preserve">  "Primary somatosensory area, mouth, layer 2\/3",</t>
  </si>
  <si>
    <t xml:space="preserve">  "Primary somatosensory area, mouth, layer 4",</t>
  </si>
  <si>
    <t xml:space="preserve">  "Primary somatosensory area, mouth, layer 5",</t>
  </si>
  <si>
    <t xml:space="preserve">  "Primary somatosensory area, mouth, layer 6a",</t>
  </si>
  <si>
    <t xml:space="preserve">  "Primary somatosensory area, mouth, layer 6b",</t>
  </si>
  <si>
    <t xml:space="preserve">  "Primary somatosensory area, upper limb",</t>
  </si>
  <si>
    <t xml:space="preserve">  "Primary somatosensory area, upper limb, layer 1",</t>
  </si>
  <si>
    <t xml:space="preserve">  "Primary somatosensory area, upper limb, layer 2\/3",</t>
  </si>
  <si>
    <t xml:space="preserve">  "Primary somatosensory area, upper limb, layer 4",</t>
  </si>
  <si>
    <t xml:space="preserve">  "Primary somatosensory area, upper limb, layer 5",</t>
  </si>
  <si>
    <t xml:space="preserve">  "Primary somatosensory area, upper limb, layer 6a",</t>
  </si>
  <si>
    <t xml:space="preserve">  "Primary somatosensory area, upper limb, layer 6b",</t>
  </si>
  <si>
    <t xml:space="preserve">  "Primary somatosensory area, trunk",</t>
  </si>
  <si>
    <t xml:space="preserve">  "Primary somatosensory area, trunk, layer 1",</t>
  </si>
  <si>
    <t xml:space="preserve">  "Primary somatosensory area, trunk, layer 2\/3",</t>
  </si>
  <si>
    <t xml:space="preserve">  "Primary somatosensory area, trunk, layer 4",</t>
  </si>
  <si>
    <t xml:space="preserve">  "Primary somatosensory area, trunk, layer 5",</t>
  </si>
  <si>
    <t xml:space="preserve">  "Primary somatosensory area, trunk, layer 6a",</t>
  </si>
  <si>
    <t xml:space="preserve">  "Primary somatosensory area, trunk, layer 6b",</t>
  </si>
  <si>
    <t xml:space="preserve">  "Primary somatosensory area, unassigned",</t>
  </si>
  <si>
    <t xml:space="preserve">  "Primary somatosensory area, unassigned, layer 1",</t>
  </si>
  <si>
    <t xml:space="preserve">  "Primary somatosensory area, unassigned, layer 2\/3",</t>
  </si>
  <si>
    <t xml:space="preserve">  "Primary somatosensory area, unassigned, layer 4",</t>
  </si>
  <si>
    <t xml:space="preserve">  "Primary somatosensory area, unassigned, layer 5",</t>
  </si>
  <si>
    <t xml:space="preserve">  "Primary somatosensory area, unassigned, layer 6a",</t>
  </si>
  <si>
    <t xml:space="preserve">  "Primary somatosensory area, unassigned, layer 6b",</t>
  </si>
  <si>
    <t xml:space="preserve">  "Supplemental somatosensory area",</t>
  </si>
  <si>
    <t xml:space="preserve">  "Supplemental somatosensory area, layer 1",</t>
  </si>
  <si>
    <t xml:space="preserve">  "Supplemental somatosensory area, layer 2\/3",</t>
  </si>
  <si>
    <t xml:space="preserve">  "Supplemental somatosensory area, layer 4",</t>
  </si>
  <si>
    <t xml:space="preserve">  "Supplemental somatosensory area, layer 5",</t>
  </si>
  <si>
    <t xml:space="preserve">  "Supplemental somatosensory area, layer 6a",</t>
  </si>
  <si>
    <t xml:space="preserve">  "Supplemental somatosensory area, layer 6b",</t>
  </si>
  <si>
    <t xml:space="preserve">  "Gustatory areas",</t>
  </si>
  <si>
    <t xml:space="preserve">  "Gustatory areas, layer 1",</t>
  </si>
  <si>
    <t xml:space="preserve">  "Gustatory areas, layer 2\/3",</t>
  </si>
  <si>
    <t xml:space="preserve">  "Gustatory areas, layer 4",</t>
  </si>
  <si>
    <t xml:space="preserve">  "Gustatory areas, layer 5",</t>
  </si>
  <si>
    <t xml:space="preserve">  "Gustatory areas, layer 6a",</t>
  </si>
  <si>
    <t xml:space="preserve">  "Gustatory areas, layer 6b",</t>
  </si>
  <si>
    <t xml:space="preserve">  "Visceral area",</t>
  </si>
  <si>
    <t xml:space="preserve">  "Visceral area, layer 1",</t>
  </si>
  <si>
    <t xml:space="preserve">  "Visceral area, layer 2\/3",</t>
  </si>
  <si>
    <t xml:space="preserve">  "Visceral area, layer 4",</t>
  </si>
  <si>
    <t xml:space="preserve">  "Visceral area, layer 5",</t>
  </si>
  <si>
    <t xml:space="preserve">  "Visceral area, layer 6a",</t>
  </si>
  <si>
    <t xml:space="preserve">  "Visceral area, layer 6b",</t>
  </si>
  <si>
    <t xml:space="preserve">  "Auditory areas",</t>
  </si>
  <si>
    <t xml:space="preserve">  "Dorsal auditory area",</t>
  </si>
  <si>
    <t xml:space="preserve">  "Dorsal auditory area, layer 1",</t>
  </si>
  <si>
    <t xml:space="preserve">  "Dorsal auditory area, layer 2\/3",</t>
  </si>
  <si>
    <t xml:space="preserve">  "Dorsal auditory area, layer 4",</t>
  </si>
  <si>
    <t xml:space="preserve">  "Dorsal auditory area, layer 5",</t>
  </si>
  <si>
    <t xml:space="preserve">  "Dorsal auditory area, layer 6a",</t>
  </si>
  <si>
    <t xml:space="preserve">  "Dorsal auditory area, layer 6b",</t>
  </si>
  <si>
    <t xml:space="preserve">  "Laterolateral anterior visual area",</t>
  </si>
  <si>
    <t xml:space="preserve">  "Laterolateral anterior visual area, layer 1",</t>
  </si>
  <si>
    <t xml:space="preserve">  "Laterolateral anterior visual area, layer 2\/3",</t>
  </si>
  <si>
    <t xml:space="preserve">  "Laterolateral anterior visual area, layer 4",</t>
  </si>
  <si>
    <t xml:space="preserve">  "Laterolateral anterior visual area,layer 5",</t>
  </si>
  <si>
    <t xml:space="preserve">  "Laterolateral anterior visual area, layer 6a",</t>
  </si>
  <si>
    <t xml:space="preserve">  "Laterolateral anterior visual area, layer 6b",</t>
  </si>
  <si>
    <t xml:space="preserve">  "Primary auditory area",</t>
  </si>
  <si>
    <t xml:space="preserve">  "Primary auditory area, layer 1",</t>
  </si>
  <si>
    <t xml:space="preserve">  "Primary auditory area, layer 2\/3",</t>
  </si>
  <si>
    <t xml:space="preserve">  "Primary auditory area, layer 4",</t>
  </si>
  <si>
    <t xml:space="preserve">  "Primary auditory area, layer 5",</t>
  </si>
  <si>
    <t xml:space="preserve">  "Primary auditory area, layer 6a",</t>
  </si>
  <si>
    <t xml:space="preserve">  "Primary auditory area, layer 6b",</t>
  </si>
  <si>
    <t xml:space="preserve">  "Posterior auditory area",</t>
  </si>
  <si>
    <t xml:space="preserve">  "Posterior auditory area, layer 1",</t>
  </si>
  <si>
    <t xml:space="preserve">  "Posterior auditory area, layer 2\/3",</t>
  </si>
  <si>
    <t xml:space="preserve">  "Posterior auditory area, layer 4",</t>
  </si>
  <si>
    <t xml:space="preserve">  "Posterior auditory area, layer 5",</t>
  </si>
  <si>
    <t xml:space="preserve">  "Posterior auditory area, layer 6a",</t>
  </si>
  <si>
    <t xml:space="preserve">  "Posterior auditory area, layer 6b",</t>
  </si>
  <si>
    <t xml:space="preserve">  "Ventral auditory area",</t>
  </si>
  <si>
    <t xml:space="preserve">  "Ventral auditory area, layer 1",</t>
  </si>
  <si>
    <t xml:space="preserve">  "Ventral auditory area, layer 2\/3",</t>
  </si>
  <si>
    <t xml:space="preserve">  "Ventral auditory area, layer 4",</t>
  </si>
  <si>
    <t xml:space="preserve">  "Ventral auditory area, layer 5",</t>
  </si>
  <si>
    <t xml:space="preserve">  "Ventral auditory area, layer 6a",</t>
  </si>
  <si>
    <t xml:space="preserve">  "Ventral auditory area, layer 6b",</t>
  </si>
  <si>
    <t xml:space="preserve">  "Visual areas",</t>
  </si>
  <si>
    <t xml:space="preserve">  "Visual areas, layer 1",</t>
  </si>
  <si>
    <t xml:space="preserve">  "Visual areas, layer 2\/3",</t>
  </si>
  <si>
    <t xml:space="preserve">  "Visual areas, layer 4",</t>
  </si>
  <si>
    <t xml:space="preserve">  "Visual areas, layer 5",</t>
  </si>
  <si>
    <t xml:space="preserve">  "Visual areas, layer 6a",</t>
  </si>
  <si>
    <t xml:space="preserve">  "Visual areas, layer 6b",</t>
  </si>
  <si>
    <t xml:space="preserve">  "Anterolateral visual area",</t>
  </si>
  <si>
    <t xml:space="preserve">  "Anterolateral visual area, layer 1",</t>
  </si>
  <si>
    <t xml:space="preserve">  "Anterolateral visual area, layer 2\/3",</t>
  </si>
  <si>
    <t xml:space="preserve">  "Anterolateral visual area, layer 4",</t>
  </si>
  <si>
    <t xml:space="preserve">  "Anterolateral visual area, layer 5",</t>
  </si>
  <si>
    <t xml:space="preserve">  "Anterolateral visual area, layer 6a",</t>
  </si>
  <si>
    <t xml:space="preserve">  "Anterolateral visual area, layer 6b",</t>
  </si>
  <si>
    <t xml:space="preserve">  "Anteromedial visual area",</t>
  </si>
  <si>
    <t xml:space="preserve">  "Anteromedial visual area, layer 1",</t>
  </si>
  <si>
    <t xml:space="preserve">  "Anteromedial visual area, layer 2\/3",</t>
  </si>
  <si>
    <t xml:space="preserve">  "Anteromedial visual area, layer 4",</t>
  </si>
  <si>
    <t xml:space="preserve">  "Anteromedial visual area, layer 5",</t>
  </si>
  <si>
    <t xml:space="preserve">  "Anteromedial visual area, layer 6a",</t>
  </si>
  <si>
    <t xml:space="preserve">  "Anteromedial visual area, layer 6b",</t>
  </si>
  <si>
    <t xml:space="preserve">  "Lateral visual area",</t>
  </si>
  <si>
    <t xml:space="preserve">  "Lateral visual area, layer 1",</t>
  </si>
  <si>
    <t xml:space="preserve">  "Lateral visual area, layer 2\/3",</t>
  </si>
  <si>
    <t xml:space="preserve">  "Lateral visual area, layer 4",</t>
  </si>
  <si>
    <t xml:space="preserve">  "Lateral visual area, layer 5",</t>
  </si>
  <si>
    <t xml:space="preserve">  "Lateral visual area, layer 6a",</t>
  </si>
  <si>
    <t xml:space="preserve">  "Lateral visual area, layer 6b",</t>
  </si>
  <si>
    <t xml:space="preserve">  "Primary visual area",</t>
  </si>
  <si>
    <t xml:space="preserve">  "Primary visual area, layer 1",</t>
  </si>
  <si>
    <t xml:space="preserve">  "Primary visual area, layer 2\/3",</t>
  </si>
  <si>
    <t xml:space="preserve">  "Primary visual area, layer 4",</t>
  </si>
  <si>
    <t xml:space="preserve">  "Primary visual area, layer 5",</t>
  </si>
  <si>
    <t xml:space="preserve">  "Primary visual area, layer 6a",</t>
  </si>
  <si>
    <t xml:space="preserve">  "Primary visual area, layer 6b",</t>
  </si>
  <si>
    <t xml:space="preserve">  "Posterolateral visual area",</t>
  </si>
  <si>
    <t xml:space="preserve">  "Posterolateral visual area, layer 1",</t>
  </si>
  <si>
    <t xml:space="preserve">  "Posterolateral visual area, layer 2\/3",</t>
  </si>
  <si>
    <t xml:space="preserve">  "Posterolateral visual area, layer 4",</t>
  </si>
  <si>
    <t xml:space="preserve">  "Posterolateral visual area, layer 5",</t>
  </si>
  <si>
    <t xml:space="preserve">  "Posterolateral visual area, layer 6a",</t>
  </si>
  <si>
    <t xml:space="preserve">  "Posterolateral visual area, layer 6b",</t>
  </si>
  <si>
    <t xml:space="preserve">  "posteromedial visual area",</t>
  </si>
  <si>
    <t xml:space="preserve">  "posteromedial visual area, layer 1",</t>
  </si>
  <si>
    <t xml:space="preserve">  "posteromedial visual area, layer 2\/3",</t>
  </si>
  <si>
    <t xml:space="preserve">  "posteromedial visual area, layer 4",</t>
  </si>
  <si>
    <t xml:space="preserve">  "posteromedial visual area, layer 5",</t>
  </si>
  <si>
    <t xml:space="preserve">  "posteromedial visual area, layer 6a",</t>
  </si>
  <si>
    <t xml:space="preserve">  "posteromedial visual area, layer 6b",</t>
  </si>
  <si>
    <t xml:space="preserve">  "Laterointermediate area",</t>
  </si>
  <si>
    <t xml:space="preserve">  "Laterointermediate area, layer 1",</t>
  </si>
  <si>
    <t xml:space="preserve">  "Laterointermediate area, layer 2\/3",</t>
  </si>
  <si>
    <t xml:space="preserve">  "Laterointermediate area, layer 4",</t>
  </si>
  <si>
    <t xml:space="preserve">  "Laterointermediate area, layer 5",</t>
  </si>
  <si>
    <t xml:space="preserve">  "Laterointermediate area, layer 6a",</t>
  </si>
  <si>
    <t xml:space="preserve">  "Laterointermediate area, layer 6b",</t>
  </si>
  <si>
    <t xml:space="preserve">  "Postrhinal area",</t>
  </si>
  <si>
    <t xml:space="preserve">  "Postrhinal area, layer 1",</t>
  </si>
  <si>
    <t xml:space="preserve">  "Postrhinal area, layer 2\/3",</t>
  </si>
  <si>
    <t xml:space="preserve">  "Postrhinal area, layer 4",</t>
  </si>
  <si>
    <t xml:space="preserve">  "Postrhinal area, layer 5",</t>
  </si>
  <si>
    <t xml:space="preserve">  "Postrhinal area, layer 6a",</t>
  </si>
  <si>
    <t xml:space="preserve">  "Postrhinal area, layer 6b",</t>
  </si>
  <si>
    <t xml:space="preserve">  "Anterior cingulate area",</t>
  </si>
  <si>
    <t xml:space="preserve">  "Anterior cingulate area, layer 1",</t>
  </si>
  <si>
    <t xml:space="preserve">  "Anterior cingulate area, layer 2\/3",</t>
  </si>
  <si>
    <t xml:space="preserve">  "Anterior cingulate area, layer 5",</t>
  </si>
  <si>
    <t xml:space="preserve">  "Anterior cingulate area, layer 6a",</t>
  </si>
  <si>
    <t xml:space="preserve">  "Anterior cingulate area, layer 6b",</t>
  </si>
  <si>
    <t xml:space="preserve">  "Anterior cingulate area, dorsal part",</t>
  </si>
  <si>
    <t xml:space="preserve">  "Anterior cingulate area, dorsal part, layer 1",</t>
  </si>
  <si>
    <t xml:space="preserve">  "Anterior cingulate area, dorsal part, layer 2\/3",</t>
  </si>
  <si>
    <t xml:space="preserve">  "Anterior cingulate area, dorsal part, layer 5",</t>
  </si>
  <si>
    <t xml:space="preserve">  "Anterior cingulate area, dorsal part, layer 6a",</t>
  </si>
  <si>
    <t xml:space="preserve">  "Anterior cingulate area, dorsal part, layer 6b",</t>
  </si>
  <si>
    <t xml:space="preserve">  "Anterior cingulate area, ventral part",</t>
  </si>
  <si>
    <t xml:space="preserve">  "Anterior cingulate area, ventral part, layer 1",</t>
  </si>
  <si>
    <t xml:space="preserve">  "Anterior cingulate area, ventral part, layer 2\/3",</t>
  </si>
  <si>
    <t xml:space="preserve">  "Anterior cingulate area, ventral part, layer 5",</t>
  </si>
  <si>
    <t xml:space="preserve">  "Anterior cingulate area, ventral part, 6a",</t>
  </si>
  <si>
    <t xml:space="preserve">  "Anterior cingulate area, ventral part, 6b",</t>
  </si>
  <si>
    <t xml:space="preserve">  "Prelimbic area",</t>
  </si>
  <si>
    <t xml:space="preserve">  "Prelimbic area, layer 1",</t>
  </si>
  <si>
    <t xml:space="preserve">  "Prelimbic area, layer 2",</t>
  </si>
  <si>
    <t xml:space="preserve">  "Prelimbic area, layer 2\/3",</t>
  </si>
  <si>
    <t xml:space="preserve">  "Prelimbic area, layer 5",</t>
  </si>
  <si>
    <t xml:space="preserve">  "Prelimbic area, layer 6a",</t>
  </si>
  <si>
    <t xml:space="preserve">  "Prelimbic area, layer 6b",</t>
  </si>
  <si>
    <t xml:space="preserve">  "Infralimbic area",</t>
  </si>
  <si>
    <t xml:space="preserve">  "Infralimbic area, layer 1",</t>
  </si>
  <si>
    <t xml:space="preserve">  "Infralimbic area, layer 2",</t>
  </si>
  <si>
    <t xml:space="preserve">  "Infralimbic area, layer 2\/3",</t>
  </si>
  <si>
    <t xml:space="preserve">  "Infralimbic area, layer 5",</t>
  </si>
  <si>
    <t xml:space="preserve">  "Infralimbic area, layer 6a",</t>
  </si>
  <si>
    <t xml:space="preserve">  "Infralimbic area, layer 6b",</t>
  </si>
  <si>
    <t xml:space="preserve">  "Orbital area",</t>
  </si>
  <si>
    <t xml:space="preserve">  "Orbital area, layer 1",</t>
  </si>
  <si>
    <t xml:space="preserve">  "Orbital area, layer 2\/3",</t>
  </si>
  <si>
    <t xml:space="preserve">  "Orbital area, layer 5",</t>
  </si>
  <si>
    <t xml:space="preserve">  "Orbital area, layer 6a",</t>
  </si>
  <si>
    <t xml:space="preserve">  "Orbital area, layer 6b",</t>
  </si>
  <si>
    <t xml:space="preserve">  "Orbital area, lateral part",</t>
  </si>
  <si>
    <t xml:space="preserve">  "Orbital area, lateral part, layer 1",</t>
  </si>
  <si>
    <t xml:space="preserve">  "Orbital area, lateral part, layer 2\/3",</t>
  </si>
  <si>
    <t xml:space="preserve">  "Orbital area, lateral part, layer 5",</t>
  </si>
  <si>
    <t xml:space="preserve">  "Orbital area, lateral part, layer 6a",</t>
  </si>
  <si>
    <t xml:space="preserve">  "Orbital area, lateral part, layer 6b",</t>
  </si>
  <si>
    <t xml:space="preserve">  "Orbital area, medial part",</t>
  </si>
  <si>
    <t xml:space="preserve">  "Orbital area, medial part, layer 1",</t>
  </si>
  <si>
    <t xml:space="preserve">  "Orbital area, medial part, layer 2",</t>
  </si>
  <si>
    <t xml:space="preserve">  "Orbital area, medial part, layer 2\/3",</t>
  </si>
  <si>
    <t xml:space="preserve">  "Orbital area, medial part, layer 5",</t>
  </si>
  <si>
    <t xml:space="preserve">  "Orbital area, medial part, layer 6a",</t>
  </si>
  <si>
    <t xml:space="preserve">  "Orbital area, medial part, layer 6b",</t>
  </si>
  <si>
    <t xml:space="preserve">  "Orbital area, ventral part",</t>
  </si>
  <si>
    <t xml:space="preserve">  "Orbital area, ventrolateral part",</t>
  </si>
  <si>
    <t xml:space="preserve">  "Orbital area, ventrolateral part, layer 1",</t>
  </si>
  <si>
    <t xml:space="preserve">  "Orbital area, ventrolateral part, layer 2\/3",</t>
  </si>
  <si>
    <t xml:space="preserve">  "Orbital area, ventrolateral part, layer 5",</t>
  </si>
  <si>
    <t xml:space="preserve">  "Orbital area, ventrolateral part, layer 6a",</t>
  </si>
  <si>
    <t xml:space="preserve">  "Orbital area, ventrolateral part, layer 6b",</t>
  </si>
  <si>
    <t xml:space="preserve">  "Agranular insular area",</t>
  </si>
  <si>
    <t xml:space="preserve">  "Agranular insular area, dorsal part",</t>
  </si>
  <si>
    <t xml:space="preserve">  "Agranular insular area, dorsal part, layer 1",</t>
  </si>
  <si>
    <t xml:space="preserve">  "Agranular insular area, dorsal part, layer 2\/3",</t>
  </si>
  <si>
    <t xml:space="preserve">  "Agranular insular area, dorsal part, layer 5",</t>
  </si>
  <si>
    <t xml:space="preserve">  "Agranular insular area, dorsal part, layer 6a",</t>
  </si>
  <si>
    <t xml:space="preserve">  "Agranular insular area, dorsal part, layer 6b",</t>
  </si>
  <si>
    <t xml:space="preserve">  "Agranular insular area, posterior part",</t>
  </si>
  <si>
    <t xml:space="preserve">  "Agranular insular area, posterior part, layer 1",</t>
  </si>
  <si>
    <t xml:space="preserve">  "Agranular insular area, posterior part, layer 2\/3",</t>
  </si>
  <si>
    <t xml:space="preserve">  "Agranular insular area, posterior part, layer 5",</t>
  </si>
  <si>
    <t xml:space="preserve">  "Agranular insular area, posterior part, layer 6a",</t>
  </si>
  <si>
    <t xml:space="preserve">  "Agranular insular area, posterior part, layer 6b",</t>
  </si>
  <si>
    <t xml:space="preserve">  "Agranular insular area, ventral part",</t>
  </si>
  <si>
    <t xml:space="preserve">  "Agranular insular area, ventral part, layer 1",</t>
  </si>
  <si>
    <t xml:space="preserve">  "Agranular insular area, ventral part, layer 2\/3",</t>
  </si>
  <si>
    <t xml:space="preserve">  "Agranular insular area, ventral part, layer 5",</t>
  </si>
  <si>
    <t xml:space="preserve">  "Agranular insular area, ventral part, layer 6a",</t>
  </si>
  <si>
    <t xml:space="preserve">  "Agranular insular area, ventral part, layer 6b",</t>
  </si>
  <si>
    <t xml:space="preserve">  "Retrosplenial area",</t>
  </si>
  <si>
    <t xml:space="preserve">  "Retrosplenial area, lateral agranular part",</t>
  </si>
  <si>
    <t xml:space="preserve">  "Retrosplenial area, lateral agranular part, layer 1",</t>
  </si>
  <si>
    <t xml:space="preserve">  "Retrosplenial area, lateral agranular part, layer 2\/3",</t>
  </si>
  <si>
    <t xml:space="preserve">  "Retrosplenial area, lateral agranular part, layer 5",</t>
  </si>
  <si>
    <t xml:space="preserve">  "Retrosplenial area, lateral agranular part, layer 6a",</t>
  </si>
  <si>
    <t xml:space="preserve">  "Retrosplenial area, lateral agranular part, layer 6b",</t>
  </si>
  <si>
    <t xml:space="preserve">  "Mediomedial anterior visual area",</t>
  </si>
  <si>
    <t xml:space="preserve">  "Mediomedial anterior visual area, layer 1",</t>
  </si>
  <si>
    <t xml:space="preserve">  "Mediomedial anterior visual area, layer 2\/3",</t>
  </si>
  <si>
    <t xml:space="preserve">  "Mediomedial anterior visual area, layer 4",</t>
  </si>
  <si>
    <t xml:space="preserve">  "Mediomedial anterior visual area,layer 5",</t>
  </si>
  <si>
    <t xml:space="preserve">  "Mediomedial anterior visual area, layer 6a",</t>
  </si>
  <si>
    <t xml:space="preserve">  "Mediomedial anterior visual area, layer 6b",</t>
  </si>
  <si>
    <t xml:space="preserve">  "Mediomedial posterior visual area",</t>
  </si>
  <si>
    <t xml:space="preserve">  "Mediomedial posterior visual area, layer 1",</t>
  </si>
  <si>
    <t xml:space="preserve">  "Mediomedial posterior visual area, layer 2\/3",</t>
  </si>
  <si>
    <t xml:space="preserve">  "Mediomedial posterior visual area, layer 4",</t>
  </si>
  <si>
    <t xml:space="preserve">  "Mediomedial posterior visual area,layer 5",</t>
  </si>
  <si>
    <t xml:space="preserve">  "Mediomedial posterior visual area, layer 6a",</t>
  </si>
  <si>
    <t xml:space="preserve">  "Mediomedial posterior visual area, layer 6b",</t>
  </si>
  <si>
    <t xml:space="preserve">  "Medial visual area",</t>
  </si>
  <si>
    <t xml:space="preserve">  "Medial visual area, layer 1",</t>
  </si>
  <si>
    <t xml:space="preserve">  "Medial visual area, layer 2\/3",</t>
  </si>
  <si>
    <t xml:space="preserve">  "Medial visual area, layer 4",</t>
  </si>
  <si>
    <t xml:space="preserve">  "Medial visual area,layer 5",</t>
  </si>
  <si>
    <t xml:space="preserve">  "Medial visual area, layer 6a",</t>
  </si>
  <si>
    <t xml:space="preserve">  "Medial visual area, layer 6b",</t>
  </si>
  <si>
    <t xml:space="preserve">  "Retrosplenial area, dorsal part",</t>
  </si>
  <si>
    <t xml:space="preserve">  "Retrosplenial area, dorsal part, layer 1",</t>
  </si>
  <si>
    <t xml:space="preserve">  "Retrosplenial area, dorsal part, layer 2\/3",</t>
  </si>
  <si>
    <t xml:space="preserve">  "Retrosplenial area, dorsal part, layer 4",</t>
  </si>
  <si>
    <t xml:space="preserve">  "Retrosplenial area, dorsal part, layer 5",</t>
  </si>
  <si>
    <t xml:space="preserve">  "Retrosplenial area, dorsal part, layer 6a",</t>
  </si>
  <si>
    <t xml:space="preserve">  "Retrosplenial area, dorsal part, layer 6b",</t>
  </si>
  <si>
    <t xml:space="preserve">  "Retrosplenial area, ventral part",</t>
  </si>
  <si>
    <t xml:space="preserve">  "Retrosplenial area, ventral part, layer 1",</t>
  </si>
  <si>
    <t xml:space="preserve">  "Retrosplenial area, ventral part, layer 2",</t>
  </si>
  <si>
    <t xml:space="preserve">  "Retrosplenial area, ventral part, layer 2\/3",</t>
  </si>
  <si>
    <t xml:space="preserve">  "Retrosplenial area, ventral part, layer 5",</t>
  </si>
  <si>
    <t xml:space="preserve">  "Retrosplenial area, ventral part, layer 6a",</t>
  </si>
  <si>
    <t xml:space="preserve">  "Retrosplenial area, ventral part, layer 6b",</t>
  </si>
  <si>
    <t xml:space="preserve">  "Posterior parietal association areas",</t>
  </si>
  <si>
    <t xml:space="preserve">  "Posterior parietal association areas, layer 1",</t>
  </si>
  <si>
    <t xml:space="preserve">  "Posterior parietal association areas, layer 2\/3",</t>
  </si>
  <si>
    <t xml:space="preserve">  "Posterior parietal association areas, layer 4",</t>
  </si>
  <si>
    <t xml:space="preserve">  "Posterior parietal association areas, layer 5",</t>
  </si>
  <si>
    <t xml:space="preserve">  "Posterior parietal association areas, layer 6a",</t>
  </si>
  <si>
    <t xml:space="preserve">  "Posterior parietal association areas, layer 6b",</t>
  </si>
  <si>
    <t xml:space="preserve">  "Anterior area",</t>
  </si>
  <si>
    <t xml:space="preserve">  "Anterior area, layer 1",</t>
  </si>
  <si>
    <t xml:space="preserve">  "Anterior area, layer 2\/3",</t>
  </si>
  <si>
    <t xml:space="preserve">  "Anterior area, layer 4",</t>
  </si>
  <si>
    <t xml:space="preserve">  "Anterior area, layer 5",</t>
  </si>
  <si>
    <t xml:space="preserve">  "Anterior area, layer 6a",</t>
  </si>
  <si>
    <t xml:space="preserve">  "Anterior area, layer 6b",</t>
  </si>
  <si>
    <t xml:space="preserve">  "Rostrolateral visual area",</t>
  </si>
  <si>
    <t xml:space="preserve">  "Rostrolateral area, layer 1",</t>
  </si>
  <si>
    <t xml:space="preserve">  "Rostrolateral area, layer 2\/3",</t>
  </si>
  <si>
    <t xml:space="preserve">  "Rostrolateral area, layer 4",</t>
  </si>
  <si>
    <t xml:space="preserve">  "Rostrolateral area, layer 5",</t>
  </si>
  <si>
    <t xml:space="preserve">  "Rostrolateral area, layer 6a",</t>
  </si>
  <si>
    <t xml:space="preserve">  "Rostrolateral area, layer 6b",</t>
  </si>
  <si>
    <t xml:space="preserve">  "Temporal association areas",</t>
  </si>
  <si>
    <t xml:space="preserve">  "Temporal association areas, layer 1",</t>
  </si>
  <si>
    <t xml:space="preserve">  "Temporal association areas, layer 2\/3",</t>
  </si>
  <si>
    <t xml:space="preserve">  "Temporal association areas, layer 4",</t>
  </si>
  <si>
    <t xml:space="preserve">  "Temporal association areas, layer 5",</t>
  </si>
  <si>
    <t xml:space="preserve">  "Temporal association areas, layer 6a",</t>
  </si>
  <si>
    <t xml:space="preserve">  "Temporal association areas, layer 6b",</t>
  </si>
  <si>
    <t xml:space="preserve">  "Perirhinal area",</t>
  </si>
  <si>
    <t xml:space="preserve">  "Perirhinal area, layer 1",</t>
  </si>
  <si>
    <t xml:space="preserve">  "Perirhinal area, layer 2\/3",</t>
  </si>
  <si>
    <t xml:space="preserve">  "Perirhinal area, layer 5",</t>
  </si>
  <si>
    <t xml:space="preserve">  "Perirhinal area, layer 6a",</t>
  </si>
  <si>
    <t xml:space="preserve">  "Perirhinal area, layer 6b",</t>
  </si>
  <si>
    <t xml:space="preserve">  "Ectorhinal area",</t>
  </si>
  <si>
    <t xml:space="preserve">  "Ectorhinal area\/Layer 1",</t>
  </si>
  <si>
    <t xml:space="preserve">  "Ectorhinal area\/Layer 2\/3",</t>
  </si>
  <si>
    <t xml:space="preserve">  "Ectorhinal area\/Layer 5",</t>
  </si>
  <si>
    <t xml:space="preserve">  "Ectorhinal area\/Layer 6a",</t>
  </si>
  <si>
    <t xml:space="preserve">  "Ectorhinal area\/Layer 6b",</t>
  </si>
  <si>
    <t xml:space="preserve">  "Olfactory areas",</t>
  </si>
  <si>
    <t xml:space="preserve">  "Main olfactory bulb",</t>
  </si>
  <si>
    <t xml:space="preserve">  "Main olfactory bulb, glomerular layer",</t>
  </si>
  <si>
    <t xml:space="preserve">  "Main olfactory bulb, granule layer",</t>
  </si>
  <si>
    <t xml:space="preserve">  "Main olfactory bulb, inner plexiform layer",</t>
  </si>
  <si>
    <t xml:space="preserve">  "Main olfactory bulb, mitral layer",</t>
  </si>
  <si>
    <t xml:space="preserve">  "Main olfactory bulb, outer plexiform layer",</t>
  </si>
  <si>
    <t xml:space="preserve">  "Accessory olfactory bulb",</t>
  </si>
  <si>
    <t xml:space="preserve">  "Accessory olfactory bulb, glomerular layer",</t>
  </si>
  <si>
    <t xml:space="preserve">  "Accessory olfactory bulb, granular layer",</t>
  </si>
  <si>
    <t xml:space="preserve">  "Accessory olfactory bulb, mitral layer",</t>
  </si>
  <si>
    <t xml:space="preserve">  "Anterior olfactory nucleus",</t>
  </si>
  <si>
    <t xml:space="preserve">  "Anterior olfactory nucleus, dorsal part",</t>
  </si>
  <si>
    <t xml:space="preserve">  "Anterior olfactory nucleus, external part",</t>
  </si>
  <si>
    <t xml:space="preserve">  "Anterior olfactory nucleus, lateral part",</t>
  </si>
  <si>
    <t xml:space="preserve">  "Anterior olfactory nucleus, medial part",</t>
  </si>
  <si>
    <t xml:space="preserve">  "Anterior olfactory nucleus, posteroventral part",</t>
  </si>
  <si>
    <t xml:space="preserve">  "Anterior olfactory nucleus, layer 1",</t>
  </si>
  <si>
    <t xml:space="preserve">  "Anterior olfactory nucleus, layer 2",</t>
  </si>
  <si>
    <t xml:space="preserve">  "Taenia tecta",</t>
  </si>
  <si>
    <t xml:space="preserve">  "Taenia tecta, dorsal part",</t>
  </si>
  <si>
    <t xml:space="preserve">  "Taenia tecta, dorsal part, layers 1-4",</t>
  </si>
  <si>
    <t xml:space="preserve">  "Taenia tecta, dorsal part, layer 1",</t>
  </si>
  <si>
    <t xml:space="preserve">  "Taenia tecta, dorsal part, layer 2",</t>
  </si>
  <si>
    <t xml:space="preserve">  "Taenia tecta, dorsal part, layer 3",</t>
  </si>
  <si>
    <t xml:space="preserve">  "Taenia tecta, dorsal part, layer 4",</t>
  </si>
  <si>
    <t xml:space="preserve">  "Taenia tecta, ventral part",</t>
  </si>
  <si>
    <t xml:space="preserve">  "Taenia tecta, ventral part, layers 1-3",</t>
  </si>
  <si>
    <t xml:space="preserve">  "Taenia tecta, ventral part, layer 1",</t>
  </si>
  <si>
    <t xml:space="preserve">  "Taenia tecta, ventral part, layer 2",</t>
  </si>
  <si>
    <t xml:space="preserve">  "Taenia tecta, ventral part, layer 3",</t>
  </si>
  <si>
    <t xml:space="preserve">  "Dorsal peduncular area",</t>
  </si>
  <si>
    <t xml:space="preserve">  "Dorsal peduncular area, layer 1",</t>
  </si>
  <si>
    <t xml:space="preserve">  "Dorsal peduncular area, layer 2",</t>
  </si>
  <si>
    <t xml:space="preserve">  "Dorsal peduncular area, layer 2\/3",</t>
  </si>
  <si>
    <t xml:space="preserve">  "Dorsal peduncular area, layer 5",</t>
  </si>
  <si>
    <t xml:space="preserve">  "Dorsal peduncular area, layer 6a",</t>
  </si>
  <si>
    <t xml:space="preserve">  "Piriform area",</t>
  </si>
  <si>
    <t xml:space="preserve">  "Piriform area, layers 1-3",</t>
  </si>
  <si>
    <t xml:space="preserve">  "Piriform area, molecular layer",</t>
  </si>
  <si>
    <t xml:space="preserve">  "Piriform area, pyramidal layer",</t>
  </si>
  <si>
    <t xml:space="preserve">  "Piriform area, polymorph layer",</t>
  </si>
  <si>
    <t xml:space="preserve">  "Nucleus of the lateral olfactory tract",</t>
  </si>
  <si>
    <t xml:space="preserve">  "Nucleus of the lateral olfactory tract, layers 1-3",</t>
  </si>
  <si>
    <t xml:space="preserve">  "Nucleus of the lateral olfactory tract, molecular layer",</t>
  </si>
  <si>
    <t xml:space="preserve">  "Nucleus of the lateral olfactory tract, pyramidal layer",</t>
  </si>
  <si>
    <t xml:space="preserve">  "Nucleus of the lateral olfactory tract, layer 3",</t>
  </si>
  <si>
    <t xml:space="preserve">  "Cortical amygdalar area",</t>
  </si>
  <si>
    <t xml:space="preserve">  "Cortical amygdalar area, anterior part",</t>
  </si>
  <si>
    <t xml:space="preserve">  "Cortical amygdalar area, anterior part, layer 1",</t>
  </si>
  <si>
    <t xml:space="preserve">  "Cortical amygdalar area, anterior part, layer 2",</t>
  </si>
  <si>
    <t xml:space="preserve">  "Cortical amygdalar area, anterior part, layer 3",</t>
  </si>
  <si>
    <t xml:space="preserve">  "Cortical amygdalar area, posterior part",</t>
  </si>
  <si>
    <t xml:space="preserve">  "Cortical amygdalar area, posterior part, lateral zone",</t>
  </si>
  <si>
    <t xml:space="preserve">  "Cortical amygdalar area, posterior part, lateral zone, layers 1-2",</t>
  </si>
  <si>
    <t xml:space="preserve">  "Cortical amygdalar area, posterior part, lateral zone, layers 1-3",</t>
  </si>
  <si>
    <t xml:space="preserve">  "Cortical amygdalar area, posterior part, lateral zone, layer 1",</t>
  </si>
  <si>
    <t xml:space="preserve">  "Cortical amygdalar area, posterior part, lateral zone, layer 2",</t>
  </si>
  <si>
    <t xml:space="preserve">  "Cortical amygdalar area, posterior part, lateral zone, layer 3",</t>
  </si>
  <si>
    <t xml:space="preserve">  "Cortical amygdalar area, posterior part, medial zone",</t>
  </si>
  <si>
    <t xml:space="preserve">  "Cortical amygdalar area, posterior part, medial zone, layers 1-2",</t>
  </si>
  <si>
    <t xml:space="preserve">  "Cortical amygdalar area, posterior part, medial zone, layers 1-3",</t>
  </si>
  <si>
    <t xml:space="preserve">  "Cortical amygdalar area, posterior part, medial zone, layer 1",</t>
  </si>
  <si>
    <t xml:space="preserve">  "Cortical amygdalar area, posterior part, medial zone, layer 2",</t>
  </si>
  <si>
    <t xml:space="preserve">  "Cortical amygdalar area, posterior part, medial zone, layer 3",</t>
  </si>
  <si>
    <t xml:space="preserve">  "Piriform-amygdalar area",</t>
  </si>
  <si>
    <t xml:space="preserve">  "Piriform-amygdalar area, layers 1-3",</t>
  </si>
  <si>
    <t xml:space="preserve">  "Piriform-amygdalar area, molecular layer",</t>
  </si>
  <si>
    <t xml:space="preserve">  "Piriform-amygdalar area, pyramidal layer",</t>
  </si>
  <si>
    <t xml:space="preserve">  "Piriform-amygdalar area, polymorph layer",</t>
  </si>
  <si>
    <t xml:space="preserve">  "Postpiriform transition area",</t>
  </si>
  <si>
    <t xml:space="preserve">  "Postpiriform transition area, layers 1-3",</t>
  </si>
  <si>
    <t xml:space="preserve">  "Postpiriform transition area, layers 1",</t>
  </si>
  <si>
    <t xml:space="preserve">  "Postpiriform transition area, layers 2",</t>
  </si>
  <si>
    <t xml:space="preserve">  "Postpiriform transition area, layers 3",</t>
  </si>
  <si>
    <t xml:space="preserve">  "Hippocampal formation",</t>
  </si>
  <si>
    <t xml:space="preserve">  "Hippocampal region",</t>
  </si>
  <si>
    <t xml:space="preserve">  "Ammon's horn",</t>
  </si>
  <si>
    <t xml:space="preserve">  "Field CA1",</t>
  </si>
  <si>
    <t xml:space="preserve">  "Field CA1, stratum lacunosum-moleculare",</t>
  </si>
  <si>
    <t xml:space="preserve">  "Field CA1, stratum oriens",</t>
  </si>
  <si>
    <t xml:space="preserve">  "Field CA1, pyramidal layer",</t>
  </si>
  <si>
    <t xml:space="preserve">  "Field CA1, stratum radiatum",</t>
  </si>
  <si>
    <t xml:space="preserve">  "Field CA2",</t>
  </si>
  <si>
    <t xml:space="preserve">  "Field CA2, stratum lacunosum-moleculare",</t>
  </si>
  <si>
    <t xml:space="preserve">  "Field CA2, stratum oriens",</t>
  </si>
  <si>
    <t xml:space="preserve">  "Field CA2, pyramidal layer",</t>
  </si>
  <si>
    <t xml:space="preserve">  "Field CA2, stratum radiatum",</t>
  </si>
  <si>
    <t xml:space="preserve">  "Field CA3",</t>
  </si>
  <si>
    <t xml:space="preserve">  "Field CA3, stratum lacunosum-moleculare",</t>
  </si>
  <si>
    <t xml:space="preserve">  "Field CA3, stratum lucidum",</t>
  </si>
  <si>
    <t xml:space="preserve">  "Field CA3, stratum oriens",</t>
  </si>
  <si>
    <t xml:space="preserve">  "Field CA3, pyramidal layer",</t>
  </si>
  <si>
    <t xml:space="preserve">  "Field CA3, stratum radiatum",</t>
  </si>
  <si>
    <t xml:space="preserve">  "Dentate gyrus",</t>
  </si>
  <si>
    <t xml:space="preserve">  "Dentate gyrus, molecular layer",</t>
  </si>
  <si>
    <t xml:space="preserve">  "Dentate gyrus, polymorph layer",</t>
  </si>
  <si>
    <t xml:space="preserve">  "Dentate gyrus, granule cell layer",</t>
  </si>
  <si>
    <t xml:space="preserve">  "Dentate gyrus, subgranular zone",</t>
  </si>
  <si>
    <t xml:space="preserve">  "Dentate gyrus crest",</t>
  </si>
  <si>
    <t xml:space="preserve">  "Dentate gyrus crest, molecular layer",</t>
  </si>
  <si>
    <t xml:space="preserve">  "Dentate gyrus crest, polymorph layer",</t>
  </si>
  <si>
    <t xml:space="preserve">  "Dentate gyrus crest, granule cell layer",</t>
  </si>
  <si>
    <t xml:space="preserve">  "Dentate gyrus lateral blade",</t>
  </si>
  <si>
    <t xml:space="preserve">  "Dentate gyrus lateral blade, molecular layer",</t>
  </si>
  <si>
    <t xml:space="preserve">  "Dentate gyrus lateral blade, polymorph layer",</t>
  </si>
  <si>
    <t xml:space="preserve">  "Dentate gyrus lateral blade, granule cell layer",</t>
  </si>
  <si>
    <t xml:space="preserve">  "Dentate gyrus medial blade",</t>
  </si>
  <si>
    <t xml:space="preserve">  "Dentate gyrus medial blade, molecular layer",</t>
  </si>
  <si>
    <t xml:space="preserve">  "Dentate gyrus medial blade, polymorph layer",</t>
  </si>
  <si>
    <t xml:space="preserve">  "Dentate gyrus medial blade, granule cell layer",</t>
  </si>
  <si>
    <t xml:space="preserve">  "Fasciola cinerea",</t>
  </si>
  <si>
    <t xml:space="preserve">  "Induseum griseum",</t>
  </si>
  <si>
    <t xml:space="preserve">  "Retrohippocampal region",</t>
  </si>
  <si>
    <t xml:space="preserve">  "Entorhinal area",</t>
  </si>
  <si>
    <t xml:space="preserve">  "Entorhinal area, lateral part",</t>
  </si>
  <si>
    <t xml:space="preserve">  "Entorhinal area, lateral part, layer 1",</t>
  </si>
  <si>
    <t xml:space="preserve">  "Entorhinal area, lateral part, layer 2",</t>
  </si>
  <si>
    <t xml:space="preserve">  "Entorhinal area, lateral part, layer 2\/3",</t>
  </si>
  <si>
    <t xml:space="preserve">  "Entorhinal area, lateral part, layer 2a",</t>
  </si>
  <si>
    <t xml:space="preserve">  "Entorhinal area, lateral part, layer 2b",</t>
  </si>
  <si>
    <t xml:space="preserve">  "Entorhinal area, lateral part, layer 3",</t>
  </si>
  <si>
    <t xml:space="preserve">  "Entorhinal area, lateral part, layer 4",</t>
  </si>
  <si>
    <t xml:space="preserve">  "Entorhinal area, lateral part, layer 4\/5",</t>
  </si>
  <si>
    <t xml:space="preserve">  "Entorhinal area, lateral part, layer 5",</t>
  </si>
  <si>
    <t xml:space="preserve">  "Entorhinal area, lateral part, layer 5\/6",</t>
  </si>
  <si>
    <t xml:space="preserve">  "Entorhinal area, lateral part, layer 6a",</t>
  </si>
  <si>
    <t xml:space="preserve">  "Entorhinal area, lateral part, layer 6b",</t>
  </si>
  <si>
    <t xml:space="preserve">  "Entorhinal area, medial part, dorsal zone",</t>
  </si>
  <si>
    <t xml:space="preserve">  "Entorhinal area, medial part, dorsal zone, layer 1",</t>
  </si>
  <si>
    <t xml:space="preserve">  "Entorhinal area, medial part, dorsal zone, layer 2",</t>
  </si>
  <si>
    <t xml:space="preserve">  "Entorhinal area, medial part, dorsal zone, layer 2a",</t>
  </si>
  <si>
    <t xml:space="preserve">  "Entorhinal area, medial part, dorsal zone, layer 2b",</t>
  </si>
  <si>
    <t xml:space="preserve">  "Entorhinal area, medial part, dorsal zone, layer 3",</t>
  </si>
  <si>
    <t xml:space="preserve">  "Entorhinal area, medial part, dorsal zone, layer 4",</t>
  </si>
  <si>
    <t xml:space="preserve">  "Entorhinal area, medial part, dorsal zone, layer 5",</t>
  </si>
  <si>
    <t xml:space="preserve">  "Entorhinal area, medial part, dorsal zone, layer 5\/6",</t>
  </si>
  <si>
    <t xml:space="preserve">  "Entorhinal area, medial part, dorsal zone, layer 6",</t>
  </si>
  <si>
    <t xml:space="preserve">  "Entorhinal area, medial part, ventral zone",</t>
  </si>
  <si>
    <t xml:space="preserve">  "Entorhinal area, medial part, ventral zone, layer 1",</t>
  </si>
  <si>
    <t xml:space="preserve">  "Entorhinal area, medial part, ventral zone, layer 2",</t>
  </si>
  <si>
    <t xml:space="preserve">  "Entorhinal area, medial part, ventral zone, layer 3",</t>
  </si>
  <si>
    <t xml:space="preserve">  "Entorhinal area, medial part, ventral zone, layer 4",</t>
  </si>
  <si>
    <t xml:space="preserve">  "Entorhinal area, medial part, ventral zone, layer 5\/6",</t>
  </si>
  <si>
    <t xml:space="preserve">  "Parasubiculum",</t>
  </si>
  <si>
    <t xml:space="preserve">  "Parasubiculum, layer 1",</t>
  </si>
  <si>
    <t xml:space="preserve">  "Parasubiculum, layer 2",</t>
  </si>
  <si>
    <t xml:space="preserve">  "Parasubiculum, layer 3",</t>
  </si>
  <si>
    <t xml:space="preserve">  "Postsubiculum",</t>
  </si>
  <si>
    <t xml:space="preserve">  "Postsubiculum, layer 1",</t>
  </si>
  <si>
    <t xml:space="preserve">  "Postsubiculum, layer 2",</t>
  </si>
  <si>
    <t xml:space="preserve">  "Postsubiculum, layer 3",</t>
  </si>
  <si>
    <t xml:space="preserve">  "Presubiculum",</t>
  </si>
  <si>
    <t xml:space="preserve">  "Presubiculum, layer 1",</t>
  </si>
  <si>
    <t xml:space="preserve">  "Presubiculum, layer 2",</t>
  </si>
  <si>
    <t xml:space="preserve">  "Presubiculum, layer 3",</t>
  </si>
  <si>
    <t xml:space="preserve">  "Subiculum",</t>
  </si>
  <si>
    <t xml:space="preserve">  "Subiculum, dorsal part",</t>
  </si>
  <si>
    <t xml:space="preserve">  "Subiculum, dorsal part, molecular layer",</t>
  </si>
  <si>
    <t xml:space="preserve">  "Subiculum, dorsal part, pyramidal layer",</t>
  </si>
  <si>
    <t xml:space="preserve">  "Subiculum, dorsal part, stratum radiatum",</t>
  </si>
  <si>
    <t xml:space="preserve">  "Subiculum, ventral part",</t>
  </si>
  <si>
    <t xml:space="preserve">  "Subiculum, ventral part, molecular layer",</t>
  </si>
  <si>
    <t xml:space="preserve">  "Subiculum, ventral part, pyramidal layer",</t>
  </si>
  <si>
    <t xml:space="preserve">  "Subiculum, ventral part, stratum radiatum",</t>
  </si>
  <si>
    <t xml:space="preserve">  "Prosubiculum",</t>
  </si>
  <si>
    <t xml:space="preserve">  "Prosubiculum, dorsal part",</t>
  </si>
  <si>
    <t xml:space="preserve">  "Prosubiculum, dorsal part, molecular layer",</t>
  </si>
  <si>
    <t xml:space="preserve">  "Prosubiculum, dorsal part, pyramidal layer",</t>
  </si>
  <si>
    <t xml:space="preserve">  "Prosubiculum, dorsal part, stratum radiatum",</t>
  </si>
  <si>
    <t xml:space="preserve">  "Prosubiculum, ventral part",</t>
  </si>
  <si>
    <t xml:space="preserve">  "Prosubiculum, ventral part, molecular layer",</t>
  </si>
  <si>
    <t xml:space="preserve">  "Prosubiculum, ventral part, pyramidal layer",</t>
  </si>
  <si>
    <t xml:space="preserve">  "Prosubiculum, ventral part, stratum radiatum",</t>
  </si>
  <si>
    <t xml:space="preserve">  "Hippocampo-amygdalar transition area",</t>
  </si>
  <si>
    <t xml:space="preserve">  "Area prostriata",</t>
  </si>
  <si>
    <t xml:space="preserve">  "Cortical subplate",</t>
  </si>
  <si>
    <t xml:space="preserve">  "Layer 6b, isocortex",</t>
  </si>
  <si>
    <t xml:space="preserve">  "Claustrum",</t>
  </si>
  <si>
    <t xml:space="preserve">  "Endopiriform nucleus",</t>
  </si>
  <si>
    <t xml:space="preserve">  "Endopiriform nucleus, dorsal part",</t>
  </si>
  <si>
    <t xml:space="preserve">  "Endopiriform nucleus, ventral part",</t>
  </si>
  <si>
    <t xml:space="preserve">  "Lateral amygdalar nucleus",</t>
  </si>
  <si>
    <t xml:space="preserve">  "Basolateral amygdalar nucleus",</t>
  </si>
  <si>
    <t xml:space="preserve">  "Basolateral amygdalar nucleus, anterior part",</t>
  </si>
  <si>
    <t xml:space="preserve">  "Basolateral amygdalar nucleus, posterior part",</t>
  </si>
  <si>
    <t xml:space="preserve">  "Basolateral amygdalar nucleus, ventral part",</t>
  </si>
  <si>
    <t xml:space="preserve">  "Basomedial amygdalar nucleus",</t>
  </si>
  <si>
    <t xml:space="preserve">  "Basomedial amygdalar nucleus, anterior part",</t>
  </si>
  <si>
    <t xml:space="preserve">  "Basomedial amygdalar nucleus, posterior part",</t>
  </si>
  <si>
    <t xml:space="preserve">  "Posterior amygdalar nucleus",</t>
  </si>
  <si>
    <t xml:space="preserve">  "Cerebral nuclei",</t>
  </si>
  <si>
    <t xml:space="preserve">  "Striatum",</t>
  </si>
  <si>
    <t xml:space="preserve">  "Striatum dorsal region",</t>
  </si>
  <si>
    <t xml:space="preserve">  "Caudoputamen",</t>
  </si>
  <si>
    <t xml:space="preserve">  "Striatum ventral region",</t>
  </si>
  <si>
    <t xml:space="preserve">  "Nucleus accumbens",</t>
  </si>
  <si>
    <t xml:space="preserve">  "Fundus of striatum",</t>
  </si>
  <si>
    <t xml:space="preserve">  "Olfactory tubercle",</t>
  </si>
  <si>
    <t xml:space="preserve">  "Islands of Calleja",</t>
  </si>
  <si>
    <t xml:space="preserve">  "Major island of Calleja",</t>
  </si>
  <si>
    <t xml:space="preserve">  "Olfactory tubercle, layers 1-3",</t>
  </si>
  <si>
    <t xml:space="preserve">  "Olfactory tubercle, molecular layer",</t>
  </si>
  <si>
    <t xml:space="preserve">  "Olfactory tubercle, pyramidal layer",</t>
  </si>
  <si>
    <t xml:space="preserve">  "Olfactory tubercle, polymorph layer",</t>
  </si>
  <si>
    <t xml:space="preserve">  "Lateral strip of striatum",</t>
  </si>
  <si>
    <t xml:space="preserve">  "Lateral septal complex",</t>
  </si>
  <si>
    <t xml:space="preserve">  "Lateral septal nucleus",</t>
  </si>
  <si>
    <t xml:space="preserve">  "Lateral septal nucleus, caudal (caudodorsal) part",</t>
  </si>
  <si>
    <t xml:space="preserve">  "Lateral septal nucleus, rostral (rostroventral) part",</t>
  </si>
  <si>
    <t xml:space="preserve">  "Lateral septal nucleus, ventral part",</t>
  </si>
  <si>
    <t xml:space="preserve">  "Septofimbrial nucleus",</t>
  </si>
  <si>
    <t xml:space="preserve">  "Septohippocampal nucleus",</t>
  </si>
  <si>
    <t xml:space="preserve">  "Striatum-like amygdalar nuclei",</t>
  </si>
  <si>
    <t xml:space="preserve">  "Anterior amygdalar area",</t>
  </si>
  <si>
    <t xml:space="preserve">  "Bed nucleus of the accessory olfactory tract",</t>
  </si>
  <si>
    <t xml:space="preserve">  "Central amygdalar nucleus",</t>
  </si>
  <si>
    <t xml:space="preserve">  "Central amygdalar nucleus, capsular part",</t>
  </si>
  <si>
    <t xml:space="preserve">  "Central amygdalar nucleus, lateral part",</t>
  </si>
  <si>
    <t xml:space="preserve">  "Central amygdalar nucleus, medial part",</t>
  </si>
  <si>
    <t xml:space="preserve">  "Intercalated amygdalar nucleus",</t>
  </si>
  <si>
    <t xml:space="preserve">  "Medial amygdalar nucleus",</t>
  </si>
  <si>
    <t xml:space="preserve">  "Medial amygdalar nucleus, anterodorsal part",</t>
  </si>
  <si>
    <t xml:space="preserve">  "Medial amygdalar nucleus, anteroventral part",</t>
  </si>
  <si>
    <t xml:space="preserve">  "Medial amygdalar nucleus, posterodorsal part",</t>
  </si>
  <si>
    <t xml:space="preserve">  "Medial amygdalar nucleus, posterodorsal part, sublayer a",</t>
  </si>
  <si>
    <t xml:space="preserve">  "Medial amygdalar nucleus, posterodorsal part, sublayer b",</t>
  </si>
  <si>
    <t xml:space="preserve">  "Medial amygdalar nucleus, posterodorsal part, sublayer c",</t>
  </si>
  <si>
    <t xml:space="preserve">  "Medial amygdalar nucleus, posteroventral part",</t>
  </si>
  <si>
    <t xml:space="preserve">  "Pallidum",</t>
  </si>
  <si>
    <t xml:space="preserve">  "Pallidum, dorsal region",</t>
  </si>
  <si>
    <t xml:space="preserve">  "Globus pallidus, external segment",</t>
  </si>
  <si>
    <t xml:space="preserve">  "Globus pallidus, internal segment",</t>
  </si>
  <si>
    <t xml:space="preserve">  "Pallidum, ventral region",</t>
  </si>
  <si>
    <t xml:space="preserve">  "Substantia innominata",</t>
  </si>
  <si>
    <t xml:space="preserve">  "Magnocellular nucleus",</t>
  </si>
  <si>
    <t xml:space="preserve">  "Pallidum, medial region",</t>
  </si>
  <si>
    <t xml:space="preserve">  "Medial septal complex",</t>
  </si>
  <si>
    <t xml:space="preserve">  "Medial septal nucleus",</t>
  </si>
  <si>
    <t xml:space="preserve">  "Diagonal band nucleus",</t>
  </si>
  <si>
    <t xml:space="preserve">  "Triangular nucleus of septum",</t>
  </si>
  <si>
    <t xml:space="preserve">  "Pallidum, caudal region",</t>
  </si>
  <si>
    <t xml:space="preserve">  "Bed nuclei of the stria terminalis",</t>
  </si>
  <si>
    <t xml:space="preserve">  "Bed nuclei of the stria terminalis, anterior division",</t>
  </si>
  <si>
    <t xml:space="preserve">  "Bed nuclei of the stria terminalis, anterior division, anterolateral area",</t>
  </si>
  <si>
    <t xml:space="preserve">  "Bed nuclei of the stria terminalis, anterior division, anteromedial area",</t>
  </si>
  <si>
    <t xml:space="preserve">  "Bed nuclei of the stria terminalis, anterior division, dorsomedial nucleus",</t>
  </si>
  <si>
    <t xml:space="preserve">  "Bed nuclei of the stria terminalis, anterior division, fusiform nucleus",</t>
  </si>
  <si>
    <t xml:space="preserve">  "Bed nuclei of the stria terminalis, anterior division, juxtacapsular nucleus",</t>
  </si>
  <si>
    <t xml:space="preserve">  "Bed nuclei of the stria terminalis, anterior division, magnocellular nucleus",</t>
  </si>
  <si>
    <t xml:space="preserve">  "Bed nuclei of the stria terminalis, anterior division, oval nucleus",</t>
  </si>
  <si>
    <t xml:space="preserve">  "Bed nuclei of the stria terminalis, anterior division, rhomboid nucleus",</t>
  </si>
  <si>
    <t xml:space="preserve">  "Bed nuclei of the stria terminalis, anterior division, ventral nucleus",</t>
  </si>
  <si>
    <t xml:space="preserve">  "Bed nuclei of the stria terminalis, posterior division",</t>
  </si>
  <si>
    <t xml:space="preserve">  "Bed nuclei of the stria terminalis, posterior division, dorsal nucleus",</t>
  </si>
  <si>
    <t xml:space="preserve">  "Bed nuclei of the stria terminalis, posterior division, principal nucleus",</t>
  </si>
  <si>
    <t xml:space="preserve">  "Bed nuclei of the stria terminalis, posterior division, interfascicular nucleus",</t>
  </si>
  <si>
    <t xml:space="preserve">  "Bed nuclei of the stria terminalis, posterior division, transverse nucleus",</t>
  </si>
  <si>
    <t xml:space="preserve">  "Bed nuclei of the stria terminalis, posterior division, strial extension",</t>
  </si>
  <si>
    <t xml:space="preserve">  "Bed nucleus of the anterior commissure",</t>
  </si>
  <si>
    <t xml:space="preserve">  "Brain stem",</t>
  </si>
  <si>
    <t xml:space="preserve">  "Interbrain",</t>
  </si>
  <si>
    <t xml:space="preserve">  "Thalamus",</t>
  </si>
  <si>
    <t xml:space="preserve">  "Thalamus, sensory-motor cortex related",</t>
  </si>
  <si>
    <t xml:space="preserve">  "Ventral group of the dorsal thalamus",</t>
  </si>
  <si>
    <t xml:space="preserve">  "Ventral anterior-lateral complex of the thalamus",</t>
  </si>
  <si>
    <t xml:space="preserve">  "Ventral medial nucleus of the thalamus",</t>
  </si>
  <si>
    <t xml:space="preserve">  "Ventral posterior complex of the thalamus",</t>
  </si>
  <si>
    <t xml:space="preserve">  "Ventral posterolateral nucleus of the thalamus",</t>
  </si>
  <si>
    <t xml:space="preserve">  "Ventral posterolateral nucleus of the thalamus, parvicellular part",</t>
  </si>
  <si>
    <t xml:space="preserve">  "Ventral posteromedial nucleus of the thalamus",</t>
  </si>
  <si>
    <t xml:space="preserve">  "Ventral posteromedial nucleus of the thalamus, parvicellular part",</t>
  </si>
  <si>
    <t xml:space="preserve">  "Posterior triangular thalamic nucleus",</t>
  </si>
  <si>
    <t xml:space="preserve">  "Subparafascicular nucleus",</t>
  </si>
  <si>
    <t xml:space="preserve">  "Subparafascicular nucleus, magnocellular part",</t>
  </si>
  <si>
    <t xml:space="preserve">  "Subparafascicular nucleus, parvicellular part",</t>
  </si>
  <si>
    <t xml:space="preserve">  "Subparafascicular area",</t>
  </si>
  <si>
    <t xml:space="preserve">  "Peripeduncular nucleus",</t>
  </si>
  <si>
    <t xml:space="preserve">  "Geniculate group, dorsal thalamus",</t>
  </si>
  <si>
    <t xml:space="preserve">  "Medial geniculate complex",</t>
  </si>
  <si>
    <t xml:space="preserve">  "Medial geniculate complex, dorsal part",</t>
  </si>
  <si>
    <t xml:space="preserve">  "Medial geniculate complex, ventral part",</t>
  </si>
  <si>
    <t xml:space="preserve">  "Medial geniculate complex, medial part",</t>
  </si>
  <si>
    <t xml:space="preserve">  "Dorsal part of the lateral geniculate complex",</t>
  </si>
  <si>
    <t xml:space="preserve">  "Dorsal part of the lateral geniculate complex, shell",</t>
  </si>
  <si>
    <t xml:space="preserve">  "Dorsal part of the lateral geniculate complex, core",</t>
  </si>
  <si>
    <t xml:space="preserve">  "Dorsal part of the lateral geniculate complex, ipsilateral zone",</t>
  </si>
  <si>
    <t xml:space="preserve">  "Thalamus, polymodal association cortex related",</t>
  </si>
  <si>
    <t xml:space="preserve">  "Lateral group of the dorsal thalamus",</t>
  </si>
  <si>
    <t xml:space="preserve">  "Lateral posterior nucleus of the thalamus",</t>
  </si>
  <si>
    <t xml:space="preserve">  "Posterior complex of the thalamus",</t>
  </si>
  <si>
    <t xml:space="preserve">  "Posterior limiting nucleus of the thalamus",</t>
  </si>
  <si>
    <t xml:space="preserve">  "Suprageniculate nucleus",</t>
  </si>
  <si>
    <t xml:space="preserve">  "Ethmoid nucleus of the thalamus",</t>
  </si>
  <si>
    <t xml:space="preserve">  "Retroethmoid nucleus",</t>
  </si>
  <si>
    <t xml:space="preserve">  "Anterior group of the dorsal thalamus",</t>
  </si>
  <si>
    <t xml:space="preserve">  "Anteroventral nucleus of thalamus",</t>
  </si>
  <si>
    <t xml:space="preserve">  "Anteromedial nucleus",</t>
  </si>
  <si>
    <t xml:space="preserve">  "Anteromedial nucleus, dorsal part",</t>
  </si>
  <si>
    <t xml:space="preserve">  "Anteromedial nucleus, ventral part",</t>
  </si>
  <si>
    <t xml:space="preserve">  "Anterodorsal nucleus",</t>
  </si>
  <si>
    <t xml:space="preserve">  "Interanteromedial nucleus of the thalamus",</t>
  </si>
  <si>
    <t xml:space="preserve">  "Interanterodorsal nucleus of the thalamus",</t>
  </si>
  <si>
    <t xml:space="preserve">  "Lateral dorsal nucleus of thalamus",</t>
  </si>
  <si>
    <t xml:space="preserve">  "Medial group of the dorsal thalamus",</t>
  </si>
  <si>
    <t xml:space="preserve">  "Intermediodorsal nucleus of the thalamus",</t>
  </si>
  <si>
    <t xml:space="preserve">  "Mediodorsal nucleus of thalamus",</t>
  </si>
  <si>
    <t xml:space="preserve">  "Mediodorsal nucleus of the thalamus, central part",</t>
  </si>
  <si>
    <t xml:space="preserve">  "Mediodorsal nucleus of the thalamus, lateral part",</t>
  </si>
  <si>
    <t xml:space="preserve">  "Mediodorsal nucleus of the thalamus, medial part",</t>
  </si>
  <si>
    <t xml:space="preserve">  "Submedial nucleus of the thalamus",</t>
  </si>
  <si>
    <t xml:space="preserve">  "Perireunensis nucleus",</t>
  </si>
  <si>
    <t xml:space="preserve">  "Midline group of the dorsal thalamus",</t>
  </si>
  <si>
    <t xml:space="preserve">  "Paraventricular nucleus of the thalamus",</t>
  </si>
  <si>
    <t xml:space="preserve">  "Parataenial nucleus",</t>
  </si>
  <si>
    <t xml:space="preserve">  "Nucleus of reuniens",</t>
  </si>
  <si>
    <t xml:space="preserve">  "Xiphoid thalamic nucleus",</t>
  </si>
  <si>
    <t xml:space="preserve">  "Intralaminar nuclei of the dorsal thalamus",</t>
  </si>
  <si>
    <t xml:space="preserve">  "Rhomboid nucleus",</t>
  </si>
  <si>
    <t xml:space="preserve">  "Central medial nucleus of the thalamus",</t>
  </si>
  <si>
    <t xml:space="preserve">  "Paracentral nucleus",</t>
  </si>
  <si>
    <t xml:space="preserve">  "Central lateral nucleus of the thalamus",</t>
  </si>
  <si>
    <t xml:space="preserve">  "Parafascicular nucleus",</t>
  </si>
  <si>
    <t xml:space="preserve">  "Posterior intralaminar thalamic nucleus",</t>
  </si>
  <si>
    <t xml:space="preserve">  "Reticular nucleus of the thalamus",</t>
  </si>
  <si>
    <t xml:space="preserve">  "Geniculate group, ventral thalamus",</t>
  </si>
  <si>
    <t xml:space="preserve">  "Intergeniculate leaflet of the lateral geniculate complex",</t>
  </si>
  <si>
    <t xml:space="preserve">  "Intermediate geniculate nucleus",</t>
  </si>
  <si>
    <t xml:space="preserve">  "Ventral part of the lateral geniculate complex",</t>
  </si>
  <si>
    <t xml:space="preserve">  "Ventral part of the lateral geniculate complex, lateral zone",</t>
  </si>
  <si>
    <t xml:space="preserve">  "Ventral part of the lateral geniculate complex, medial zone",</t>
  </si>
  <si>
    <t xml:space="preserve">  "Subgeniculate nucleus",</t>
  </si>
  <si>
    <t xml:space="preserve">  "Epithalamus",</t>
  </si>
  <si>
    <t xml:space="preserve">  "Medial habenula",</t>
  </si>
  <si>
    <t xml:space="preserve">  "Lateral habenula",</t>
  </si>
  <si>
    <t xml:space="preserve">  "Pineal body",</t>
  </si>
  <si>
    <t xml:space="preserve">  "Hypothalamus",</t>
  </si>
  <si>
    <t xml:space="preserve">  "Periventricular zone",</t>
  </si>
  <si>
    <t xml:space="preserve">  "Supraoptic nucleus",</t>
  </si>
  <si>
    <t xml:space="preserve">  "Accessory supraoptic group",</t>
  </si>
  <si>
    <t xml:space="preserve">  "Nucleus circularis",</t>
  </si>
  <si>
    <t xml:space="preserve">  "Paraventricular hypothalamic nucleus",</t>
  </si>
  <si>
    <t xml:space="preserve">  "Paraventricular hypothalamic nucleus, magnocellular division",</t>
  </si>
  <si>
    <t xml:space="preserve">  "Paraventricular hypothalamic nucleus, magnocellular division, anterior magnocellular part",</t>
  </si>
  <si>
    <t xml:space="preserve">  "Paraventricular hypothalamic nucleus, magnocellular division, medial magnocellular part",</t>
  </si>
  <si>
    <t xml:space="preserve">  "Paraventricular hypothalamic nucleus, magnocellular division, posterior magnocellular part",</t>
  </si>
  <si>
    <t xml:space="preserve">  "Paraventricular hypothalamic nucleus, magnocellular division, posterior magnocellular part, lateral zone",</t>
  </si>
  <si>
    <t xml:space="preserve">  "Paraventricular hypothalamic nucleus, magnocellular division, posterior magnocellular part, medial zone",</t>
  </si>
  <si>
    <t xml:space="preserve">  "Paraventricular hypothalamic nucleus, parvicellular division",</t>
  </si>
  <si>
    <t xml:space="preserve">  "Paraventricular hypothalamic nucleus, parvicellular division, anterior parvicellular part",</t>
  </si>
  <si>
    <t xml:space="preserve">  "Paraventricular hypothalamic nucleus, parvicellular division, medial parvicellular part, dorsal zone",</t>
  </si>
  <si>
    <t xml:space="preserve">  "Paraventricular hypothalamic nucleus, parvicellular division, periventricular part",</t>
  </si>
  <si>
    <t xml:space="preserve">  "Periventricular hypothalamic nucleus, anterior part",</t>
  </si>
  <si>
    <t xml:space="preserve">  "Periventricular hypothalamic nucleus, intermediate part",</t>
  </si>
  <si>
    <t xml:space="preserve">  "Arcuate hypothalamic nucleus",</t>
  </si>
  <si>
    <t xml:space="preserve">  "Periventricular region",</t>
  </si>
  <si>
    <t xml:space="preserve">  "Anterodorsal preoptic nucleus",</t>
  </si>
  <si>
    <t xml:space="preserve">  "Anterior hypothalamic area",</t>
  </si>
  <si>
    <t xml:space="preserve">  "Anteroventral preoptic nucleus",</t>
  </si>
  <si>
    <t xml:space="preserve">  "Anteroventral periventricular nucleus",</t>
  </si>
  <si>
    <t xml:space="preserve">  "Dorsomedial nucleus of the hypothalamus",</t>
  </si>
  <si>
    <t xml:space="preserve">  "Dorsomedial nucleus of the hypothalamus, anterior part",</t>
  </si>
  <si>
    <t xml:space="preserve">  "Dorsomedial nucleus of the hypothalamus, posterior part",</t>
  </si>
  <si>
    <t xml:space="preserve">  "Dorsomedial nucleus of the hypothalamus, ventral part",</t>
  </si>
  <si>
    <t xml:space="preserve">  "Median preoptic nucleus",</t>
  </si>
  <si>
    <t xml:space="preserve">  "Medial preoptic area",</t>
  </si>
  <si>
    <t xml:space="preserve">  "Vascular organ of the lamina terminalis",</t>
  </si>
  <si>
    <t xml:space="preserve">  "Posterodorsal preoptic nucleus",</t>
  </si>
  <si>
    <t xml:space="preserve">  "Parastrial nucleus",</t>
  </si>
  <si>
    <t xml:space="preserve">  "Suprachiasmatic preoptic nucleus",</t>
  </si>
  <si>
    <t xml:space="preserve">  "Periventricular hypothalamic nucleus, posterior part",</t>
  </si>
  <si>
    <t xml:space="preserve">  "Periventricular hypothalamic nucleus, preoptic part",</t>
  </si>
  <si>
    <t xml:space="preserve">  "Subparaventricular zone",</t>
  </si>
  <si>
    <t xml:space="preserve">  "Suprachiasmatic nucleus",</t>
  </si>
  <si>
    <t xml:space="preserve">  "Subfornical organ",</t>
  </si>
  <si>
    <t xml:space="preserve">  "Ventromedial preoptic nucleus",</t>
  </si>
  <si>
    <t xml:space="preserve">  "Ventrolateral preoptic nucleus",</t>
  </si>
  <si>
    <t xml:space="preserve">  "Hypothalamic medial zone",</t>
  </si>
  <si>
    <t xml:space="preserve">  "Anterior hypothalamic nucleus",</t>
  </si>
  <si>
    <t xml:space="preserve">  "Anterior hypothalamic nucleus, anterior part",</t>
  </si>
  <si>
    <t xml:space="preserve">  "Anterior hypothalamic nucleus, central part",</t>
  </si>
  <si>
    <t xml:space="preserve">  "Anterior hypothalamic nucleus, dorsal part",</t>
  </si>
  <si>
    <t xml:space="preserve">  "Anterior hypothalamic nucleus, posterior part",</t>
  </si>
  <si>
    <t xml:space="preserve">  "Mammillary body",</t>
  </si>
  <si>
    <t xml:space="preserve">  "Lateral mammillary nucleus",</t>
  </si>
  <si>
    <t xml:space="preserve">  "Medial mammillary nucleus",</t>
  </si>
  <si>
    <t xml:space="preserve">  "Medial mammillary nucleus, median part",</t>
  </si>
  <si>
    <t xml:space="preserve">  "Medial mammillary nucleus, lateral part",</t>
  </si>
  <si>
    <t xml:space="preserve">  "Medial mammillary nucleus, medial part",</t>
  </si>
  <si>
    <t xml:space="preserve">  "Medial mammillary nucleus, posterior part",</t>
  </si>
  <si>
    <t xml:space="preserve">  "Medial mammillary nucleus, dorsal part",</t>
  </si>
  <si>
    <t xml:space="preserve">  "Supramammillary nucleus",</t>
  </si>
  <si>
    <t xml:space="preserve">  "Supramammillary nucleus, lateral part",</t>
  </si>
  <si>
    <t xml:space="preserve">  "Supramammillary nucleus, medial part",</t>
  </si>
  <si>
    <t xml:space="preserve">  "Tuberomammillary nucleus",</t>
  </si>
  <si>
    <t xml:space="preserve">  "Tuberomammillary nucleus, dorsal part",</t>
  </si>
  <si>
    <t xml:space="preserve">  "Tuberomammillary nucleus, ventral part",</t>
  </si>
  <si>
    <t xml:space="preserve">  "Medial preoptic nucleus",</t>
  </si>
  <si>
    <t xml:space="preserve">  "Medial preoptic nucleus, central part",</t>
  </si>
  <si>
    <t xml:space="preserve">  "Medial preoptic nucleus, lateral part",</t>
  </si>
  <si>
    <t xml:space="preserve">  "Medial preoptic nucleus, medial part",</t>
  </si>
  <si>
    <t xml:space="preserve">  "Dorsal premammillary nucleus",</t>
  </si>
  <si>
    <t xml:space="preserve">  "Ventral premammillary nucleus",</t>
  </si>
  <si>
    <t xml:space="preserve">  "Paraventricular hypothalamic nucleus, descending division",</t>
  </si>
  <si>
    <t xml:space="preserve">  "Paraventricular hypothalamic nucleus, descending division, dorsal parvicellular part",</t>
  </si>
  <si>
    <t xml:space="preserve">  "Paraventricular hypothalamic nucleus, descending division, forniceal part",</t>
  </si>
  <si>
    <t xml:space="preserve">  "Paraventricular hypothalamic nucleus, descending division, lateral parvicellular part",</t>
  </si>
  <si>
    <t xml:space="preserve">  "Paraventricular hypothalamic nucleus, descending division, medial parvicellular part, ventral zone",</t>
  </si>
  <si>
    <t xml:space="preserve">  "Ventromedial hypothalamic nucleus",</t>
  </si>
  <si>
    <t xml:space="preserve">  "Ventromedial hypothalamic nucleus, anterior part",</t>
  </si>
  <si>
    <t xml:space="preserve">  "Ventromedial hypothalamic nucleus, central part",</t>
  </si>
  <si>
    <t xml:space="preserve">  "Ventromedial hypothalamic nucleus, dorsomedial part",</t>
  </si>
  <si>
    <t xml:space="preserve">  "Ventromedial hypothalamic nucleus, ventrolateral part",</t>
  </si>
  <si>
    <t xml:space="preserve">  "Posterior hypothalamic nucleus",</t>
  </si>
  <si>
    <t xml:space="preserve">  "Hypothalamic lateral zone",</t>
  </si>
  <si>
    <t xml:space="preserve">  "Lateral hypothalamic area",</t>
  </si>
  <si>
    <t xml:space="preserve">  "Lateral preoptic area",</t>
  </si>
  <si>
    <t xml:space="preserve">  "Preparasubthalamic nucleus",</t>
  </si>
  <si>
    <t xml:space="preserve">  "Parasubthalamic nucleus",</t>
  </si>
  <si>
    <t xml:space="preserve">  "Perifornical nucleus",</t>
  </si>
  <si>
    <t xml:space="preserve">  "Retrochiasmatic area",</t>
  </si>
  <si>
    <t xml:space="preserve">  "Subthalamic nucleus",</t>
  </si>
  <si>
    <t xml:space="preserve">  "Tuberal nucleus",</t>
  </si>
  <si>
    <t xml:space="preserve">  "Zona incerta",</t>
  </si>
  <si>
    <t xml:space="preserve">  "Dopaminergic A13 group",</t>
  </si>
  <si>
    <t xml:space="preserve">  "Fields of Forel",</t>
  </si>
  <si>
    <t xml:space="preserve">  "Median eminence",</t>
  </si>
  <si>
    <t xml:space="preserve">  "Midbrain",</t>
  </si>
  <si>
    <t xml:space="preserve">  "Midbrain, sensory related",</t>
  </si>
  <si>
    <t xml:space="preserve">  "Superior colliculus, sensory related",</t>
  </si>
  <si>
    <t xml:space="preserve">  "Superior colliculus, optic layer",</t>
  </si>
  <si>
    <t xml:space="preserve">  "Superior colliculus, superficial gray layer",</t>
  </si>
  <si>
    <t xml:space="preserve">  "Superior colliculus, zonal layer",</t>
  </si>
  <si>
    <t xml:space="preserve">  "Inferior colliculus",</t>
  </si>
  <si>
    <t xml:space="preserve">  "Inferior colliculus, central nucleus",</t>
  </si>
  <si>
    <t xml:space="preserve">  "Inferior colliculus, dorsal nucleus",</t>
  </si>
  <si>
    <t xml:space="preserve">  "Inferior colliculus, external nucleus",</t>
  </si>
  <si>
    <t xml:space="preserve">  "Nucleus of the brachium of the inferior colliculus",</t>
  </si>
  <si>
    <t xml:space="preserve">  "Nucleus sagulum",</t>
  </si>
  <si>
    <t xml:space="preserve">  "Parabigeminal nucleus",</t>
  </si>
  <si>
    <t xml:space="preserve">  "Midbrain trigeminal nucleus",</t>
  </si>
  <si>
    <t xml:space="preserve">  "Subcommissural organ",</t>
  </si>
  <si>
    <t xml:space="preserve">  "Midbrain, motor related",</t>
  </si>
  <si>
    <t xml:space="preserve">  "Substantia nigra, reticular part",</t>
  </si>
  <si>
    <t xml:space="preserve">  "Ventral tegmental area",</t>
  </si>
  <si>
    <t xml:space="preserve">  "Paranigral nucleus",</t>
  </si>
  <si>
    <t xml:space="preserve">  "Midbrain reticular nucleus, retrorubral area",</t>
  </si>
  <si>
    <t xml:space="preserve">  "Midbrain reticular nucleus",</t>
  </si>
  <si>
    <t xml:space="preserve">  "Midbrain reticular nucleus, magnocellular part",</t>
  </si>
  <si>
    <t xml:space="preserve">  "Midbrain reticular nucleus, magnocellular part, general",</t>
  </si>
  <si>
    <t xml:space="preserve">  "Midbrain reticular nucleus, parvicellular part",</t>
  </si>
  <si>
    <t xml:space="preserve">  "Superior colliculus, motor related",</t>
  </si>
  <si>
    <t xml:space="preserve">  "Superior colliculus, motor related, deep gray layer",</t>
  </si>
  <si>
    <t xml:space="preserve">  "Superior colliculus, motor related, deep white layer",</t>
  </si>
  <si>
    <t xml:space="preserve">  "Superior colliculus, motor related, intermediate white layer",</t>
  </si>
  <si>
    <t xml:space="preserve">  "Superior colliculus, motor related, intermediate gray layer",</t>
  </si>
  <si>
    <t xml:space="preserve">  "Superior colliculus, motor related, intermediate gray layer, sublayer a",</t>
  </si>
  <si>
    <t xml:space="preserve">  "Superior colliculus, motor related, intermediate gray layer, sublayer b",</t>
  </si>
  <si>
    <t xml:space="preserve">  "Superior colliculus, motor related, intermediate gray layer, sublayer c",</t>
  </si>
  <si>
    <t xml:space="preserve">  "Periaqueductal gray",</t>
  </si>
  <si>
    <t xml:space="preserve">  "Precommissural nucleus",</t>
  </si>
  <si>
    <t xml:space="preserve">  "Interstitial nucleus of Cajal",</t>
  </si>
  <si>
    <t xml:space="preserve">  "Nucleus of Darkschewitsch",</t>
  </si>
  <si>
    <t xml:space="preserve">  "Supraoculomotor periaqueductal gray",</t>
  </si>
  <si>
    <t xml:space="preserve">  "Pretectal region",</t>
  </si>
  <si>
    <t xml:space="preserve">  "Anterior pretectal nucleus",</t>
  </si>
  <si>
    <t xml:space="preserve">  "Medial pretectal area",</t>
  </si>
  <si>
    <t xml:space="preserve">  "Nucleus of the optic tract",</t>
  </si>
  <si>
    <t xml:space="preserve">  "Nucleus of the posterior commissure",</t>
  </si>
  <si>
    <t xml:space="preserve">  "Olivary pretectal nucleus",</t>
  </si>
  <si>
    <t xml:space="preserve">  "Posterior pretectal nucleus",</t>
  </si>
  <si>
    <t xml:space="preserve">  "Retroparafascicular nucleus",</t>
  </si>
  <si>
    <t xml:space="preserve">  "Intercollicular nucleus",</t>
  </si>
  <si>
    <t xml:space="preserve">  "Cuneiform nucleus",</t>
  </si>
  <si>
    <t xml:space="preserve">  "Red nucleus",</t>
  </si>
  <si>
    <t xml:space="preserve">  "Oculomotor nucleus",</t>
  </si>
  <si>
    <t xml:space="preserve">  "Medial accesory oculomotor nucleus",</t>
  </si>
  <si>
    <t xml:space="preserve">  "Edinger-Westphal nucleus",</t>
  </si>
  <si>
    <t xml:space="preserve">  "Trochlear nucleus",</t>
  </si>
  <si>
    <t xml:space="preserve">  "Paratrochlear nucleus",</t>
  </si>
  <si>
    <t xml:space="preserve">  "Ventral tegmental nucleus",</t>
  </si>
  <si>
    <t xml:space="preserve">  "Anterior tegmental nucleus",</t>
  </si>
  <si>
    <t xml:space="preserve">  "Lateral terminal nucleus of the accessory optic tract",</t>
  </si>
  <si>
    <t xml:space="preserve">  "Dorsal terminal nucleus of the accessory optic tract",</t>
  </si>
  <si>
    <t xml:space="preserve">  "Medial terminal nucleus of the accessory optic tract",</t>
  </si>
  <si>
    <t xml:space="preserve">  "Substantia nigra, lateral part",</t>
  </si>
  <si>
    <t xml:space="preserve">  "Midbrain, behavioral state related",</t>
  </si>
  <si>
    <t xml:space="preserve">  "Substantia nigra, compact part",</t>
  </si>
  <si>
    <t xml:space="preserve">  "Pedunculopontine nucleus",</t>
  </si>
  <si>
    <t xml:space="preserve">  "Midbrain raphe nuclei",</t>
  </si>
  <si>
    <t xml:space="preserve">  "Interfascicular nucleus raphe",</t>
  </si>
  <si>
    <t xml:space="preserve">  "Interpeduncular nucleus",</t>
  </si>
  <si>
    <t xml:space="preserve">  "Interpeduncular nucleus, rostral",</t>
  </si>
  <si>
    <t xml:space="preserve">  "Interpeduncular nucleus, caudal",</t>
  </si>
  <si>
    <t xml:space="preserve">  "Interpeduncular nucleus, apical",</t>
  </si>
  <si>
    <t xml:space="preserve">  "Interpeduncular nucleus, lateral",</t>
  </si>
  <si>
    <t xml:space="preserve">  "Interpeduncular nucleus, intermediate",</t>
  </si>
  <si>
    <t xml:space="preserve">  "Interpeduncular nucleus, dorsomedial",</t>
  </si>
  <si>
    <t xml:space="preserve">  "Interpeduncular nucleus, dorsolateral",</t>
  </si>
  <si>
    <t xml:space="preserve">  "Interpeduncular nucleus, rostrolateral",</t>
  </si>
  <si>
    <t xml:space="preserve">  "Rostral linear nucleus raphe",</t>
  </si>
  <si>
    <t xml:space="preserve">  "Central linear nucleus raphe",</t>
  </si>
  <si>
    <t xml:space="preserve">  "Dorsal nucleus raphe",</t>
  </si>
  <si>
    <t xml:space="preserve">  "Hindbrain",</t>
  </si>
  <si>
    <t xml:space="preserve">  "Pons",</t>
  </si>
  <si>
    <t xml:space="preserve">  "Pons, sensory related",</t>
  </si>
  <si>
    <t xml:space="preserve">  "Nucleus of the lateral lemniscus",</t>
  </si>
  <si>
    <t xml:space="preserve">  "Nucleus of the lateral lemniscus, dorsal part",</t>
  </si>
  <si>
    <t xml:space="preserve">  "Nucleus of the lateral lemniscus, horizontal part",</t>
  </si>
  <si>
    <t xml:space="preserve">  "Nucleus of the lateral lemniscus, ventral part",</t>
  </si>
  <si>
    <t xml:space="preserve">  "Principal sensory nucleus of the trigeminal",</t>
  </si>
  <si>
    <t xml:space="preserve">  "Parabrachial nucleus",</t>
  </si>
  <si>
    <t xml:space="preserve">  "Koelliker-Fuse subnucleus",</t>
  </si>
  <si>
    <t xml:space="preserve">  "Parabrachial nucleus, lateral division",</t>
  </si>
  <si>
    <t xml:space="preserve">  "Parabrachial nucleus, lateral division, central lateral part",</t>
  </si>
  <si>
    <t xml:space="preserve">  "Parabrachial nucleus, lateral division, dorsal lateral part",</t>
  </si>
  <si>
    <t xml:space="preserve">  "Parabrachial nucleus, lateral division, external lateral part",</t>
  </si>
  <si>
    <t xml:space="preserve">  "Parabrachial nucleus, lateral division, superior lateral part",</t>
  </si>
  <si>
    <t xml:space="preserve">  "Parabrachial nucleus, lateral division, ventral lateral part",</t>
  </si>
  <si>
    <t xml:space="preserve">  "Parabrachial nucleus, medial division",</t>
  </si>
  <si>
    <t xml:space="preserve">  "Parabrachial nucleus, medial division, external medial part",</t>
  </si>
  <si>
    <t xml:space="preserve">  "Parabrachial nucleus, medial division, medial medial part",</t>
  </si>
  <si>
    <t xml:space="preserve">  "Parabrachial nucleus, medial division, ventral medial part",</t>
  </si>
  <si>
    <t xml:space="preserve">  "Superior olivary complex",</t>
  </si>
  <si>
    <t xml:space="preserve">  "Superior olivary complex, periolivary region",</t>
  </si>
  <si>
    <t xml:space="preserve">  "Superior olivary complex, medial part",</t>
  </si>
  <si>
    <t xml:space="preserve">  "Superior olivary complex, lateral part",</t>
  </si>
  <si>
    <t xml:space="preserve">  "Pons, motor related",</t>
  </si>
  <si>
    <t xml:space="preserve">  "Barrington's nucleus",</t>
  </si>
  <si>
    <t xml:space="preserve">  "Dorsal tegmental nucleus",</t>
  </si>
  <si>
    <t xml:space="preserve">  "Lateral tegmental nucleus",</t>
  </si>
  <si>
    <t xml:space="preserve">  "Posterodorsal tegmental nucleus",</t>
  </si>
  <si>
    <t xml:space="preserve">  "Pontine central gray",</t>
  </si>
  <si>
    <t xml:space="preserve">  "Pontine gray",</t>
  </si>
  <si>
    <t xml:space="preserve">  "Pontine reticular nucleus, caudal part",</t>
  </si>
  <si>
    <t xml:space="preserve">  "Pontine reticular nucleus, ventral part",</t>
  </si>
  <si>
    <t xml:space="preserve">  "Supragenual nucleus",</t>
  </si>
  <si>
    <t xml:space="preserve">  "Superior salivatory nucleus",</t>
  </si>
  <si>
    <t xml:space="preserve">  "Supratrigeminal nucleus",</t>
  </si>
  <si>
    <t xml:space="preserve">  "Tegmental reticular nucleus",</t>
  </si>
  <si>
    <t xml:space="preserve">  "Motor nucleus of trigeminal",</t>
  </si>
  <si>
    <t xml:space="preserve">  "Peritrigeminal zone",</t>
  </si>
  <si>
    <t xml:space="preserve">  "Accessory trigeminal nucleus",</t>
  </si>
  <si>
    <t xml:space="preserve">  "Parvicellular motor 5 nucleus",</t>
  </si>
  <si>
    <t xml:space="preserve">  "Intertrigeminal nucleus",</t>
  </si>
  <si>
    <t xml:space="preserve">  "Pons, behavioral state related",</t>
  </si>
  <si>
    <t xml:space="preserve">  "Superior central nucleus raphe",</t>
  </si>
  <si>
    <t xml:space="preserve">  "Superior central nucleus raphe, lateral part",</t>
  </si>
  <si>
    <t xml:space="preserve">  "Superior central nucleus raphe, medial part",</t>
  </si>
  <si>
    <t xml:space="preserve">  "Locus ceruleus",</t>
  </si>
  <si>
    <t xml:space="preserve">  "Laterodorsal tegmental nucleus",</t>
  </si>
  <si>
    <t xml:space="preserve">  "Nucleus incertus",</t>
  </si>
  <si>
    <t xml:space="preserve">  "Pontine reticular nucleus",</t>
  </si>
  <si>
    <t xml:space="preserve">  "Nucleus raphe pontis",</t>
  </si>
  <si>
    <t xml:space="preserve">  "Subceruleus nucleus",</t>
  </si>
  <si>
    <t xml:space="preserve">  "Sublaterodorsal nucleus",</t>
  </si>
  <si>
    <t xml:space="preserve">  "Medulla",</t>
  </si>
  <si>
    <t xml:space="preserve">  "Medulla, sensory related",</t>
  </si>
  <si>
    <t xml:space="preserve">  "Area postrema",</t>
  </si>
  <si>
    <t xml:space="preserve">  "Cochlear nuclei",</t>
  </si>
  <si>
    <t xml:space="preserve">  "Granular lamina of the cochlear nuclei",</t>
  </si>
  <si>
    <t xml:space="preserve">  "Cochlear nucleus, subpedunclular granular region",</t>
  </si>
  <si>
    <t xml:space="preserve">  "Dorsal cochlear nucleus",</t>
  </si>
  <si>
    <t xml:space="preserve">  "Ventral cochlear nucleus",</t>
  </si>
  <si>
    <t xml:space="preserve">  "Dorsal column nuclei",</t>
  </si>
  <si>
    <t xml:space="preserve">  "Cuneate nucleus",</t>
  </si>
  <si>
    <t xml:space="preserve">  "Gracile nucleus",</t>
  </si>
  <si>
    <t xml:space="preserve">  "External cuneate nucleus",</t>
  </si>
  <si>
    <t xml:space="preserve">  "Nucleus of the trapezoid body",</t>
  </si>
  <si>
    <t xml:space="preserve">  "Nucleus of the solitary tract",</t>
  </si>
  <si>
    <t xml:space="preserve">  "Nucleus of the solitary tract, central part",</t>
  </si>
  <si>
    <t xml:space="preserve">  "Nucleus of the solitary tract, commissural part",</t>
  </si>
  <si>
    <t xml:space="preserve">  "Nucleus of the solitary tract, gelatinous part",</t>
  </si>
  <si>
    <t xml:space="preserve">  "Nucleus of the solitary tract, lateral part",</t>
  </si>
  <si>
    <t xml:space="preserve">  "Nucleus of the solitary tract, medial part",</t>
  </si>
  <si>
    <t xml:space="preserve">  "Spinal nucleus of the trigeminal, caudal part",</t>
  </si>
  <si>
    <t xml:space="preserve">  "Spinal nucleus of the trigeminal, interpolar part",</t>
  </si>
  <si>
    <t xml:space="preserve">  "Spinal nucleus of the trigeminal, oral part",</t>
  </si>
  <si>
    <t xml:space="preserve">  "Spinal nucleus of the trigeminal, oral part, caudal dorsomedial part",</t>
  </si>
  <si>
    <t xml:space="preserve">  "Spinal nucleus of the trigeminal, oral part, middle dorsomedial part, dorsal zone",</t>
  </si>
  <si>
    <t xml:space="preserve">  "Spinal nucleus of the trigeminal, oral part, middle dorsomedial part, ventral zone",</t>
  </si>
  <si>
    <t xml:space="preserve">  "Spinal nucleus of the trigeminal, oral part, rostral dorsomedial part",</t>
  </si>
  <si>
    <t xml:space="preserve">  "Spinal nucleus of the trigeminal, oral part, ventrolateral part",</t>
  </si>
  <si>
    <t xml:space="preserve">  "Paratrigeminal nucleus",</t>
  </si>
  <si>
    <t xml:space="preserve">  "Nucleus z",</t>
  </si>
  <si>
    <t xml:space="preserve">  "Medulla, motor related",</t>
  </si>
  <si>
    <t xml:space="preserve">  "Abducens nucleus",</t>
  </si>
  <si>
    <t xml:space="preserve">  "Accessory abducens nucleus",</t>
  </si>
  <si>
    <t xml:space="preserve">  "Facial motor nucleus",</t>
  </si>
  <si>
    <t xml:space="preserve">  "Accessory facial motor nucleus",</t>
  </si>
  <si>
    <t xml:space="preserve">  "Efferent vestibular nucleus",</t>
  </si>
  <si>
    <t xml:space="preserve">  "Nucleus ambiguus",</t>
  </si>
  <si>
    <t xml:space="preserve">  "Nucleus ambiguus, dorsal division",</t>
  </si>
  <si>
    <t xml:space="preserve">  "Nucleus ambiguus, ventral division",</t>
  </si>
  <si>
    <t xml:space="preserve">  "Dorsal motor nucleus of the vagus nerve",</t>
  </si>
  <si>
    <t xml:space="preserve">  "Efferent cochlear group",</t>
  </si>
  <si>
    <t xml:space="preserve">  "Gigantocellular reticular nucleus",</t>
  </si>
  <si>
    <t xml:space="preserve">  "Infracerebellar nucleus",</t>
  </si>
  <si>
    <t xml:space="preserve">  "Inferior olivary complex",</t>
  </si>
  <si>
    <t xml:space="preserve">  "Intermediate reticular nucleus",</t>
  </si>
  <si>
    <t xml:space="preserve">  "Inferior salivatory nucleus",</t>
  </si>
  <si>
    <t xml:space="preserve">  "Linear nucleus of the medulla",</t>
  </si>
  <si>
    <t xml:space="preserve">  "Lateral reticular nucleus",</t>
  </si>
  <si>
    <t xml:space="preserve">  "Lateral reticular nucleus, magnocellular part",</t>
  </si>
  <si>
    <t xml:space="preserve">  "Lateral reticular nucleus, parvicellular part",</t>
  </si>
  <si>
    <t xml:space="preserve">  "Magnocellular reticular nucleus",</t>
  </si>
  <si>
    <t xml:space="preserve">  "Medullary reticular nucleus",</t>
  </si>
  <si>
    <t xml:space="preserve">  "Medullary reticular nucleus, dorsal part",</t>
  </si>
  <si>
    <t xml:space="preserve">  "Medullary reticular nucleus, ventral part",</t>
  </si>
  <si>
    <t xml:space="preserve">  "Parvicellular reticular nucleus",</t>
  </si>
  <si>
    <t xml:space="preserve">  "Parasolitary nucleus",</t>
  </si>
  <si>
    <t xml:space="preserve">  "Paragigantocellular reticular nucleus",</t>
  </si>
  <si>
    <t xml:space="preserve">  "Paragigantocellular reticular nucleus, dorsal part",</t>
  </si>
  <si>
    <t xml:space="preserve">  "Paragigantocellular reticular nucleus, lateral part",</t>
  </si>
  <si>
    <t xml:space="preserve">  "Perihypoglossal nuclei",</t>
  </si>
  <si>
    <t xml:space="preserve">  "Nucleus intercalatus",</t>
  </si>
  <si>
    <t xml:space="preserve">  "Nucleus of Roller",</t>
  </si>
  <si>
    <t xml:space="preserve">  "Nucleus prepositus",</t>
  </si>
  <si>
    <t xml:space="preserve">  "Paramedian reticular nucleus",</t>
  </si>
  <si>
    <t xml:space="preserve">  "Parapyramidal nucleus",</t>
  </si>
  <si>
    <t xml:space="preserve">  "Parapyramidal nucleus, deep part",</t>
  </si>
  <si>
    <t xml:space="preserve">  "Parapyramidal nucleus, superficial part",</t>
  </si>
  <si>
    <t xml:space="preserve">  "Vestibular nuclei",</t>
  </si>
  <si>
    <t xml:space="preserve">  "Lateral vestibular nucleus",</t>
  </si>
  <si>
    <t xml:space="preserve">  "Medial vestibular nucleus",</t>
  </si>
  <si>
    <t xml:space="preserve">  "Spinal vestibular nucleus",</t>
  </si>
  <si>
    <t xml:space="preserve">  "Superior vestibular nucleus",</t>
  </si>
  <si>
    <t xml:space="preserve">  "Nucleus x",</t>
  </si>
  <si>
    <t xml:space="preserve">  "Hypoglossal nucleus",</t>
  </si>
  <si>
    <t xml:space="preserve">  "Nucleus y",</t>
  </si>
  <si>
    <t xml:space="preserve">  "Interstitial nucleus of the vestibular nerve",</t>
  </si>
  <si>
    <t xml:space="preserve">  "Medulla, behavioral state related",</t>
  </si>
  <si>
    <t xml:space="preserve">  "Nucleus raphe magnus",</t>
  </si>
  <si>
    <t xml:space="preserve">  "Nucleus raphe pallidus",</t>
  </si>
  <si>
    <t xml:space="preserve">  "Nucleus raphe obscurus",</t>
  </si>
  <si>
    <t xml:space="preserve">  "Cerebellum",</t>
  </si>
  <si>
    <t xml:space="preserve">  "Cerebellar cortex",</t>
  </si>
  <si>
    <t xml:space="preserve">  "Cerebellar cortex, molecular layer",</t>
  </si>
  <si>
    <t xml:space="preserve">  "Cerebellar cortex, Purkinje layer",</t>
  </si>
  <si>
    <t xml:space="preserve">  "Cerebellar cortex, granular layer",</t>
  </si>
  <si>
    <t xml:space="preserve">  "Vermal regions",</t>
  </si>
  <si>
    <t xml:space="preserve">  "Lingula (I)",</t>
  </si>
  <si>
    <t xml:space="preserve">  "Lingula (I), molecular layer",</t>
  </si>
  <si>
    <t xml:space="preserve">  "Lingula (I), Purkinje layer",</t>
  </si>
  <si>
    <t xml:space="preserve">  "Lingula (I), granular layer",</t>
  </si>
  <si>
    <t xml:space="preserve">  "Central lobule",</t>
  </si>
  <si>
    <t xml:space="preserve">  "Lobule II",</t>
  </si>
  <si>
    <t xml:space="preserve">  "Lobule II, molecular layer",</t>
  </si>
  <si>
    <t xml:space="preserve">  "Lobule II, Purkinje layer",</t>
  </si>
  <si>
    <t xml:space="preserve">  "Lobule II, granular layer",</t>
  </si>
  <si>
    <t xml:space="preserve">  "Lobule III",</t>
  </si>
  <si>
    <t xml:space="preserve">  "Lobule III, molecular layer",</t>
  </si>
  <si>
    <t xml:space="preserve">  "Lobule III, Purkinje layer",</t>
  </si>
  <si>
    <t xml:space="preserve">  "Lobule III, granular layer",</t>
  </si>
  <si>
    <t xml:space="preserve">  "Culmen",</t>
  </si>
  <si>
    <t xml:space="preserve">  "Lobule IV",</t>
  </si>
  <si>
    <t xml:space="preserve">  "Lobule IV, molecular layer",</t>
  </si>
  <si>
    <t xml:space="preserve">  "Lobule IV, Purkinje layer",</t>
  </si>
  <si>
    <t xml:space="preserve">  "Lobule IV, granular layer",</t>
  </si>
  <si>
    <t xml:space="preserve">  "Lobule V",</t>
  </si>
  <si>
    <t xml:space="preserve">  "Lobule V, molecular layer",</t>
  </si>
  <si>
    <t xml:space="preserve">  "Lobule V, Purkinje layer",</t>
  </si>
  <si>
    <t xml:space="preserve">  "Lobule V, granular layer",</t>
  </si>
  <si>
    <t xml:space="preserve">  "Lobules IV-V",</t>
  </si>
  <si>
    <t xml:space="preserve">  "Lobules IV-V, molecular layer",</t>
  </si>
  <si>
    <t xml:space="preserve">  "Lobules IV-V, Purkinje layer",</t>
  </si>
  <si>
    <t xml:space="preserve">  "Lobules IV-V, granular layer",</t>
  </si>
  <si>
    <t xml:space="preserve">  "Declive (VI)",</t>
  </si>
  <si>
    <t xml:space="preserve">  "Declive (VI), molecular layer",</t>
  </si>
  <si>
    <t xml:space="preserve">  "Declive (VI), Purkinje layer",</t>
  </si>
  <si>
    <t xml:space="preserve">  "Declive (VI), granular layer",</t>
  </si>
  <si>
    <t xml:space="preserve">  "Folium-tuber vermis (VII)",</t>
  </si>
  <si>
    <t xml:space="preserve">  "Folium-tuber vermis (VII), molecular layer",</t>
  </si>
  <si>
    <t xml:space="preserve">  "Folium-tuber vermis (VII), Purkinje layer",</t>
  </si>
  <si>
    <t xml:space="preserve">  "Folium-tuber vermis (VII), granular layer",</t>
  </si>
  <si>
    <t xml:space="preserve">  "Pyramus (VIII)",</t>
  </si>
  <si>
    <t xml:space="preserve">  "Pyramus (VIII), molecular layer",</t>
  </si>
  <si>
    <t xml:space="preserve">  "Pyramus (VIII), Purkinje layer",</t>
  </si>
  <si>
    <t xml:space="preserve">  "Pyramus (VIII), granular layer",</t>
  </si>
  <si>
    <t xml:space="preserve">  "Uvula (IX)",</t>
  </si>
  <si>
    <t xml:space="preserve">  "Uvula (IX), molecular layer",</t>
  </si>
  <si>
    <t xml:space="preserve">  "Uvula (IX), Purkinje layer",</t>
  </si>
  <si>
    <t xml:space="preserve">  "Uvula (IX), granular layer",</t>
  </si>
  <si>
    <t xml:space="preserve">  "Nodulus (X)",</t>
  </si>
  <si>
    <t xml:space="preserve">  "Nodulus (X), molecular layer",</t>
  </si>
  <si>
    <t xml:space="preserve">  "Nodulus (X), Purkinje layer",</t>
  </si>
  <si>
    <t xml:space="preserve">  "Nodulus (X), granular layer",</t>
  </si>
  <si>
    <t xml:space="preserve">  "Hemispheric regions",</t>
  </si>
  <si>
    <t xml:space="preserve">  "Simple lobule",</t>
  </si>
  <si>
    <t xml:space="preserve">  "Simple lobule, molecular layer",</t>
  </si>
  <si>
    <t xml:space="preserve">  "Simple lobule, Purkinje layer",</t>
  </si>
  <si>
    <t xml:space="preserve">  "Simple lobule, granular layer",</t>
  </si>
  <si>
    <t xml:space="preserve">  "Ansiform lobule",</t>
  </si>
  <si>
    <t xml:space="preserve">  "Crus 1",</t>
  </si>
  <si>
    <t xml:space="preserve">  "Crus 1, molecular layer",</t>
  </si>
  <si>
    <t xml:space="preserve">  "Crus 1, Purkinje layer",</t>
  </si>
  <si>
    <t xml:space="preserve">  "Crus 1, granular layer",</t>
  </si>
  <si>
    <t xml:space="preserve">  "Crus 2",</t>
  </si>
  <si>
    <t xml:space="preserve">  "Crus 2, molecular layer",</t>
  </si>
  <si>
    <t xml:space="preserve">  "Crus 2, Purkinje layer",</t>
  </si>
  <si>
    <t xml:space="preserve">  "Crus 2, granular layer",</t>
  </si>
  <si>
    <t xml:space="preserve">  "Paramedian lobule",</t>
  </si>
  <si>
    <t xml:space="preserve">  "Paramedian lobule, molecular layer",</t>
  </si>
  <si>
    <t xml:space="preserve">  "Paramedian lobule, Purkinje layer",</t>
  </si>
  <si>
    <t xml:space="preserve">  "Paramedian lobule, granular layer",</t>
  </si>
  <si>
    <t xml:space="preserve">  "Copula pyramidis",</t>
  </si>
  <si>
    <t xml:space="preserve">  "Copula pyramidis, molecular layer",</t>
  </si>
  <si>
    <t xml:space="preserve">  "Copula pyramidis, Purkinje layer",</t>
  </si>
  <si>
    <t xml:space="preserve">  "Copula pyramidis, granular layer",</t>
  </si>
  <si>
    <t xml:space="preserve">  "Paraflocculus",</t>
  </si>
  <si>
    <t xml:space="preserve">  "Paraflocculus, molecular layer",</t>
  </si>
  <si>
    <t xml:space="preserve">  "Paraflocculus, Purkinje layer",</t>
  </si>
  <si>
    <t xml:space="preserve">  "Paraflocculus, granular layer",</t>
  </si>
  <si>
    <t xml:space="preserve">  "Flocculus",</t>
  </si>
  <si>
    <t xml:space="preserve">  "Flocculus, molecular layer",</t>
  </si>
  <si>
    <t xml:space="preserve">  "Flocculus, Purkinje layer",</t>
  </si>
  <si>
    <t xml:space="preserve">  "Flocculus, granular layer",</t>
  </si>
  <si>
    <t xml:space="preserve">  "Cerebellar nuclei",</t>
  </si>
  <si>
    <t xml:space="preserve">  "Fastigial nucleus",</t>
  </si>
  <si>
    <t xml:space="preserve">  "Interposed nucleus",</t>
  </si>
  <si>
    <t xml:space="preserve">  "Dentate nucleus",</t>
  </si>
  <si>
    <t xml:space="preserve">  "Vestibulocerebellar nucleus",</t>
  </si>
  <si>
    <t xml:space="preserve">  "cranial nerves",</t>
  </si>
  <si>
    <t xml:space="preserve">  "terminal nerve",</t>
  </si>
  <si>
    <t xml:space="preserve">  "vomeronasal nerve",</t>
  </si>
  <si>
    <t xml:space="preserve">  "olfactory nerve",</t>
  </si>
  <si>
    <t xml:space="preserve">  "olfactory nerve layer of main olfactory bulb",</t>
  </si>
  <si>
    <t xml:space="preserve">  "lateral olfactory tract, general",</t>
  </si>
  <si>
    <t xml:space="preserve">  "lateral olfactory tract, body",</t>
  </si>
  <si>
    <t xml:space="preserve">  "dorsal limb",</t>
  </si>
  <si>
    <t xml:space="preserve">  "accessory olfactory tract",</t>
  </si>
  <si>
    <t xml:space="preserve">  "anterior commissure, olfactory limb",</t>
  </si>
  <si>
    <t xml:space="preserve">  "optic nerve",</t>
  </si>
  <si>
    <t xml:space="preserve">  "accessory optic tract",</t>
  </si>
  <si>
    <t xml:space="preserve">  "brachium of the superior colliculus",</t>
  </si>
  <si>
    <t xml:space="preserve">  "superior colliculus commissure",</t>
  </si>
  <si>
    <t xml:space="preserve">  "optic chiasm",</t>
  </si>
  <si>
    <t xml:space="preserve">  "optic tract",</t>
  </si>
  <si>
    <t xml:space="preserve">  "tectothalamic pathway",</t>
  </si>
  <si>
    <t xml:space="preserve">  "oculomotor nerve",</t>
  </si>
  <si>
    <t xml:space="preserve">  "medial longitudinal fascicle",</t>
  </si>
  <si>
    <t xml:space="preserve">  "posterior commissure",</t>
  </si>
  <si>
    <t xml:space="preserve">  "trochlear nerve",</t>
  </si>
  <si>
    <t xml:space="preserve">  "trochlear nerve decussation",</t>
  </si>
  <si>
    <t xml:space="preserve">  "abducens nerve",</t>
  </si>
  <si>
    <t xml:space="preserve">  "trigeminal nerve",</t>
  </si>
  <si>
    <t xml:space="preserve">  "motor root of the trigeminal nerve",</t>
  </si>
  <si>
    <t xml:space="preserve">  "sensory root of the trigeminal nerve",</t>
  </si>
  <si>
    <t xml:space="preserve">  "midbrain tract of the trigeminal nerve",</t>
  </si>
  <si>
    <t xml:space="preserve">  "spinal tract of the trigeminal nerve",</t>
  </si>
  <si>
    <t xml:space="preserve">  "facial nerve",</t>
  </si>
  <si>
    <t xml:space="preserve">  "intermediate nerve",</t>
  </si>
  <si>
    <t xml:space="preserve">  "genu of the facial nerve",</t>
  </si>
  <si>
    <t xml:space="preserve">  "vestibulocochlear nerve",</t>
  </si>
  <si>
    <t xml:space="preserve">  "efferent cochleovestibular bundle",</t>
  </si>
  <si>
    <t xml:space="preserve">  "vestibular nerve",</t>
  </si>
  <si>
    <t xml:space="preserve">  "cochlear nerve",</t>
  </si>
  <si>
    <t xml:space="preserve">  "trapezoid body",</t>
  </si>
  <si>
    <t xml:space="preserve">  "intermediate acoustic stria",</t>
  </si>
  <si>
    <t xml:space="preserve">  "dorsal acoustic stria",</t>
  </si>
  <si>
    <t xml:space="preserve">  "lateral lemniscus",</t>
  </si>
  <si>
    <t xml:space="preserve">  "inferior colliculus commissure",</t>
  </si>
  <si>
    <t xml:space="preserve">  "brachium of the inferior colliculus",</t>
  </si>
  <si>
    <t xml:space="preserve">  "glossopharyngeal nerve",</t>
  </si>
  <si>
    <t xml:space="preserve">  "vagus nerve",</t>
  </si>
  <si>
    <t xml:space="preserve">  "solitary tract",</t>
  </si>
  <si>
    <t xml:space="preserve">  "accessory spinal nerve",</t>
  </si>
  <si>
    <t xml:space="preserve">  "hypoglossal nerve",</t>
  </si>
  <si>
    <t xml:space="preserve">  "ventral roots",</t>
  </si>
  <si>
    <t xml:space="preserve">  "dorsal roots",</t>
  </si>
  <si>
    <t xml:space="preserve">  "cervicothalamic tract",</t>
  </si>
  <si>
    <t xml:space="preserve">  "dorsolateral fascicle",</t>
  </si>
  <si>
    <t xml:space="preserve">  "dorsal commissure of the spinal cord",</t>
  </si>
  <si>
    <t xml:space="preserve">  "ventral commissure of the spinal cord",</t>
  </si>
  <si>
    <t xml:space="preserve">  "fasciculus proprius",</t>
  </si>
  <si>
    <t xml:space="preserve">  "dorsal column",</t>
  </si>
  <si>
    <t xml:space="preserve">  "cuneate fascicle",</t>
  </si>
  <si>
    <t xml:space="preserve">  "gracile fascicle",</t>
  </si>
  <si>
    <t xml:space="preserve">  "internal arcuate fibers",</t>
  </si>
  <si>
    <t xml:space="preserve">  "medial lemniscus",</t>
  </si>
  <si>
    <t xml:space="preserve">  "spinothalamic tract",</t>
  </si>
  <si>
    <t xml:space="preserve">  "lateral spinothalamic tract",</t>
  </si>
  <si>
    <t xml:space="preserve">  "ventral spinothalamic tract",</t>
  </si>
  <si>
    <t xml:space="preserve">  "spinocervical tract",</t>
  </si>
  <si>
    <t xml:space="preserve">  "spino-olivary pathway",</t>
  </si>
  <si>
    <t xml:space="preserve">  "spinoreticular pathway",</t>
  </si>
  <si>
    <t xml:space="preserve">  "spinovestibular pathway",</t>
  </si>
  <si>
    <t xml:space="preserve">  "spinotectal pathway",</t>
  </si>
  <si>
    <t xml:space="preserve">  "spinohypothalamic pathway",</t>
  </si>
  <si>
    <t xml:space="preserve">  "spinotelenchephalic pathway",</t>
  </si>
  <si>
    <t xml:space="preserve">  "hypothalamohypophysial tract",</t>
  </si>
  <si>
    <t xml:space="preserve">  "cerebellum related fiber tracts",</t>
  </si>
  <si>
    <t xml:space="preserve">  "cerebellar commissure",</t>
  </si>
  <si>
    <t xml:space="preserve">  "cerebellar peduncles",</t>
  </si>
  <si>
    <t xml:space="preserve">  "superior cerebelar peduncles",</t>
  </si>
  <si>
    <t xml:space="preserve">  "superior cerebellar peduncle decussation",</t>
  </si>
  <si>
    <t xml:space="preserve">  "spinocerebellar tract",</t>
  </si>
  <si>
    <t xml:space="preserve">  "uncinate fascicle",</t>
  </si>
  <si>
    <t xml:space="preserve">  "ventral spinocerebellar tract",</t>
  </si>
  <si>
    <t xml:space="preserve">  "middle cerebellar peduncle",</t>
  </si>
  <si>
    <t xml:space="preserve">  "inferior cerebellar peduncle",</t>
  </si>
  <si>
    <t xml:space="preserve">  "dorsal spinocerebellar tract",</t>
  </si>
  <si>
    <t xml:space="preserve">  "cuneocerebellar tract",</t>
  </si>
  <si>
    <t xml:space="preserve">  "juxtarestiform body",</t>
  </si>
  <si>
    <t xml:space="preserve">  "bulbocerebellar tract",</t>
  </si>
  <si>
    <t xml:space="preserve">  "olivocerebellar tract",</t>
  </si>
  <si>
    <t xml:space="preserve">  "reticulocerebellar tract",</t>
  </si>
  <si>
    <t xml:space="preserve">  "trigeminocerebellar tract",</t>
  </si>
  <si>
    <t xml:space="preserve">  "arbor vitae",</t>
  </si>
  <si>
    <t xml:space="preserve">  "supra-callosal cerebral white matter",</t>
  </si>
  <si>
    <t xml:space="preserve">  "lateral forebrain bundle system",</t>
  </si>
  <si>
    <t xml:space="preserve">  "corpus callosum",</t>
  </si>
  <si>
    <t xml:space="preserve">  "corpus callosum, anterior forceps",</t>
  </si>
  <si>
    <t xml:space="preserve">  "external capsule",</t>
  </si>
  <si>
    <t xml:space="preserve">  "corpus callosum, extreme capsule",</t>
  </si>
  <si>
    <t xml:space="preserve">  "genu of corpus callosum",</t>
  </si>
  <si>
    <t xml:space="preserve">  "corpus callosum, posterior forceps",</t>
  </si>
  <si>
    <t xml:space="preserve">  "corpus callosum, rostrum",</t>
  </si>
  <si>
    <t xml:space="preserve">  "corpus callosum, body",</t>
  </si>
  <si>
    <t xml:space="preserve">  "corpus callosum, splenium",</t>
  </si>
  <si>
    <t xml:space="preserve">  "corticospinal tract",</t>
  </si>
  <si>
    <t xml:space="preserve">  "internal capsule",</t>
  </si>
  <si>
    <t xml:space="preserve">  "cerebal peduncle",</t>
  </si>
  <si>
    <t xml:space="preserve">  "corticotectal tract",</t>
  </si>
  <si>
    <t xml:space="preserve">  "corticorubral tract",</t>
  </si>
  <si>
    <t xml:space="preserve">  "corticopontine tract",</t>
  </si>
  <si>
    <t xml:space="preserve">  "corticobulbar tract",</t>
  </si>
  <si>
    <t xml:space="preserve">  "pyramid",</t>
  </si>
  <si>
    <t xml:space="preserve">  "pyramidal decussation",</t>
  </si>
  <si>
    <t xml:space="preserve">  "corticospinal tract, crossed",</t>
  </si>
  <si>
    <t xml:space="preserve">  "corticospinal tract, uncrossed",</t>
  </si>
  <si>
    <t xml:space="preserve">  "thalamus related",</t>
  </si>
  <si>
    <t xml:space="preserve">  "external medullary lamina of the thalamus",</t>
  </si>
  <si>
    <t xml:space="preserve">  "internal medullary lamina of the thalamus",</t>
  </si>
  <si>
    <t xml:space="preserve">  "middle thalamic commissure",</t>
  </si>
  <si>
    <t xml:space="preserve">  "thalamic peduncles",</t>
  </si>
  <si>
    <t xml:space="preserve">  "optic radiation",</t>
  </si>
  <si>
    <t xml:space="preserve">  "auditory radiation",</t>
  </si>
  <si>
    <t xml:space="preserve">  "extrapyramidal fiber systems",</t>
  </si>
  <si>
    <t xml:space="preserve">  "cerebral nuclei related",</t>
  </si>
  <si>
    <t xml:space="preserve">  "pallidothalamic pathway",</t>
  </si>
  <si>
    <t xml:space="preserve">  "nigrostriatal tract",</t>
  </si>
  <si>
    <t xml:space="preserve">  "nigrothalamic fibers",</t>
  </si>
  <si>
    <t xml:space="preserve">  "pallidotegmental fascicle",</t>
  </si>
  <si>
    <t xml:space="preserve">  "striatonigral pathway",</t>
  </si>
  <si>
    <t xml:space="preserve">  "subthalamic fascicle",</t>
  </si>
  <si>
    <t xml:space="preserve">  "tectospinal pathway",</t>
  </si>
  <si>
    <t xml:space="preserve">  "direct tectospinal pathway",</t>
  </si>
  <si>
    <t xml:space="preserve">  "doral tegmental decussation",</t>
  </si>
  <si>
    <t xml:space="preserve">  "crossed tectospinal pathway",</t>
  </si>
  <si>
    <t xml:space="preserve">  "rubrospinal tract",</t>
  </si>
  <si>
    <t xml:space="preserve">  "ventral tegmental decussation",</t>
  </si>
  <si>
    <t xml:space="preserve">  "rubroreticular tract",</t>
  </si>
  <si>
    <t xml:space="preserve">  "central tegmental bundle",</t>
  </si>
  <si>
    <t xml:space="preserve">  "retriculospinal tract",</t>
  </si>
  <si>
    <t xml:space="preserve">  "retriculospinal tract, lateral part",</t>
  </si>
  <si>
    <t xml:space="preserve">  "retriculospinal tract, medial part",</t>
  </si>
  <si>
    <t xml:space="preserve">  "vestibulospinal pathway",</t>
  </si>
  <si>
    <t xml:space="preserve">  "medial forebrain bundle system",</t>
  </si>
  <si>
    <t xml:space="preserve">  "cerebrum related",</t>
  </si>
  <si>
    <t xml:space="preserve">  "amygdalar capsule",</t>
  </si>
  <si>
    <t xml:space="preserve">  "ansa peduncularis",</t>
  </si>
  <si>
    <t xml:space="preserve">  "anterior commissure, temporal limb",</t>
  </si>
  <si>
    <t xml:space="preserve">  "cingulum bundle",</t>
  </si>
  <si>
    <t xml:space="preserve">  "fornix system",</t>
  </si>
  <si>
    <t xml:space="preserve">  "alveus",</t>
  </si>
  <si>
    <t xml:space="preserve">  "dorsal fornix",</t>
  </si>
  <si>
    <t xml:space="preserve">  "fimbria",</t>
  </si>
  <si>
    <t xml:space="preserve">  "precommissural fornix, general",</t>
  </si>
  <si>
    <t xml:space="preserve">  "precommissural fornix diagonal band",</t>
  </si>
  <si>
    <t xml:space="preserve">  "postcommissural fornix",</t>
  </si>
  <si>
    <t xml:space="preserve">  "medial corticohypothalamic tract",</t>
  </si>
  <si>
    <t xml:space="preserve">  "columns of the fornix",</t>
  </si>
  <si>
    <t xml:space="preserve">  "hippocampal commissures",</t>
  </si>
  <si>
    <t xml:space="preserve">  "dorsal hippocampal commissure",</t>
  </si>
  <si>
    <t xml:space="preserve">  "ventral hippocampal commissure",</t>
  </si>
  <si>
    <t xml:space="preserve">  "perforant path",</t>
  </si>
  <si>
    <t xml:space="preserve">  "angular path",</t>
  </si>
  <si>
    <t xml:space="preserve">  "longitudinal association bundle",</t>
  </si>
  <si>
    <t xml:space="preserve">  "stria terminalis",</t>
  </si>
  <si>
    <t xml:space="preserve">  "commissural branch of stria terminalis",</t>
  </si>
  <si>
    <t xml:space="preserve">  "hypothalamus related",</t>
  </si>
  <si>
    <t xml:space="preserve">  "medial forebrain bundle",</t>
  </si>
  <si>
    <t xml:space="preserve">  "ventrolateral hypothalamic tract",</t>
  </si>
  <si>
    <t xml:space="preserve">  "preoptic commissure",</t>
  </si>
  <si>
    <t xml:space="preserve">  "supraoptic commissures",</t>
  </si>
  <si>
    <t xml:space="preserve">  "supraoptic commissures, anterior",</t>
  </si>
  <si>
    <t xml:space="preserve">  "supraoptic commissures, dorsal",</t>
  </si>
  <si>
    <t xml:space="preserve">  "supraoptic commissures, ventral",</t>
  </si>
  <si>
    <t xml:space="preserve">  "premammillary commissure",</t>
  </si>
  <si>
    <t xml:space="preserve">  "supramammillary decussation",</t>
  </si>
  <si>
    <t xml:space="preserve">  "propriohypothalamic pathways",</t>
  </si>
  <si>
    <t xml:space="preserve">  "propriohypothalamic pathways, dorsal",</t>
  </si>
  <si>
    <t xml:space="preserve">  "propriohypothalamic pathways, lateral",</t>
  </si>
  <si>
    <t xml:space="preserve">  "propriohypothalamic pathways, medial",</t>
  </si>
  <si>
    <t xml:space="preserve">  "propriohypothalamic pathways, ventral",</t>
  </si>
  <si>
    <t xml:space="preserve">  "periventricular bundle of the hypothalamus",</t>
  </si>
  <si>
    <t xml:space="preserve">  "mammillary related",</t>
  </si>
  <si>
    <t xml:space="preserve">  "principal mammillary tract",</t>
  </si>
  <si>
    <t xml:space="preserve">  "mammillothalamic tract",</t>
  </si>
  <si>
    <t xml:space="preserve">  "mammillotegmental tract",</t>
  </si>
  <si>
    <t xml:space="preserve">  "mammillary peduncle",</t>
  </si>
  <si>
    <t xml:space="preserve">  "dorsal thalamus related",</t>
  </si>
  <si>
    <t xml:space="preserve">  "periventricular bundle of the thalamus",</t>
  </si>
  <si>
    <t xml:space="preserve">  "epithalamus related",</t>
  </si>
  <si>
    <t xml:space="preserve">  "stria medullaris",</t>
  </si>
  <si>
    <t xml:space="preserve">  "fasciculus retroflexus",</t>
  </si>
  <si>
    <t xml:space="preserve">  "habenular commissure",</t>
  </si>
  <si>
    <t xml:space="preserve">  "pineal stalk",</t>
  </si>
  <si>
    <t xml:space="preserve">  "midbrain related",</t>
  </si>
  <si>
    <t xml:space="preserve">  "dorsal longitudinal fascicle",</t>
  </si>
  <si>
    <t xml:space="preserve">  "dorsal tegmental tract",</t>
  </si>
  <si>
    <t xml:space="preserve">  "ventricular systems",</t>
  </si>
  <si>
    <t xml:space="preserve">  "lateral ventricle",</t>
  </si>
  <si>
    <t xml:space="preserve">  "rhinocele",</t>
  </si>
  <si>
    <t xml:space="preserve">  "subependymal zone",</t>
  </si>
  <si>
    <t xml:space="preserve">  "choroid plexus",</t>
  </si>
  <si>
    <t xml:space="preserve">  "choroid fissure",</t>
  </si>
  <si>
    <t xml:space="preserve">  "interventricular foramen",</t>
  </si>
  <si>
    <t xml:space="preserve">  "third ventricle",</t>
  </si>
  <si>
    <t xml:space="preserve">  "cerebral aqueduct",</t>
  </si>
  <si>
    <t xml:space="preserve">  "fourth ventricle",</t>
  </si>
  <si>
    <t xml:space="preserve">  "lateral recess",</t>
  </si>
  <si>
    <t xml:space="preserve">  "central canal, spinal cord\/medulla",</t>
  </si>
  <si>
    <t xml:space="preserve">  "grooves",</t>
  </si>
  <si>
    <t xml:space="preserve">  "grooves of the cerebral cortex",</t>
  </si>
  <si>
    <t xml:space="preserve">  "endorhinal groove",</t>
  </si>
  <si>
    <t xml:space="preserve">  "hippocampal fissure",</t>
  </si>
  <si>
    <t xml:space="preserve">  "rhinal fissure",</t>
  </si>
  <si>
    <t xml:space="preserve">  "rhinal incisure",</t>
  </si>
  <si>
    <t xml:space="preserve">  "grooves of the cerebellar cortex",</t>
  </si>
  <si>
    <t xml:space="preserve">  "precentral fissure",</t>
  </si>
  <si>
    <t xml:space="preserve">  "preculminate fissure",</t>
  </si>
  <si>
    <t xml:space="preserve">  "primary fissure",</t>
  </si>
  <si>
    <t xml:space="preserve">  "posterior superior fissure",</t>
  </si>
  <si>
    <t xml:space="preserve">  "prepyramidal fissure",</t>
  </si>
  <si>
    <t xml:space="preserve">  "secondary fissure",</t>
  </si>
  <si>
    <t xml:space="preserve">  "posterolateral fissure",</t>
  </si>
  <si>
    <t xml:space="preserve">  "nodular fissure",</t>
  </si>
  <si>
    <t xml:space="preserve">  "simple fissure",</t>
  </si>
  <si>
    <t xml:space="preserve">  "intercrural fissure",</t>
  </si>
  <si>
    <t xml:space="preserve">  "ansoparamedian fissure",</t>
  </si>
  <si>
    <t xml:space="preserve">  "intraparafloccular fissure",</t>
  </si>
  <si>
    <t xml:space="preserve">  "paramedian sulcus",</t>
  </si>
  <si>
    <t xml:space="preserve">  "parafloccular sulcus",</t>
  </si>
  <si>
    <t xml:space="preserve">  "Interpeduncular fossa",</t>
  </si>
  <si>
    <t>"Hex code",</t>
  </si>
  <si>
    <t>RGB values from https://scalablebrainatlas.incf.org/services/labelmapper.php?template=ABA_v3</t>
  </si>
  <si>
    <t>R</t>
  </si>
  <si>
    <t>G</t>
  </si>
  <si>
    <t>B</t>
  </si>
  <si>
    <t>R-G-B</t>
  </si>
  <si>
    <t>RGB</t>
  </si>
  <si>
    <t>ID</t>
  </si>
  <si>
    <t>Abbrv - Region</t>
  </si>
  <si>
    <t>TMv - Tuberomammillary nucleus, ventral part</t>
  </si>
  <si>
    <t>SSp-m6b - Primary somatosensory area, mouth, layer 6b</t>
  </si>
  <si>
    <t>int - internal capsule</t>
  </si>
  <si>
    <t>PSV - Principal sensory nucleus of the trigeminal</t>
  </si>
  <si>
    <t>SSp-tr6a - Primary somatosensory area, trunk, layer 6a</t>
  </si>
  <si>
    <t>SCig - Superior colliculus, motor related, intermediate gray layer</t>
  </si>
  <si>
    <t>IF - Interfascicular nucleus raphe</t>
  </si>
  <si>
    <t>PT - Parataenial nucleus</t>
  </si>
  <si>
    <t>SCiw - Superior colliculus, motor related, intermediate white layer</t>
  </si>
  <si>
    <t>IG - Induseum griseum</t>
  </si>
  <si>
    <t>ENTl2 - Entorhinal area, lateral part, layer 2</t>
  </si>
  <si>
    <t>PTLp - Posterior parietal association areas</t>
  </si>
  <si>
    <t>AAA - Anterior amygdalar area</t>
  </si>
  <si>
    <t>SCdg - Superior colliculus, motor related, deep gray layer</t>
  </si>
  <si>
    <t>IGL - Intergeniculate leaflet of the lateral geniculate complex</t>
  </si>
  <si>
    <t>ENTl6a - Entorhinal area, lateral part, layer 6a</t>
  </si>
  <si>
    <t>PVa - Periventricular hypothalamic nucleus, anterior part</t>
  </si>
  <si>
    <t>VISp6a - Primary visual area, layer 6a</t>
  </si>
  <si>
    <t>III - Oculomotor nucleus</t>
  </si>
  <si>
    <t>GU1 - Gustatory areas, layer 1</t>
  </si>
  <si>
    <t>PVH - Paraventricular hypothalamic nucleus</t>
  </si>
  <si>
    <t>VISpm2/3 - posteromedial visual area, layer 2/3</t>
  </si>
  <si>
    <t>SCdw - Superior colliculus, motor related, deep white layer</t>
  </si>
  <si>
    <t>PRC - Precommissural nucleus</t>
  </si>
  <si>
    <t>ENTl3 - Entorhinal area, lateral part, layer 3</t>
  </si>
  <si>
    <t>mfb - medial forebrain bundle</t>
  </si>
  <si>
    <t>ACB - Nucleus accumbens</t>
  </si>
  <si>
    <t>MT - Medial terminal nucleus of the accessory optic tract</t>
  </si>
  <si>
    <t>IMD - Intermediodorsal nucleus of the thalamus</t>
  </si>
  <si>
    <t>mlf - medial longitudinal fascicle</t>
  </si>
  <si>
    <t>PVHd - Paraventricular hypothalamic nucleus, descending division</t>
  </si>
  <si>
    <t>AD - Anterodorsal nucleus</t>
  </si>
  <si>
    <t>LT - Lateral terminal nucleus of the accessory optic tract</t>
  </si>
  <si>
    <t>INC - Interstitial nucleus of Cajal</t>
  </si>
  <si>
    <t>FRP1 - Frontal pole, layer 1</t>
  </si>
  <si>
    <t>ADP - Anterodorsal preoptic nucleus</t>
  </si>
  <si>
    <t>VISl6a - Lateral visual area, layer 6a</t>
  </si>
  <si>
    <t>DT - Dorsal terminal nucleus of the accessory optic tract</t>
  </si>
  <si>
    <t>mcp - middle cerebellar peduncle</t>
  </si>
  <si>
    <t>VL - lateral ventricle</t>
  </si>
  <si>
    <t>IO - Inferior olivary complex</t>
  </si>
  <si>
    <t>PL6a - Prelimbic area, layer 6a</t>
  </si>
  <si>
    <t>AHN - Anterior hypothalamic nucleus</t>
  </si>
  <si>
    <t>IP - Interposed nucleus</t>
  </si>
  <si>
    <t>moV - motor root of the trigeminal nerve</t>
  </si>
  <si>
    <t>DCO - Dorsal cochlear nucleus</t>
  </si>
  <si>
    <t>TEa1 - Temporal association areas, layer 1</t>
  </si>
  <si>
    <t>SEZ - subependymal zone</t>
  </si>
  <si>
    <t>IPN - Interpeduncular nucleus</t>
  </si>
  <si>
    <t>VCO - Ventral cochlear nucleus</t>
  </si>
  <si>
    <t>nst - nigrostriatal tract</t>
  </si>
  <si>
    <t>SOCm - Superior olivary complex, medial part</t>
  </si>
  <si>
    <t>ISN - Inferior salivatory nucleus</t>
  </si>
  <si>
    <t>chpl - choroid plexus</t>
  </si>
  <si>
    <t>SSp-ll2/3 - Primary somatosensory area, lower limb, layer 2/3</t>
  </si>
  <si>
    <t>SOCl - Superior olivary complex, lateral part</t>
  </si>
  <si>
    <t>IV - Trochlear nucleus</t>
  </si>
  <si>
    <t>och - optic chiasm</t>
  </si>
  <si>
    <t>PVi - Periventricular hypothalamic nucleus, intermediate part</t>
  </si>
  <si>
    <t>AIp1 - Agranular insular area, posterior part, layer 1</t>
  </si>
  <si>
    <t>VISl6b - Lateral visual area, layer 6b</t>
  </si>
  <si>
    <t>POR - Superior olivary complex, periolivary region</t>
  </si>
  <si>
    <t>KF - Koelliker-Fuse subnucleus</t>
  </si>
  <si>
    <t>opt - optic tract</t>
  </si>
  <si>
    <t>PVp - Periventricular hypothalamic nucleus, posterior part</t>
  </si>
  <si>
    <t>MRN - Midbrain reticular nucleus</t>
  </si>
  <si>
    <t>V3 - third ventricle</t>
  </si>
  <si>
    <t>LA - Lateral amygdalar nucleus</t>
  </si>
  <si>
    <t>PL6b - Prelimbic area, layer 6b</t>
  </si>
  <si>
    <t>PVpo - Periventricular hypothalamic nucleus, preoptic part</t>
  </si>
  <si>
    <t>IRN - Intermediate reticular nucleus</t>
  </si>
  <si>
    <t>ENTl5 - Entorhinal area, lateral part, layer 5</t>
  </si>
  <si>
    <t>AQ - cerebral aqueduct</t>
  </si>
  <si>
    <t>AMBv - Nucleus ambiguus, ventral division</t>
  </si>
  <si>
    <t>V4 - fourth ventricle</t>
  </si>
  <si>
    <t>PRNr - Pontine reticular nucleus</t>
  </si>
  <si>
    <t>LC - Locus ceruleus</t>
  </si>
  <si>
    <t>GU4 - Gustatory areas, layer 4</t>
  </si>
  <si>
    <t>PVT - Paraventricular nucleus of the thalamus</t>
  </si>
  <si>
    <t>V4r - lateral recess</t>
  </si>
  <si>
    <t>LD - Lateral dorsal nucleus of thalamus</t>
  </si>
  <si>
    <t>AUDd6a - Dorsal auditory area, layer 6a</t>
  </si>
  <si>
    <t>pc - posterior commissure</t>
  </si>
  <si>
    <t>AON - Anterior olfactory nucleus</t>
  </si>
  <si>
    <t>LDT - Laterodorsal tegmental nucleus</t>
  </si>
  <si>
    <t>AIp2/3 - Agranular insular area, posterior part, layer 2/3</t>
  </si>
  <si>
    <t>c - central canal, spinal cord/medulla</t>
  </si>
  <si>
    <t>PRP - Nucleus prepositus</t>
  </si>
  <si>
    <t>PL1 - Prelimbic area, layer 1</t>
  </si>
  <si>
    <t>RCH - Retrochiasmatic area</t>
  </si>
  <si>
    <t>NR - Nucleus of Roller</t>
  </si>
  <si>
    <t>LGv - Ventral part of the lateral geniculate complex</t>
  </si>
  <si>
    <t>GU2/3 - Gustatory areas, layer 2/3</t>
  </si>
  <si>
    <t>RE - Nucleus of reuniens</t>
  </si>
  <si>
    <t>FRP - Frontal pole, cerebral cortex</t>
  </si>
  <si>
    <t>LH - Lateral habenula</t>
  </si>
  <si>
    <t>GU5 - Gustatory areas, layer 5</t>
  </si>
  <si>
    <t>AOBgl - Accessory olfactory bulb, glomerular layer</t>
  </si>
  <si>
    <t>RH - Rhomboid nucleus</t>
  </si>
  <si>
    <t>py - pyramid</t>
  </si>
  <si>
    <t>LHA - Lateral hypothalamic area</t>
  </si>
  <si>
    <t>AOBgr - Accessory olfactory bulb, granular layer</t>
  </si>
  <si>
    <t>RL - Rostral linear nucleus raphe</t>
  </si>
  <si>
    <t>pyd - pyramidal decussation</t>
  </si>
  <si>
    <t>SSp-bfd2/3 - Primary somatosensory area, barrel field, layer 2/3</t>
  </si>
  <si>
    <t>MV - Medial vestibular nucleus</t>
  </si>
  <si>
    <t>LIN - Linear nucleus of the medulla</t>
  </si>
  <si>
    <t>AOBmi - Accessory olfactory bulb, mitral layer</t>
  </si>
  <si>
    <t>RM - Nucleus raphe magnus</t>
  </si>
  <si>
    <t>AP - Area postrema</t>
  </si>
  <si>
    <t>LAV - Lateral vestibular nucleus</t>
  </si>
  <si>
    <t>LM - Lateral mammillary nucleus</t>
  </si>
  <si>
    <t>ACAd2/3 - Anterior cingulate area, dorsal part, layer 2/3</t>
  </si>
  <si>
    <t>RN - Red nucleus</t>
  </si>
  <si>
    <t>APN - Anterior pretectal nucleus</t>
  </si>
  <si>
    <t>SUV - Superior vestibular nucleus</t>
  </si>
  <si>
    <t>LP - Lateral posterior nucleus of the thalamus</t>
  </si>
  <si>
    <t>RO - Nucleus raphe obscurus</t>
  </si>
  <si>
    <t>ARH - Arcuate hypothalamic nucleus</t>
  </si>
  <si>
    <t>SPIV - Spinal vestibular nucleus</t>
  </si>
  <si>
    <t>LPO - Lateral preoptic area</t>
  </si>
  <si>
    <t>sV - sensory root of the trigeminal nerve</t>
  </si>
  <si>
    <t>RPA - Nucleus raphe pallidus</t>
  </si>
  <si>
    <t>AT - Anterior tegmental nucleus</t>
  </si>
  <si>
    <t>VISal5 - Anterolateral visual area, layer 5</t>
  </si>
  <si>
    <t>TEa4 - Temporal association areas, layer 4</t>
  </si>
  <si>
    <t>ts - solitary tract</t>
  </si>
  <si>
    <t>RPO - Nucleus raphe pontis</t>
  </si>
  <si>
    <t>AUDd6b - Dorsal auditory area, layer 6b</t>
  </si>
  <si>
    <t>RR - Midbrain reticular nucleus, retrorubral area</t>
  </si>
  <si>
    <t>AUDpo6a - Posterior auditory area, layer 6a</t>
  </si>
  <si>
    <t>LSc - Lateral septal nucleus, caudal (caudodorsal) part</t>
  </si>
  <si>
    <t>AUDp2/3 - Primary auditory area, layer 2/3</t>
  </si>
  <si>
    <t>AUDd5 - Dorsal auditory area, layer 5</t>
  </si>
  <si>
    <t>AV - Anteroventral nucleus of thalamus</t>
  </si>
  <si>
    <t>VISpm6a - posteromedial visual area, layer 6a</t>
  </si>
  <si>
    <t>LSr - Lateral septal nucleus, rostral (rostroventral) part</t>
  </si>
  <si>
    <t>NLOT1 - Nucleus of the lateral olfactory tract, molecular layer</t>
  </si>
  <si>
    <t>RT - Reticular nucleus of the thalamus</t>
  </si>
  <si>
    <t>AVP - Anteroventral preoptic nucleus</t>
  </si>
  <si>
    <t>LSv - Lateral septal nucleus, ventral part</t>
  </si>
  <si>
    <t>NLOT2 - Nucleus of the lateral olfactory tract, pyramidal layer</t>
  </si>
  <si>
    <t>VISpl2/3 - Posterolateral visual area, layer 2/3</t>
  </si>
  <si>
    <t>SAG - Nucleus sagulum</t>
  </si>
  <si>
    <t>AVPV - Anteroventral periventricular nucleus</t>
  </si>
  <si>
    <t>RSPd6a - Retrosplenial area, dorsal part, layer 6a</t>
  </si>
  <si>
    <t>RSPagl6b - Retrosplenial area, lateral agranular part, layer 6b</t>
  </si>
  <si>
    <t>B - Barrington's nucleus</t>
  </si>
  <si>
    <t>VISam1 - Anteromedial visual area, layer 1</t>
  </si>
  <si>
    <t>SCH - Suprachiasmatic nucleus</t>
  </si>
  <si>
    <t>BAC - Bed nucleus of the anterior commissure</t>
  </si>
  <si>
    <t>ORBvl2/3 - Orbital area, ventrolateral part, layer 2/3</t>
  </si>
  <si>
    <t>TEa5 - Temporal association areas, layer 5</t>
  </si>
  <si>
    <t>BA - Bed nucleus of the accessory olfactory tract</t>
  </si>
  <si>
    <t>ACAv2/3 - Anterior cingulate area, ventral part, layer 2/3</t>
  </si>
  <si>
    <t>MA - Magnocellular nucleus</t>
  </si>
  <si>
    <t>st - stria terminalis</t>
  </si>
  <si>
    <t>BLAa - Basolateral amygdalar nucleus, anterior part</t>
  </si>
  <si>
    <t>PL2/3 - Prelimbic area, layer 2/3</t>
  </si>
  <si>
    <t>VISp6b - Primary visual area, layer 6b</t>
  </si>
  <si>
    <t>MARN - Magnocellular reticular nucleus</t>
  </si>
  <si>
    <t>SF - Septofimbrial nucleus</t>
  </si>
  <si>
    <t>BLAp - Basolateral amygdalar nucleus, posterior part</t>
  </si>
  <si>
    <t>MB - Midbrain</t>
  </si>
  <si>
    <t>AIp6a - Agranular insular area, posterior part, layer 6a</t>
  </si>
  <si>
    <t>SG - Supragenual nucleus</t>
  </si>
  <si>
    <t>MOp1 - Primary motor area, Layer 1</t>
  </si>
  <si>
    <t>SubG - Subgeniculate nucleus</t>
  </si>
  <si>
    <t>SGN - Suprageniculate nucleus</t>
  </si>
  <si>
    <t>scp - superior cerebelar peduncles</t>
  </si>
  <si>
    <t>BMAa - Basomedial amygdalar nucleus, anterior part</t>
  </si>
  <si>
    <t>AId2/3 - Agranular insular area, dorsal part, layer 2/3</t>
  </si>
  <si>
    <t>RSPd6b - Retrosplenial area, dorsal part, layer 6b</t>
  </si>
  <si>
    <t>ASO - Accessory supraoptic group</t>
  </si>
  <si>
    <t>SH - Septohippocampal nucleus</t>
  </si>
  <si>
    <t>BMAp - Basomedial amygdalar nucleus, posterior part</t>
  </si>
  <si>
    <t>PERI6a - Perirhinal area, layer 6a</t>
  </si>
  <si>
    <t>csc - superior colliculus commissure</t>
  </si>
  <si>
    <t>SFO - Subfornical organ</t>
  </si>
  <si>
    <t>SI - Substantia innominata</t>
  </si>
  <si>
    <t>AIp5 - Agranular insular area, posterior part, layer 5</t>
  </si>
  <si>
    <t>SBPV - Subparaventricular zone</t>
  </si>
  <si>
    <t>sup - supraoptic commissures</t>
  </si>
  <si>
    <t>SLC - Subceruleus nucleus</t>
  </si>
  <si>
    <t>BST - Bed nuclei of the stria terminalis</t>
  </si>
  <si>
    <t>MY - Medulla</t>
  </si>
  <si>
    <t>AIp6b - Agranular insular area, posterior part, layer 6b</t>
  </si>
  <si>
    <t>PST - Preparasubthalamic nucleus</t>
  </si>
  <si>
    <t>SLD - Sublaterodorsal nucleus</t>
  </si>
  <si>
    <t>MD - Mediodorsal nucleus of thalamus</t>
  </si>
  <si>
    <t>PL5 - Prelimbic area, layer 5</t>
  </si>
  <si>
    <t>PSTN - Parasubthalamic nucleus</t>
  </si>
  <si>
    <t>SMT - Submedial nucleus of the thalamus</t>
  </si>
  <si>
    <t>PERI6b - Perirhinal area, layer 6b</t>
  </si>
  <si>
    <t>ICB - Infracerebellar nucleus</t>
  </si>
  <si>
    <t>SNc - Substantia nigra, compact part</t>
  </si>
  <si>
    <t>VISpl6a - Posterolateral visual area, layer 6a</t>
  </si>
  <si>
    <t>cuf - cuneate fascicle</t>
  </si>
  <si>
    <t>SNr - Substantia nigra, reticular part</t>
  </si>
  <si>
    <t>CA1 - Field CA1</t>
  </si>
  <si>
    <t>SO - Supraoptic nucleus</t>
  </si>
  <si>
    <t>VISpl6b - Posterolateral visual area, layer 6b</t>
  </si>
  <si>
    <t>vtd - ventral tegmental decussation</t>
  </si>
  <si>
    <t>VISam4 - Anteromedial visual area, layer 4</t>
  </si>
  <si>
    <t>MEA - Medial amygdalar nucleus</t>
  </si>
  <si>
    <t>ORBl2/3 - Orbital area, lateral part, layer 2/3</t>
  </si>
  <si>
    <t>vVIIIn - vestibular nerve</t>
  </si>
  <si>
    <t>SPFm - Subparafascicular nucleus, magnocellular part</t>
  </si>
  <si>
    <t>VISl1 - Lateral visual area, layer 1</t>
  </si>
  <si>
    <t>SPFp - Subparafascicular nucleus, parvicellular part</t>
  </si>
  <si>
    <t>CA2 - Field CA2</t>
  </si>
  <si>
    <t>ECT2/3 - Ectorhinal area/Layer 2/3</t>
  </si>
  <si>
    <t>mct - medial corticohypothalamic tract</t>
  </si>
  <si>
    <t>SPVC - Spinal nucleus of the trigeminal, caudal part</t>
  </si>
  <si>
    <t>RSPv2/3 - Retrosplenial area, ventral part, layer 2/3</t>
  </si>
  <si>
    <t>VISam5 - Anteromedial visual area, layer 5</t>
  </si>
  <si>
    <t>RSPd2/3 - Retrosplenial area, dorsal part, layer 2/3</t>
  </si>
  <si>
    <t>fx - columns of the fornix</t>
  </si>
  <si>
    <t>SPVI - Spinal nucleus of the trigeminal, interpolar part</t>
  </si>
  <si>
    <t>ORBl6a - Orbital area, lateral part, layer 6a</t>
  </si>
  <si>
    <t>VISam6b - Anteromedial visual area, layer 6b</t>
  </si>
  <si>
    <t>RSPd1 - Retrosplenial area, dorsal part, layer 1</t>
  </si>
  <si>
    <t>dhc - dorsal hippocampal commissure</t>
  </si>
  <si>
    <t>SPVO - Spinal nucleus of the trigeminal, oral part</t>
  </si>
  <si>
    <t>ORBl1 - Orbital area, lateral part, layer 1</t>
  </si>
  <si>
    <t>vhc - ventral hippocampal commissure</t>
  </si>
  <si>
    <t>SSp-ul1 - Primary somatosensory area, upper limb, layer 1</t>
  </si>
  <si>
    <t>BLAv - Basolateral amygdalar nucleus, ventral part</t>
  </si>
  <si>
    <t>MEPO - Median preoptic nucleus</t>
  </si>
  <si>
    <t>AUDpo6b - Posterior auditory area, layer 6b</t>
  </si>
  <si>
    <t>MEV - Midbrain trigeminal nucleus</t>
  </si>
  <si>
    <t>SSp-tr6b - Primary somatosensory area, trunk, layer 6b</t>
  </si>
  <si>
    <t>CA3 - Field CA3</t>
  </si>
  <si>
    <t>alv - alveus</t>
  </si>
  <si>
    <t>VISpm6b - posteromedial visual area, layer 6b</t>
  </si>
  <si>
    <t>STN - Subthalamic nucleus</t>
  </si>
  <si>
    <t>STR - Striatum</t>
  </si>
  <si>
    <t>SSp-ll6a - Primary somatosensory area, lower limb, layer 6a</t>
  </si>
  <si>
    <t>bic - brachium of the inferior colliculus</t>
  </si>
  <si>
    <t>MH - Medial habenula</t>
  </si>
  <si>
    <t>ORBm1 - Orbital area, medial part, layer 1</t>
  </si>
  <si>
    <t>ORBl6b - Orbital area, lateral part, layer 6b</t>
  </si>
  <si>
    <t>VISpm4 - posteromedial visual area, layer 4</t>
  </si>
  <si>
    <t>SUB - Subiculum</t>
  </si>
  <si>
    <t>das - dorsal acoustic stria</t>
  </si>
  <si>
    <t>MOB - Main olfactory bulb</t>
  </si>
  <si>
    <t>SSp-ll6b - Primary somatosensory area, lower limb, layer 6b</t>
  </si>
  <si>
    <t>CB - Cerebellum</t>
  </si>
  <si>
    <t>MPN - Medial preoptic nucleus</t>
  </si>
  <si>
    <t>AUDv6a - Ventral auditory area, layer 6a</t>
  </si>
  <si>
    <t>MPO - Medial preoptic area</t>
  </si>
  <si>
    <t>SUM - Supramammillary nucleus</t>
  </si>
  <si>
    <t>ENTm1 - Entorhinal area, medial part, dorsal zone, layer 1</t>
  </si>
  <si>
    <t>AUDd1 - Dorsal auditory area, layer 1</t>
  </si>
  <si>
    <t>df - dorsal fornix</t>
  </si>
  <si>
    <t>MPT - Medial pretectal area</t>
  </si>
  <si>
    <t>SUT - Supratrigeminal nucleus</t>
  </si>
  <si>
    <t>lotd - dorsal limb</t>
  </si>
  <si>
    <t>PERI1 - Perirhinal area, layer 1</t>
  </si>
  <si>
    <t>RSPv1 - Retrosplenial area, ventral part, layer 1</t>
  </si>
  <si>
    <t>ENTm2 - Entorhinal area, medial part, dorsal zone, layer 2</t>
  </si>
  <si>
    <t>CEAc - Central amygdalar nucleus, capsular part</t>
  </si>
  <si>
    <t>TH - Thalamus</t>
  </si>
  <si>
    <t>CEAl - Central amygdalar nucleus, lateral part</t>
  </si>
  <si>
    <t>sctd - dorsal spinocerebellar tract</t>
  </si>
  <si>
    <t>ILA2/3 - Infralimbic area, layer 2/3</t>
  </si>
  <si>
    <t>SSp-n1 - Primary somatosensory area, nose, layer 1</t>
  </si>
  <si>
    <t>CEAm - Central amygdalar nucleus, medial part</t>
  </si>
  <si>
    <t>MS - Medial septal nucleus</t>
  </si>
  <si>
    <t>VISpm5 - posteromedial visual area, layer 5</t>
  </si>
  <si>
    <t>TR - Postpiriform transition area</t>
  </si>
  <si>
    <t>VISl4 - Lateral visual area, layer 4</t>
  </si>
  <si>
    <t>TRN - Tegmental reticular nucleus</t>
  </si>
  <si>
    <t>CL - Central lateral nucleus of the thalamus</t>
  </si>
  <si>
    <t>ACVII - Accessory facial motor nucleus</t>
  </si>
  <si>
    <t>SSp-ul4 - Primary somatosensory area, upper limb, layer 4</t>
  </si>
  <si>
    <t>ec - external capsule</t>
  </si>
  <si>
    <t>NB - Nucleus of the brachium of the inferior colliculus</t>
  </si>
  <si>
    <t>TRS - Triangular nucleus of septum</t>
  </si>
  <si>
    <t>ORBm2/3 - Orbital area, medial part, layer 2/3</t>
  </si>
  <si>
    <t>CLA - Claustrum</t>
  </si>
  <si>
    <t>ND - Nucleus of Darkschewitsch</t>
  </si>
  <si>
    <t>ACAv1 - Anterior cingulate area, ventral part, layer 1</t>
  </si>
  <si>
    <t>RSPv6a - Retrosplenial area, ventral part, layer 6a</t>
  </si>
  <si>
    <t>CLI - Central linear nucleus raphe</t>
  </si>
  <si>
    <t>VISp1 - Primary visual area, layer 1</t>
  </si>
  <si>
    <t>fr - fasciculus retroflexus</t>
  </si>
  <si>
    <t>NDB - Diagonal band nucleus</t>
  </si>
  <si>
    <t>TTd - Taenia tecta, dorsal part</t>
  </si>
  <si>
    <t>AUDv6b - Ventral auditory area, layer 6b</t>
  </si>
  <si>
    <t>CM - Central medial nucleus of the thalamus</t>
  </si>
  <si>
    <t>AUDd2/3 - Dorsal auditory area, layer 2/3</t>
  </si>
  <si>
    <t>VISal6a - Anterolateral visual area, layer 6a</t>
  </si>
  <si>
    <t>fi - fimbria</t>
  </si>
  <si>
    <t>NI - Nucleus incertus</t>
  </si>
  <si>
    <t>TTv - Taenia tecta, ventral part</t>
  </si>
  <si>
    <t>ORBvl6a - Orbital area, ventrolateral part, layer 6a</t>
  </si>
  <si>
    <t>SPA - Subparafascicular area</t>
  </si>
  <si>
    <t>RSPd5 - Retrosplenial area, dorsal part, layer 5</t>
  </si>
  <si>
    <t>hbc - habenular commissure</t>
  </si>
  <si>
    <t>NLL - Nucleus of the lateral lemniscus</t>
  </si>
  <si>
    <t>VISl5 - Lateral visual area, layer 5</t>
  </si>
  <si>
    <t>TU - Tuberal nucleus</t>
  </si>
  <si>
    <t>CUN - Cuneiform nucleus</t>
  </si>
  <si>
    <t>ORBm5 - Orbital area, medial part, layer 5</t>
  </si>
  <si>
    <t>V - Motor nucleus of trigeminal</t>
  </si>
  <si>
    <t>RSPv6b - Retrosplenial area, ventral part, layer 6b</t>
  </si>
  <si>
    <t>SSp-ul5 - Primary somatosensory area, upper limb, layer 5</t>
  </si>
  <si>
    <t>NOT - Nucleus of the optic tract</t>
  </si>
  <si>
    <t>VAL - Ventral anterior-lateral complex of the thalamus</t>
  </si>
  <si>
    <t>ORBl5 - Orbital area, lateral part, layer 5</t>
  </si>
  <si>
    <t>DG-sg - Dentate gyrus, granule cell layer</t>
  </si>
  <si>
    <t>cic - inferior colliculus commissure</t>
  </si>
  <si>
    <t>NPC - Nucleus of the posterior commissure</t>
  </si>
  <si>
    <t>GU6a - Gustatory areas, layer 6a</t>
  </si>
  <si>
    <t>COAa - Cortical amygdalar area, anterior part</t>
  </si>
  <si>
    <t>NTB - Nucleus of the trapezoid body</t>
  </si>
  <si>
    <t>AUDpo2/3 - Posterior auditory area, layer 2/3</t>
  </si>
  <si>
    <t>MOp5 - Primary motor area, Layer 5</t>
  </si>
  <si>
    <t>VISal6b - Anterolateral visual area, layer 6b</t>
  </si>
  <si>
    <t>NTS - Nucleus of the solitary tract</t>
  </si>
  <si>
    <t>VI - Abducens nucleus</t>
  </si>
  <si>
    <t>SSp-n4 - Primary somatosensory area, nose, layer 4</t>
  </si>
  <si>
    <t>COApl - Cortical amygdalar area, posterior part, lateral zone</t>
  </si>
  <si>
    <t>MOs1 - Secondary motor area, layer 1</t>
  </si>
  <si>
    <t>SSp-m2/3 - Primary somatosensory area, mouth, layer 2/3</t>
  </si>
  <si>
    <t>ll - lateral lemniscus</t>
  </si>
  <si>
    <t>VII - Facial motor nucleus</t>
  </si>
  <si>
    <t>GU6b - Gustatory areas, layer 6b</t>
  </si>
  <si>
    <t>COApm - Cortical amygdalar area, posterior part, medial zone</t>
  </si>
  <si>
    <t>ENTm3 - Entorhinal area, medial part, dorsal zone, layer 3</t>
  </si>
  <si>
    <t>lot - lateral olfactory tract, body</t>
  </si>
  <si>
    <t>FRP2/3 - Frontal pole, layer 2/3</t>
  </si>
  <si>
    <t>SSp-tr2/3 - Primary somatosensory area, trunk, layer 2/3</t>
  </si>
  <si>
    <t>RSPagl1 - Retrosplenial area, lateral agranular part, layer 1</t>
  </si>
  <si>
    <t>CP - Caudoputamen</t>
  </si>
  <si>
    <t>mp - mammillary peduncle</t>
  </si>
  <si>
    <t>AIv6a - Agranular insular area, ventral part, layer 6a</t>
  </si>
  <si>
    <t>AUDd4 - Dorsal auditory area, layer 4</t>
  </si>
  <si>
    <t>CS - Superior central nucleus raphe</t>
  </si>
  <si>
    <t>ORBvl6b - Orbital area, ventrolateral part, layer 6b</t>
  </si>
  <si>
    <t>mtg - mammillotegmental tract</t>
  </si>
  <si>
    <t>VM - Ventral medial nucleus of the thalamus</t>
  </si>
  <si>
    <t>RSPv5 - Retrosplenial area, ventral part, layer 5</t>
  </si>
  <si>
    <t>VLPO - Ventrolateral preoptic nucleus</t>
  </si>
  <si>
    <t>mtt - mammillothalamic tract</t>
  </si>
  <si>
    <t>PERI5 - Perirhinal area, layer 5</t>
  </si>
  <si>
    <t>VMH - Ventromedial hypothalamic nucleus</t>
  </si>
  <si>
    <t>AIv2/3 - Agranular insular area, ventral part, layer 2/3</t>
  </si>
  <si>
    <t>AUDpo1 - Posterior auditory area, layer 1</t>
  </si>
  <si>
    <t>ml - medial lemniscus</t>
  </si>
  <si>
    <t>OLF - Olfactory areas</t>
  </si>
  <si>
    <t>AIv6b - Agranular insular area, ventral part, layer 6b</t>
  </si>
  <si>
    <t>SSp-n5 - Primary somatosensory area, nose, layer 5</t>
  </si>
  <si>
    <t>CTXsp - Cortical subplate</t>
  </si>
  <si>
    <t>AIv1 - Agranular insular area, ventral part, layer 1</t>
  </si>
  <si>
    <t>OP - Olivary pretectal nucleus</t>
  </si>
  <si>
    <t>ILA1 - Infralimbic area, layer 1</t>
  </si>
  <si>
    <t>CU - Cuneate nucleus</t>
  </si>
  <si>
    <t>VPL - Ventral posterolateral nucleus of the thalamus</t>
  </si>
  <si>
    <t>VISp4 - Primary visual area, layer 4</t>
  </si>
  <si>
    <t>VPLpc - Ventral posterolateral nucleus of the thalamus, parvicellular part</t>
  </si>
  <si>
    <t>ENTm5 - Entorhinal area, medial part, dorsal zone, layer 5</t>
  </si>
  <si>
    <t>arb - arbor vitae</t>
  </si>
  <si>
    <t>TEa6a - Temporal association areas, layer 6a</t>
  </si>
  <si>
    <t>MMme - Medial mammillary nucleus, median part</t>
  </si>
  <si>
    <t>VPM - Ventral posteromedial nucleus of the thalamus</t>
  </si>
  <si>
    <t>AUDp1 - Primary auditory area, layer 1</t>
  </si>
  <si>
    <t>VPMpc - Ventral posteromedial nucleus of the thalamus, parvicellular part</t>
  </si>
  <si>
    <t>ENTm6 - Entorhinal area, medial part, dorsal zone, layer 6</t>
  </si>
  <si>
    <t>cbc - cerebellar commissure</t>
  </si>
  <si>
    <t>VTA - Ventral tegmental area</t>
  </si>
  <si>
    <t>VISpl1 - Posterolateral visual area, layer 1</t>
  </si>
  <si>
    <t>pm - principal mammillary tract</t>
  </si>
  <si>
    <t>OT - Olfactory tubercle</t>
  </si>
  <si>
    <t>AUDv2/3 - Ventral auditory area, layer 2/3</t>
  </si>
  <si>
    <t>VTN - Ventral tegmental nucleus</t>
  </si>
  <si>
    <t>AUDpo4 - Posterior auditory area, layer 4</t>
  </si>
  <si>
    <t>OV - Vascular organ of the lamina terminalis</t>
  </si>
  <si>
    <t>x - Nucleus x</t>
  </si>
  <si>
    <t>MOs5 - Secondary motor area, layer 5</t>
  </si>
  <si>
    <t>P - Pons</t>
  </si>
  <si>
    <t>ACAv5 - Anterior cingulate area, ventral part, layer 5</t>
  </si>
  <si>
    <t>XII - Hypoglossal nucleus</t>
  </si>
  <si>
    <t>RSPagl5 - Retrosplenial area, lateral agranular part, layer 5</t>
  </si>
  <si>
    <t>cc - corpus callosum</t>
  </si>
  <si>
    <t>VISp5 - Primary visual area, layer 5</t>
  </si>
  <si>
    <t>PA - Posterior amygdalar nucleus</t>
  </si>
  <si>
    <t>y - Nucleus y</t>
  </si>
  <si>
    <t>AId6a - Agranular insular area, dorsal part, layer 6a</t>
  </si>
  <si>
    <t>cst - corticospinal tract</t>
  </si>
  <si>
    <t>TEa6b - Temporal association areas, layer 6b</t>
  </si>
  <si>
    <t>PAA - Piriform-amygdalar area</t>
  </si>
  <si>
    <t>AUDpo5 - Posterior auditory area, layer 5</t>
  </si>
  <si>
    <t>sptV - spinal tract of the trigeminal nerve</t>
  </si>
  <si>
    <t>PAG - Periaqueductal gray</t>
  </si>
  <si>
    <t>ZI - Zona incerta</t>
  </si>
  <si>
    <t>VIIn - facial nerve</t>
  </si>
  <si>
    <t>AIv5 - Agranular insular area, ventral part, layer 5</t>
  </si>
  <si>
    <t>sm - stria medullaris</t>
  </si>
  <si>
    <t>PAL - Pallidum</t>
  </si>
  <si>
    <t>FF - Fields of Forel</t>
  </si>
  <si>
    <t>VISpm1 - posteromedial visual area, layer 1</t>
  </si>
  <si>
    <t>SSs2/3 - Supplemental somatosensory area, layer 2/3</t>
  </si>
  <si>
    <t>ACAv6a - Anterior cingulate area, ventral part, 6a</t>
  </si>
  <si>
    <t>ICc - Inferior colliculus, central nucleus</t>
  </si>
  <si>
    <t>dscp - superior cerebellar peduncle decussation</t>
  </si>
  <si>
    <t>DP - Dorsal peduncular area</t>
  </si>
  <si>
    <t>AUDp4 - Primary auditory area, layer 4</t>
  </si>
  <si>
    <t>ACAv6b - Anterior cingulate area, ventral part, 6b</t>
  </si>
  <si>
    <t>ICd - Inferior colliculus, dorsal nucleus</t>
  </si>
  <si>
    <t>VISp2/3 - Primary visual area, layer 2/3</t>
  </si>
  <si>
    <t>ILA5 - Infralimbic area, layer 5</t>
  </si>
  <si>
    <t>ICe - Inferior colliculus, external nucleus</t>
  </si>
  <si>
    <t>DMH - Dorsomedial nucleus of the hypothalamus</t>
  </si>
  <si>
    <t>AId6b - Agranular insular area, dorsal part, layer 6b</t>
  </si>
  <si>
    <t>IIIn - oculomotor nerve</t>
  </si>
  <si>
    <t>SCzo - Superior colliculus, zonal layer</t>
  </si>
  <si>
    <t>ECT1 - Ectorhinal area/Layer 1</t>
  </si>
  <si>
    <t>SSp-n2/3 - Primary somatosensory area, nose, layer 2/3</t>
  </si>
  <si>
    <t>DMX - Dorsal motor nucleus of the vagus nerve</t>
  </si>
  <si>
    <t>tb - trapezoid body</t>
  </si>
  <si>
    <t>SCsg - Superior colliculus, superficial gray layer</t>
  </si>
  <si>
    <t>PAR - Parasubiculum</t>
  </si>
  <si>
    <t>MOp6a - Primary motor area, Layer 6a</t>
  </si>
  <si>
    <t>DN - Dentate nucleus</t>
  </si>
  <si>
    <t>AUDp5 - Primary auditory area, layer 5</t>
  </si>
  <si>
    <t>VISC6b - Visceral area, layer 6b</t>
  </si>
  <si>
    <t>uf - uncinate fascicle</t>
  </si>
  <si>
    <t>SCop - Superior colliculus, optic layer</t>
  </si>
  <si>
    <t>PARN - Parvicellular reticular nucleus</t>
  </si>
  <si>
    <t>SSp-ul2/3 - Primary somatosensory area, upper limb, layer 2/3</t>
  </si>
  <si>
    <t>VISC6a - Visceral area, layer 6a</t>
  </si>
  <si>
    <t>PAS - Parasolitary nucleus</t>
  </si>
  <si>
    <t>SSs6a - Supplemental somatosensory area, layer 6a</t>
  </si>
  <si>
    <t>rust - rubrospinal tract</t>
  </si>
  <si>
    <t>sctv - ventral spinocerebellar tract</t>
  </si>
  <si>
    <t>PB - Parabrachial nucleus</t>
  </si>
  <si>
    <t>VISpl4 - Posterolateral visual area, layer 4</t>
  </si>
  <si>
    <t>DR - Dorsal nucleus raphe</t>
  </si>
  <si>
    <t>SSs1 - Supplemental somatosensory area, layer 1</t>
  </si>
  <si>
    <t>PBG - Parabigeminal nucleus</t>
  </si>
  <si>
    <t>SSp-m1 - Primary somatosensory area, mouth, layer 1</t>
  </si>
  <si>
    <t>DTN - Dorsal tegmental nucleus</t>
  </si>
  <si>
    <t>MOp6b - Primary motor area, Layer 6b</t>
  </si>
  <si>
    <t>amc - amygdalar capsule</t>
  </si>
  <si>
    <t>PERI2/3 - Perirhinal area, layer 2/3</t>
  </si>
  <si>
    <t>SSp-n6a - Primary somatosensory area, nose, layer 6a</t>
  </si>
  <si>
    <t>SSs6b - Supplemental somatosensory area, layer 6b</t>
  </si>
  <si>
    <t>VISC1 - Visceral area, layer 1</t>
  </si>
  <si>
    <t>PCG - Pontine central gray</t>
  </si>
  <si>
    <t>aco - anterior commissure, olfactory limb</t>
  </si>
  <si>
    <t>VISpl5 - Posterolateral visual area, layer 5</t>
  </si>
  <si>
    <t>ECU - External cuneate nucleus</t>
  </si>
  <si>
    <t>VISal2/3 - Anterolateral visual area, layer 2/3</t>
  </si>
  <si>
    <t>RSPagl6a - Retrosplenial area, lateral agranular part, layer 6a</t>
  </si>
  <si>
    <t>PCN - Paracentral nucleus</t>
  </si>
  <si>
    <t>act - anterior commissure, temporal limb</t>
  </si>
  <si>
    <t>ORBm6a - Orbital area, medial part, layer 6a</t>
  </si>
  <si>
    <t>IVn - trochlear nerve</t>
  </si>
  <si>
    <t>LING - Lingula (I)</t>
  </si>
  <si>
    <t>PD - Posterodorsal preoptic nucleus</t>
  </si>
  <si>
    <t>bsc - brachium of the superior colliculus</t>
  </si>
  <si>
    <t>ACAd6a - Anterior cingulate area, dorsal part, layer 6a</t>
  </si>
  <si>
    <t>cpd - cerebal peduncle</t>
  </si>
  <si>
    <t>ACAd6b - Anterior cingulate area, dorsal part, layer 6b</t>
  </si>
  <si>
    <t>SSp-n6b - Primary somatosensory area, nose, layer 6b</t>
  </si>
  <si>
    <t>PF - Parafascicular nucleus</t>
  </si>
  <si>
    <t>PG - Pontine gray</t>
  </si>
  <si>
    <t>ACAd1 - Anterior cingulate area, dorsal part, layer 1</t>
  </si>
  <si>
    <t>DEC - Declive (VI)</t>
  </si>
  <si>
    <t>AMBd - Nucleus ambiguus, dorsal division</t>
  </si>
  <si>
    <t>cing - cingulum bundle</t>
  </si>
  <si>
    <t>MOp2/3 - Primary motor area, Layer 2/3</t>
  </si>
  <si>
    <t>FOTU - Folium-tuber vermis (VII)</t>
  </si>
  <si>
    <t>SSp-ul6a - Primary somatosensory area, upper limb, layer 6a</t>
  </si>
  <si>
    <t>PH - Posterior hypothalamic nucleus</t>
  </si>
  <si>
    <t>von - vomeronasal nerve</t>
  </si>
  <si>
    <t>SSp-m4 - Primary somatosensory area, mouth, layer 4</t>
  </si>
  <si>
    <t>PYR - Pyramus (VIII)</t>
  </si>
  <si>
    <t>EPd - Endopiriform nucleus, dorsal part</t>
  </si>
  <si>
    <t>AUDp6a - Primary auditory area, layer 6a</t>
  </si>
  <si>
    <t>LRNm - Lateral reticular nucleus, magnocellular part</t>
  </si>
  <si>
    <t>fa - corpus callosum, anterior forceps</t>
  </si>
  <si>
    <t>UVU - Uvula (IX)</t>
  </si>
  <si>
    <t>AUDv1 - Ventral auditory area, layer 1</t>
  </si>
  <si>
    <t>PIR - Piriform area</t>
  </si>
  <si>
    <t>MOs2/3 - Secondary motor area, layer 2/3</t>
  </si>
  <si>
    <t>LRNp - Lateral reticular nucleus, parvicellular part</t>
  </si>
  <si>
    <t>ee - corpus callosum, extreme capsule</t>
  </si>
  <si>
    <t>RSPagl2/3 - Retrosplenial area, lateral agranular part, layer 2/3</t>
  </si>
  <si>
    <t>EPv - Endopiriform nucleus, ventral part</t>
  </si>
  <si>
    <t>NOD - Nodulus (X)</t>
  </si>
  <si>
    <t>ORBvl1 - Orbital area, ventrolateral part, layer 1</t>
  </si>
  <si>
    <t>PGRNd - Paragigantocellular reticular nucleus, dorsal part</t>
  </si>
  <si>
    <t>fp - corpus callosum, posterior forceps</t>
  </si>
  <si>
    <t>VISl2/3 - Lateral visual area, layer 2/3</t>
  </si>
  <si>
    <t>SSp-m5 - Primary somatosensory area, mouth, layer 5</t>
  </si>
  <si>
    <t>EW - Edinger-Westphal nucleus</t>
  </si>
  <si>
    <t>CENT2 - Lobule II</t>
  </si>
  <si>
    <t>ECT6a - Ectorhinal area/Layer 6a</t>
  </si>
  <si>
    <t>PGRNl - Paragigantocellular reticular nucleus, lateral part</t>
  </si>
  <si>
    <t>PMd - Dorsal premammillary nucleus</t>
  </si>
  <si>
    <t>SSp-bfd1 - Primary somatosensory area, barrel field, layer 1</t>
  </si>
  <si>
    <t>FC - Fasciola cinerea</t>
  </si>
  <si>
    <t>CENT3 - Lobule III</t>
  </si>
  <si>
    <t>ccs - corpus callosum, splenium</t>
  </si>
  <si>
    <t>ECT5 - Ectorhinal area/Layer 5</t>
  </si>
  <si>
    <t>FN - Fastigial nucleus</t>
  </si>
  <si>
    <t>AUDv4 - Ventral auditory area, layer 4</t>
  </si>
  <si>
    <t>AId1 - Agranular insular area, dorsal part, layer 1</t>
  </si>
  <si>
    <t>root - root</t>
  </si>
  <si>
    <t>FS - Fundus of striatum</t>
  </si>
  <si>
    <t>PMv - Ventral premammillary nucleus</t>
  </si>
  <si>
    <t>AUDp6b - Primary auditory area, layer 6b</t>
  </si>
  <si>
    <t>SSp-tr1 - Primary somatosensory area, trunk, layer 1</t>
  </si>
  <si>
    <t>SIM - Simple lobule</t>
  </si>
  <si>
    <t>fiber tracts - fiber tracts</t>
  </si>
  <si>
    <t>VISC4 - Visceral area, layer 4</t>
  </si>
  <si>
    <t>ACAd5 - Anterior cingulate area, dorsal part, layer 5</t>
  </si>
  <si>
    <t>onl - olfactory nerve layer of main olfactory bulb</t>
  </si>
  <si>
    <t>PO - Posterior complex of the thalamus</t>
  </si>
  <si>
    <t>MOs6a - Secondary motor area, layer 6a</t>
  </si>
  <si>
    <t>GPe - Globus pallidus, external segment</t>
  </si>
  <si>
    <t>AUDv5 - Ventral auditory area, layer 5</t>
  </si>
  <si>
    <t>PRM - Paramedian lobule</t>
  </si>
  <si>
    <t>SSp-ul6b - Primary somatosensory area, upper limb, layer 6b</t>
  </si>
  <si>
    <t>POL - Posterior limiting nucleus of the thalamus</t>
  </si>
  <si>
    <t>SSp-ll1 - Primary somatosensory area, lower limb, layer 1</t>
  </si>
  <si>
    <t>GPi - Globus pallidus, internal segment</t>
  </si>
  <si>
    <t>COPY - Copula pyramidis</t>
  </si>
  <si>
    <t>SSs4 - Supplemental somatosensory area, layer 4</t>
  </si>
  <si>
    <t>POST - Postsubiculum</t>
  </si>
  <si>
    <t>SSp-bfd6a - Primary somatosensory area, barrel field, layer 6a</t>
  </si>
  <si>
    <t>GR - Gracile nucleus</t>
  </si>
  <si>
    <t>PFL - Paraflocculus</t>
  </si>
  <si>
    <t>tspc - crossed tectospinal pathway</t>
  </si>
  <si>
    <t>PP - Peripeduncular nucleus</t>
  </si>
  <si>
    <t>ECT6b - Ectorhinal area/Layer 6b</t>
  </si>
  <si>
    <t>VISam6a - Anteromedial visual area, layer 6a</t>
  </si>
  <si>
    <t>SSp-bfd4 - Primary somatosensory area, barrel field, layer 4</t>
  </si>
  <si>
    <t>GRN - Gigantocellular reticular nucleus</t>
  </si>
  <si>
    <t>FL - Flocculus</t>
  </si>
  <si>
    <t>PPN - Pedunculopontine nucleus</t>
  </si>
  <si>
    <t>ILA6a - Infralimbic area, layer 6a</t>
  </si>
  <si>
    <t>ANcr1 - Crus 1</t>
  </si>
  <si>
    <t>VISC5 - Visceral area, layer 5</t>
  </si>
  <si>
    <t>dtd - doral tegmental decussation</t>
  </si>
  <si>
    <t>PPT - Posterior pretectal nucleus</t>
  </si>
  <si>
    <t>SSp-bfd6b - Primary somatosensory area, barrel field, layer 6b</t>
  </si>
  <si>
    <t>ANcr2 - Crus 2</t>
  </si>
  <si>
    <t>VISam2/3 - Anteromedial visual area, layer 2/3</t>
  </si>
  <si>
    <t>PPY - Parapyramidal nucleus</t>
  </si>
  <si>
    <t>SSp-bfd5 - Primary somatosensory area, barrel field, layer 5</t>
  </si>
  <si>
    <t>MGd - Medial geniculate complex, dorsal part</t>
  </si>
  <si>
    <t>VISal1 - Anterolateral visual area, layer 1</t>
  </si>
  <si>
    <t>PR - Perireunensis nucleus</t>
  </si>
  <si>
    <t>MGv - Medial geniculate complex, ventral part</t>
  </si>
  <si>
    <t>ILA6b - Infralimbic area, layer 6b</t>
  </si>
  <si>
    <t>PRE - Presubiculum</t>
  </si>
  <si>
    <t>MOs6b - Secondary motor area, layer 6b</t>
  </si>
  <si>
    <t>SSp-tr4 - Primary somatosensory area, trunk, layer 4</t>
  </si>
  <si>
    <t>MGm - Medial geniculate complex, medial part</t>
  </si>
  <si>
    <t>HPF - Hippocampal formation</t>
  </si>
  <si>
    <t>SSs5 - Supplemental somatosensory area, layer 5</t>
  </si>
  <si>
    <t>CUL4, 5 - Lobules IV-V</t>
  </si>
  <si>
    <t>em - external medullary lamina of the thalamus</t>
  </si>
  <si>
    <t>PRNc - Pontine reticular nucleus, caudal part</t>
  </si>
  <si>
    <t>SSp-ll4 - Primary somatosensory area, lower limb, layer 4</t>
  </si>
  <si>
    <t>AMd - Anteromedial nucleus, dorsal part</t>
  </si>
  <si>
    <t>HY - Hypothalamus</t>
  </si>
  <si>
    <t>MDRNd - Medullary reticular nucleus, dorsal part</t>
  </si>
  <si>
    <t>AId5 - Agranular insular area, dorsal part, layer 5</t>
  </si>
  <si>
    <t>SSp-m6a - Primary somatosensory area, mouth, layer 6a</t>
  </si>
  <si>
    <t>AMv - Anteromedial nucleus, ventral part</t>
  </si>
  <si>
    <t>IA - Intercalated amygdalar nucleus</t>
  </si>
  <si>
    <t>VISC2/3 - Visceral area, layer 2/3</t>
  </si>
  <si>
    <t>MDRNv - Medullary reticular nucleus, ventral part</t>
  </si>
  <si>
    <t>ccg - genu of corpus callosum</t>
  </si>
  <si>
    <t>PS - Parastrial nucleus</t>
  </si>
  <si>
    <t>SSp-tr5 - Primary somatosensory area, trunk, layer 5</t>
  </si>
  <si>
    <t>IAD - Interanterodorsal nucleus of the thalamus</t>
  </si>
  <si>
    <t>VISal4 - Anterolateral visual area, layer 4</t>
  </si>
  <si>
    <t>gVIIn - genu of the facial nerve</t>
  </si>
  <si>
    <t>IAM - Interanteromedial nucleus of the thalamus</t>
  </si>
  <si>
    <t>ENTl1 - Entorhinal area, lateral part, layer 1</t>
  </si>
  <si>
    <t>icp - inferior cerebellar peduncle</t>
  </si>
  <si>
    <t>ORBvl5 - Orbital area, ventrolateral part, layer 5</t>
  </si>
  <si>
    <t>TMd - Tuberomammillary nucleus, dorsal part</t>
  </si>
  <si>
    <t>TEa2/3 - Temporal association areas, layer 2/3</t>
  </si>
  <si>
    <t>SSp-ll5 - Primary somatosensory area, lower limb, layer 5</t>
  </si>
  <si>
    <t>NLOT3 - Nucleus of the lateral olfactory tract, layer 3</t>
  </si>
  <si>
    <t>ME - Median eminence</t>
  </si>
  <si>
    <t>DG-mo - Dentate gyrus, molecular layer</t>
  </si>
  <si>
    <t>DG-po - Dentate gyrus, polymorph layer</t>
  </si>
  <si>
    <t>SSp-bfd - Primary somatosensory area, barrel field</t>
  </si>
  <si>
    <t>Trim left text</t>
  </si>
  <si>
    <t>Trim right text</t>
  </si>
  <si>
    <t>LabelAbbrv</t>
  </si>
  <si>
    <t>LabelName</t>
  </si>
  <si>
    <t>root</t>
  </si>
  <si>
    <t>grey</t>
  </si>
  <si>
    <t>Basic cell groups and regions</t>
  </si>
  <si>
    <t>CH</t>
  </si>
  <si>
    <t>Cerebrum</t>
  </si>
  <si>
    <t>CTX</t>
  </si>
  <si>
    <t>Cerebral cortex</t>
  </si>
  <si>
    <t>CTXpl</t>
  </si>
  <si>
    <t>Cortical plate</t>
  </si>
  <si>
    <t>Isocortex</t>
  </si>
  <si>
    <t>FRP</t>
  </si>
  <si>
    <t>Frontal pole, cerebral cortex</t>
  </si>
  <si>
    <t>FRP1</t>
  </si>
  <si>
    <t>Frontal pole, layer 1</t>
  </si>
  <si>
    <t>FRP5</t>
  </si>
  <si>
    <t>Frontal pole, layer 5</t>
  </si>
  <si>
    <t>FRP6a</t>
  </si>
  <si>
    <t>Frontal pole, layer 6a</t>
  </si>
  <si>
    <t>FRP6b</t>
  </si>
  <si>
    <t>Frontal pole, layer 6b</t>
  </si>
  <si>
    <t>MO</t>
  </si>
  <si>
    <t>Somatomotor areas</t>
  </si>
  <si>
    <t>MO1</t>
  </si>
  <si>
    <t>Somatomotor areas, Layer 1</t>
  </si>
  <si>
    <t>MO5</t>
  </si>
  <si>
    <t>Somatomotor areas, Layer 5</t>
  </si>
  <si>
    <t>MO6a</t>
  </si>
  <si>
    <t>Somatomotor areas, Layer 6a</t>
  </si>
  <si>
    <t>MO6b</t>
  </si>
  <si>
    <t>Somatomotor areas, Layer 6b</t>
  </si>
  <si>
    <t>MOp</t>
  </si>
  <si>
    <t>Primary motor area</t>
  </si>
  <si>
    <t>MOp1</t>
  </si>
  <si>
    <t>Primary motor area, Layer 1</t>
  </si>
  <si>
    <t>MOp5</t>
  </si>
  <si>
    <t>Primary motor area, Layer 5</t>
  </si>
  <si>
    <t>MOp6a</t>
  </si>
  <si>
    <t>Primary motor area, Layer 6a</t>
  </si>
  <si>
    <t>MOp6b</t>
  </si>
  <si>
    <t>Primary motor area, Layer 6b</t>
  </si>
  <si>
    <t>MOs</t>
  </si>
  <si>
    <t>Secondary motor area</t>
  </si>
  <si>
    <t>MOs1</t>
  </si>
  <si>
    <t>Secondary motor area, layer 1</t>
  </si>
  <si>
    <t>MOs5</t>
  </si>
  <si>
    <t>Secondary motor area, layer 5</t>
  </si>
  <si>
    <t>MOs6a</t>
  </si>
  <si>
    <t>Secondary motor area, layer 6a</t>
  </si>
  <si>
    <t>MOs6b</t>
  </si>
  <si>
    <t>Secondary motor area, layer 6b</t>
  </si>
  <si>
    <t>SS</t>
  </si>
  <si>
    <t>Somatosensory areas</t>
  </si>
  <si>
    <t>SS1</t>
  </si>
  <si>
    <t>Somatosensory areas, layer 1</t>
  </si>
  <si>
    <t>SS4</t>
  </si>
  <si>
    <t>Somatosensory areas, layer 4</t>
  </si>
  <si>
    <t>SS5</t>
  </si>
  <si>
    <t>Somatosensory areas, layer 5</t>
  </si>
  <si>
    <t>SS6a</t>
  </si>
  <si>
    <t>Somatosensory areas, layer 6a</t>
  </si>
  <si>
    <t>SS6b</t>
  </si>
  <si>
    <t>Somatosensory areas, layer 6b</t>
  </si>
  <si>
    <t>SSp</t>
  </si>
  <si>
    <t>Primary somatosensory area</t>
  </si>
  <si>
    <t>SSp1</t>
  </si>
  <si>
    <t>Primary somatosensory area, layer 1</t>
  </si>
  <si>
    <t>SSp4</t>
  </si>
  <si>
    <t>Primary somatosensory area, layer 4</t>
  </si>
  <si>
    <t>SSp5</t>
  </si>
  <si>
    <t>Primary somatosensory area, layer 5</t>
  </si>
  <si>
    <t>SSp6a</t>
  </si>
  <si>
    <t>Primary somatosensory area, layer 6a</t>
  </si>
  <si>
    <t>SSp6b</t>
  </si>
  <si>
    <t>Primary somatosensory area, layer 6b</t>
  </si>
  <si>
    <t>SSp-n</t>
  </si>
  <si>
    <t>Primary somatosensory area, nose</t>
  </si>
  <si>
    <t>SSp-n1</t>
  </si>
  <si>
    <t>Primary somatosensory area, nose, layer 1</t>
  </si>
  <si>
    <t>SSp-n4</t>
  </si>
  <si>
    <t>Primary somatosensory area, nose, layer 4</t>
  </si>
  <si>
    <t>SSp-n5</t>
  </si>
  <si>
    <t>Primary somatosensory area, nose, layer 5</t>
  </si>
  <si>
    <t>SSp-n6a</t>
  </si>
  <si>
    <t>Primary somatosensory area, nose, layer 6a</t>
  </si>
  <si>
    <t>SSp-n6b</t>
  </si>
  <si>
    <t>Primary somatosensory area, nose, layer 6b</t>
  </si>
  <si>
    <t>SSp-bfd</t>
  </si>
  <si>
    <t>Primary somatosensory area, barrel field</t>
  </si>
  <si>
    <t>SSp-bfd1</t>
  </si>
  <si>
    <t>Primary somatosensory area, barrel field, layer 1</t>
  </si>
  <si>
    <t>SSp-bfd4</t>
  </si>
  <si>
    <t>Primary somatosensory area, barrel field, layer 4</t>
  </si>
  <si>
    <t>SSp-bfd5</t>
  </si>
  <si>
    <t>Primary somatosensory area, barrel field, layer 5</t>
  </si>
  <si>
    <t>SSp-bfd6a</t>
  </si>
  <si>
    <t>Primary somatosensory area, barrel field, layer 6a</t>
  </si>
  <si>
    <t>SSp-bfd6b</t>
  </si>
  <si>
    <t>Primary somatosensory area, barrel field, layer 6b</t>
  </si>
  <si>
    <t>VISrll</t>
  </si>
  <si>
    <t>Rostrolateral lateral visual area</t>
  </si>
  <si>
    <t>VISrll1</t>
  </si>
  <si>
    <t>Rostrolateral lateral visual area, layer 1</t>
  </si>
  <si>
    <t>VISrll4</t>
  </si>
  <si>
    <t>Rostrolateral lateral visual area, layer 4</t>
  </si>
  <si>
    <t>VISrll5</t>
  </si>
  <si>
    <t>Rostrolateral lateral visual area,layer 5</t>
  </si>
  <si>
    <t>VISrll6a</t>
  </si>
  <si>
    <t>Rostrolateral lateral visual area, layer 6a</t>
  </si>
  <si>
    <t>VISrll6b</t>
  </si>
  <si>
    <t>Rostrolateral lateral visual area, layer 6b</t>
  </si>
  <si>
    <t>SSp-ll</t>
  </si>
  <si>
    <t>Primary somatosensory area, lower limb</t>
  </si>
  <si>
    <t>SSp-ll1</t>
  </si>
  <si>
    <t>Primary somatosensory area, lower limb, layer 1</t>
  </si>
  <si>
    <t>SSp-ll4</t>
  </si>
  <si>
    <t>Primary somatosensory area, lower limb, layer 4</t>
  </si>
  <si>
    <t>SSp-ll5</t>
  </si>
  <si>
    <t>Primary somatosensory area, lower limb, layer 5</t>
  </si>
  <si>
    <t>SSp-ll6a</t>
  </si>
  <si>
    <t>Primary somatosensory area, lower limb, layer 6a</t>
  </si>
  <si>
    <t>SSp-ll6b</t>
  </si>
  <si>
    <t>Primary somatosensory area, lower limb, layer 6b</t>
  </si>
  <si>
    <t>SSp-m</t>
  </si>
  <si>
    <t>Primary somatosensory area, mouth</t>
  </si>
  <si>
    <t>SSp-m1</t>
  </si>
  <si>
    <t>Primary somatosensory area, mouth, layer 1</t>
  </si>
  <si>
    <t>SSp-m4</t>
  </si>
  <si>
    <t>Primary somatosensory area, mouth, layer 4</t>
  </si>
  <si>
    <t>SSp-m5</t>
  </si>
  <si>
    <t>Primary somatosensory area, mouth, layer 5</t>
  </si>
  <si>
    <t>SSp-m6a</t>
  </si>
  <si>
    <t>Primary somatosensory area, mouth, layer 6a</t>
  </si>
  <si>
    <t>SSp-m6b</t>
  </si>
  <si>
    <t>Primary somatosensory area, mouth, layer 6b</t>
  </si>
  <si>
    <t>SSp-ul</t>
  </si>
  <si>
    <t>Primary somatosensory area, upper limb</t>
  </si>
  <si>
    <t>SSp-ul1</t>
  </si>
  <si>
    <t>Primary somatosensory area, upper limb, layer 1</t>
  </si>
  <si>
    <t>SSp-ul4</t>
  </si>
  <si>
    <t>Primary somatosensory area, upper limb, layer 4</t>
  </si>
  <si>
    <t>SSp-ul5</t>
  </si>
  <si>
    <t>Primary somatosensory area, upper limb, layer 5</t>
  </si>
  <si>
    <t>SSp-ul6a</t>
  </si>
  <si>
    <t>Primary somatosensory area, upper limb, layer 6a</t>
  </si>
  <si>
    <t>SSp-ul6b</t>
  </si>
  <si>
    <t>Primary somatosensory area, upper limb, layer 6b</t>
  </si>
  <si>
    <t>SSp-tr</t>
  </si>
  <si>
    <t>Primary somatosensory area, trunk</t>
  </si>
  <si>
    <t>SSp-tr1</t>
  </si>
  <si>
    <t>Primary somatosensory area, trunk, layer 1</t>
  </si>
  <si>
    <t>SSp-tr4</t>
  </si>
  <si>
    <t>Primary somatosensory area, trunk, layer 4</t>
  </si>
  <si>
    <t>SSp-tr5</t>
  </si>
  <si>
    <t>Primary somatosensory area, trunk, layer 5</t>
  </si>
  <si>
    <t>SSp-tr6a</t>
  </si>
  <si>
    <t>Primary somatosensory area, trunk, layer 6a</t>
  </si>
  <si>
    <t>SSp-tr6b</t>
  </si>
  <si>
    <t>Primary somatosensory area, trunk, layer 6b</t>
  </si>
  <si>
    <t>SSp-un</t>
  </si>
  <si>
    <t>Primary somatosensory area, unassigned</t>
  </si>
  <si>
    <t>SSp-un1</t>
  </si>
  <si>
    <t>Primary somatosensory area, unassigned, layer 1</t>
  </si>
  <si>
    <t>SSp-un4</t>
  </si>
  <si>
    <t>Primary somatosensory area, unassigned, layer 4</t>
  </si>
  <si>
    <t>SSp-un5</t>
  </si>
  <si>
    <t>Primary somatosensory area, unassigned, layer 5</t>
  </si>
  <si>
    <t>SSp-un6a</t>
  </si>
  <si>
    <t>Primary somatosensory area, unassigned, layer 6a</t>
  </si>
  <si>
    <t>SSp-un6b</t>
  </si>
  <si>
    <t>Primary somatosensory area, unassigned, layer 6b</t>
  </si>
  <si>
    <t>SSs</t>
  </si>
  <si>
    <t>Supplemental somatosensory area</t>
  </si>
  <si>
    <t>SSs1</t>
  </si>
  <si>
    <t>Supplemental somatosensory area, layer 1</t>
  </si>
  <si>
    <t>SSs4</t>
  </si>
  <si>
    <t>Supplemental somatosensory area, layer 4</t>
  </si>
  <si>
    <t>SSs5</t>
  </si>
  <si>
    <t>Supplemental somatosensory area, layer 5</t>
  </si>
  <si>
    <t>SSs6a</t>
  </si>
  <si>
    <t>Supplemental somatosensory area, layer 6a</t>
  </si>
  <si>
    <t>SSs6b</t>
  </si>
  <si>
    <t>Supplemental somatosensory area, layer 6b</t>
  </si>
  <si>
    <t>GU</t>
  </si>
  <si>
    <t>Gustatory areas</t>
  </si>
  <si>
    <t>GU1</t>
  </si>
  <si>
    <t>Gustatory areas, layer 1</t>
  </si>
  <si>
    <t>GU4</t>
  </si>
  <si>
    <t>Gustatory areas, layer 4</t>
  </si>
  <si>
    <t>GU5</t>
  </si>
  <si>
    <t>Gustatory areas, layer 5</t>
  </si>
  <si>
    <t>GU6a</t>
  </si>
  <si>
    <t>Gustatory areas, layer 6a</t>
  </si>
  <si>
    <t>GU6b</t>
  </si>
  <si>
    <t>Gustatory areas, layer 6b</t>
  </si>
  <si>
    <t>VISC</t>
  </si>
  <si>
    <t>Visceral area</t>
  </si>
  <si>
    <t>VISC1</t>
  </si>
  <si>
    <t>Visceral area, layer 1</t>
  </si>
  <si>
    <t>VISC4</t>
  </si>
  <si>
    <t>Visceral area, layer 4</t>
  </si>
  <si>
    <t>VISC5</t>
  </si>
  <si>
    <t>Visceral area, layer 5</t>
  </si>
  <si>
    <t>VISC6a</t>
  </si>
  <si>
    <t>Visceral area, layer 6a</t>
  </si>
  <si>
    <t>VISC6b</t>
  </si>
  <si>
    <t>Visceral area, layer 6b</t>
  </si>
  <si>
    <t>AUD</t>
  </si>
  <si>
    <t>Auditory areas</t>
  </si>
  <si>
    <t>AUDd</t>
  </si>
  <si>
    <t>Dorsal auditory area</t>
  </si>
  <si>
    <t>AUDd1</t>
  </si>
  <si>
    <t>Dorsal auditory area, layer 1</t>
  </si>
  <si>
    <t>AUDd4</t>
  </si>
  <si>
    <t>Dorsal auditory area, layer 4</t>
  </si>
  <si>
    <t>AUDd5</t>
  </si>
  <si>
    <t>Dorsal auditory area, layer 5</t>
  </si>
  <si>
    <t>AUDd6a</t>
  </si>
  <si>
    <t>Dorsal auditory area, layer 6a</t>
  </si>
  <si>
    <t>AUDd6b</t>
  </si>
  <si>
    <t>Dorsal auditory area, layer 6b</t>
  </si>
  <si>
    <t>VISlla</t>
  </si>
  <si>
    <t>Laterolateral anterior visual area</t>
  </si>
  <si>
    <t>VISlla1</t>
  </si>
  <si>
    <t>Laterolateral anterior visual area, layer 1</t>
  </si>
  <si>
    <t>VISlla4</t>
  </si>
  <si>
    <t>Laterolateral anterior visual area, layer 4</t>
  </si>
  <si>
    <t>VISlla5</t>
  </si>
  <si>
    <t>Laterolateral anterior visual area,layer 5</t>
  </si>
  <si>
    <t>VISlla6a</t>
  </si>
  <si>
    <t>Laterolateral anterior visual area, layer 6a</t>
  </si>
  <si>
    <t>VISlla6b</t>
  </si>
  <si>
    <t>Laterolateral anterior visual area, layer 6b</t>
  </si>
  <si>
    <t>AUDp</t>
  </si>
  <si>
    <t>Primary auditory area</t>
  </si>
  <si>
    <t>AUDp1</t>
  </si>
  <si>
    <t>Primary auditory area, layer 1</t>
  </si>
  <si>
    <t>AUDp4</t>
  </si>
  <si>
    <t>Primary auditory area, layer 4</t>
  </si>
  <si>
    <t>AUDp5</t>
  </si>
  <si>
    <t>Primary auditory area, layer 5</t>
  </si>
  <si>
    <t>AUDp6a</t>
  </si>
  <si>
    <t>Primary auditory area, layer 6a</t>
  </si>
  <si>
    <t>AUDp6b</t>
  </si>
  <si>
    <t>Primary auditory area, layer 6b</t>
  </si>
  <si>
    <t>AUDpo</t>
  </si>
  <si>
    <t>Posterior auditory area</t>
  </si>
  <si>
    <t>AUDpo1</t>
  </si>
  <si>
    <t>Posterior auditory area, layer 1</t>
  </si>
  <si>
    <t>AUDpo4</t>
  </si>
  <si>
    <t>Posterior auditory area, layer 4</t>
  </si>
  <si>
    <t>AUDpo5</t>
  </si>
  <si>
    <t>Posterior auditory area, layer 5</t>
  </si>
  <si>
    <t>AUDpo6a</t>
  </si>
  <si>
    <t>Posterior auditory area, layer 6a</t>
  </si>
  <si>
    <t>AUDpo6b</t>
  </si>
  <si>
    <t>Posterior auditory area, layer 6b</t>
  </si>
  <si>
    <t>AUDv</t>
  </si>
  <si>
    <t>Ventral auditory area</t>
  </si>
  <si>
    <t>AUDv1</t>
  </si>
  <si>
    <t>Ventral auditory area, layer 1</t>
  </si>
  <si>
    <t>AUDv4</t>
  </si>
  <si>
    <t>Ventral auditory area, layer 4</t>
  </si>
  <si>
    <t>AUDv5</t>
  </si>
  <si>
    <t>Ventral auditory area, layer 5</t>
  </si>
  <si>
    <t>AUDv6a</t>
  </si>
  <si>
    <t>Ventral auditory area, layer 6a</t>
  </si>
  <si>
    <t>AUDv6b</t>
  </si>
  <si>
    <t>Ventral auditory area, layer 6b</t>
  </si>
  <si>
    <t>VIS</t>
  </si>
  <si>
    <t>Visual areas</t>
  </si>
  <si>
    <t>VIS1</t>
  </si>
  <si>
    <t>Visual areas, layer 1</t>
  </si>
  <si>
    <t>VIS4</t>
  </si>
  <si>
    <t>Visual areas, layer 4</t>
  </si>
  <si>
    <t>VIS5</t>
  </si>
  <si>
    <t>Visual areas, layer 5</t>
  </si>
  <si>
    <t>VIS6a</t>
  </si>
  <si>
    <t>Visual areas, layer 6a</t>
  </si>
  <si>
    <t>VIS6b</t>
  </si>
  <si>
    <t>Visual areas, layer 6b</t>
  </si>
  <si>
    <t>VISal</t>
  </si>
  <si>
    <t>Anterolateral visual area</t>
  </si>
  <si>
    <t>VISal1</t>
  </si>
  <si>
    <t>Anterolateral visual area, layer 1</t>
  </si>
  <si>
    <t>VISal4</t>
  </si>
  <si>
    <t>Anterolateral visual area, layer 4</t>
  </si>
  <si>
    <t>VISal5</t>
  </si>
  <si>
    <t>Anterolateral visual area, layer 5</t>
  </si>
  <si>
    <t>VISal6a</t>
  </si>
  <si>
    <t>Anterolateral visual area, layer 6a</t>
  </si>
  <si>
    <t>VISal6b</t>
  </si>
  <si>
    <t>Anterolateral visual area, layer 6b</t>
  </si>
  <si>
    <t>VISam</t>
  </si>
  <si>
    <t>Anteromedial visual area</t>
  </si>
  <si>
    <t>VISam1</t>
  </si>
  <si>
    <t>Anteromedial visual area, layer 1</t>
  </si>
  <si>
    <t>VISam4</t>
  </si>
  <si>
    <t>Anteromedial visual area, layer 4</t>
  </si>
  <si>
    <t>VISam5</t>
  </si>
  <si>
    <t>Anteromedial visual area, layer 5</t>
  </si>
  <si>
    <t>VISam6a</t>
  </si>
  <si>
    <t>Anteromedial visual area, layer 6a</t>
  </si>
  <si>
    <t>VISam6b</t>
  </si>
  <si>
    <t>Anteromedial visual area, layer 6b</t>
  </si>
  <si>
    <t>VISl</t>
  </si>
  <si>
    <t>Lateral visual area</t>
  </si>
  <si>
    <t>VISl1</t>
  </si>
  <si>
    <t>Lateral visual area, layer 1</t>
  </si>
  <si>
    <t>VISl4</t>
  </si>
  <si>
    <t>Lateral visual area, layer 4</t>
  </si>
  <si>
    <t>VISl5</t>
  </si>
  <si>
    <t>Lateral visual area, layer 5</t>
  </si>
  <si>
    <t>VISl6a</t>
  </si>
  <si>
    <t>Lateral visual area, layer 6a</t>
  </si>
  <si>
    <t>VISl6b</t>
  </si>
  <si>
    <t>Lateral visual area, layer 6b</t>
  </si>
  <si>
    <t>VISp</t>
  </si>
  <si>
    <t>Primary visual area</t>
  </si>
  <si>
    <t>VISp1</t>
  </si>
  <si>
    <t>Primary visual area, layer 1</t>
  </si>
  <si>
    <t>VISp4</t>
  </si>
  <si>
    <t>Primary visual area, layer 4</t>
  </si>
  <si>
    <t>VISp5</t>
  </si>
  <si>
    <t>Primary visual area, layer 5</t>
  </si>
  <si>
    <t>VISp6a</t>
  </si>
  <si>
    <t>Primary visual area, layer 6a</t>
  </si>
  <si>
    <t>VISp6b</t>
  </si>
  <si>
    <t>Primary visual area, layer 6b</t>
  </si>
  <si>
    <t>VISpl</t>
  </si>
  <si>
    <t>Posterolateral visual area</t>
  </si>
  <si>
    <t>VISpl1</t>
  </si>
  <si>
    <t>Posterolateral visual area, layer 1</t>
  </si>
  <si>
    <t>VISpl4</t>
  </si>
  <si>
    <t>Posterolateral visual area, layer 4</t>
  </si>
  <si>
    <t>VISpl5</t>
  </si>
  <si>
    <t>Posterolateral visual area, layer 5</t>
  </si>
  <si>
    <t>VISpl6a</t>
  </si>
  <si>
    <t>Posterolateral visual area, layer 6a</t>
  </si>
  <si>
    <t>VISpl6b</t>
  </si>
  <si>
    <t>Posterolateral visual area, layer 6b</t>
  </si>
  <si>
    <t>VISpm</t>
  </si>
  <si>
    <t>posteromedial visual area</t>
  </si>
  <si>
    <t>VISpm1</t>
  </si>
  <si>
    <t>posteromedial visual area, layer 1</t>
  </si>
  <si>
    <t>VISpm4</t>
  </si>
  <si>
    <t>posteromedial visual area, layer 4</t>
  </si>
  <si>
    <t>VISpm5</t>
  </si>
  <si>
    <t>posteromedial visual area, layer 5</t>
  </si>
  <si>
    <t>VISpm6a</t>
  </si>
  <si>
    <t>posteromedial visual area, layer 6a</t>
  </si>
  <si>
    <t>VISpm6b</t>
  </si>
  <si>
    <t>posteromedial visual area, layer 6b</t>
  </si>
  <si>
    <t>VISli</t>
  </si>
  <si>
    <t>Laterointermediate area</t>
  </si>
  <si>
    <t>VISli1</t>
  </si>
  <si>
    <t>Laterointermediate area, layer 1</t>
  </si>
  <si>
    <t>VISli4</t>
  </si>
  <si>
    <t>Laterointermediate area, layer 4</t>
  </si>
  <si>
    <t>VISli5</t>
  </si>
  <si>
    <t>Laterointermediate area, layer 5</t>
  </si>
  <si>
    <t>VISli6a</t>
  </si>
  <si>
    <t>Laterointermediate area, layer 6a</t>
  </si>
  <si>
    <t>VISli6b</t>
  </si>
  <si>
    <t>Laterointermediate area, layer 6b</t>
  </si>
  <si>
    <t>VISpor</t>
  </si>
  <si>
    <t>Postrhinal area</t>
  </si>
  <si>
    <t>VISpor1</t>
  </si>
  <si>
    <t>Postrhinal area, layer 1</t>
  </si>
  <si>
    <t>VISpor4</t>
  </si>
  <si>
    <t>Postrhinal area, layer 4</t>
  </si>
  <si>
    <t>VISpor5</t>
  </si>
  <si>
    <t>Postrhinal area, layer 5</t>
  </si>
  <si>
    <t>VISpor6a</t>
  </si>
  <si>
    <t>Postrhinal area, layer 6a</t>
  </si>
  <si>
    <t>VISpor6b</t>
  </si>
  <si>
    <t>Postrhinal area, layer 6b</t>
  </si>
  <si>
    <t>ACA</t>
  </si>
  <si>
    <t>Anterior cingulate area</t>
  </si>
  <si>
    <t>ACA1</t>
  </si>
  <si>
    <t>Anterior cingulate area, layer 1</t>
  </si>
  <si>
    <t>ACA5</t>
  </si>
  <si>
    <t>Anterior cingulate area, layer 5</t>
  </si>
  <si>
    <t>ACA6a</t>
  </si>
  <si>
    <t>Anterior cingulate area, layer 6a</t>
  </si>
  <si>
    <t>ACA6b</t>
  </si>
  <si>
    <t>Anterior cingulate area, layer 6b</t>
  </si>
  <si>
    <t>ACAd</t>
  </si>
  <si>
    <t>Anterior cingulate area, dorsal part</t>
  </si>
  <si>
    <t>ACAd1</t>
  </si>
  <si>
    <t>Anterior cingulate area, dorsal part, layer 1</t>
  </si>
  <si>
    <t>ACAd5</t>
  </si>
  <si>
    <t>Anterior cingulate area, dorsal part, layer 5</t>
  </si>
  <si>
    <t>ACAd6a</t>
  </si>
  <si>
    <t>Anterior cingulate area, dorsal part, layer 6a</t>
  </si>
  <si>
    <t>ACAd6b</t>
  </si>
  <si>
    <t>Anterior cingulate area, dorsal part, layer 6b</t>
  </si>
  <si>
    <t>ACAv</t>
  </si>
  <si>
    <t>Anterior cingulate area, ventral part</t>
  </si>
  <si>
    <t>ACAv1</t>
  </si>
  <si>
    <t>Anterior cingulate area, ventral part, layer 1</t>
  </si>
  <si>
    <t>ACAv5</t>
  </si>
  <si>
    <t>Anterior cingulate area, ventral part, layer 5</t>
  </si>
  <si>
    <t>ACAv6a</t>
  </si>
  <si>
    <t>Anterior cingulate area, ventral part, 6a</t>
  </si>
  <si>
    <t>ACAv6b</t>
  </si>
  <si>
    <t>Anterior cingulate area, ventral part, 6b</t>
  </si>
  <si>
    <t>PL</t>
  </si>
  <si>
    <t>Prelimbic area</t>
  </si>
  <si>
    <t>PL1</t>
  </si>
  <si>
    <t>Prelimbic area, layer 1</t>
  </si>
  <si>
    <t>PL2</t>
  </si>
  <si>
    <t>Prelimbic area, layer 2</t>
  </si>
  <si>
    <t>PL5</t>
  </si>
  <si>
    <t>Prelimbic area, layer 5</t>
  </si>
  <si>
    <t>PL6a</t>
  </si>
  <si>
    <t>Prelimbic area, layer 6a</t>
  </si>
  <si>
    <t>PL6b</t>
  </si>
  <si>
    <t>Prelimbic area, layer 6b</t>
  </si>
  <si>
    <t>ILA</t>
  </si>
  <si>
    <t>Infralimbic area</t>
  </si>
  <si>
    <t>ILA1</t>
  </si>
  <si>
    <t>Infralimbic area, layer 1</t>
  </si>
  <si>
    <t>ILA2</t>
  </si>
  <si>
    <t>Infralimbic area, layer 2</t>
  </si>
  <si>
    <t>ILA5</t>
  </si>
  <si>
    <t>Infralimbic area, layer 5</t>
  </si>
  <si>
    <t>ILA6a</t>
  </si>
  <si>
    <t>Infralimbic area, layer 6a</t>
  </si>
  <si>
    <t>ILA6b</t>
  </si>
  <si>
    <t>Infralimbic area, layer 6b</t>
  </si>
  <si>
    <t>ORB</t>
  </si>
  <si>
    <t>Orbital area</t>
  </si>
  <si>
    <t>ORB1</t>
  </si>
  <si>
    <t>Orbital area, layer 1</t>
  </si>
  <si>
    <t>ORB5</t>
  </si>
  <si>
    <t>Orbital area, layer 5</t>
  </si>
  <si>
    <t>ORB6a</t>
  </si>
  <si>
    <t>Orbital area, layer 6a</t>
  </si>
  <si>
    <t>ORB6b</t>
  </si>
  <si>
    <t>Orbital area, layer 6b</t>
  </si>
  <si>
    <t>ORBl</t>
  </si>
  <si>
    <t>Orbital area, lateral part</t>
  </si>
  <si>
    <t>ORBl1</t>
  </si>
  <si>
    <t>Orbital area, lateral part, layer 1</t>
  </si>
  <si>
    <t>ORBl5</t>
  </si>
  <si>
    <t>Orbital area, lateral part, layer 5</t>
  </si>
  <si>
    <t>ORBl6a</t>
  </si>
  <si>
    <t>Orbital area, lateral part, layer 6a</t>
  </si>
  <si>
    <t>ORBl6b</t>
  </si>
  <si>
    <t>Orbital area, lateral part, layer 6b</t>
  </si>
  <si>
    <t>ORBm</t>
  </si>
  <si>
    <t>Orbital area, medial part</t>
  </si>
  <si>
    <t>ORBm1</t>
  </si>
  <si>
    <t>Orbital area, medial part, layer 1</t>
  </si>
  <si>
    <t>ORBm2</t>
  </si>
  <si>
    <t>Orbital area, medial part, layer 2</t>
  </si>
  <si>
    <t>ORBm5</t>
  </si>
  <si>
    <t>Orbital area, medial part, layer 5</t>
  </si>
  <si>
    <t>ORBm6a</t>
  </si>
  <si>
    <t>Orbital area, medial part, layer 6a</t>
  </si>
  <si>
    <t>ORBm6b</t>
  </si>
  <si>
    <t>Orbital area, medial part, layer 6b</t>
  </si>
  <si>
    <t>ORBv</t>
  </si>
  <si>
    <t>Orbital area, ventral part</t>
  </si>
  <si>
    <t>ORBvl</t>
  </si>
  <si>
    <t>Orbital area, ventrolateral part</t>
  </si>
  <si>
    <t>ORBvl1</t>
  </si>
  <si>
    <t>Orbital area, ventrolateral part, layer 1</t>
  </si>
  <si>
    <t>ORBvl5</t>
  </si>
  <si>
    <t>Orbital area, ventrolateral part, layer 5</t>
  </si>
  <si>
    <t>ORBvl6a</t>
  </si>
  <si>
    <t>Orbital area, ventrolateral part, layer 6a</t>
  </si>
  <si>
    <t>ORBvl6b</t>
  </si>
  <si>
    <t>Orbital area, ventrolateral part, layer 6b</t>
  </si>
  <si>
    <t>AI</t>
  </si>
  <si>
    <t>Agranular insular area</t>
  </si>
  <si>
    <t>AId</t>
  </si>
  <si>
    <t>Agranular insular area, dorsal part</t>
  </si>
  <si>
    <t>AId1</t>
  </si>
  <si>
    <t>Agranular insular area, dorsal part, layer 1</t>
  </si>
  <si>
    <t>AId5</t>
  </si>
  <si>
    <t>Agranular insular area, dorsal part, layer 5</t>
  </si>
  <si>
    <t>AId6a</t>
  </si>
  <si>
    <t>Agranular insular area, dorsal part, layer 6a</t>
  </si>
  <si>
    <t>AId6b</t>
  </si>
  <si>
    <t>Agranular insular area, dorsal part, layer 6b</t>
  </si>
  <si>
    <t>AIp</t>
  </si>
  <si>
    <t>Agranular insular area, posterior part</t>
  </si>
  <si>
    <t>AIp1</t>
  </si>
  <si>
    <t>Agranular insular area, posterior part, layer 1</t>
  </si>
  <si>
    <t>AIp5</t>
  </si>
  <si>
    <t>Agranular insular area, posterior part, layer 5</t>
  </si>
  <si>
    <t>AIp6a</t>
  </si>
  <si>
    <t>Agranular insular area, posterior part, layer 6a</t>
  </si>
  <si>
    <t>AIp6b</t>
  </si>
  <si>
    <t>Agranular insular area, posterior part, layer 6b</t>
  </si>
  <si>
    <t>AIv</t>
  </si>
  <si>
    <t>Agranular insular area, ventral part</t>
  </si>
  <si>
    <t>AIv1</t>
  </si>
  <si>
    <t>Agranular insular area, ventral part, layer 1</t>
  </si>
  <si>
    <t>AIv5</t>
  </si>
  <si>
    <t>Agranular insular area, ventral part, layer 5</t>
  </si>
  <si>
    <t>AIv6a</t>
  </si>
  <si>
    <t>Agranular insular area, ventral part, layer 6a</t>
  </si>
  <si>
    <t>AIv6b</t>
  </si>
  <si>
    <t>Agranular insular area, ventral part, layer 6b</t>
  </si>
  <si>
    <t>RSP</t>
  </si>
  <si>
    <t>Retrosplenial area</t>
  </si>
  <si>
    <t>RSPagl</t>
  </si>
  <si>
    <t>Retrosplenial area, lateral agranular part</t>
  </si>
  <si>
    <t>RSPagl1</t>
  </si>
  <si>
    <t>Retrosplenial area, lateral agranular part, layer 1</t>
  </si>
  <si>
    <t>RSPagl5</t>
  </si>
  <si>
    <t>Retrosplenial area, lateral agranular part, layer 5</t>
  </si>
  <si>
    <t>RSPagl6a</t>
  </si>
  <si>
    <t>Retrosplenial area, lateral agranular part, layer 6a</t>
  </si>
  <si>
    <t>RSPagl6b</t>
  </si>
  <si>
    <t>Retrosplenial area, lateral agranular part, layer 6b</t>
  </si>
  <si>
    <t>VISmma</t>
  </si>
  <si>
    <t>Mediomedial anterior visual area</t>
  </si>
  <si>
    <t>VISmma1</t>
  </si>
  <si>
    <t>Mediomedial anterior visual area, layer 1</t>
  </si>
  <si>
    <t>VISmma4</t>
  </si>
  <si>
    <t>Mediomedial anterior visual area, layer 4</t>
  </si>
  <si>
    <t>VISmma5</t>
  </si>
  <si>
    <t>Mediomedial anterior visual area,layer 5</t>
  </si>
  <si>
    <t>VISmma6a</t>
  </si>
  <si>
    <t>Mediomedial anterior visual area, layer 6a</t>
  </si>
  <si>
    <t>VISmma6b</t>
  </si>
  <si>
    <t>Mediomedial anterior visual area, layer 6b</t>
  </si>
  <si>
    <t>VISmmp</t>
  </si>
  <si>
    <t>Mediomedial posterior visual area</t>
  </si>
  <si>
    <t>VISmmp1</t>
  </si>
  <si>
    <t>Mediomedial posterior visual area, layer 1</t>
  </si>
  <si>
    <t>VISmmp4</t>
  </si>
  <si>
    <t>Mediomedial posterior visual area, layer 4</t>
  </si>
  <si>
    <t>VISmmp5</t>
  </si>
  <si>
    <t>Mediomedial posterior visual area,layer 5</t>
  </si>
  <si>
    <t>VISmmp6a</t>
  </si>
  <si>
    <t>Mediomedial posterior visual area, layer 6a</t>
  </si>
  <si>
    <t>VISmmp6b</t>
  </si>
  <si>
    <t>Mediomedial posterior visual area, layer 6b</t>
  </si>
  <si>
    <t>VISm</t>
  </si>
  <si>
    <t>Medial visual area</t>
  </si>
  <si>
    <t>VISm1</t>
  </si>
  <si>
    <t>Medial visual area, layer 1</t>
  </si>
  <si>
    <t>VISm4</t>
  </si>
  <si>
    <t>Medial visual area, layer 4</t>
  </si>
  <si>
    <t>VISm5</t>
  </si>
  <si>
    <t>Medial visual area,layer 5</t>
  </si>
  <si>
    <t>VISm6a</t>
  </si>
  <si>
    <t>Medial visual area, layer 6a</t>
  </si>
  <si>
    <t>VISm6b</t>
  </si>
  <si>
    <t>Medial visual area, layer 6b</t>
  </si>
  <si>
    <t>RSPd</t>
  </si>
  <si>
    <t>Retrosplenial area, dorsal part</t>
  </si>
  <si>
    <t>RSPd1</t>
  </si>
  <si>
    <t>Retrosplenial area, dorsal part, layer 1</t>
  </si>
  <si>
    <t>RSPd4</t>
  </si>
  <si>
    <t>Retrosplenial area, dorsal part, layer 4</t>
  </si>
  <si>
    <t>RSPd5</t>
  </si>
  <si>
    <t>Retrosplenial area, dorsal part, layer 5</t>
  </si>
  <si>
    <t>RSPd6a</t>
  </si>
  <si>
    <t>Retrosplenial area, dorsal part, layer 6a</t>
  </si>
  <si>
    <t>RSPd6b</t>
  </si>
  <si>
    <t>Retrosplenial area, dorsal part, layer 6b</t>
  </si>
  <si>
    <t>RSPv</t>
  </si>
  <si>
    <t>Retrosplenial area, ventral part</t>
  </si>
  <si>
    <t>RSPv1</t>
  </si>
  <si>
    <t>Retrosplenial area, ventral part, layer 1</t>
  </si>
  <si>
    <t>RSPv2</t>
  </si>
  <si>
    <t>Retrosplenial area, ventral part, layer 2</t>
  </si>
  <si>
    <t>RSPv5</t>
  </si>
  <si>
    <t>Retrosplenial area, ventral part, layer 5</t>
  </si>
  <si>
    <t>RSPv6a</t>
  </si>
  <si>
    <t>Retrosplenial area, ventral part, layer 6a</t>
  </si>
  <si>
    <t>RSPv6b</t>
  </si>
  <si>
    <t>Retrosplenial area, ventral part, layer 6b</t>
  </si>
  <si>
    <t>PTLp</t>
  </si>
  <si>
    <t>Posterior parietal association areas</t>
  </si>
  <si>
    <t>PTLp1</t>
  </si>
  <si>
    <t>Posterior parietal association areas, layer 1</t>
  </si>
  <si>
    <t>PTLp4</t>
  </si>
  <si>
    <t>Posterior parietal association areas, layer 4</t>
  </si>
  <si>
    <t>PTLp5</t>
  </si>
  <si>
    <t>Posterior parietal association areas, layer 5</t>
  </si>
  <si>
    <t>PTLp6a</t>
  </si>
  <si>
    <t>Posterior parietal association areas, layer 6a</t>
  </si>
  <si>
    <t>PTLp6b</t>
  </si>
  <si>
    <t>Posterior parietal association areas, layer 6b</t>
  </si>
  <si>
    <t>VISa</t>
  </si>
  <si>
    <t>Anterior area</t>
  </si>
  <si>
    <t>VISa1</t>
  </si>
  <si>
    <t>Anterior area, layer 1</t>
  </si>
  <si>
    <t>VISa4</t>
  </si>
  <si>
    <t>Anterior area, layer 4</t>
  </si>
  <si>
    <t>VISa5</t>
  </si>
  <si>
    <t>Anterior area, layer 5</t>
  </si>
  <si>
    <t>VISa6a</t>
  </si>
  <si>
    <t>Anterior area, layer 6a</t>
  </si>
  <si>
    <t>VISa6b</t>
  </si>
  <si>
    <t>Anterior area, layer 6b</t>
  </si>
  <si>
    <t>VISrl</t>
  </si>
  <si>
    <t>Rostrolateral visual area</t>
  </si>
  <si>
    <t>VISrl1</t>
  </si>
  <si>
    <t>Rostrolateral area, layer 1</t>
  </si>
  <si>
    <t>VISrl4</t>
  </si>
  <si>
    <t>Rostrolateral area, layer 4</t>
  </si>
  <si>
    <t>VISrl5</t>
  </si>
  <si>
    <t>Rostrolateral area, layer 5</t>
  </si>
  <si>
    <t>VISrl6a</t>
  </si>
  <si>
    <t>Rostrolateral area, layer 6a</t>
  </si>
  <si>
    <t>VISrl6b</t>
  </si>
  <si>
    <t>Rostrolateral area, layer 6b</t>
  </si>
  <si>
    <t>TEa</t>
  </si>
  <si>
    <t>Temporal association areas</t>
  </si>
  <si>
    <t>TEa1</t>
  </si>
  <si>
    <t>Temporal association areas, layer 1</t>
  </si>
  <si>
    <t>TEa4</t>
  </si>
  <si>
    <t>Temporal association areas, layer 4</t>
  </si>
  <si>
    <t>TEa5</t>
  </si>
  <si>
    <t>Temporal association areas, layer 5</t>
  </si>
  <si>
    <t>TEa6a</t>
  </si>
  <si>
    <t>Temporal association areas, layer 6a</t>
  </si>
  <si>
    <t>TEa6b</t>
  </si>
  <si>
    <t>Temporal association areas, layer 6b</t>
  </si>
  <si>
    <t>PERI</t>
  </si>
  <si>
    <t>Perirhinal area</t>
  </si>
  <si>
    <t>PERI1</t>
  </si>
  <si>
    <t>Perirhinal area, layer 1</t>
  </si>
  <si>
    <t>PERI5</t>
  </si>
  <si>
    <t>Perirhinal area, layer 5</t>
  </si>
  <si>
    <t>PERI6a</t>
  </si>
  <si>
    <t>Perirhinal area, layer 6a</t>
  </si>
  <si>
    <t>PERI6b</t>
  </si>
  <si>
    <t>Perirhinal area, layer 6b</t>
  </si>
  <si>
    <t>ECT</t>
  </si>
  <si>
    <t>Ectorhinal area</t>
  </si>
  <si>
    <t>ECT1</t>
  </si>
  <si>
    <t>ECT5</t>
  </si>
  <si>
    <t>ECT6a</t>
  </si>
  <si>
    <t>ECT6b</t>
  </si>
  <si>
    <t>OLF</t>
  </si>
  <si>
    <t>Olfactory areas</t>
  </si>
  <si>
    <t>MOB</t>
  </si>
  <si>
    <t>Main olfactory bulb</t>
  </si>
  <si>
    <t>MOBgl</t>
  </si>
  <si>
    <t>Main olfactory bulb, glomerular layer</t>
  </si>
  <si>
    <t>MOBgr</t>
  </si>
  <si>
    <t>Main olfactory bulb, granule layer</t>
  </si>
  <si>
    <t>MOBipl</t>
  </si>
  <si>
    <t>Main olfactory bulb, inner plexiform layer</t>
  </si>
  <si>
    <t>MOBmi</t>
  </si>
  <si>
    <t>Main olfactory bulb, mitral layer</t>
  </si>
  <si>
    <t>MOBopl</t>
  </si>
  <si>
    <t>Main olfactory bulb, outer plexiform layer</t>
  </si>
  <si>
    <t>AOB</t>
  </si>
  <si>
    <t>Accessory olfactory bulb</t>
  </si>
  <si>
    <t>AOBgl</t>
  </si>
  <si>
    <t>Accessory olfactory bulb, glomerular layer</t>
  </si>
  <si>
    <t>AOBgr</t>
  </si>
  <si>
    <t>Accessory olfactory bulb, granular layer</t>
  </si>
  <si>
    <t>AOBmi</t>
  </si>
  <si>
    <t>Accessory olfactory bulb, mitral layer</t>
  </si>
  <si>
    <t>AON</t>
  </si>
  <si>
    <t>Anterior olfactory nucleus</t>
  </si>
  <si>
    <t>AONd</t>
  </si>
  <si>
    <t>Anterior olfactory nucleus, dorsal part</t>
  </si>
  <si>
    <t>AONe</t>
  </si>
  <si>
    <t>Anterior olfactory nucleus, external part</t>
  </si>
  <si>
    <t>AONl</t>
  </si>
  <si>
    <t>Anterior olfactory nucleus, lateral part</t>
  </si>
  <si>
    <t>AONm</t>
  </si>
  <si>
    <t>Anterior olfactory nucleus, medial part</t>
  </si>
  <si>
    <t>AONpv</t>
  </si>
  <si>
    <t>Anterior olfactory nucleus, posteroventral part</t>
  </si>
  <si>
    <t>AON1</t>
  </si>
  <si>
    <t>Anterior olfactory nucleus, layer 1</t>
  </si>
  <si>
    <t>AON2</t>
  </si>
  <si>
    <t>Anterior olfactory nucleus, layer 2</t>
  </si>
  <si>
    <t>TT</t>
  </si>
  <si>
    <t>Taenia tecta</t>
  </si>
  <si>
    <t>TTd</t>
  </si>
  <si>
    <t>Taenia tecta, dorsal part</t>
  </si>
  <si>
    <t>TTd1-4</t>
  </si>
  <si>
    <t>Taenia tecta, dorsal part, layers 1-4</t>
  </si>
  <si>
    <t>TTd1</t>
  </si>
  <si>
    <t>Taenia tecta, dorsal part, layer 1</t>
  </si>
  <si>
    <t>TTd2</t>
  </si>
  <si>
    <t>Taenia tecta, dorsal part, layer 2</t>
  </si>
  <si>
    <t>TTd3</t>
  </si>
  <si>
    <t>Taenia tecta, dorsal part, layer 3</t>
  </si>
  <si>
    <t>TTd4</t>
  </si>
  <si>
    <t>Taenia tecta, dorsal part, layer 4</t>
  </si>
  <si>
    <t>TTv</t>
  </si>
  <si>
    <t>Taenia tecta, ventral part</t>
  </si>
  <si>
    <t>TTv1-3</t>
  </si>
  <si>
    <t>Taenia tecta, ventral part, layers 1-3</t>
  </si>
  <si>
    <t>TTv1</t>
  </si>
  <si>
    <t>Taenia tecta, ventral part, layer 1</t>
  </si>
  <si>
    <t>TTv2</t>
  </si>
  <si>
    <t>Taenia tecta, ventral part, layer 2</t>
  </si>
  <si>
    <t>TTv3</t>
  </si>
  <si>
    <t>Taenia tecta, ventral part, layer 3</t>
  </si>
  <si>
    <t>DP</t>
  </si>
  <si>
    <t>Dorsal peduncular area</t>
  </si>
  <si>
    <t>DP1</t>
  </si>
  <si>
    <t>Dorsal peduncular area, layer 1</t>
  </si>
  <si>
    <t>DP2</t>
  </si>
  <si>
    <t>Dorsal peduncular area, layer 2</t>
  </si>
  <si>
    <t>DP5</t>
  </si>
  <si>
    <t>Dorsal peduncular area, layer 5</t>
  </si>
  <si>
    <t>DP6a</t>
  </si>
  <si>
    <t>Dorsal peduncular area, layer 6a</t>
  </si>
  <si>
    <t>PIR</t>
  </si>
  <si>
    <t>Piriform area</t>
  </si>
  <si>
    <t>PIR1-3</t>
  </si>
  <si>
    <t>Piriform area, layers 1-3</t>
  </si>
  <si>
    <t>PIR1</t>
  </si>
  <si>
    <t>Piriform area, molecular layer</t>
  </si>
  <si>
    <t>PIR2</t>
  </si>
  <si>
    <t>Piriform area, pyramidal layer</t>
  </si>
  <si>
    <t>PIR3</t>
  </si>
  <si>
    <t>Piriform area, polymorph layer</t>
  </si>
  <si>
    <t>NLOT</t>
  </si>
  <si>
    <t>Nucleus of the lateral olfactory tract</t>
  </si>
  <si>
    <t>NLOT1-3</t>
  </si>
  <si>
    <t>Nucleus of the lateral olfactory tract, layers 1-3</t>
  </si>
  <si>
    <t>NLOT1</t>
  </si>
  <si>
    <t>Nucleus of the lateral olfactory tract, molecular layer</t>
  </si>
  <si>
    <t>NLOT2</t>
  </si>
  <si>
    <t>Nucleus of the lateral olfactory tract, pyramidal layer</t>
  </si>
  <si>
    <t>NLOT3</t>
  </si>
  <si>
    <t>Nucleus of the lateral olfactory tract, layer 3</t>
  </si>
  <si>
    <t>COA</t>
  </si>
  <si>
    <t>Cortical amygdalar area</t>
  </si>
  <si>
    <t>COAa</t>
  </si>
  <si>
    <t>Cortical amygdalar area, anterior part</t>
  </si>
  <si>
    <t>COAa1</t>
  </si>
  <si>
    <t>Cortical amygdalar area, anterior part, layer 1</t>
  </si>
  <si>
    <t>COAa2</t>
  </si>
  <si>
    <t>Cortical amygdalar area, anterior part, layer 2</t>
  </si>
  <si>
    <t>COAa3</t>
  </si>
  <si>
    <t>Cortical amygdalar area, anterior part, layer 3</t>
  </si>
  <si>
    <t>COAp</t>
  </si>
  <si>
    <t>Cortical amygdalar area, posterior part</t>
  </si>
  <si>
    <t>COApl</t>
  </si>
  <si>
    <t>Cortical amygdalar area, posterior part, lateral zone</t>
  </si>
  <si>
    <t>COApl1-2</t>
  </si>
  <si>
    <t>Cortical amygdalar area, posterior part, lateral zone, layers 1-2</t>
  </si>
  <si>
    <t>COApl1-3</t>
  </si>
  <si>
    <t>Cortical amygdalar area, posterior part, lateral zone, layers 1-3</t>
  </si>
  <si>
    <t>COApl1</t>
  </si>
  <si>
    <t>Cortical amygdalar area, posterior part, lateral zone, layer 1</t>
  </si>
  <si>
    <t>COApl2</t>
  </si>
  <si>
    <t>Cortical amygdalar area, posterior part, lateral zone, layer 2</t>
  </si>
  <si>
    <t>COApl3</t>
  </si>
  <si>
    <t>Cortical amygdalar area, posterior part, lateral zone, layer 3</t>
  </si>
  <si>
    <t>COApm</t>
  </si>
  <si>
    <t>Cortical amygdalar area, posterior part, medial zone</t>
  </si>
  <si>
    <t>COApm1-2</t>
  </si>
  <si>
    <t>Cortical amygdalar area, posterior part, medial zone, layers 1-2</t>
  </si>
  <si>
    <t>COApm1-3</t>
  </si>
  <si>
    <t>Cortical amygdalar area, posterior part, medial zone, layers 1-3</t>
  </si>
  <si>
    <t>COApm1</t>
  </si>
  <si>
    <t>Cortical amygdalar area, posterior part, medial zone, layer 1</t>
  </si>
  <si>
    <t>COApm2</t>
  </si>
  <si>
    <t>Cortical amygdalar area, posterior part, medial zone, layer 2</t>
  </si>
  <si>
    <t>COApm3</t>
  </si>
  <si>
    <t>Cortical amygdalar area, posterior part, medial zone, layer 3</t>
  </si>
  <si>
    <t>PAA</t>
  </si>
  <si>
    <t>Piriform-amygdalar area</t>
  </si>
  <si>
    <t>PAA1-3</t>
  </si>
  <si>
    <t>Piriform-amygdalar area, layers 1-3</t>
  </si>
  <si>
    <t>PAA1</t>
  </si>
  <si>
    <t>Piriform-amygdalar area, molecular layer</t>
  </si>
  <si>
    <t>PAA2</t>
  </si>
  <si>
    <t>Piriform-amygdalar area, pyramidal layer</t>
  </si>
  <si>
    <t>PAA3</t>
  </si>
  <si>
    <t>Piriform-amygdalar area, polymorph layer</t>
  </si>
  <si>
    <t>TR</t>
  </si>
  <si>
    <t>Postpiriform transition area</t>
  </si>
  <si>
    <t>TR1-3</t>
  </si>
  <si>
    <t>Postpiriform transition area, layers 1-3</t>
  </si>
  <si>
    <t>TR1</t>
  </si>
  <si>
    <t>Postpiriform transition area, layers 1</t>
  </si>
  <si>
    <t>TR2</t>
  </si>
  <si>
    <t>Postpiriform transition area, layers 2</t>
  </si>
  <si>
    <t>TR3</t>
  </si>
  <si>
    <t>Postpiriform transition area, layers 3</t>
  </si>
  <si>
    <t>HPF</t>
  </si>
  <si>
    <t>Hippocampal formation</t>
  </si>
  <si>
    <t>HIP</t>
  </si>
  <si>
    <t>Hippocampal region</t>
  </si>
  <si>
    <t>CA</t>
  </si>
  <si>
    <t>Ammon's horn</t>
  </si>
  <si>
    <t>CA1</t>
  </si>
  <si>
    <t>Field CA1</t>
  </si>
  <si>
    <t>CA1slm</t>
  </si>
  <si>
    <t>Field CA1, stratum lacunosum-moleculare</t>
  </si>
  <si>
    <t>CA1so</t>
  </si>
  <si>
    <t>Field CA1, stratum oriens</t>
  </si>
  <si>
    <t>CA1sp</t>
  </si>
  <si>
    <t>Field CA1, pyramidal layer</t>
  </si>
  <si>
    <t>CA1sr</t>
  </si>
  <si>
    <t>Field CA1, stratum radiatum</t>
  </si>
  <si>
    <t>CA2</t>
  </si>
  <si>
    <t>Field CA2</t>
  </si>
  <si>
    <t>CA2slm</t>
  </si>
  <si>
    <t>Field CA2, stratum lacunosum-moleculare</t>
  </si>
  <si>
    <t>CA2so</t>
  </si>
  <si>
    <t>Field CA2, stratum oriens</t>
  </si>
  <si>
    <t>CA2sp</t>
  </si>
  <si>
    <t>Field CA2, pyramidal layer</t>
  </si>
  <si>
    <t>CA2sr</t>
  </si>
  <si>
    <t>Field CA2, stratum radiatum</t>
  </si>
  <si>
    <t>CA3</t>
  </si>
  <si>
    <t>Field CA3</t>
  </si>
  <si>
    <t>CA3slm</t>
  </si>
  <si>
    <t>Field CA3, stratum lacunosum-moleculare</t>
  </si>
  <si>
    <t>CA3slu</t>
  </si>
  <si>
    <t>Field CA3, stratum lucidum</t>
  </si>
  <si>
    <t>CA3so</t>
  </si>
  <si>
    <t>Field CA3, stratum oriens</t>
  </si>
  <si>
    <t>CA3sp</t>
  </si>
  <si>
    <t>Field CA3, pyramidal layer</t>
  </si>
  <si>
    <t>CA3sr</t>
  </si>
  <si>
    <t>Field CA3, stratum radiatum</t>
  </si>
  <si>
    <t>DG</t>
  </si>
  <si>
    <t>Dentate gyrus</t>
  </si>
  <si>
    <t>DG-mo</t>
  </si>
  <si>
    <t>Dentate gyrus, molecular layer</t>
  </si>
  <si>
    <t>DG-po</t>
  </si>
  <si>
    <t>Dentate gyrus, polymorph layer</t>
  </si>
  <si>
    <t>DG-sg</t>
  </si>
  <si>
    <t>Dentate gyrus, granule cell layer</t>
  </si>
  <si>
    <t>DG-sgz</t>
  </si>
  <si>
    <t>Dentate gyrus, subgranular zone</t>
  </si>
  <si>
    <t>DGcr</t>
  </si>
  <si>
    <t>Dentate gyrus crest</t>
  </si>
  <si>
    <t>DGcr-mo</t>
  </si>
  <si>
    <t>Dentate gyrus crest, molecular layer</t>
  </si>
  <si>
    <t>DGcr-po</t>
  </si>
  <si>
    <t>Dentate gyrus crest, polymorph layer</t>
  </si>
  <si>
    <t>DGcr-sg</t>
  </si>
  <si>
    <t>Dentate gyrus crest, granule cell layer</t>
  </si>
  <si>
    <t>DGlb</t>
  </si>
  <si>
    <t>Dentate gyrus lateral blade</t>
  </si>
  <si>
    <t>DGlb-mo</t>
  </si>
  <si>
    <t>Dentate gyrus lateral blade, molecular layer</t>
  </si>
  <si>
    <t>DGlb-po</t>
  </si>
  <si>
    <t>Dentate gyrus lateral blade, polymorph layer</t>
  </si>
  <si>
    <t>DGlb-sg</t>
  </si>
  <si>
    <t>Dentate gyrus lateral blade, granule cell layer</t>
  </si>
  <si>
    <t>DGmb</t>
  </si>
  <si>
    <t>Dentate gyrus medial blade</t>
  </si>
  <si>
    <t>DGmb-mo</t>
  </si>
  <si>
    <t>Dentate gyrus medial blade, molecular layer</t>
  </si>
  <si>
    <t>DGmb-po</t>
  </si>
  <si>
    <t>Dentate gyrus medial blade, polymorph layer</t>
  </si>
  <si>
    <t>DGmb-sg</t>
  </si>
  <si>
    <t>Dentate gyrus medial blade, granule cell layer</t>
  </si>
  <si>
    <t>FC</t>
  </si>
  <si>
    <t>Fasciola cinerea</t>
  </si>
  <si>
    <t>IG</t>
  </si>
  <si>
    <t>Induseum griseum</t>
  </si>
  <si>
    <t>RHP</t>
  </si>
  <si>
    <t>Retrohippocampal region</t>
  </si>
  <si>
    <t>ENT</t>
  </si>
  <si>
    <t>Entorhinal area</t>
  </si>
  <si>
    <t>ENTl</t>
  </si>
  <si>
    <t>Entorhinal area, lateral part</t>
  </si>
  <si>
    <t>ENTl1</t>
  </si>
  <si>
    <t>Entorhinal area, lateral part, layer 1</t>
  </si>
  <si>
    <t>ENTl2</t>
  </si>
  <si>
    <t>Entorhinal area, lateral part, layer 2</t>
  </si>
  <si>
    <t>ENTl2a</t>
  </si>
  <si>
    <t>Entorhinal area, lateral part, layer 2a</t>
  </si>
  <si>
    <t>ENTl2b</t>
  </si>
  <si>
    <t>Entorhinal area, lateral part, layer 2b</t>
  </si>
  <si>
    <t>ENTl3</t>
  </si>
  <si>
    <t>Entorhinal area, lateral part, layer 3</t>
  </si>
  <si>
    <t>ENTl4</t>
  </si>
  <si>
    <t>Entorhinal area, lateral part, layer 4</t>
  </si>
  <si>
    <t>ENTl5</t>
  </si>
  <si>
    <t>Entorhinal area, lateral part, layer 5</t>
  </si>
  <si>
    <t>ENTl6a</t>
  </si>
  <si>
    <t>Entorhinal area, lateral part, layer 6a</t>
  </si>
  <si>
    <t>ENTl6b</t>
  </si>
  <si>
    <t>Entorhinal area, lateral part, layer 6b</t>
  </si>
  <si>
    <t>ENTm</t>
  </si>
  <si>
    <t>Entorhinal area, medial part, dorsal zone</t>
  </si>
  <si>
    <t>ENTm1</t>
  </si>
  <si>
    <t>Entorhinal area, medial part, dorsal zone, layer 1</t>
  </si>
  <si>
    <t>ENTm2</t>
  </si>
  <si>
    <t>Entorhinal area, medial part, dorsal zone, layer 2</t>
  </si>
  <si>
    <t>ENTm2a</t>
  </si>
  <si>
    <t>Entorhinal area, medial part, dorsal zone, layer 2a</t>
  </si>
  <si>
    <t>ENTm2b</t>
  </si>
  <si>
    <t>Entorhinal area, medial part, dorsal zone, layer 2b</t>
  </si>
  <si>
    <t>ENTm3</t>
  </si>
  <si>
    <t>Entorhinal area, medial part, dorsal zone, layer 3</t>
  </si>
  <si>
    <t>ENTm4</t>
  </si>
  <si>
    <t>Entorhinal area, medial part, dorsal zone, layer 4</t>
  </si>
  <si>
    <t>ENTm5</t>
  </si>
  <si>
    <t>Entorhinal area, medial part, dorsal zone, layer 5</t>
  </si>
  <si>
    <t>ENTm6</t>
  </si>
  <si>
    <t>Entorhinal area, medial part, dorsal zone, layer 6</t>
  </si>
  <si>
    <t>ENTmv</t>
  </si>
  <si>
    <t>Entorhinal area, medial part, ventral zone</t>
  </si>
  <si>
    <t>ENTmv1</t>
  </si>
  <si>
    <t>Entorhinal area, medial part, ventral zone, layer 1</t>
  </si>
  <si>
    <t>ENTmv2</t>
  </si>
  <si>
    <t>Entorhinal area, medial part, ventral zone, layer 2</t>
  </si>
  <si>
    <t>ENTmv3</t>
  </si>
  <si>
    <t>Entorhinal area, medial part, ventral zone, layer 3</t>
  </si>
  <si>
    <t>ENTmv4</t>
  </si>
  <si>
    <t>Entorhinal area, medial part, ventral zone, layer 4</t>
  </si>
  <si>
    <t>PAR</t>
  </si>
  <si>
    <t>Parasubiculum</t>
  </si>
  <si>
    <t>PAR1</t>
  </si>
  <si>
    <t>Parasubiculum, layer 1</t>
  </si>
  <si>
    <t>PAR2</t>
  </si>
  <si>
    <t>Parasubiculum, layer 2</t>
  </si>
  <si>
    <t>PAR3</t>
  </si>
  <si>
    <t>Parasubiculum, layer 3</t>
  </si>
  <si>
    <t>POST</t>
  </si>
  <si>
    <t>Postsubiculum</t>
  </si>
  <si>
    <t>POST1</t>
  </si>
  <si>
    <t>Postsubiculum, layer 1</t>
  </si>
  <si>
    <t>POST2</t>
  </si>
  <si>
    <t>Postsubiculum, layer 2</t>
  </si>
  <si>
    <t>POST3</t>
  </si>
  <si>
    <t>Postsubiculum, layer 3</t>
  </si>
  <si>
    <t>PRE</t>
  </si>
  <si>
    <t>Presubiculum</t>
  </si>
  <si>
    <t>PRE1</t>
  </si>
  <si>
    <t>Presubiculum, layer 1</t>
  </si>
  <si>
    <t>PRE2</t>
  </si>
  <si>
    <t>Presubiculum, layer 2</t>
  </si>
  <si>
    <t>PRE3</t>
  </si>
  <si>
    <t>Presubiculum, layer 3</t>
  </si>
  <si>
    <t>SUB</t>
  </si>
  <si>
    <t>Subiculum</t>
  </si>
  <si>
    <t>SUBd</t>
  </si>
  <si>
    <t>Subiculum, dorsal part</t>
  </si>
  <si>
    <t>SUBd-m</t>
  </si>
  <si>
    <t>Subiculum, dorsal part, molecular layer</t>
  </si>
  <si>
    <t>SUBd-sp</t>
  </si>
  <si>
    <t>Subiculum, dorsal part, pyramidal layer</t>
  </si>
  <si>
    <t>SUBd-sr</t>
  </si>
  <si>
    <t>Subiculum, dorsal part, stratum radiatum</t>
  </si>
  <si>
    <t>SUBv</t>
  </si>
  <si>
    <t>Subiculum, ventral part</t>
  </si>
  <si>
    <t>SUBv-m</t>
  </si>
  <si>
    <t>Subiculum, ventral part, molecular layer</t>
  </si>
  <si>
    <t>SUBv-sp</t>
  </si>
  <si>
    <t>Subiculum, ventral part, pyramidal layer</t>
  </si>
  <si>
    <t>SUBv-sr</t>
  </si>
  <si>
    <t>Subiculum, ventral part, stratum radiatum</t>
  </si>
  <si>
    <t>ProS</t>
  </si>
  <si>
    <t>Prosubiculum</t>
  </si>
  <si>
    <t>ProSd</t>
  </si>
  <si>
    <t>Prosubiculum, dorsal part</t>
  </si>
  <si>
    <t>ProSd-m</t>
  </si>
  <si>
    <t>Prosubiculum, dorsal part, molecular layer</t>
  </si>
  <si>
    <t>ProSd-sp</t>
  </si>
  <si>
    <t>Prosubiculum, dorsal part, pyramidal layer</t>
  </si>
  <si>
    <t>ProSd-sr</t>
  </si>
  <si>
    <t>Prosubiculum, dorsal part, stratum radiatum</t>
  </si>
  <si>
    <t>ProSv</t>
  </si>
  <si>
    <t>Prosubiculum, ventral part</t>
  </si>
  <si>
    <t>ProSv-m</t>
  </si>
  <si>
    <t>Prosubiculum, ventral part, molecular layer</t>
  </si>
  <si>
    <t>ProSv-sp</t>
  </si>
  <si>
    <t>Prosubiculum, ventral part, pyramidal layer</t>
  </si>
  <si>
    <t>Prosv-sr</t>
  </si>
  <si>
    <t>Prosubiculum, ventral part, stratum radiatum</t>
  </si>
  <si>
    <t>HATA</t>
  </si>
  <si>
    <t>Hippocampo-amygdalar transition area</t>
  </si>
  <si>
    <t>APr</t>
  </si>
  <si>
    <t>Area prostriata</t>
  </si>
  <si>
    <t>CTXsp</t>
  </si>
  <si>
    <t>Cortical subplate</t>
  </si>
  <si>
    <t>6b</t>
  </si>
  <si>
    <t>Layer 6b, isocortex</t>
  </si>
  <si>
    <t>CLA</t>
  </si>
  <si>
    <t>Claustrum</t>
  </si>
  <si>
    <t>EP</t>
  </si>
  <si>
    <t>Endopiriform nucleus</t>
  </si>
  <si>
    <t>EPd</t>
  </si>
  <si>
    <t>Endopiriform nucleus, dorsal part</t>
  </si>
  <si>
    <t>EPv</t>
  </si>
  <si>
    <t>Endopiriform nucleus, ventral part</t>
  </si>
  <si>
    <t>LA</t>
  </si>
  <si>
    <t>Lateral amygdalar nucleus</t>
  </si>
  <si>
    <t>BLA</t>
  </si>
  <si>
    <t>Basolateral amygdalar nucleus</t>
  </si>
  <si>
    <t>BLAa</t>
  </si>
  <si>
    <t>Basolateral amygdalar nucleus, anterior part</t>
  </si>
  <si>
    <t>BLAp</t>
  </si>
  <si>
    <t>Basolateral amygdalar nucleus, posterior part</t>
  </si>
  <si>
    <t>BLAv</t>
  </si>
  <si>
    <t>Basolateral amygdalar nucleus, ventral part</t>
  </si>
  <si>
    <t>BMA</t>
  </si>
  <si>
    <t>Basomedial amygdalar nucleus</t>
  </si>
  <si>
    <t>BMAa</t>
  </si>
  <si>
    <t>Basomedial amygdalar nucleus, anterior part</t>
  </si>
  <si>
    <t>BMAp</t>
  </si>
  <si>
    <t>Basomedial amygdalar nucleus, posterior part</t>
  </si>
  <si>
    <t>PA</t>
  </si>
  <si>
    <t>Posterior amygdalar nucleus</t>
  </si>
  <si>
    <t>CNU</t>
  </si>
  <si>
    <t>Cerebral nuclei</t>
  </si>
  <si>
    <t>STR</t>
  </si>
  <si>
    <t>Striatum</t>
  </si>
  <si>
    <t>STRd</t>
  </si>
  <si>
    <t>Striatum dorsal region</t>
  </si>
  <si>
    <t>CP</t>
  </si>
  <si>
    <t>Caudoputamen</t>
  </si>
  <si>
    <t>STRv</t>
  </si>
  <si>
    <t>Striatum ventral region</t>
  </si>
  <si>
    <t>ACB</t>
  </si>
  <si>
    <t>Nucleus accumbens</t>
  </si>
  <si>
    <t>FS</t>
  </si>
  <si>
    <t>Fundus of striatum</t>
  </si>
  <si>
    <t>OT</t>
  </si>
  <si>
    <t>Olfactory tubercle</t>
  </si>
  <si>
    <t>isl</t>
  </si>
  <si>
    <t>Islands of Calleja</t>
  </si>
  <si>
    <t>islm</t>
  </si>
  <si>
    <t>Major island of Calleja</t>
  </si>
  <si>
    <t>OT1-3</t>
  </si>
  <si>
    <t>Olfactory tubercle, layers 1-3</t>
  </si>
  <si>
    <t>OT1</t>
  </si>
  <si>
    <t>Olfactory tubercle, molecular layer</t>
  </si>
  <si>
    <t>OT2</t>
  </si>
  <si>
    <t>Olfactory tubercle, pyramidal layer</t>
  </si>
  <si>
    <t>OT3</t>
  </si>
  <si>
    <t>Olfactory tubercle, polymorph layer</t>
  </si>
  <si>
    <t>LSS</t>
  </si>
  <si>
    <t>Lateral strip of striatum</t>
  </si>
  <si>
    <t>LSX</t>
  </si>
  <si>
    <t>Lateral septal complex</t>
  </si>
  <si>
    <t>LS</t>
  </si>
  <si>
    <t>Lateral septal nucleus</t>
  </si>
  <si>
    <t>LSc</t>
  </si>
  <si>
    <t>Lateral septal nucleus, caudal (caudodorsal) part</t>
  </si>
  <si>
    <t>LSr</t>
  </si>
  <si>
    <t>Lateral septal nucleus, rostral (rostroventral) part</t>
  </si>
  <si>
    <t>LSv</t>
  </si>
  <si>
    <t>Lateral septal nucleus, ventral part</t>
  </si>
  <si>
    <t>SF</t>
  </si>
  <si>
    <t>Septofimbrial nucleus</t>
  </si>
  <si>
    <t>SH</t>
  </si>
  <si>
    <t>Septohippocampal nucleus</t>
  </si>
  <si>
    <t>sAMY</t>
  </si>
  <si>
    <t>Striatum-like amygdalar nuclei</t>
  </si>
  <si>
    <t>AAA</t>
  </si>
  <si>
    <t>Anterior amygdalar area</t>
  </si>
  <si>
    <t>BA</t>
  </si>
  <si>
    <t>Bed nucleus of the accessory olfactory tract</t>
  </si>
  <si>
    <t>CEA</t>
  </si>
  <si>
    <t>Central amygdalar nucleus</t>
  </si>
  <si>
    <t>CEAc</t>
  </si>
  <si>
    <t>Central amygdalar nucleus, capsular part</t>
  </si>
  <si>
    <t>CEAl</t>
  </si>
  <si>
    <t>Central amygdalar nucleus, lateral part</t>
  </si>
  <si>
    <t>CEAm</t>
  </si>
  <si>
    <t>Central amygdalar nucleus, medial part</t>
  </si>
  <si>
    <t>IA</t>
  </si>
  <si>
    <t>Intercalated amygdalar nucleus</t>
  </si>
  <si>
    <t>MEA</t>
  </si>
  <si>
    <t>Medial amygdalar nucleus</t>
  </si>
  <si>
    <t>MEAad</t>
  </si>
  <si>
    <t>Medial amygdalar nucleus, anterodorsal part</t>
  </si>
  <si>
    <t>MEAav</t>
  </si>
  <si>
    <t>Medial amygdalar nucleus, anteroventral part</t>
  </si>
  <si>
    <t>MEApd</t>
  </si>
  <si>
    <t>Medial amygdalar nucleus, posterodorsal part</t>
  </si>
  <si>
    <t>MEApd-a</t>
  </si>
  <si>
    <t>Medial amygdalar nucleus, posterodorsal part, sublayer a</t>
  </si>
  <si>
    <t>MEApd-b</t>
  </si>
  <si>
    <t>Medial amygdalar nucleus, posterodorsal part, sublayer b</t>
  </si>
  <si>
    <t>MEApd-c</t>
  </si>
  <si>
    <t>Medial amygdalar nucleus, posterodorsal part, sublayer c</t>
  </si>
  <si>
    <t>MEApv</t>
  </si>
  <si>
    <t>Medial amygdalar nucleus, posteroventral part</t>
  </si>
  <si>
    <t>PAL</t>
  </si>
  <si>
    <t>Pallidum</t>
  </si>
  <si>
    <t>PALd</t>
  </si>
  <si>
    <t>Pallidum, dorsal region</t>
  </si>
  <si>
    <t>GPe</t>
  </si>
  <si>
    <t>Globus pallidus, external segment</t>
  </si>
  <si>
    <t>GPi</t>
  </si>
  <si>
    <t>Globus pallidus, internal segment</t>
  </si>
  <si>
    <t>PALv</t>
  </si>
  <si>
    <t>Pallidum, ventral region</t>
  </si>
  <si>
    <t>SI</t>
  </si>
  <si>
    <t>Substantia innominata</t>
  </si>
  <si>
    <t>MA</t>
  </si>
  <si>
    <t>Magnocellular nucleus</t>
  </si>
  <si>
    <t>PALm</t>
  </si>
  <si>
    <t>Pallidum, medial region</t>
  </si>
  <si>
    <t>MSC</t>
  </si>
  <si>
    <t>Medial septal complex</t>
  </si>
  <si>
    <t>MS</t>
  </si>
  <si>
    <t>Medial septal nucleus</t>
  </si>
  <si>
    <t>NDB</t>
  </si>
  <si>
    <t>Diagonal band nucleus</t>
  </si>
  <si>
    <t>TRS</t>
  </si>
  <si>
    <t>Triangular nucleus of septum</t>
  </si>
  <si>
    <t>PALc</t>
  </si>
  <si>
    <t>Pallidum, caudal region</t>
  </si>
  <si>
    <t>BST</t>
  </si>
  <si>
    <t>Bed nuclei of the stria terminalis</t>
  </si>
  <si>
    <t>BSTa</t>
  </si>
  <si>
    <t>Bed nuclei of the stria terminalis, anterior division</t>
  </si>
  <si>
    <t>BSTal</t>
  </si>
  <si>
    <t>Bed nuclei of the stria terminalis, anterior division, anterolateral area</t>
  </si>
  <si>
    <t>BSTam</t>
  </si>
  <si>
    <t>Bed nuclei of the stria terminalis, anterior division, anteromedial area</t>
  </si>
  <si>
    <t>BSTdm</t>
  </si>
  <si>
    <t>Bed nuclei of the stria terminalis, anterior division, dorsomedial nucleus</t>
  </si>
  <si>
    <t>BSTfu</t>
  </si>
  <si>
    <t>Bed nuclei of the stria terminalis, anterior division, fusiform nucleus</t>
  </si>
  <si>
    <t>BSTju</t>
  </si>
  <si>
    <t>Bed nuclei of the stria terminalis, anterior division, juxtacapsular nucleus</t>
  </si>
  <si>
    <t>BSTmg</t>
  </si>
  <si>
    <t>Bed nuclei of the stria terminalis, anterior division, magnocellular nucleus</t>
  </si>
  <si>
    <t>BSTov</t>
  </si>
  <si>
    <t>Bed nuclei of the stria terminalis, anterior division, oval nucleus</t>
  </si>
  <si>
    <t>BSTrh</t>
  </si>
  <si>
    <t>Bed nuclei of the stria terminalis, anterior division, rhomboid nucleus</t>
  </si>
  <si>
    <t>BSTv</t>
  </si>
  <si>
    <t>Bed nuclei of the stria terminalis, anterior division, ventral nucleus</t>
  </si>
  <si>
    <t>BSTp</t>
  </si>
  <si>
    <t>Bed nuclei of the stria terminalis, posterior division</t>
  </si>
  <si>
    <t>BSTd</t>
  </si>
  <si>
    <t>Bed nuclei of the stria terminalis, posterior division, dorsal nucleus</t>
  </si>
  <si>
    <t>BSTpr</t>
  </si>
  <si>
    <t>Bed nuclei of the stria terminalis, posterior division, principal nucleus</t>
  </si>
  <si>
    <t>BSTif</t>
  </si>
  <si>
    <t>Bed nuclei of the stria terminalis, posterior division, interfascicular nucleus</t>
  </si>
  <si>
    <t>BSTtr</t>
  </si>
  <si>
    <t>Bed nuclei of the stria terminalis, posterior division, transverse nucleus</t>
  </si>
  <si>
    <t>BSTse</t>
  </si>
  <si>
    <t>Bed nuclei of the stria terminalis, posterior division, strial extension</t>
  </si>
  <si>
    <t>BAC</t>
  </si>
  <si>
    <t>Bed nucleus of the anterior commissure</t>
  </si>
  <si>
    <t>BS</t>
  </si>
  <si>
    <t>Brain stem</t>
  </si>
  <si>
    <t>IB</t>
  </si>
  <si>
    <t>Interbrain</t>
  </si>
  <si>
    <t>TH</t>
  </si>
  <si>
    <t>Thalamus</t>
  </si>
  <si>
    <t>DORsm</t>
  </si>
  <si>
    <t>Thalamus, sensory-motor cortex related</t>
  </si>
  <si>
    <t>VENT</t>
  </si>
  <si>
    <t>Ventral group of the dorsal thalamus</t>
  </si>
  <si>
    <t>VAL</t>
  </si>
  <si>
    <t>Ventral anterior-lateral complex of the thalamus</t>
  </si>
  <si>
    <t>VM</t>
  </si>
  <si>
    <t>Ventral medial nucleus of the thalamus</t>
  </si>
  <si>
    <t>VP</t>
  </si>
  <si>
    <t>Ventral posterior complex of the thalamus</t>
  </si>
  <si>
    <t>VPL</t>
  </si>
  <si>
    <t>Ventral posterolateral nucleus of the thalamus</t>
  </si>
  <si>
    <t>VPLpc</t>
  </si>
  <si>
    <t>Ventral posterolateral nucleus of the thalamus, parvicellular part</t>
  </si>
  <si>
    <t>VPM</t>
  </si>
  <si>
    <t>Ventral posteromedial nucleus of the thalamus</t>
  </si>
  <si>
    <t>VPMpc</t>
  </si>
  <si>
    <t>Ventral posteromedial nucleus of the thalamus, parvicellular part</t>
  </si>
  <si>
    <t>PoT</t>
  </si>
  <si>
    <t>Posterior triangular thalamic nucleus</t>
  </si>
  <si>
    <t>SPF</t>
  </si>
  <si>
    <t>Subparafascicular nucleus</t>
  </si>
  <si>
    <t>SPFm</t>
  </si>
  <si>
    <t>Subparafascicular nucleus, magnocellular part</t>
  </si>
  <si>
    <t>SPFp</t>
  </si>
  <si>
    <t>Subparafascicular nucleus, parvicellular part</t>
  </si>
  <si>
    <t>SPA</t>
  </si>
  <si>
    <t>Subparafascicular area</t>
  </si>
  <si>
    <t>PP</t>
  </si>
  <si>
    <t>Peripeduncular nucleus</t>
  </si>
  <si>
    <t>GENd</t>
  </si>
  <si>
    <t>Geniculate group, dorsal thalamus</t>
  </si>
  <si>
    <t>MG</t>
  </si>
  <si>
    <t>Medial geniculate complex</t>
  </si>
  <si>
    <t>MGd</t>
  </si>
  <si>
    <t>Medial geniculate complex, dorsal part</t>
  </si>
  <si>
    <t>MGv</t>
  </si>
  <si>
    <t>Medial geniculate complex, ventral part</t>
  </si>
  <si>
    <t>MGm</t>
  </si>
  <si>
    <t>Medial geniculate complex, medial part</t>
  </si>
  <si>
    <t>LGd</t>
  </si>
  <si>
    <t>Dorsal part of the lateral geniculate complex</t>
  </si>
  <si>
    <t>LGd-sh</t>
  </si>
  <si>
    <t>Dorsal part of the lateral geniculate complex, shell</t>
  </si>
  <si>
    <t>LGd-co</t>
  </si>
  <si>
    <t>Dorsal part of the lateral geniculate complex, core</t>
  </si>
  <si>
    <t>LGd-ip</t>
  </si>
  <si>
    <t>Dorsal part of the lateral geniculate complex, ipsilateral zone</t>
  </si>
  <si>
    <t>DORpm</t>
  </si>
  <si>
    <t>Thalamus, polymodal association cortex related</t>
  </si>
  <si>
    <t>LAT</t>
  </si>
  <si>
    <t>Lateral group of the dorsal thalamus</t>
  </si>
  <si>
    <t>LP</t>
  </si>
  <si>
    <t>Lateral posterior nucleus of the thalamus</t>
  </si>
  <si>
    <t>PO</t>
  </si>
  <si>
    <t>Posterior complex of the thalamus</t>
  </si>
  <si>
    <t>POL</t>
  </si>
  <si>
    <t>Posterior limiting nucleus of the thalamus</t>
  </si>
  <si>
    <t>SGN</t>
  </si>
  <si>
    <t>Suprageniculate nucleus</t>
  </si>
  <si>
    <t>Eth</t>
  </si>
  <si>
    <t>Ethmoid nucleus of the thalamus</t>
  </si>
  <si>
    <t>REth</t>
  </si>
  <si>
    <t>Retroethmoid nucleus</t>
  </si>
  <si>
    <t>ATN</t>
  </si>
  <si>
    <t>Anterior group of the dorsal thalamus</t>
  </si>
  <si>
    <t>AV</t>
  </si>
  <si>
    <t>Anteroventral nucleus of thalamus</t>
  </si>
  <si>
    <t>AM</t>
  </si>
  <si>
    <t>Anteromedial nucleus</t>
  </si>
  <si>
    <t>AMd</t>
  </si>
  <si>
    <t>Anteromedial nucleus, dorsal part</t>
  </si>
  <si>
    <t>AMv</t>
  </si>
  <si>
    <t>Anteromedial nucleus, ventral part</t>
  </si>
  <si>
    <t>AD</t>
  </si>
  <si>
    <t>Anterodorsal nucleus</t>
  </si>
  <si>
    <t>IAM</t>
  </si>
  <si>
    <t>Interanteromedial nucleus of the thalamus</t>
  </si>
  <si>
    <t>IAD</t>
  </si>
  <si>
    <t>Interanterodorsal nucleus of the thalamus</t>
  </si>
  <si>
    <t>LD</t>
  </si>
  <si>
    <t>Lateral dorsal nucleus of thalamus</t>
  </si>
  <si>
    <t>MED</t>
  </si>
  <si>
    <t>Medial group of the dorsal thalamus</t>
  </si>
  <si>
    <t>IMD</t>
  </si>
  <si>
    <t>Intermediodorsal nucleus of the thalamus</t>
  </si>
  <si>
    <t>MD</t>
  </si>
  <si>
    <t>Mediodorsal nucleus of thalamus</t>
  </si>
  <si>
    <t>MDc</t>
  </si>
  <si>
    <t>Mediodorsal nucleus of the thalamus, central part</t>
  </si>
  <si>
    <t>MDl</t>
  </si>
  <si>
    <t>Mediodorsal nucleus of the thalamus, lateral part</t>
  </si>
  <si>
    <t>MDm</t>
  </si>
  <si>
    <t>Mediodorsal nucleus of the thalamus, medial part</t>
  </si>
  <si>
    <t>SMT</t>
  </si>
  <si>
    <t>Submedial nucleus of the thalamus</t>
  </si>
  <si>
    <t>PR</t>
  </si>
  <si>
    <t>Perireunensis nucleus</t>
  </si>
  <si>
    <t>MTN</t>
  </si>
  <si>
    <t>Midline group of the dorsal thalamus</t>
  </si>
  <si>
    <t>PVT</t>
  </si>
  <si>
    <t>Paraventricular nucleus of the thalamus</t>
  </si>
  <si>
    <t>PT</t>
  </si>
  <si>
    <t>Parataenial nucleus</t>
  </si>
  <si>
    <t>RE</t>
  </si>
  <si>
    <t>Nucleus of reuniens</t>
  </si>
  <si>
    <t>Xi</t>
  </si>
  <si>
    <t>Xiphoid thalamic nucleus</t>
  </si>
  <si>
    <t>ILM</t>
  </si>
  <si>
    <t>Intralaminar nuclei of the dorsal thalamus</t>
  </si>
  <si>
    <t>RH</t>
  </si>
  <si>
    <t>Rhomboid nucleus</t>
  </si>
  <si>
    <t>CM</t>
  </si>
  <si>
    <t>Central medial nucleus of the thalamus</t>
  </si>
  <si>
    <t>PCN</t>
  </si>
  <si>
    <t>Paracentral nucleus</t>
  </si>
  <si>
    <t>CL</t>
  </si>
  <si>
    <t>Central lateral nucleus of the thalamus</t>
  </si>
  <si>
    <t>PF</t>
  </si>
  <si>
    <t>Parafascicular nucleus</t>
  </si>
  <si>
    <t>PIL</t>
  </si>
  <si>
    <t>Posterior intralaminar thalamic nucleus</t>
  </si>
  <si>
    <t>RT</t>
  </si>
  <si>
    <t>Reticular nucleus of the thalamus</t>
  </si>
  <si>
    <t>GENv</t>
  </si>
  <si>
    <t>Geniculate group, ventral thalamus</t>
  </si>
  <si>
    <t>IGL</t>
  </si>
  <si>
    <t>Intergeniculate leaflet of the lateral geniculate complex</t>
  </si>
  <si>
    <t>IntG</t>
  </si>
  <si>
    <t>Intermediate geniculate nucleus</t>
  </si>
  <si>
    <t>LGv</t>
  </si>
  <si>
    <t>Ventral part of the lateral geniculate complex</t>
  </si>
  <si>
    <t>LGvl</t>
  </si>
  <si>
    <t>Ventral part of the lateral geniculate complex, lateral zone</t>
  </si>
  <si>
    <t>LGvm</t>
  </si>
  <si>
    <t>Ventral part of the lateral geniculate complex, medial zone</t>
  </si>
  <si>
    <t>SubG</t>
  </si>
  <si>
    <t>Subgeniculate nucleus</t>
  </si>
  <si>
    <t>EPI</t>
  </si>
  <si>
    <t>Epithalamus</t>
  </si>
  <si>
    <t>MH</t>
  </si>
  <si>
    <t>Medial habenula</t>
  </si>
  <si>
    <t>LH</t>
  </si>
  <si>
    <t>Lateral habenula</t>
  </si>
  <si>
    <t>PIN</t>
  </si>
  <si>
    <t>Pineal body</t>
  </si>
  <si>
    <t>HY</t>
  </si>
  <si>
    <t>Hypothalamus</t>
  </si>
  <si>
    <t>PVZ</t>
  </si>
  <si>
    <t>Periventricular zone</t>
  </si>
  <si>
    <t>SO</t>
  </si>
  <si>
    <t>Supraoptic nucleus</t>
  </si>
  <si>
    <t>ASO</t>
  </si>
  <si>
    <t>Accessory supraoptic group</t>
  </si>
  <si>
    <t>NC</t>
  </si>
  <si>
    <t>Nucleus circularis</t>
  </si>
  <si>
    <t>PVH</t>
  </si>
  <si>
    <t>Paraventricular hypothalamic nucleus</t>
  </si>
  <si>
    <t>PVHm</t>
  </si>
  <si>
    <t>Paraventricular hypothalamic nucleus, magnocellular division</t>
  </si>
  <si>
    <t>PVHam</t>
  </si>
  <si>
    <t>Paraventricular hypothalamic nucleus, magnocellular division, anterior magnocellular part</t>
  </si>
  <si>
    <t>PVHmm</t>
  </si>
  <si>
    <t>Paraventricular hypothalamic nucleus, magnocellular division, medial magnocellular part</t>
  </si>
  <si>
    <t>PVHpm</t>
  </si>
  <si>
    <t>Paraventricular hypothalamic nucleus, magnocellular division, posterior magnocellular part</t>
  </si>
  <si>
    <t>PVHpml</t>
  </si>
  <si>
    <t>Paraventricular hypothalamic nucleus, magnocellular division, posterior magnocellular part, lateral zone</t>
  </si>
  <si>
    <t>PVHpmm</t>
  </si>
  <si>
    <t>Paraventricular hypothalamic nucleus, magnocellular division, posterior magnocellular part, medial zone</t>
  </si>
  <si>
    <t>PVHp</t>
  </si>
  <si>
    <t>Paraventricular hypothalamic nucleus, parvicellular division</t>
  </si>
  <si>
    <t>PVHap</t>
  </si>
  <si>
    <t>Paraventricular hypothalamic nucleus, parvicellular division, anterior parvicellular part</t>
  </si>
  <si>
    <t>PVHmpd</t>
  </si>
  <si>
    <t>Paraventricular hypothalamic nucleus, parvicellular division, medial parvicellular part, dorsal zone</t>
  </si>
  <si>
    <t>PVHpv</t>
  </si>
  <si>
    <t>Paraventricular hypothalamic nucleus, parvicellular division, periventricular part</t>
  </si>
  <si>
    <t>PVa</t>
  </si>
  <si>
    <t>Periventricular hypothalamic nucleus, anterior part</t>
  </si>
  <si>
    <t>PVi</t>
  </si>
  <si>
    <t>Periventricular hypothalamic nucleus, intermediate part</t>
  </si>
  <si>
    <t>ARH</t>
  </si>
  <si>
    <t>Arcuate hypothalamic nucleus</t>
  </si>
  <si>
    <t>PVR</t>
  </si>
  <si>
    <t>Periventricular region</t>
  </si>
  <si>
    <t>ADP</t>
  </si>
  <si>
    <t>Anterodorsal preoptic nucleus</t>
  </si>
  <si>
    <t>AHA</t>
  </si>
  <si>
    <t>Anterior hypothalamic area</t>
  </si>
  <si>
    <t>AVP</t>
  </si>
  <si>
    <t>Anteroventral preoptic nucleus</t>
  </si>
  <si>
    <t>AVPV</t>
  </si>
  <si>
    <t>Anteroventral periventricular nucleus</t>
  </si>
  <si>
    <t>DMH</t>
  </si>
  <si>
    <t>Dorsomedial nucleus of the hypothalamus</t>
  </si>
  <si>
    <t>DMHa</t>
  </si>
  <si>
    <t>Dorsomedial nucleus of the hypothalamus, anterior part</t>
  </si>
  <si>
    <t>DMHp</t>
  </si>
  <si>
    <t>Dorsomedial nucleus of the hypothalamus, posterior part</t>
  </si>
  <si>
    <t>DMHv</t>
  </si>
  <si>
    <t>Dorsomedial nucleus of the hypothalamus, ventral part</t>
  </si>
  <si>
    <t>MEPO</t>
  </si>
  <si>
    <t>Median preoptic nucleus</t>
  </si>
  <si>
    <t>MPO</t>
  </si>
  <si>
    <t>Medial preoptic area</t>
  </si>
  <si>
    <t>OV</t>
  </si>
  <si>
    <t>Vascular organ of the lamina terminalis</t>
  </si>
  <si>
    <t>PD</t>
  </si>
  <si>
    <t>Posterodorsal preoptic nucleus</t>
  </si>
  <si>
    <t>PS</t>
  </si>
  <si>
    <t>Parastrial nucleus</t>
  </si>
  <si>
    <t>PSCH</t>
  </si>
  <si>
    <t>Suprachiasmatic preoptic nucleus</t>
  </si>
  <si>
    <t>PVp</t>
  </si>
  <si>
    <t>Periventricular hypothalamic nucleus, posterior part</t>
  </si>
  <si>
    <t>PVpo</t>
  </si>
  <si>
    <t>Periventricular hypothalamic nucleus, preoptic part</t>
  </si>
  <si>
    <t>SBPV</t>
  </si>
  <si>
    <t>Subparaventricular zone</t>
  </si>
  <si>
    <t>SCH</t>
  </si>
  <si>
    <t>Suprachiasmatic nucleus</t>
  </si>
  <si>
    <t>SFO</t>
  </si>
  <si>
    <t>Subfornical organ</t>
  </si>
  <si>
    <t>VMPO</t>
  </si>
  <si>
    <t>Ventromedial preoptic nucleus</t>
  </si>
  <si>
    <t>VLPO</t>
  </si>
  <si>
    <t>Ventrolateral preoptic nucleus</t>
  </si>
  <si>
    <t>MEZ</t>
  </si>
  <si>
    <t>Hypothalamic medial zone</t>
  </si>
  <si>
    <t>AHN</t>
  </si>
  <si>
    <t>Anterior hypothalamic nucleus</t>
  </si>
  <si>
    <t>AHNa</t>
  </si>
  <si>
    <t>Anterior hypothalamic nucleus, anterior part</t>
  </si>
  <si>
    <t>AHNc</t>
  </si>
  <si>
    <t>Anterior hypothalamic nucleus, central part</t>
  </si>
  <si>
    <t>AHNd</t>
  </si>
  <si>
    <t>Anterior hypothalamic nucleus, dorsal part</t>
  </si>
  <si>
    <t>AHNp</t>
  </si>
  <si>
    <t>Anterior hypothalamic nucleus, posterior part</t>
  </si>
  <si>
    <t>MBO</t>
  </si>
  <si>
    <t>Mammillary body</t>
  </si>
  <si>
    <t>LM</t>
  </si>
  <si>
    <t>Lateral mammillary nucleus</t>
  </si>
  <si>
    <t>MM</t>
  </si>
  <si>
    <t>Medial mammillary nucleus</t>
  </si>
  <si>
    <t>Mmme</t>
  </si>
  <si>
    <t>Medial mammillary nucleus, median part</t>
  </si>
  <si>
    <t>Mml</t>
  </si>
  <si>
    <t>Medial mammillary nucleus, lateral part</t>
  </si>
  <si>
    <t>Mmm</t>
  </si>
  <si>
    <t>Medial mammillary nucleus, medial part</t>
  </si>
  <si>
    <t>Mmp</t>
  </si>
  <si>
    <t>Medial mammillary nucleus, posterior part</t>
  </si>
  <si>
    <t>Mmd</t>
  </si>
  <si>
    <t>Medial mammillary nucleus, dorsal part</t>
  </si>
  <si>
    <t>SUM</t>
  </si>
  <si>
    <t>Supramammillary nucleus</t>
  </si>
  <si>
    <t>SUMl</t>
  </si>
  <si>
    <t>Supramammillary nucleus, lateral part</t>
  </si>
  <si>
    <t>SUMm</t>
  </si>
  <si>
    <t>Supramammillary nucleus, medial part</t>
  </si>
  <si>
    <t>TM</t>
  </si>
  <si>
    <t>Tuberomammillary nucleus</t>
  </si>
  <si>
    <t>TMd</t>
  </si>
  <si>
    <t>Tuberomammillary nucleus, dorsal part</t>
  </si>
  <si>
    <t>TMv</t>
  </si>
  <si>
    <t>Tuberomammillary nucleus, ventral part</t>
  </si>
  <si>
    <t>MPN</t>
  </si>
  <si>
    <t>Medial preoptic nucleus</t>
  </si>
  <si>
    <t>MPNc</t>
  </si>
  <si>
    <t>Medial preoptic nucleus, central part</t>
  </si>
  <si>
    <t>MPNl</t>
  </si>
  <si>
    <t>Medial preoptic nucleus, lateral part</t>
  </si>
  <si>
    <t>MPNm</t>
  </si>
  <si>
    <t>Medial preoptic nucleus, medial part</t>
  </si>
  <si>
    <t>PMd</t>
  </si>
  <si>
    <t>Dorsal premammillary nucleus</t>
  </si>
  <si>
    <t>PMv</t>
  </si>
  <si>
    <t>Ventral premammillary nucleus</t>
  </si>
  <si>
    <t>PVHd</t>
  </si>
  <si>
    <t>Paraventricular hypothalamic nucleus, descending division</t>
  </si>
  <si>
    <t>PVHdp</t>
  </si>
  <si>
    <t>Paraventricular hypothalamic nucleus, descending division, dorsal parvicellular part</t>
  </si>
  <si>
    <t>PVHf</t>
  </si>
  <si>
    <t>Paraventricular hypothalamic nucleus, descending division, forniceal part</t>
  </si>
  <si>
    <t>PVHlp</t>
  </si>
  <si>
    <t>Paraventricular hypothalamic nucleus, descending division, lateral parvicellular part</t>
  </si>
  <si>
    <t>PVHmpv</t>
  </si>
  <si>
    <t>Paraventricular hypothalamic nucleus, descending division, medial parvicellular part, ventral zone</t>
  </si>
  <si>
    <t>VMH</t>
  </si>
  <si>
    <t>Ventromedial hypothalamic nucleus</t>
  </si>
  <si>
    <t>VMHa</t>
  </si>
  <si>
    <t>Ventromedial hypothalamic nucleus, anterior part</t>
  </si>
  <si>
    <t>VMHc</t>
  </si>
  <si>
    <t>Ventromedial hypothalamic nucleus, central part</t>
  </si>
  <si>
    <t>VMHdm</t>
  </si>
  <si>
    <t>Ventromedial hypothalamic nucleus, dorsomedial part</t>
  </si>
  <si>
    <t>VMHvl</t>
  </si>
  <si>
    <t>Ventromedial hypothalamic nucleus, ventrolateral part</t>
  </si>
  <si>
    <t>PH</t>
  </si>
  <si>
    <t>Posterior hypothalamic nucleus</t>
  </si>
  <si>
    <t>LZ</t>
  </si>
  <si>
    <t>Hypothalamic lateral zone</t>
  </si>
  <si>
    <t>LHA</t>
  </si>
  <si>
    <t>Lateral hypothalamic area</t>
  </si>
  <si>
    <t>LPO</t>
  </si>
  <si>
    <t>Lateral preoptic area</t>
  </si>
  <si>
    <t>PST</t>
  </si>
  <si>
    <t>Preparasubthalamic nucleus</t>
  </si>
  <si>
    <t>PSTN</t>
  </si>
  <si>
    <t>Parasubthalamic nucleus</t>
  </si>
  <si>
    <t>PeF</t>
  </si>
  <si>
    <t>Perifornical nucleus</t>
  </si>
  <si>
    <t>RCH</t>
  </si>
  <si>
    <t>Retrochiasmatic area</t>
  </si>
  <si>
    <t>STN</t>
  </si>
  <si>
    <t>Subthalamic nucleus</t>
  </si>
  <si>
    <t>TU</t>
  </si>
  <si>
    <t>Tuberal nucleus</t>
  </si>
  <si>
    <t>ZI</t>
  </si>
  <si>
    <t>Zona incerta</t>
  </si>
  <si>
    <t>A13</t>
  </si>
  <si>
    <t>Dopaminergic A13 group</t>
  </si>
  <si>
    <t>FF</t>
  </si>
  <si>
    <t>Fields of Forel</t>
  </si>
  <si>
    <t>ME</t>
  </si>
  <si>
    <t>Median eminence</t>
  </si>
  <si>
    <t>MB</t>
  </si>
  <si>
    <t>Midbrain</t>
  </si>
  <si>
    <t>MBsen</t>
  </si>
  <si>
    <t>Midbrain, sensory related</t>
  </si>
  <si>
    <t>SCs</t>
  </si>
  <si>
    <t>Superior colliculus, sensory related</t>
  </si>
  <si>
    <t>SCop</t>
  </si>
  <si>
    <t>Superior colliculus, optic layer</t>
  </si>
  <si>
    <t>SCsg</t>
  </si>
  <si>
    <t>Superior colliculus, superficial gray layer</t>
  </si>
  <si>
    <t>SCzo</t>
  </si>
  <si>
    <t>Superior colliculus, zonal layer</t>
  </si>
  <si>
    <t>IC</t>
  </si>
  <si>
    <t>Inferior colliculus</t>
  </si>
  <si>
    <t>ICc</t>
  </si>
  <si>
    <t>Inferior colliculus, central nucleus</t>
  </si>
  <si>
    <t>ICd</t>
  </si>
  <si>
    <t>Inferior colliculus, dorsal nucleus</t>
  </si>
  <si>
    <t>ICe</t>
  </si>
  <si>
    <t>Inferior colliculus, external nucleus</t>
  </si>
  <si>
    <t>NB</t>
  </si>
  <si>
    <t>Nucleus of the brachium of the inferior colliculus</t>
  </si>
  <si>
    <t>SAG</t>
  </si>
  <si>
    <t>Nucleus sagulum</t>
  </si>
  <si>
    <t>PBG</t>
  </si>
  <si>
    <t>Parabigeminal nucleus</t>
  </si>
  <si>
    <t>MEV</t>
  </si>
  <si>
    <t>Midbrain trigeminal nucleus</t>
  </si>
  <si>
    <t>SCO</t>
  </si>
  <si>
    <t>Subcommissural organ</t>
  </si>
  <si>
    <t>MBmot</t>
  </si>
  <si>
    <t>Midbrain, motor related</t>
  </si>
  <si>
    <t>SNr</t>
  </si>
  <si>
    <t>Substantia nigra, reticular part</t>
  </si>
  <si>
    <t>VTA</t>
  </si>
  <si>
    <t>Ventral tegmental area</t>
  </si>
  <si>
    <t>PN</t>
  </si>
  <si>
    <t>Paranigral nucleus</t>
  </si>
  <si>
    <t>RR</t>
  </si>
  <si>
    <t>Midbrain reticular nucleus, retrorubral area</t>
  </si>
  <si>
    <t>MRN</t>
  </si>
  <si>
    <t>Midbrain reticular nucleus</t>
  </si>
  <si>
    <t>MRNm</t>
  </si>
  <si>
    <t>Midbrain reticular nucleus, magnocellular part</t>
  </si>
  <si>
    <t>MRNmg</t>
  </si>
  <si>
    <t>Midbrain reticular nucleus, magnocellular part, general</t>
  </si>
  <si>
    <t>MRNp</t>
  </si>
  <si>
    <t>Midbrain reticular nucleus, parvicellular part</t>
  </si>
  <si>
    <t>SCm</t>
  </si>
  <si>
    <t>Superior colliculus, motor related</t>
  </si>
  <si>
    <t>SCdg</t>
  </si>
  <si>
    <t>Superior colliculus, motor related, deep gray layer</t>
  </si>
  <si>
    <t>SCdw</t>
  </si>
  <si>
    <t>Superior colliculus, motor related, deep white layer</t>
  </si>
  <si>
    <t>SCiw</t>
  </si>
  <si>
    <t>Superior colliculus, motor related, intermediate white layer</t>
  </si>
  <si>
    <t>SCig</t>
  </si>
  <si>
    <t>Superior colliculus, motor related, intermediate gray layer</t>
  </si>
  <si>
    <t>SCig-a</t>
  </si>
  <si>
    <t>Superior colliculus, motor related, intermediate gray layer, sublayer a</t>
  </si>
  <si>
    <t>SCig-b</t>
  </si>
  <si>
    <t>Superior colliculus, motor related, intermediate gray layer, sublayer b</t>
  </si>
  <si>
    <t>SCig-c</t>
  </si>
  <si>
    <t>Superior colliculus, motor related, intermediate gray layer, sublayer c</t>
  </si>
  <si>
    <t>PAG</t>
  </si>
  <si>
    <t>Periaqueductal gray</t>
  </si>
  <si>
    <t>PRC</t>
  </si>
  <si>
    <t>Precommissural nucleus</t>
  </si>
  <si>
    <t>INC</t>
  </si>
  <si>
    <t>Interstitial nucleus of Cajal</t>
  </si>
  <si>
    <t>ND</t>
  </si>
  <si>
    <t>Nucleus of Darkschewitsch</t>
  </si>
  <si>
    <t>Su3</t>
  </si>
  <si>
    <t>Supraoculomotor periaqueductal gray</t>
  </si>
  <si>
    <t>PRT</t>
  </si>
  <si>
    <t>Pretectal region</t>
  </si>
  <si>
    <t>APN</t>
  </si>
  <si>
    <t>Anterior pretectal nucleus</t>
  </si>
  <si>
    <t>MPT</t>
  </si>
  <si>
    <t>Medial pretectal area</t>
  </si>
  <si>
    <t>NOT</t>
  </si>
  <si>
    <t>Nucleus of the optic tract</t>
  </si>
  <si>
    <t>NPC</t>
  </si>
  <si>
    <t>Nucleus of the posterior commissure</t>
  </si>
  <si>
    <t>OP</t>
  </si>
  <si>
    <t>Olivary pretectal nucleus</t>
  </si>
  <si>
    <t>PPT</t>
  </si>
  <si>
    <t>Posterior pretectal nucleus</t>
  </si>
  <si>
    <t>RPF</t>
  </si>
  <si>
    <t>Retroparafascicular nucleus</t>
  </si>
  <si>
    <t>InCo</t>
  </si>
  <si>
    <t>Intercollicular nucleus</t>
  </si>
  <si>
    <t>CUN</t>
  </si>
  <si>
    <t>Cuneiform nucleus</t>
  </si>
  <si>
    <t>RN</t>
  </si>
  <si>
    <t>Red nucleus</t>
  </si>
  <si>
    <t>III</t>
  </si>
  <si>
    <t>Oculomotor nucleus</t>
  </si>
  <si>
    <t>MA3</t>
  </si>
  <si>
    <t>Medial accesory oculomotor nucleus</t>
  </si>
  <si>
    <t>EW</t>
  </si>
  <si>
    <t>Edinger-Westphal nucleus</t>
  </si>
  <si>
    <t>IV</t>
  </si>
  <si>
    <t>Trochlear nucleus</t>
  </si>
  <si>
    <t>Pa4</t>
  </si>
  <si>
    <t>Paratrochlear nucleus</t>
  </si>
  <si>
    <t>VTN</t>
  </si>
  <si>
    <t>Ventral tegmental nucleus</t>
  </si>
  <si>
    <t>AT</t>
  </si>
  <si>
    <t>Anterior tegmental nucleus</t>
  </si>
  <si>
    <t>LT</t>
  </si>
  <si>
    <t>Lateral terminal nucleus of the accessory optic tract</t>
  </si>
  <si>
    <t>DT</t>
  </si>
  <si>
    <t>Dorsal terminal nucleus of the accessory optic tract</t>
  </si>
  <si>
    <t>MT</t>
  </si>
  <si>
    <t>Medial terminal nucleus of the accessory optic tract</t>
  </si>
  <si>
    <t>SNl</t>
  </si>
  <si>
    <t>Substantia nigra, lateral part</t>
  </si>
  <si>
    <t>MBsta</t>
  </si>
  <si>
    <t>Midbrain, behavioral state related</t>
  </si>
  <si>
    <t>SNc</t>
  </si>
  <si>
    <t>Substantia nigra, compact part</t>
  </si>
  <si>
    <t>PPN</t>
  </si>
  <si>
    <t>Pedunculopontine nucleus</t>
  </si>
  <si>
    <t>RAmb</t>
  </si>
  <si>
    <t>Midbrain raphe nuclei</t>
  </si>
  <si>
    <t>IF</t>
  </si>
  <si>
    <t>Interfascicular nucleus raphe</t>
  </si>
  <si>
    <t>IPN</t>
  </si>
  <si>
    <t>Interpeduncular nucleus</t>
  </si>
  <si>
    <t>IPR</t>
  </si>
  <si>
    <t>Interpeduncular nucleus, rostral</t>
  </si>
  <si>
    <t>IPC</t>
  </si>
  <si>
    <t>Interpeduncular nucleus, caudal</t>
  </si>
  <si>
    <t>IPA</t>
  </si>
  <si>
    <t>Interpeduncular nucleus, apical</t>
  </si>
  <si>
    <t>IPL</t>
  </si>
  <si>
    <t>Interpeduncular nucleus, lateral</t>
  </si>
  <si>
    <t>IPI</t>
  </si>
  <si>
    <t>Interpeduncular nucleus, intermediate</t>
  </si>
  <si>
    <t>IPDM</t>
  </si>
  <si>
    <t>Interpeduncular nucleus, dorsomedial</t>
  </si>
  <si>
    <t>IPDL</t>
  </si>
  <si>
    <t>Interpeduncular nucleus, dorsolateral</t>
  </si>
  <si>
    <t>IPRL</t>
  </si>
  <si>
    <t>Interpeduncular nucleus, rostrolateral</t>
  </si>
  <si>
    <t>RL</t>
  </si>
  <si>
    <t>Rostral linear nucleus raphe</t>
  </si>
  <si>
    <t>CLI</t>
  </si>
  <si>
    <t>Central linear nucleus raphe</t>
  </si>
  <si>
    <t>DR</t>
  </si>
  <si>
    <t>Dorsal nucleus raphe</t>
  </si>
  <si>
    <t>HB</t>
  </si>
  <si>
    <t>Hindbrain</t>
  </si>
  <si>
    <t>P</t>
  </si>
  <si>
    <t>Pons</t>
  </si>
  <si>
    <t>P-sen</t>
  </si>
  <si>
    <t>Pons, sensory related</t>
  </si>
  <si>
    <t>NLL</t>
  </si>
  <si>
    <t>Nucleus of the lateral lemniscus</t>
  </si>
  <si>
    <t>NLLd</t>
  </si>
  <si>
    <t>Nucleus of the lateral lemniscus, dorsal part</t>
  </si>
  <si>
    <t>NLLh</t>
  </si>
  <si>
    <t>Nucleus of the lateral lemniscus, horizontal part</t>
  </si>
  <si>
    <t>NLLv</t>
  </si>
  <si>
    <t>Nucleus of the lateral lemniscus, ventral part</t>
  </si>
  <si>
    <t>PSV</t>
  </si>
  <si>
    <t>Principal sensory nucleus of the trigeminal</t>
  </si>
  <si>
    <t>PB</t>
  </si>
  <si>
    <t>Parabrachial nucleus</t>
  </si>
  <si>
    <t>KF</t>
  </si>
  <si>
    <t>Koelliker-Fuse subnucleus</t>
  </si>
  <si>
    <t>PBl</t>
  </si>
  <si>
    <t>Parabrachial nucleus, lateral division</t>
  </si>
  <si>
    <t>PBlc</t>
  </si>
  <si>
    <t>Parabrachial nucleus, lateral division, central lateral part</t>
  </si>
  <si>
    <t>PBld</t>
  </si>
  <si>
    <t>Parabrachial nucleus, lateral division, dorsal lateral part</t>
  </si>
  <si>
    <t>PBle</t>
  </si>
  <si>
    <t>Parabrachial nucleus, lateral division, external lateral part</t>
  </si>
  <si>
    <t>PBls</t>
  </si>
  <si>
    <t>Parabrachial nucleus, lateral division, superior lateral part</t>
  </si>
  <si>
    <t>PBlv</t>
  </si>
  <si>
    <t>Parabrachial nucleus, lateral division, ventral lateral part</t>
  </si>
  <si>
    <t>PBm</t>
  </si>
  <si>
    <t>Parabrachial nucleus, medial division</t>
  </si>
  <si>
    <t>PBme</t>
  </si>
  <si>
    <t>Parabrachial nucleus, medial division, external medial part</t>
  </si>
  <si>
    <t>PBmm</t>
  </si>
  <si>
    <t>Parabrachial nucleus, medial division, medial medial part</t>
  </si>
  <si>
    <t>PBmv</t>
  </si>
  <si>
    <t>Parabrachial nucleus, medial division, ventral medial part</t>
  </si>
  <si>
    <t>SOC</t>
  </si>
  <si>
    <t>Superior olivary complex</t>
  </si>
  <si>
    <t>POR</t>
  </si>
  <si>
    <t>Superior olivary complex, periolivary region</t>
  </si>
  <si>
    <t>SOCm</t>
  </si>
  <si>
    <t>Superior olivary complex, medial part</t>
  </si>
  <si>
    <t>SOCl</t>
  </si>
  <si>
    <t>Superior olivary complex, lateral part</t>
  </si>
  <si>
    <t>P-mot</t>
  </si>
  <si>
    <t>Pons, motor related</t>
  </si>
  <si>
    <t>Barrington's nucleus</t>
  </si>
  <si>
    <t>DTN</t>
  </si>
  <si>
    <t>Dorsal tegmental nucleus</t>
  </si>
  <si>
    <t>LTN</t>
  </si>
  <si>
    <t>Lateral tegmental nucleus</t>
  </si>
  <si>
    <t>PDTg</t>
  </si>
  <si>
    <t>Posterodorsal tegmental nucleus</t>
  </si>
  <si>
    <t>PCG</t>
  </si>
  <si>
    <t>Pontine central gray</t>
  </si>
  <si>
    <t>PG</t>
  </si>
  <si>
    <t>Pontine gray</t>
  </si>
  <si>
    <t>PRNc</t>
  </si>
  <si>
    <t>Pontine reticular nucleus, caudal part</t>
  </si>
  <si>
    <t>PRNv</t>
  </si>
  <si>
    <t>Pontine reticular nucleus, ventral part</t>
  </si>
  <si>
    <t>SG</t>
  </si>
  <si>
    <t>Supragenual nucleus</t>
  </si>
  <si>
    <t>SSN</t>
  </si>
  <si>
    <t>Superior salivatory nucleus</t>
  </si>
  <si>
    <t>SUT</t>
  </si>
  <si>
    <t>Supratrigeminal nucleus</t>
  </si>
  <si>
    <t>TRN</t>
  </si>
  <si>
    <t>Tegmental reticular nucleus</t>
  </si>
  <si>
    <t>V</t>
  </si>
  <si>
    <t>Motor nucleus of trigeminal</t>
  </si>
  <si>
    <t>P5</t>
  </si>
  <si>
    <t>Peritrigeminal zone</t>
  </si>
  <si>
    <t>Acs5</t>
  </si>
  <si>
    <t>Accessory trigeminal nucleus</t>
  </si>
  <si>
    <t>PC5</t>
  </si>
  <si>
    <t>Parvicellular motor 5 nucleus</t>
  </si>
  <si>
    <t>I5</t>
  </si>
  <si>
    <t>Intertrigeminal nucleus</t>
  </si>
  <si>
    <t>P-sat</t>
  </si>
  <si>
    <t>Pons, behavioral state related</t>
  </si>
  <si>
    <t>CS</t>
  </si>
  <si>
    <t>Superior central nucleus raphe</t>
  </si>
  <si>
    <t>CSl</t>
  </si>
  <si>
    <t>Superior central nucleus raphe, lateral part</t>
  </si>
  <si>
    <t>CSm</t>
  </si>
  <si>
    <t>Superior central nucleus raphe, medial part</t>
  </si>
  <si>
    <t>LC</t>
  </si>
  <si>
    <t>Locus ceruleus</t>
  </si>
  <si>
    <t>LDT</t>
  </si>
  <si>
    <t>Laterodorsal tegmental nucleus</t>
  </si>
  <si>
    <t>NI</t>
  </si>
  <si>
    <t>Nucleus incertus</t>
  </si>
  <si>
    <t>PRNr</t>
  </si>
  <si>
    <t>Pontine reticular nucleus</t>
  </si>
  <si>
    <t>RPO</t>
  </si>
  <si>
    <t>Nucleus raphe pontis</t>
  </si>
  <si>
    <t>SLC</t>
  </si>
  <si>
    <t>Subceruleus nucleus</t>
  </si>
  <si>
    <t>SLD</t>
  </si>
  <si>
    <t>Sublaterodorsal nucleus</t>
  </si>
  <si>
    <t>MY</t>
  </si>
  <si>
    <t>Medulla</t>
  </si>
  <si>
    <t>MY-sen</t>
  </si>
  <si>
    <t>Medulla, sensory related</t>
  </si>
  <si>
    <t>AP</t>
  </si>
  <si>
    <t>Area postrema</t>
  </si>
  <si>
    <t>CN</t>
  </si>
  <si>
    <t>Cochlear nuclei</t>
  </si>
  <si>
    <t>CNlam</t>
  </si>
  <si>
    <t>Granular lamina of the cochlear nuclei</t>
  </si>
  <si>
    <t>CNspg</t>
  </si>
  <si>
    <t>Cochlear nucleus, subpedunclular granular region</t>
  </si>
  <si>
    <t>DCO</t>
  </si>
  <si>
    <t>Dorsal cochlear nucleus</t>
  </si>
  <si>
    <t>VCO</t>
  </si>
  <si>
    <t>Ventral cochlear nucleus</t>
  </si>
  <si>
    <t>DCN</t>
  </si>
  <si>
    <t>Dorsal column nuclei</t>
  </si>
  <si>
    <t>CU</t>
  </si>
  <si>
    <t>Cuneate nucleus</t>
  </si>
  <si>
    <t>GR</t>
  </si>
  <si>
    <t>Gracile nucleus</t>
  </si>
  <si>
    <t>ECU</t>
  </si>
  <si>
    <t>External cuneate nucleus</t>
  </si>
  <si>
    <t>NTB</t>
  </si>
  <si>
    <t>Nucleus of the trapezoid body</t>
  </si>
  <si>
    <t>NTS</t>
  </si>
  <si>
    <t>Nucleus of the solitary tract</t>
  </si>
  <si>
    <t>NTSce</t>
  </si>
  <si>
    <t>Nucleus of the solitary tract, central part</t>
  </si>
  <si>
    <t>NTSco</t>
  </si>
  <si>
    <t>Nucleus of the solitary tract, commissural part</t>
  </si>
  <si>
    <t>NTSge</t>
  </si>
  <si>
    <t>Nucleus of the solitary tract, gelatinous part</t>
  </si>
  <si>
    <t>NTSl</t>
  </si>
  <si>
    <t>Nucleus of the solitary tract, lateral part</t>
  </si>
  <si>
    <t>NTSm</t>
  </si>
  <si>
    <t>Nucleus of the solitary tract, medial part</t>
  </si>
  <si>
    <t>SPVC</t>
  </si>
  <si>
    <t>Spinal nucleus of the trigeminal, caudal part</t>
  </si>
  <si>
    <t>SPVI</t>
  </si>
  <si>
    <t>Spinal nucleus of the trigeminal, interpolar part</t>
  </si>
  <si>
    <t>SPVO</t>
  </si>
  <si>
    <t>Spinal nucleus of the trigeminal, oral part</t>
  </si>
  <si>
    <t>SPVOcdm</t>
  </si>
  <si>
    <t>Spinal nucleus of the trigeminal, oral part, caudal dorsomedial part</t>
  </si>
  <si>
    <t>SPVOmdmd</t>
  </si>
  <si>
    <t>Spinal nucleus of the trigeminal, oral part, middle dorsomedial part, dorsal zone</t>
  </si>
  <si>
    <t>SPVOmdmv</t>
  </si>
  <si>
    <t>Spinal nucleus of the trigeminal, oral part, middle dorsomedial part, ventral zone</t>
  </si>
  <si>
    <t>SPVOrdm</t>
  </si>
  <si>
    <t>Spinal nucleus of the trigeminal, oral part, rostral dorsomedial part</t>
  </si>
  <si>
    <t>SPVOvl</t>
  </si>
  <si>
    <t>Spinal nucleus of the trigeminal, oral part, ventrolateral part</t>
  </si>
  <si>
    <t>Pa5</t>
  </si>
  <si>
    <t>Paratrigeminal nucleus</t>
  </si>
  <si>
    <t>z</t>
  </si>
  <si>
    <t>Nucleus z</t>
  </si>
  <si>
    <t>MY-mot</t>
  </si>
  <si>
    <t>Medulla, motor related</t>
  </si>
  <si>
    <t>VI</t>
  </si>
  <si>
    <t>Abducens nucleus</t>
  </si>
  <si>
    <t>ACVI</t>
  </si>
  <si>
    <t>Accessory abducens nucleus</t>
  </si>
  <si>
    <t>VII</t>
  </si>
  <si>
    <t>Facial motor nucleus</t>
  </si>
  <si>
    <t>ACVII</t>
  </si>
  <si>
    <t>Accessory facial motor nucleus</t>
  </si>
  <si>
    <t>EV</t>
  </si>
  <si>
    <t>Efferent vestibular nucleus</t>
  </si>
  <si>
    <t>AMB</t>
  </si>
  <si>
    <t>Nucleus ambiguus</t>
  </si>
  <si>
    <t>AMBd</t>
  </si>
  <si>
    <t>Nucleus ambiguus, dorsal division</t>
  </si>
  <si>
    <t>AMBv</t>
  </si>
  <si>
    <t>Nucleus ambiguus, ventral division</t>
  </si>
  <si>
    <t>DMX</t>
  </si>
  <si>
    <t>Dorsal motor nucleus of the vagus nerve</t>
  </si>
  <si>
    <t>ECO</t>
  </si>
  <si>
    <t>Efferent cochlear group</t>
  </si>
  <si>
    <t>GRN</t>
  </si>
  <si>
    <t>Gigantocellular reticular nucleus</t>
  </si>
  <si>
    <t>ICB</t>
  </si>
  <si>
    <t>Infracerebellar nucleus</t>
  </si>
  <si>
    <t>IO</t>
  </si>
  <si>
    <t>Inferior olivary complex</t>
  </si>
  <si>
    <t>IRN</t>
  </si>
  <si>
    <t>Intermediate reticular nucleus</t>
  </si>
  <si>
    <t>ISN</t>
  </si>
  <si>
    <t>Inferior salivatory nucleus</t>
  </si>
  <si>
    <t>LIN</t>
  </si>
  <si>
    <t>Linear nucleus of the medulla</t>
  </si>
  <si>
    <t>LRN</t>
  </si>
  <si>
    <t>Lateral reticular nucleus</t>
  </si>
  <si>
    <t>LRNm</t>
  </si>
  <si>
    <t>Lateral reticular nucleus, magnocellular part</t>
  </si>
  <si>
    <t>LRNp</t>
  </si>
  <si>
    <t>Lateral reticular nucleus, parvicellular part</t>
  </si>
  <si>
    <t>MARN</t>
  </si>
  <si>
    <t>Magnocellular reticular nucleus</t>
  </si>
  <si>
    <t>MDRN</t>
  </si>
  <si>
    <t>Medullary reticular nucleus</t>
  </si>
  <si>
    <t>MDRNd</t>
  </si>
  <si>
    <t>Medullary reticular nucleus, dorsal part</t>
  </si>
  <si>
    <t>MDRNv</t>
  </si>
  <si>
    <t>Medullary reticular nucleus, ventral part</t>
  </si>
  <si>
    <t>PARN</t>
  </si>
  <si>
    <t>Parvicellular reticular nucleus</t>
  </si>
  <si>
    <t>PAS</t>
  </si>
  <si>
    <t>Parasolitary nucleus</t>
  </si>
  <si>
    <t>PGRN</t>
  </si>
  <si>
    <t>Paragigantocellular reticular nucleus</t>
  </si>
  <si>
    <t>PGRNd</t>
  </si>
  <si>
    <t>Paragigantocellular reticular nucleus, dorsal part</t>
  </si>
  <si>
    <t>PGRNl</t>
  </si>
  <si>
    <t>Paragigantocellular reticular nucleus, lateral part</t>
  </si>
  <si>
    <t>PHY</t>
  </si>
  <si>
    <t>Perihypoglossal nuclei</t>
  </si>
  <si>
    <t>NIS</t>
  </si>
  <si>
    <t>Nucleus intercalatus</t>
  </si>
  <si>
    <t>NR</t>
  </si>
  <si>
    <t>Nucleus of Roller</t>
  </si>
  <si>
    <t>PRP</t>
  </si>
  <si>
    <t>Nucleus prepositus</t>
  </si>
  <si>
    <t>PMR</t>
  </si>
  <si>
    <t>Paramedian reticular nucleus</t>
  </si>
  <si>
    <t>PPY</t>
  </si>
  <si>
    <t>Parapyramidal nucleus</t>
  </si>
  <si>
    <t>PPYd</t>
  </si>
  <si>
    <t>Parapyramidal nucleus, deep part</t>
  </si>
  <si>
    <t>PPYs</t>
  </si>
  <si>
    <t>Parapyramidal nucleus, superficial part</t>
  </si>
  <si>
    <t>VNC</t>
  </si>
  <si>
    <t>Vestibular nuclei</t>
  </si>
  <si>
    <t>LAV</t>
  </si>
  <si>
    <t>Lateral vestibular nucleus</t>
  </si>
  <si>
    <t>MV</t>
  </si>
  <si>
    <t>Medial vestibular nucleus</t>
  </si>
  <si>
    <t>SPIV</t>
  </si>
  <si>
    <t>Spinal vestibular nucleus</t>
  </si>
  <si>
    <t>SUV</t>
  </si>
  <si>
    <t>Superior vestibular nucleus</t>
  </si>
  <si>
    <t>x</t>
  </si>
  <si>
    <t>Nucleus x</t>
  </si>
  <si>
    <t>XII</t>
  </si>
  <si>
    <t>Hypoglossal nucleus</t>
  </si>
  <si>
    <t>y</t>
  </si>
  <si>
    <t>Nucleus y</t>
  </si>
  <si>
    <t>INV</t>
  </si>
  <si>
    <t>Interstitial nucleus of the vestibular nerve</t>
  </si>
  <si>
    <t>MY-sat</t>
  </si>
  <si>
    <t>Medulla, behavioral state related</t>
  </si>
  <si>
    <t>RM</t>
  </si>
  <si>
    <t>Nucleus raphe magnus</t>
  </si>
  <si>
    <t>RPA</t>
  </si>
  <si>
    <t>Nucleus raphe pallidus</t>
  </si>
  <si>
    <t>RO</t>
  </si>
  <si>
    <t>Nucleus raphe obscurus</t>
  </si>
  <si>
    <t>CB</t>
  </si>
  <si>
    <t>Cerebellum</t>
  </si>
  <si>
    <t>CBX</t>
  </si>
  <si>
    <t>Cerebellar cortex</t>
  </si>
  <si>
    <t>CBXmo</t>
  </si>
  <si>
    <t>Cerebellar cortex, molecular layer</t>
  </si>
  <si>
    <t>CBXpu</t>
  </si>
  <si>
    <t>Cerebellar cortex, Purkinje layer</t>
  </si>
  <si>
    <t>CBXgr</t>
  </si>
  <si>
    <t>Cerebellar cortex, granular layer</t>
  </si>
  <si>
    <t>VERM</t>
  </si>
  <si>
    <t>Vermal regions</t>
  </si>
  <si>
    <t>LING</t>
  </si>
  <si>
    <t>Lingula (I)</t>
  </si>
  <si>
    <t>LINGmo</t>
  </si>
  <si>
    <t>Lingula (I), molecular layer</t>
  </si>
  <si>
    <t>LINGpu</t>
  </si>
  <si>
    <t>Lingula (I), Purkinje layer</t>
  </si>
  <si>
    <t>LINGgr</t>
  </si>
  <si>
    <t>Lingula (I), granular layer</t>
  </si>
  <si>
    <t>CENT</t>
  </si>
  <si>
    <t>Central lobule</t>
  </si>
  <si>
    <t>CENT2</t>
  </si>
  <si>
    <t>Lobule II</t>
  </si>
  <si>
    <t>CENT2mo</t>
  </si>
  <si>
    <t>Lobule II, molecular layer</t>
  </si>
  <si>
    <t>CENT2pu</t>
  </si>
  <si>
    <t>Lobule II, Purkinje layer</t>
  </si>
  <si>
    <t>CENT2gr</t>
  </si>
  <si>
    <t>Lobule II, granular layer</t>
  </si>
  <si>
    <t>CENT3</t>
  </si>
  <si>
    <t>Lobule III</t>
  </si>
  <si>
    <t>CENT3mo</t>
  </si>
  <si>
    <t>Lobule III, molecular layer</t>
  </si>
  <si>
    <t>CENT3pu</t>
  </si>
  <si>
    <t>Lobule III, Purkinje layer</t>
  </si>
  <si>
    <t>CENT3gr</t>
  </si>
  <si>
    <t>Lobule III, granular layer</t>
  </si>
  <si>
    <t>CUL</t>
  </si>
  <si>
    <t>Culmen</t>
  </si>
  <si>
    <t>CUL4</t>
  </si>
  <si>
    <t>Lobule IV</t>
  </si>
  <si>
    <t>CUL4mo</t>
  </si>
  <si>
    <t>Lobule IV, molecular layer</t>
  </si>
  <si>
    <t>CUL4pu</t>
  </si>
  <si>
    <t>Lobule IV, Purkinje layer</t>
  </si>
  <si>
    <t>CUL4gr</t>
  </si>
  <si>
    <t>Lobule IV, granular layer</t>
  </si>
  <si>
    <t>CUL5</t>
  </si>
  <si>
    <t>Lobule V</t>
  </si>
  <si>
    <t>CUL5mo</t>
  </si>
  <si>
    <t>Lobule V, molecular layer</t>
  </si>
  <si>
    <t>CUL5pu</t>
  </si>
  <si>
    <t>Lobule V, Purkinje layer</t>
  </si>
  <si>
    <t>CUL5gr</t>
  </si>
  <si>
    <t>Lobule V, granular layer</t>
  </si>
  <si>
    <t>CUL4, 5</t>
  </si>
  <si>
    <t>Lobules IV-V</t>
  </si>
  <si>
    <t>CUL4, 5mo</t>
  </si>
  <si>
    <t>Lobules IV-V, molecular layer</t>
  </si>
  <si>
    <t>CUL4, 5pu</t>
  </si>
  <si>
    <t>Lobules IV-V, Purkinje layer</t>
  </si>
  <si>
    <t>CUL4, 5gr</t>
  </si>
  <si>
    <t>Lobules IV-V, granular layer</t>
  </si>
  <si>
    <t>DEC</t>
  </si>
  <si>
    <t>Declive (VI)</t>
  </si>
  <si>
    <t>DECmo</t>
  </si>
  <si>
    <t>Declive (VI), molecular layer</t>
  </si>
  <si>
    <t>DECpu</t>
  </si>
  <si>
    <t>Declive (VI), Purkinje layer</t>
  </si>
  <si>
    <t>DECgr</t>
  </si>
  <si>
    <t>Declive (VI), granular layer</t>
  </si>
  <si>
    <t>FOTU</t>
  </si>
  <si>
    <t>Folium-tuber vermis (VII)</t>
  </si>
  <si>
    <t>FOTUmo</t>
  </si>
  <si>
    <t>Folium-tuber vermis (VII), molecular layer</t>
  </si>
  <si>
    <t>FOTUpu</t>
  </si>
  <si>
    <t>Folium-tuber vermis (VII), Purkinje layer</t>
  </si>
  <si>
    <t>FOTUgr</t>
  </si>
  <si>
    <t>Folium-tuber vermis (VII), granular layer</t>
  </si>
  <si>
    <t>PYR</t>
  </si>
  <si>
    <t>Pyramus (VIII)</t>
  </si>
  <si>
    <t>PYRmo</t>
  </si>
  <si>
    <t>Pyramus (VIII), molecular layer</t>
  </si>
  <si>
    <t>PYRpu</t>
  </si>
  <si>
    <t>Pyramus (VIII), Purkinje layer</t>
  </si>
  <si>
    <t>PYRgr</t>
  </si>
  <si>
    <t>Pyramus (VIII), granular layer</t>
  </si>
  <si>
    <t>UVU</t>
  </si>
  <si>
    <t>Uvula (IX)</t>
  </si>
  <si>
    <t>UVUmo</t>
  </si>
  <si>
    <t>Uvula (IX), molecular layer</t>
  </si>
  <si>
    <t>UVUpu</t>
  </si>
  <si>
    <t>Uvula (IX), Purkinje layer</t>
  </si>
  <si>
    <t>UVUgr</t>
  </si>
  <si>
    <t>Uvula (IX), granular layer</t>
  </si>
  <si>
    <t>NOD</t>
  </si>
  <si>
    <t>Nodulus (X)</t>
  </si>
  <si>
    <t>NODmo</t>
  </si>
  <si>
    <t>Nodulus (X), molecular layer</t>
  </si>
  <si>
    <t>NODpu</t>
  </si>
  <si>
    <t>Nodulus (X), Purkinje layer</t>
  </si>
  <si>
    <t>NODgr</t>
  </si>
  <si>
    <t>Nodulus (X), granular layer</t>
  </si>
  <si>
    <t>HEM</t>
  </si>
  <si>
    <t>Hemispheric regions</t>
  </si>
  <si>
    <t>SIM</t>
  </si>
  <si>
    <t>Simple lobule</t>
  </si>
  <si>
    <t>SIMmo</t>
  </si>
  <si>
    <t>Simple lobule, molecular layer</t>
  </si>
  <si>
    <t>SIMpu</t>
  </si>
  <si>
    <t>Simple lobule, Purkinje layer</t>
  </si>
  <si>
    <t>SIMgr</t>
  </si>
  <si>
    <t>Simple lobule, granular layer</t>
  </si>
  <si>
    <t>AN</t>
  </si>
  <si>
    <t>Ansiform lobule</t>
  </si>
  <si>
    <t>ANcr1</t>
  </si>
  <si>
    <t>Crus 1</t>
  </si>
  <si>
    <t>ANcr1mo</t>
  </si>
  <si>
    <t>Crus 1, molecular layer</t>
  </si>
  <si>
    <t>ANcr1pu</t>
  </si>
  <si>
    <t>Crus 1, Purkinje layer</t>
  </si>
  <si>
    <t>ANcr1gr</t>
  </si>
  <si>
    <t>Crus 1, granular layer</t>
  </si>
  <si>
    <t>ANcr2</t>
  </si>
  <si>
    <t>Crus 2</t>
  </si>
  <si>
    <t>ANcr2mo</t>
  </si>
  <si>
    <t>Crus 2, molecular layer</t>
  </si>
  <si>
    <t>ANcr2pu</t>
  </si>
  <si>
    <t>Crus 2, Purkinje layer</t>
  </si>
  <si>
    <t>ANcr2gr</t>
  </si>
  <si>
    <t>Crus 2, granular layer</t>
  </si>
  <si>
    <t>PRM</t>
  </si>
  <si>
    <t>Paramedian lobule</t>
  </si>
  <si>
    <t>PRMmo</t>
  </si>
  <si>
    <t>Paramedian lobule, molecular layer</t>
  </si>
  <si>
    <t>PRMpu</t>
  </si>
  <si>
    <t>Paramedian lobule, Purkinje layer</t>
  </si>
  <si>
    <t>PRMgr</t>
  </si>
  <si>
    <t>Paramedian lobule, granular layer</t>
  </si>
  <si>
    <t>COPY</t>
  </si>
  <si>
    <t>Copula pyramidis</t>
  </si>
  <si>
    <t>COPYmo</t>
  </si>
  <si>
    <t>Copula pyramidis, molecular layer</t>
  </si>
  <si>
    <t>COPYpu</t>
  </si>
  <si>
    <t>Copula pyramidis, Purkinje layer</t>
  </si>
  <si>
    <t>COPYgr</t>
  </si>
  <si>
    <t>Copula pyramidis, granular layer</t>
  </si>
  <si>
    <t>PFL</t>
  </si>
  <si>
    <t>Paraflocculus</t>
  </si>
  <si>
    <t>PFLmo</t>
  </si>
  <si>
    <t>Paraflocculus, molecular layer</t>
  </si>
  <si>
    <t>PFLpu</t>
  </si>
  <si>
    <t>Paraflocculus, Purkinje layer</t>
  </si>
  <si>
    <t>PFLgr</t>
  </si>
  <si>
    <t>Paraflocculus, granular layer</t>
  </si>
  <si>
    <t>FL</t>
  </si>
  <si>
    <t>Flocculus</t>
  </si>
  <si>
    <t>FLmo</t>
  </si>
  <si>
    <t>Flocculus, molecular layer</t>
  </si>
  <si>
    <t>FLpu</t>
  </si>
  <si>
    <t>Flocculus, Purkinje layer</t>
  </si>
  <si>
    <t>FLgr</t>
  </si>
  <si>
    <t>Flocculus, granular layer</t>
  </si>
  <si>
    <t>CBN</t>
  </si>
  <si>
    <t>Cerebellar nuclei</t>
  </si>
  <si>
    <t>FN</t>
  </si>
  <si>
    <t>Fastigial nucleus</t>
  </si>
  <si>
    <t>IP</t>
  </si>
  <si>
    <t>Interposed nucleus</t>
  </si>
  <si>
    <t>DN</t>
  </si>
  <si>
    <t>Dentate nucleus</t>
  </si>
  <si>
    <t>VeCB</t>
  </si>
  <si>
    <t>Vestibulocerebellar nucleus</t>
  </si>
  <si>
    <t>fiber tracts</t>
  </si>
  <si>
    <t>cm</t>
  </si>
  <si>
    <t>cranial nerves</t>
  </si>
  <si>
    <t>tn</t>
  </si>
  <si>
    <t>terminal nerve</t>
  </si>
  <si>
    <t>von</t>
  </si>
  <si>
    <t>vomeronasal nerve</t>
  </si>
  <si>
    <t>In</t>
  </si>
  <si>
    <t>olfactory nerve</t>
  </si>
  <si>
    <t>onl</t>
  </si>
  <si>
    <t>olfactory nerve layer of main olfactory bulb</t>
  </si>
  <si>
    <t>lotg</t>
  </si>
  <si>
    <t>lateral olfactory tract, general</t>
  </si>
  <si>
    <t>lot</t>
  </si>
  <si>
    <t>lateral olfactory tract, body</t>
  </si>
  <si>
    <t>lotd</t>
  </si>
  <si>
    <t>dorsal limb</t>
  </si>
  <si>
    <t>aolt</t>
  </si>
  <si>
    <t>accessory olfactory tract</t>
  </si>
  <si>
    <t>aco</t>
  </si>
  <si>
    <t>anterior commissure, olfactory limb</t>
  </si>
  <si>
    <t>IIn</t>
  </si>
  <si>
    <t>optic nerve</t>
  </si>
  <si>
    <t>aot</t>
  </si>
  <si>
    <t>accessory optic tract</t>
  </si>
  <si>
    <t>bsc</t>
  </si>
  <si>
    <t>brachium of the superior colliculus</t>
  </si>
  <si>
    <t>csc</t>
  </si>
  <si>
    <t>superior colliculus commissure</t>
  </si>
  <si>
    <t>och</t>
  </si>
  <si>
    <t>optic chiasm</t>
  </si>
  <si>
    <t>opt</t>
  </si>
  <si>
    <t>optic tract</t>
  </si>
  <si>
    <t>ttp</t>
  </si>
  <si>
    <t>tectothalamic pathway</t>
  </si>
  <si>
    <t>IIIn</t>
  </si>
  <si>
    <t>oculomotor nerve</t>
  </si>
  <si>
    <t>mlf</t>
  </si>
  <si>
    <t>medial longitudinal fascicle</t>
  </si>
  <si>
    <t>pc</t>
  </si>
  <si>
    <t>posterior commissure</t>
  </si>
  <si>
    <t>IVn</t>
  </si>
  <si>
    <t>trochlear nerve</t>
  </si>
  <si>
    <t>IVd</t>
  </si>
  <si>
    <t>trochlear nerve decussation</t>
  </si>
  <si>
    <t>VIn</t>
  </si>
  <si>
    <t>abducens nerve</t>
  </si>
  <si>
    <t>Vn</t>
  </si>
  <si>
    <t>trigeminal nerve</t>
  </si>
  <si>
    <t>moV</t>
  </si>
  <si>
    <t>motor root of the trigeminal nerve</t>
  </si>
  <si>
    <t>sV</t>
  </si>
  <si>
    <t>sensory root of the trigeminal nerve</t>
  </si>
  <si>
    <t>mtV</t>
  </si>
  <si>
    <t>midbrain tract of the trigeminal nerve</t>
  </si>
  <si>
    <t>sptV</t>
  </si>
  <si>
    <t>spinal tract of the trigeminal nerve</t>
  </si>
  <si>
    <t>VIIn</t>
  </si>
  <si>
    <t>facial nerve</t>
  </si>
  <si>
    <t>iVIIn</t>
  </si>
  <si>
    <t>intermediate nerve</t>
  </si>
  <si>
    <t>gVIIn</t>
  </si>
  <si>
    <t>genu of the facial nerve</t>
  </si>
  <si>
    <t>VIIIn</t>
  </si>
  <si>
    <t>vestibulocochlear nerve</t>
  </si>
  <si>
    <t>cvb</t>
  </si>
  <si>
    <t>efferent cochleovestibular bundle</t>
  </si>
  <si>
    <t>vVIIIn</t>
  </si>
  <si>
    <t>vestibular nerve</t>
  </si>
  <si>
    <t>cVIIIn</t>
  </si>
  <si>
    <t>cochlear nerve</t>
  </si>
  <si>
    <t>tb</t>
  </si>
  <si>
    <t>trapezoid body</t>
  </si>
  <si>
    <t>ias</t>
  </si>
  <si>
    <t>intermediate acoustic stria</t>
  </si>
  <si>
    <t>das</t>
  </si>
  <si>
    <t>dorsal acoustic stria</t>
  </si>
  <si>
    <t>ll</t>
  </si>
  <si>
    <t>lateral lemniscus</t>
  </si>
  <si>
    <t>cic</t>
  </si>
  <si>
    <t>inferior colliculus commissure</t>
  </si>
  <si>
    <t>bic</t>
  </si>
  <si>
    <t>brachium of the inferior colliculus</t>
  </si>
  <si>
    <t>IXn</t>
  </si>
  <si>
    <t>glossopharyngeal nerve</t>
  </si>
  <si>
    <t>Xn</t>
  </si>
  <si>
    <t>vagus nerve</t>
  </si>
  <si>
    <t>ts</t>
  </si>
  <si>
    <t>solitary tract</t>
  </si>
  <si>
    <t>XIn</t>
  </si>
  <si>
    <t>accessory spinal nerve</t>
  </si>
  <si>
    <t>XIIn</t>
  </si>
  <si>
    <t>hypoglossal nerve</t>
  </si>
  <si>
    <t>vrt</t>
  </si>
  <si>
    <t>ventral roots</t>
  </si>
  <si>
    <t>drt</t>
  </si>
  <si>
    <t>dorsal roots</t>
  </si>
  <si>
    <t>cett</t>
  </si>
  <si>
    <t>cervicothalamic tract</t>
  </si>
  <si>
    <t>dl</t>
  </si>
  <si>
    <t>dorsolateral fascicle</t>
  </si>
  <si>
    <t>dcm</t>
  </si>
  <si>
    <t>dorsal commissure of the spinal cord</t>
  </si>
  <si>
    <t>vc</t>
  </si>
  <si>
    <t>ventral commissure of the spinal cord</t>
  </si>
  <si>
    <t>fpr</t>
  </si>
  <si>
    <t>fasciculus proprius</t>
  </si>
  <si>
    <t>dc</t>
  </si>
  <si>
    <t>dorsal column</t>
  </si>
  <si>
    <t>cuf</t>
  </si>
  <si>
    <t>cuneate fascicle</t>
  </si>
  <si>
    <t>grf</t>
  </si>
  <si>
    <t>gracile fascicle</t>
  </si>
  <si>
    <t>iaf</t>
  </si>
  <si>
    <t>internal arcuate fibers</t>
  </si>
  <si>
    <t>ml</t>
  </si>
  <si>
    <t>medial lemniscus</t>
  </si>
  <si>
    <t>sst</t>
  </si>
  <si>
    <t>spinothalamic tract</t>
  </si>
  <si>
    <t>sttl</t>
  </si>
  <si>
    <t>lateral spinothalamic tract</t>
  </si>
  <si>
    <t>sttv</t>
  </si>
  <si>
    <t>ventral spinothalamic tract</t>
  </si>
  <si>
    <t>scrt</t>
  </si>
  <si>
    <t>spinocervical tract</t>
  </si>
  <si>
    <t>sop</t>
  </si>
  <si>
    <t>spino-olivary pathway</t>
  </si>
  <si>
    <t>srp</t>
  </si>
  <si>
    <t>spinoreticular pathway</t>
  </si>
  <si>
    <t>svp</t>
  </si>
  <si>
    <t>spinovestibular pathway</t>
  </si>
  <si>
    <t>stp</t>
  </si>
  <si>
    <t>spinotectal pathway</t>
  </si>
  <si>
    <t>shp</t>
  </si>
  <si>
    <t>spinohypothalamic pathway</t>
  </si>
  <si>
    <t>step</t>
  </si>
  <si>
    <t>spinotelenchephalic pathway</t>
  </si>
  <si>
    <t>hht</t>
  </si>
  <si>
    <t>hypothalamohypophysial tract</t>
  </si>
  <si>
    <t>cbf</t>
  </si>
  <si>
    <t>cerebellum related fiber tracts</t>
  </si>
  <si>
    <t>cbc</t>
  </si>
  <si>
    <t>cerebellar commissure</t>
  </si>
  <si>
    <t>cbp</t>
  </si>
  <si>
    <t>cerebellar peduncles</t>
  </si>
  <si>
    <t>scp</t>
  </si>
  <si>
    <t>superior cerebelar peduncles</t>
  </si>
  <si>
    <t>dscp</t>
  </si>
  <si>
    <t>superior cerebellar peduncle decussation</t>
  </si>
  <si>
    <t>sct</t>
  </si>
  <si>
    <t>spinocerebellar tract</t>
  </si>
  <si>
    <t>uf</t>
  </si>
  <si>
    <t>uncinate fascicle</t>
  </si>
  <si>
    <t>sctv</t>
  </si>
  <si>
    <t>ventral spinocerebellar tract</t>
  </si>
  <si>
    <t>mcp</t>
  </si>
  <si>
    <t>middle cerebellar peduncle</t>
  </si>
  <si>
    <t>icp</t>
  </si>
  <si>
    <t>inferior cerebellar peduncle</t>
  </si>
  <si>
    <t>sctd</t>
  </si>
  <si>
    <t>dorsal spinocerebellar tract</t>
  </si>
  <si>
    <t>cct</t>
  </si>
  <si>
    <t>cuneocerebellar tract</t>
  </si>
  <si>
    <t>jrb</t>
  </si>
  <si>
    <t>juxtarestiform body</t>
  </si>
  <si>
    <t>bct</t>
  </si>
  <si>
    <t>bulbocerebellar tract</t>
  </si>
  <si>
    <t>oct</t>
  </si>
  <si>
    <t>olivocerebellar tract</t>
  </si>
  <si>
    <t>rct</t>
  </si>
  <si>
    <t>reticulocerebellar tract</t>
  </si>
  <si>
    <t>tct</t>
  </si>
  <si>
    <t>trigeminocerebellar tract</t>
  </si>
  <si>
    <t>arb</t>
  </si>
  <si>
    <t>arbor vitae</t>
  </si>
  <si>
    <t>scwm</t>
  </si>
  <si>
    <t>supra-callosal cerebral white matter</t>
  </si>
  <si>
    <t>lfbs</t>
  </si>
  <si>
    <t>lateral forebrain bundle system</t>
  </si>
  <si>
    <t>cc</t>
  </si>
  <si>
    <t>corpus callosum</t>
  </si>
  <si>
    <t>fa</t>
  </si>
  <si>
    <t>corpus callosum, anterior forceps</t>
  </si>
  <si>
    <t>ec</t>
  </si>
  <si>
    <t>external capsule</t>
  </si>
  <si>
    <t>ee</t>
  </si>
  <si>
    <t>corpus callosum, extreme capsule</t>
  </si>
  <si>
    <t>ccg</t>
  </si>
  <si>
    <t>genu of corpus callosum</t>
  </si>
  <si>
    <t>fp</t>
  </si>
  <si>
    <t>corpus callosum, posterior forceps</t>
  </si>
  <si>
    <t>ccr</t>
  </si>
  <si>
    <t>corpus callosum, rostrum</t>
  </si>
  <si>
    <t>ccb</t>
  </si>
  <si>
    <t>corpus callosum, body</t>
  </si>
  <si>
    <t>ccs</t>
  </si>
  <si>
    <t>corpus callosum, splenium</t>
  </si>
  <si>
    <t>cst</t>
  </si>
  <si>
    <t>corticospinal tract</t>
  </si>
  <si>
    <t>int</t>
  </si>
  <si>
    <t>internal capsule</t>
  </si>
  <si>
    <t>cpd</t>
  </si>
  <si>
    <t>cerebal peduncle</t>
  </si>
  <si>
    <t>cte</t>
  </si>
  <si>
    <t>corticotectal tract</t>
  </si>
  <si>
    <t>crt</t>
  </si>
  <si>
    <t>corticorubral tract</t>
  </si>
  <si>
    <t>cpt</t>
  </si>
  <si>
    <t>corticopontine tract</t>
  </si>
  <si>
    <t>cbt</t>
  </si>
  <si>
    <t>corticobulbar tract</t>
  </si>
  <si>
    <t>py</t>
  </si>
  <si>
    <t>pyramid</t>
  </si>
  <si>
    <t>pyd</t>
  </si>
  <si>
    <t>pyramidal decussation</t>
  </si>
  <si>
    <t>cstc</t>
  </si>
  <si>
    <t>corticospinal tract, crossed</t>
  </si>
  <si>
    <t>cstu</t>
  </si>
  <si>
    <t>corticospinal tract, uncrossed</t>
  </si>
  <si>
    <t>lfbst</t>
  </si>
  <si>
    <t>thalamus related</t>
  </si>
  <si>
    <t>em</t>
  </si>
  <si>
    <t>external medullary lamina of the thalamus</t>
  </si>
  <si>
    <t>im</t>
  </si>
  <si>
    <t>internal medullary lamina of the thalamus</t>
  </si>
  <si>
    <t>mtc</t>
  </si>
  <si>
    <t>middle thalamic commissure</t>
  </si>
  <si>
    <t>tp</t>
  </si>
  <si>
    <t>thalamic peduncles</t>
  </si>
  <si>
    <t>or</t>
  </si>
  <si>
    <t>optic radiation</t>
  </si>
  <si>
    <t>ar</t>
  </si>
  <si>
    <t>auditory radiation</t>
  </si>
  <si>
    <t>eps</t>
  </si>
  <si>
    <t>extrapyramidal fiber systems</t>
  </si>
  <si>
    <t>epsc</t>
  </si>
  <si>
    <t>cerebral nuclei related</t>
  </si>
  <si>
    <t>pap</t>
  </si>
  <si>
    <t>pallidothalamic pathway</t>
  </si>
  <si>
    <t>nst</t>
  </si>
  <si>
    <t>nigrostriatal tract</t>
  </si>
  <si>
    <t>ntt</t>
  </si>
  <si>
    <t>nigrothalamic fibers</t>
  </si>
  <si>
    <t>ptf</t>
  </si>
  <si>
    <t>pallidotegmental fascicle</t>
  </si>
  <si>
    <t>snp</t>
  </si>
  <si>
    <t>striatonigral pathway</t>
  </si>
  <si>
    <t>stf</t>
  </si>
  <si>
    <t>subthalamic fascicle</t>
  </si>
  <si>
    <t>tsp</t>
  </si>
  <si>
    <t>tectospinal pathway</t>
  </si>
  <si>
    <t>tspd</t>
  </si>
  <si>
    <t>direct tectospinal pathway</t>
  </si>
  <si>
    <t>dtd</t>
  </si>
  <si>
    <t>doral tegmental decussation</t>
  </si>
  <si>
    <t>tspc</t>
  </si>
  <si>
    <t>crossed tectospinal pathway</t>
  </si>
  <si>
    <t>rust</t>
  </si>
  <si>
    <t>rubrospinal tract</t>
  </si>
  <si>
    <t>vtd</t>
  </si>
  <si>
    <t>ventral tegmental decussation</t>
  </si>
  <si>
    <t>rrt</t>
  </si>
  <si>
    <t>rubroreticular tract</t>
  </si>
  <si>
    <t>ctb</t>
  </si>
  <si>
    <t>central tegmental bundle</t>
  </si>
  <si>
    <t>rst</t>
  </si>
  <si>
    <t>retriculospinal tract</t>
  </si>
  <si>
    <t>rstl</t>
  </si>
  <si>
    <t>retriculospinal tract, lateral part</t>
  </si>
  <si>
    <t>rstm</t>
  </si>
  <si>
    <t>retriculospinal tract, medial part</t>
  </si>
  <si>
    <t>vsp</t>
  </si>
  <si>
    <t>vestibulospinal pathway</t>
  </si>
  <si>
    <t>mfbs</t>
  </si>
  <si>
    <t>medial forebrain bundle system</t>
  </si>
  <si>
    <t>mfbc</t>
  </si>
  <si>
    <t>cerebrum related</t>
  </si>
  <si>
    <t>amc</t>
  </si>
  <si>
    <t>amygdalar capsule</t>
  </si>
  <si>
    <t>apd</t>
  </si>
  <si>
    <t>ansa peduncularis</t>
  </si>
  <si>
    <t>act</t>
  </si>
  <si>
    <t>anterior commissure, temporal limb</t>
  </si>
  <si>
    <t>cing</t>
  </si>
  <si>
    <t>cingulum bundle</t>
  </si>
  <si>
    <t>fxs</t>
  </si>
  <si>
    <t>fornix system</t>
  </si>
  <si>
    <t>alv</t>
  </si>
  <si>
    <t>alveus</t>
  </si>
  <si>
    <t>df</t>
  </si>
  <si>
    <t>dorsal fornix</t>
  </si>
  <si>
    <t>fi</t>
  </si>
  <si>
    <t>fimbria</t>
  </si>
  <si>
    <t>fxprg</t>
  </si>
  <si>
    <t>precommissural fornix, general</t>
  </si>
  <si>
    <t>db</t>
  </si>
  <si>
    <t>precommissural fornix diagonal band</t>
  </si>
  <si>
    <t>fxpo</t>
  </si>
  <si>
    <t>postcommissural fornix</t>
  </si>
  <si>
    <t>mct</t>
  </si>
  <si>
    <t>medial corticohypothalamic tract</t>
  </si>
  <si>
    <t>fx</t>
  </si>
  <si>
    <t>columns of the fornix</t>
  </si>
  <si>
    <t>hc</t>
  </si>
  <si>
    <t>hippocampal commissures</t>
  </si>
  <si>
    <t>dhc</t>
  </si>
  <si>
    <t>dorsal hippocampal commissure</t>
  </si>
  <si>
    <t>vhc</t>
  </si>
  <si>
    <t>ventral hippocampal commissure</t>
  </si>
  <si>
    <t>per</t>
  </si>
  <si>
    <t>perforant path</t>
  </si>
  <si>
    <t>ab</t>
  </si>
  <si>
    <t>angular path</t>
  </si>
  <si>
    <t>lab</t>
  </si>
  <si>
    <t>longitudinal association bundle</t>
  </si>
  <si>
    <t>st</t>
  </si>
  <si>
    <t>stria terminalis</t>
  </si>
  <si>
    <t>stc</t>
  </si>
  <si>
    <t>commissural branch of stria terminalis</t>
  </si>
  <si>
    <t>mfsbshy</t>
  </si>
  <si>
    <t>hypothalamus related</t>
  </si>
  <si>
    <t>mfb</t>
  </si>
  <si>
    <t>medial forebrain bundle</t>
  </si>
  <si>
    <t>vlt</t>
  </si>
  <si>
    <t>ventrolateral hypothalamic tract</t>
  </si>
  <si>
    <t>poc</t>
  </si>
  <si>
    <t>preoptic commissure</t>
  </si>
  <si>
    <t>sup</t>
  </si>
  <si>
    <t>supraoptic commissures</t>
  </si>
  <si>
    <t>supa</t>
  </si>
  <si>
    <t>supraoptic commissures, anterior</t>
  </si>
  <si>
    <t>supd</t>
  </si>
  <si>
    <t>supraoptic commissures, dorsal</t>
  </si>
  <si>
    <t>supv</t>
  </si>
  <si>
    <t>supraoptic commissures, ventral</t>
  </si>
  <si>
    <t>pmx</t>
  </si>
  <si>
    <t>premammillary commissure</t>
  </si>
  <si>
    <t>smd</t>
  </si>
  <si>
    <t>supramammillary decussation</t>
  </si>
  <si>
    <t>php</t>
  </si>
  <si>
    <t>propriohypothalamic pathways</t>
  </si>
  <si>
    <t>phpd</t>
  </si>
  <si>
    <t>propriohypothalamic pathways, dorsal</t>
  </si>
  <si>
    <t>phpl</t>
  </si>
  <si>
    <t>propriohypothalamic pathways, lateral</t>
  </si>
  <si>
    <t>phpm</t>
  </si>
  <si>
    <t>propriohypothalamic pathways, medial</t>
  </si>
  <si>
    <t>phpv</t>
  </si>
  <si>
    <t>propriohypothalamic pathways, ventral</t>
  </si>
  <si>
    <t>pvbh</t>
  </si>
  <si>
    <t>periventricular bundle of the hypothalamus</t>
  </si>
  <si>
    <t>mfbsma</t>
  </si>
  <si>
    <t>mammillary related</t>
  </si>
  <si>
    <t>pm</t>
  </si>
  <si>
    <t>principal mammillary tract</t>
  </si>
  <si>
    <t>mtt</t>
  </si>
  <si>
    <t>mammillothalamic tract</t>
  </si>
  <si>
    <t>mtg</t>
  </si>
  <si>
    <t>mammillotegmental tract</t>
  </si>
  <si>
    <t>mp</t>
  </si>
  <si>
    <t>mammillary peduncle</t>
  </si>
  <si>
    <t>mfbst</t>
  </si>
  <si>
    <t>dorsal thalamus related</t>
  </si>
  <si>
    <t>pvbt</t>
  </si>
  <si>
    <t>periventricular bundle of the thalamus</t>
  </si>
  <si>
    <t>mfbse</t>
  </si>
  <si>
    <t>epithalamus related</t>
  </si>
  <si>
    <t>sm</t>
  </si>
  <si>
    <t>stria medullaris</t>
  </si>
  <si>
    <t>fr</t>
  </si>
  <si>
    <t>fasciculus retroflexus</t>
  </si>
  <si>
    <t>hbc</t>
  </si>
  <si>
    <t>habenular commissure</t>
  </si>
  <si>
    <t>PIS</t>
  </si>
  <si>
    <t>pineal stalk</t>
  </si>
  <si>
    <t>mfbsm</t>
  </si>
  <si>
    <t>midbrain related</t>
  </si>
  <si>
    <t>dlf</t>
  </si>
  <si>
    <t>dorsal longitudinal fascicle</t>
  </si>
  <si>
    <t>dtt</t>
  </si>
  <si>
    <t>dorsal tegmental tract</t>
  </si>
  <si>
    <t>VS</t>
  </si>
  <si>
    <t>ventricular systems</t>
  </si>
  <si>
    <t>VL</t>
  </si>
  <si>
    <t>lateral ventricle</t>
  </si>
  <si>
    <t>RC</t>
  </si>
  <si>
    <t>rhinocele</t>
  </si>
  <si>
    <t>SEZ</t>
  </si>
  <si>
    <t>subependymal zone</t>
  </si>
  <si>
    <t>chpl</t>
  </si>
  <si>
    <t>choroid plexus</t>
  </si>
  <si>
    <t>chfl</t>
  </si>
  <si>
    <t>choroid fissure</t>
  </si>
  <si>
    <t>IVF</t>
  </si>
  <si>
    <t>interventricular foramen</t>
  </si>
  <si>
    <t>V3</t>
  </si>
  <si>
    <t>third ventricle</t>
  </si>
  <si>
    <t>AQ</t>
  </si>
  <si>
    <t>cerebral aqueduct</t>
  </si>
  <si>
    <t>V4</t>
  </si>
  <si>
    <t>fourth ventricle</t>
  </si>
  <si>
    <t>V4r</t>
  </si>
  <si>
    <t>lateral recess</t>
  </si>
  <si>
    <t>c</t>
  </si>
  <si>
    <t>grv</t>
  </si>
  <si>
    <t>grooves</t>
  </si>
  <si>
    <t>grv of CTX</t>
  </si>
  <si>
    <t>grooves of the cerebral cortex</t>
  </si>
  <si>
    <t>eg</t>
  </si>
  <si>
    <t>endorhinal groove</t>
  </si>
  <si>
    <t>hf</t>
  </si>
  <si>
    <t>hippocampal fissure</t>
  </si>
  <si>
    <t>rf</t>
  </si>
  <si>
    <t>rhinal fissure</t>
  </si>
  <si>
    <t>ri</t>
  </si>
  <si>
    <t>rhinal incisure</t>
  </si>
  <si>
    <t>grv of CBX</t>
  </si>
  <si>
    <t>grooves of the cerebellar cortex</t>
  </si>
  <si>
    <t>pce</t>
  </si>
  <si>
    <t>precentral fissure</t>
  </si>
  <si>
    <t>pcf</t>
  </si>
  <si>
    <t>preculminate fissure</t>
  </si>
  <si>
    <t>pri</t>
  </si>
  <si>
    <t>primary fissure</t>
  </si>
  <si>
    <t>psf</t>
  </si>
  <si>
    <t>posterior superior fissure</t>
  </si>
  <si>
    <t>ppf</t>
  </si>
  <si>
    <t>prepyramidal fissure</t>
  </si>
  <si>
    <t>sec</t>
  </si>
  <si>
    <t>secondary fissure</t>
  </si>
  <si>
    <t>plf</t>
  </si>
  <si>
    <t>posterolateral fissure</t>
  </si>
  <si>
    <t>nf</t>
  </si>
  <si>
    <t>nodular fissure</t>
  </si>
  <si>
    <t>sif</t>
  </si>
  <si>
    <t>simple fissure</t>
  </si>
  <si>
    <t>icf</t>
  </si>
  <si>
    <t>intercrural fissure</t>
  </si>
  <si>
    <t>apf</t>
  </si>
  <si>
    <t>ansoparamedian fissure</t>
  </si>
  <si>
    <t>ipf</t>
  </si>
  <si>
    <t>intraparafloccular fissure</t>
  </si>
  <si>
    <t>pms</t>
  </si>
  <si>
    <t>paramedian sulcus</t>
  </si>
  <si>
    <t>pfs</t>
  </si>
  <si>
    <t>parafloccular sulcus</t>
  </si>
  <si>
    <t>IPF</t>
  </si>
  <si>
    <t>Interpeduncular fossa</t>
  </si>
  <si>
    <t>retin</t>
  </si>
  <si>
    <t>FRP2/3</t>
  </si>
  <si>
    <t>MO2/3</t>
  </si>
  <si>
    <t>MOp2/3</t>
  </si>
  <si>
    <t>MOs2/3</t>
  </si>
  <si>
    <t>SS2/3</t>
  </si>
  <si>
    <t>SSp2/3</t>
  </si>
  <si>
    <t>SSp-n2/3</t>
  </si>
  <si>
    <t>SSp-bfd2/3</t>
  </si>
  <si>
    <t>VISrll2/3</t>
  </si>
  <si>
    <t>SSp-ll2/3</t>
  </si>
  <si>
    <t>SSp-m2/3</t>
  </si>
  <si>
    <t>SSp-ul2/3</t>
  </si>
  <si>
    <t>SSp-tr2/3</t>
  </si>
  <si>
    <t>SSp-un2/3</t>
  </si>
  <si>
    <t>SSs2/3</t>
  </si>
  <si>
    <t>GU2/3</t>
  </si>
  <si>
    <t>VISC2/3</t>
  </si>
  <si>
    <t>AUDd2/3</t>
  </si>
  <si>
    <t>VISlla2/3</t>
  </si>
  <si>
    <t>AUDp2/3</t>
  </si>
  <si>
    <t>AUDpo2/3</t>
  </si>
  <si>
    <t>AUDv2/3</t>
  </si>
  <si>
    <t>VIS2/3</t>
  </si>
  <si>
    <t>VISal2/3</t>
  </si>
  <si>
    <t>VISam2/3</t>
  </si>
  <si>
    <t>VISl2/3</t>
  </si>
  <si>
    <t>VISp2/3</t>
  </si>
  <si>
    <t>VISpl2/3</t>
  </si>
  <si>
    <t>VISpm2/3</t>
  </si>
  <si>
    <t>VISli2/3</t>
  </si>
  <si>
    <t>VISpor2/3</t>
  </si>
  <si>
    <t>ACA2/3</t>
  </si>
  <si>
    <t>ACAd2/3</t>
  </si>
  <si>
    <t>ACAv2/3</t>
  </si>
  <si>
    <t>PL2/3</t>
  </si>
  <si>
    <t>ILA2/3</t>
  </si>
  <si>
    <t>ORB2/3</t>
  </si>
  <si>
    <t>ORBl2/3</t>
  </si>
  <si>
    <t>ORBm2/3</t>
  </si>
  <si>
    <t>ORBvl2/3</t>
  </si>
  <si>
    <t>AId2/3</t>
  </si>
  <si>
    <t>AIp2/3</t>
  </si>
  <si>
    <t>AIv2/3</t>
  </si>
  <si>
    <t>RSPagl2/3</t>
  </si>
  <si>
    <t>VISmma2/3</t>
  </si>
  <si>
    <t>VISmmp2/3</t>
  </si>
  <si>
    <t>VISm2/3</t>
  </si>
  <si>
    <t>RSPd2/3</t>
  </si>
  <si>
    <t>RSPv2/3</t>
  </si>
  <si>
    <t>PTLp2/3</t>
  </si>
  <si>
    <t>VISa2/3</t>
  </si>
  <si>
    <t>VISrl2/3</t>
  </si>
  <si>
    <t>TEa2/3</t>
  </si>
  <si>
    <t>PERI2/3</t>
  </si>
  <si>
    <t>ECT2/3</t>
  </si>
  <si>
    <t>DP2/3</t>
  </si>
  <si>
    <t>ENTl2/3</t>
  </si>
  <si>
    <t>ENTl4/5</t>
  </si>
  <si>
    <t>ENTl5/6</t>
  </si>
  <si>
    <t>ENTm5/6</t>
  </si>
  <si>
    <t>ENTmv5/6</t>
  </si>
  <si>
    <t>Frontal pole, layer 2/3</t>
  </si>
  <si>
    <t>Somatomotor areas, Layer 2/3</t>
  </si>
  <si>
    <t>Primary motor area, Layer 2/3</t>
  </si>
  <si>
    <t>Secondary motor area, layer 2/3</t>
  </si>
  <si>
    <t>Somatosensory areas, layer 2/3</t>
  </si>
  <si>
    <t>Primary somatosensory area, layer 2/3</t>
  </si>
  <si>
    <t>Primary somatosensory area, nose, layer 2/3</t>
  </si>
  <si>
    <t>Primary somatosensory area, barrel field, layer 2/3</t>
  </si>
  <si>
    <t>Rostrolateral lateral visual area, layer 2/3</t>
  </si>
  <si>
    <t>Primary somatosensory area, lower limb, layer 2/3</t>
  </si>
  <si>
    <t>Primary somatosensory area, mouth, layer 2/3</t>
  </si>
  <si>
    <t>Primary somatosensory area, upper limb, layer 2/3</t>
  </si>
  <si>
    <t>Primary somatosensory area, trunk, layer 2/3</t>
  </si>
  <si>
    <t>Primary somatosensory area, unassigned, layer 2/3</t>
  </si>
  <si>
    <t>Supplemental somatosensory area, layer 2/3</t>
  </si>
  <si>
    <t>Gustatory areas, layer 2/3</t>
  </si>
  <si>
    <t>Visceral area, layer 2/3</t>
  </si>
  <si>
    <t>Dorsal auditory area, layer 2/3</t>
  </si>
  <si>
    <t>Laterolateral anterior visual area, layer 2/3</t>
  </si>
  <si>
    <t>Primary auditory area, layer 2/3</t>
  </si>
  <si>
    <t>Posterior auditory area, layer 2/3</t>
  </si>
  <si>
    <t>Ventral auditory area, layer 2/3</t>
  </si>
  <si>
    <t>Visual areas, layer 2/3</t>
  </si>
  <si>
    <t>Anterolateral visual area, layer 2/3</t>
  </si>
  <si>
    <t>Anteromedial visual area, layer 2/3</t>
  </si>
  <si>
    <t>Lateral visual area, layer 2/3</t>
  </si>
  <si>
    <t>Primary visual area, layer 2/3</t>
  </si>
  <si>
    <t>Posterolateral visual area, layer 2/3</t>
  </si>
  <si>
    <t>posteromedial visual area, layer 2/3</t>
  </si>
  <si>
    <t>Laterointermediate area, layer 2/3</t>
  </si>
  <si>
    <t>Postrhinal area, layer 2/3</t>
  </si>
  <si>
    <t>Anterior cingulate area, layer 2/3</t>
  </si>
  <si>
    <t>Anterior cingulate area, dorsal part, layer 2/3</t>
  </si>
  <si>
    <t>Anterior cingulate area, ventral part, layer 2/3</t>
  </si>
  <si>
    <t>Prelimbic area, layer 2/3</t>
  </si>
  <si>
    <t>Infralimbic area, layer 2/3</t>
  </si>
  <si>
    <t>Orbital area, layer 2/3</t>
  </si>
  <si>
    <t>Orbital area, lateral part, layer 2/3</t>
  </si>
  <si>
    <t>Orbital area, medial part, layer 2/3</t>
  </si>
  <si>
    <t>Orbital area, ventrolateral part, layer 2/3</t>
  </si>
  <si>
    <t>Agranular insular area, dorsal part, layer 2/3</t>
  </si>
  <si>
    <t>Agranular insular area, posterior part, layer 2/3</t>
  </si>
  <si>
    <t>Agranular insular area, ventral part, layer 2/3</t>
  </si>
  <si>
    <t>Retrosplenial area, lateral agranular part, layer 2/3</t>
  </si>
  <si>
    <t>Mediomedial anterior visual area, layer 2/3</t>
  </si>
  <si>
    <t>Mediomedial posterior visual area, layer 2/3</t>
  </si>
  <si>
    <t>Medial visual area, layer 2/3</t>
  </si>
  <si>
    <t>Retrosplenial area, dorsal part, layer 2/3</t>
  </si>
  <si>
    <t>Retrosplenial area, ventral part, layer 2/3</t>
  </si>
  <si>
    <t>Posterior parietal association areas, layer 2/3</t>
  </si>
  <si>
    <t>Anterior area, layer 2/3</t>
  </si>
  <si>
    <t>Rostrolateral area, layer 2/3</t>
  </si>
  <si>
    <t>Temporal association areas, layer 2/3</t>
  </si>
  <si>
    <t>Perirhinal area, layer 2/3</t>
  </si>
  <si>
    <t>Ectorhinal area/Layer 1</t>
  </si>
  <si>
    <t>Ectorhinal area/Layer 2/3</t>
  </si>
  <si>
    <t>Ectorhinal area/Layer 5</t>
  </si>
  <si>
    <t>Ectorhinal area/Layer 6a</t>
  </si>
  <si>
    <t>Ectorhinal area/Layer 6b</t>
  </si>
  <si>
    <t>Dorsal peduncular area, layer 2/3</t>
  </si>
  <si>
    <t>Entorhinal area, lateral part, layer 2/3</t>
  </si>
  <si>
    <t>Entorhinal area, lateral part, layer 4/5</t>
  </si>
  <si>
    <t>Entorhinal area, lateral part, layer 5/6</t>
  </si>
  <si>
    <t>Entorhinal area, medial part, dorsal zone, layer 5/6</t>
  </si>
  <si>
    <t>Entorhinal area, medial part, ventral zone, layer 5/6</t>
  </si>
  <si>
    <t>central canal, spinal cord/medulla</t>
  </si>
  <si>
    <t>order</t>
  </si>
  <si>
    <t>structure ID</t>
  </si>
  <si>
    <t>full structure name</t>
  </si>
  <si>
    <t>abbreviation</t>
  </si>
  <si>
    <t>parent_id</t>
  </si>
  <si>
    <t>depth in tree</t>
  </si>
  <si>
    <t>structure_id_path</t>
  </si>
  <si>
    <t>/997/</t>
  </si>
  <si>
    <t>/997/8/</t>
  </si>
  <si>
    <t>/997/8/567/</t>
  </si>
  <si>
    <t>/997/8/567/688/</t>
  </si>
  <si>
    <t>/997/8/567/688/695/</t>
  </si>
  <si>
    <t>/997/8/567/688/695/315/</t>
  </si>
  <si>
    <t>/997/8/567/688/695/315/184/</t>
  </si>
  <si>
    <t>/997/8/567/688/695/315/184/68/</t>
  </si>
  <si>
    <t>/997/8/567/688/695/315/184/667/</t>
  </si>
  <si>
    <t>/997/8/567/688/695/315/184/526157192/</t>
  </si>
  <si>
    <t>/997/8/567/688/695/315/184/526157196/</t>
  </si>
  <si>
    <t>/997/8/567/688/695/315/184/526322264/</t>
  </si>
  <si>
    <t>/997/8/567/688/695/315/500/</t>
  </si>
  <si>
    <t>/997/8/567/688/695/315/500/985/</t>
  </si>
  <si>
    <t>/997/8/567/688/695/315/500/985/320/</t>
  </si>
  <si>
    <t>/997/8/567/688/695/315/500/985/943/</t>
  </si>
  <si>
    <t>/997/8/567/688/695/315/500/985/648/</t>
  </si>
  <si>
    <t>/997/8/567/688/695/315/500/985/844/</t>
  </si>
  <si>
    <t>/997/8/567/688/695/315/500/985/882/</t>
  </si>
  <si>
    <t>/997/8/567/688/695/315/500/993/</t>
  </si>
  <si>
    <t>/997/8/567/688/695/315/500/993/656/</t>
  </si>
  <si>
    <t>/997/8/567/688/695/315/500/993/962/</t>
  </si>
  <si>
    <t>/997/8/567/688/695/315/500/993/767/</t>
  </si>
  <si>
    <t>/997/8/567/688/695/315/500/993/1021/</t>
  </si>
  <si>
    <t>/997/8/567/688/695/315/500/993/1085/</t>
  </si>
  <si>
    <t>/997/8/567/688/695/315/453/</t>
  </si>
  <si>
    <t>/997/8/567/688/695/315/453/322/</t>
  </si>
  <si>
    <t>/997/8/567/688/695/315/453/322/353/</t>
  </si>
  <si>
    <t>/997/8/567/688/695/315/453/322/353/558/</t>
  </si>
  <si>
    <t>/997/8/567/688/695/315/453/322/353/838/</t>
  </si>
  <si>
    <t>/997/8/567/688/695/315/453/322/353/654/</t>
  </si>
  <si>
    <t>/997/8/567/688/695/315/453/322/353/702/</t>
  </si>
  <si>
    <t>/997/8/567/688/695/315/453/322/353/889/</t>
  </si>
  <si>
    <t>/997/8/567/688/695/315/453/322/353/929/</t>
  </si>
  <si>
    <t>/997/8/567/688/695/315/453/322/329/</t>
  </si>
  <si>
    <t>/997/8/567/688/695/315/453/322/329/981/</t>
  </si>
  <si>
    <t>/997/8/567/688/695/315/453/322/329/201/</t>
  </si>
  <si>
    <t>/997/8/567/688/695/315/453/322/329/1047/</t>
  </si>
  <si>
    <t>/997/8/567/688/695/315/453/322/329/1070/</t>
  </si>
  <si>
    <t>/997/8/567/688/695/315/453/322/329/1038/</t>
  </si>
  <si>
    <t>/997/8/567/688/695/315/453/322/329/1062/</t>
  </si>
  <si>
    <t>/997/8/567/688/695/315/453/322/337/</t>
  </si>
  <si>
    <t>/997/8/567/688/695/315/453/322/337/1030/</t>
  </si>
  <si>
    <t>/997/8/567/688/695/315/453/322/337/113/</t>
  </si>
  <si>
    <t>/997/8/567/688/695/315/453/322/337/1094/</t>
  </si>
  <si>
    <t>/997/8/567/688/695/315/453/322/337/1128/</t>
  </si>
  <si>
    <t>/997/8/567/688/695/315/453/322/337/478/</t>
  </si>
  <si>
    <t>/997/8/567/688/695/315/453/322/337/510/</t>
  </si>
  <si>
    <t>/997/8/567/688/695/315/453/322/345/</t>
  </si>
  <si>
    <t>/997/8/567/688/695/315/453/322/345/878/</t>
  </si>
  <si>
    <t>/997/8/567/688/695/315/453/322/345/657/</t>
  </si>
  <si>
    <t>/997/8/567/688/695/315/453/322/345/950/</t>
  </si>
  <si>
    <t>/997/8/567/688/695/315/453/322/345/974/</t>
  </si>
  <si>
    <t>/997/8/567/688/695/315/453/322/345/1102/</t>
  </si>
  <si>
    <t>/997/8/567/688/695/315/453/322/345/2/</t>
  </si>
  <si>
    <t>/997/8/567/688/695/315/453/322/369/</t>
  </si>
  <si>
    <t>/997/8/567/688/695/315/453/322/369/450/</t>
  </si>
  <si>
    <t>/997/8/567/688/695/315/453/322/369/854/</t>
  </si>
  <si>
    <t>/997/8/567/688/695/315/453/322/369/577/</t>
  </si>
  <si>
    <t>/997/8/567/688/695/315/453/322/369/625/</t>
  </si>
  <si>
    <t>/997/8/567/688/695/315/453/322/369/945/</t>
  </si>
  <si>
    <t>/997/8/567/688/695/315/453/322/369/1026/</t>
  </si>
  <si>
    <t>/997/8/567/688/695/315/453/322/361/</t>
  </si>
  <si>
    <t>/997/8/567/688/695/315/453/322/361/1006/</t>
  </si>
  <si>
    <t>/997/8/567/688/695/315/453/322/361/670/</t>
  </si>
  <si>
    <t>/997/8/567/688/695/315/453/322/361/1086/</t>
  </si>
  <si>
    <t>/997/8/567/688/695/315/453/322/361/1111/</t>
  </si>
  <si>
    <t>/997/8/567/688/695/315/453/322/361/9/</t>
  </si>
  <si>
    <t>/997/8/567/688/695/315/453/322/361/461/</t>
  </si>
  <si>
    <t>/997/8/567/688/695/315/453/322/182305689/</t>
  </si>
  <si>
    <t>/997/8/567/688/695/315/453/322/182305689/182305693/</t>
  </si>
  <si>
    <t>/997/8/567/688/695/315/453/322/182305689/182305697/</t>
  </si>
  <si>
    <t>/997/8/567/688/695/315/453/322/182305689/182305701/</t>
  </si>
  <si>
    <t>/997/8/567/688/695/315/453/322/182305689/182305705/</t>
  </si>
  <si>
    <t>/997/8/567/688/695/315/453/322/182305689/182305709/</t>
  </si>
  <si>
    <t>/997/8/567/688/695/315/453/322/182305689/182305713/</t>
  </si>
  <si>
    <t>/997/8/567/688/695/315/453/378/</t>
  </si>
  <si>
    <t>/997/8/567/688/695/315/453/378/873/</t>
  </si>
  <si>
    <t>/997/8/567/688/695/315/453/378/806/</t>
  </si>
  <si>
    <t>/997/8/567/688/695/315/453/378/1035/</t>
  </si>
  <si>
    <t>/997/8/567/688/695/315/453/378/1090/</t>
  </si>
  <si>
    <t>/997/8/567/688/695/315/453/378/862/</t>
  </si>
  <si>
    <t>/997/8/567/688/695/315/453/378/893/</t>
  </si>
  <si>
    <t>/997/8/567/688/695/315/1057/</t>
  </si>
  <si>
    <t>/997/8/567/688/695/315/1057/36/</t>
  </si>
  <si>
    <t>/997/8/567/688/695/315/1057/180/</t>
  </si>
  <si>
    <t>/997/8/567/688/695/315/1057/148/</t>
  </si>
  <si>
    <t>/997/8/567/688/695/315/1057/187/</t>
  </si>
  <si>
    <t>/997/8/567/688/695/315/1057/638/</t>
  </si>
  <si>
    <t>/997/8/567/688/695/315/1057/662/</t>
  </si>
  <si>
    <t>/997/8/567/688/695/315/677/</t>
  </si>
  <si>
    <t>/997/8/567/688/695/315/677/897/</t>
  </si>
  <si>
    <t>/997/8/567/688/695/315/677/1106/</t>
  </si>
  <si>
    <t>/997/8/567/688/695/315/677/1010/</t>
  </si>
  <si>
    <t>/997/8/567/688/695/315/677/1058/</t>
  </si>
  <si>
    <t>/997/8/567/688/695/315/677/857/</t>
  </si>
  <si>
    <t>/997/8/567/688/695/315/677/849/</t>
  </si>
  <si>
    <t>/997/8/567/688/695/315/247/</t>
  </si>
  <si>
    <t>/997/8/567/688/695/315/247/1011/</t>
  </si>
  <si>
    <t>/997/8/567/688/695/315/247/1011/527/</t>
  </si>
  <si>
    <t>/997/8/567/688/695/315/247/1011/600/</t>
  </si>
  <si>
    <t>/997/8/567/688/695/315/247/1011/678/</t>
  </si>
  <si>
    <t>/997/8/567/688/695/315/247/1011/252/</t>
  </si>
  <si>
    <t>/997/8/567/688/695/315/247/1011/156/</t>
  </si>
  <si>
    <t>/997/8/567/688/695/315/247/1011/243/</t>
  </si>
  <si>
    <t>/997/8/567/688/695/315/247/1002/</t>
  </si>
  <si>
    <t>/997/8/567/688/695/315/247/1002/735/</t>
  </si>
  <si>
    <t>/997/8/567/688/695/315/247/1002/251/</t>
  </si>
  <si>
    <t>/997/8/567/688/695/315/247/1002/816/</t>
  </si>
  <si>
    <t>/997/8/567/688/695/315/247/1002/847/</t>
  </si>
  <si>
    <t>/997/8/567/688/695/315/247/1002/954/</t>
  </si>
  <si>
    <t>/997/8/567/688/695/315/247/1002/1005/</t>
  </si>
  <si>
    <t>/997/8/567/688/695/315/247/1027/</t>
  </si>
  <si>
    <t>/997/8/567/688/695/315/247/1027/696/</t>
  </si>
  <si>
    <t>/997/8/567/688/695/315/247/1027/643/</t>
  </si>
  <si>
    <t>/997/8/567/688/695/315/247/1027/759/</t>
  </si>
  <si>
    <t>/997/8/567/688/695/315/247/1027/791/</t>
  </si>
  <si>
    <t>/997/8/567/688/695/315/247/1027/249/</t>
  </si>
  <si>
    <t>/997/8/567/688/695/315/247/1027/456/</t>
  </si>
  <si>
    <t>/997/8/567/688/695/315/247/1018/</t>
  </si>
  <si>
    <t>/997/8/567/688/695/315/247/1018/959/</t>
  </si>
  <si>
    <t>/997/8/567/688/695/315/247/1018/755/</t>
  </si>
  <si>
    <t>/997/8/567/688/695/315/247/1018/990/</t>
  </si>
  <si>
    <t>/997/8/567/688/695/315/247/1018/1023/</t>
  </si>
  <si>
    <t>/997/8/567/688/695/315/247/1018/520/</t>
  </si>
  <si>
    <t>/997/8/567/688/695/315/247/1018/598/</t>
  </si>
  <si>
    <t>/997/8/567/688/695/315/669/</t>
  </si>
  <si>
    <t>/997/8/567/688/695/315/669/402/</t>
  </si>
  <si>
    <t>/997/8/567/688/695/315/669/402/1074/</t>
  </si>
  <si>
    <t>/997/8/567/688/695/315/669/402/905/</t>
  </si>
  <si>
    <t>/997/8/567/688/695/315/669/402/1114/</t>
  </si>
  <si>
    <t>/997/8/567/688/695/315/669/402/233/</t>
  </si>
  <si>
    <t>/997/8/567/688/695/315/669/402/601/</t>
  </si>
  <si>
    <t>/997/8/567/688/695/315/669/402/649/</t>
  </si>
  <si>
    <t>/997/8/567/688/695/315/669/394/</t>
  </si>
  <si>
    <t>/997/8/567/688/695/315/669/394/281/</t>
  </si>
  <si>
    <t>/997/8/567/688/695/315/669/394/1066/</t>
  </si>
  <si>
    <t>/997/8/567/688/695/315/669/394/401/</t>
  </si>
  <si>
    <t>/997/8/567/688/695/315/669/394/433/</t>
  </si>
  <si>
    <t>/997/8/567/688/695/315/669/394/1046/</t>
  </si>
  <si>
    <t>/997/8/567/688/695/315/669/394/441/</t>
  </si>
  <si>
    <t>/997/8/567/688/695/315/669/409/</t>
  </si>
  <si>
    <t>/997/8/567/688/695/315/669/409/421/</t>
  </si>
  <si>
    <t>/997/8/567/688/695/315/669/409/973/</t>
  </si>
  <si>
    <t>/997/8/567/688/695/315/669/409/573/</t>
  </si>
  <si>
    <t>/997/8/567/688/695/315/669/409/613/</t>
  </si>
  <si>
    <t>/997/8/567/688/695/315/669/409/74/</t>
  </si>
  <si>
    <t>/997/8/567/688/695/315/669/409/121/</t>
  </si>
  <si>
    <t>/997/8/567/688/695/315/669/385/</t>
  </si>
  <si>
    <t>/997/8/567/688/695/315/669/385/593/</t>
  </si>
  <si>
    <t>/997/8/567/688/695/315/669/385/821/</t>
  </si>
  <si>
    <t>/997/8/567/688/695/315/669/385/721/</t>
  </si>
  <si>
    <t>/997/8/567/688/695/315/669/385/778/</t>
  </si>
  <si>
    <t>/997/8/567/688/695/315/669/385/33/</t>
  </si>
  <si>
    <t>/997/8/567/688/695/315/669/385/305/</t>
  </si>
  <si>
    <t>/997/8/567/688/695/315/669/425/</t>
  </si>
  <si>
    <t>/997/8/567/688/695/315/669/425/750/</t>
  </si>
  <si>
    <t>/997/8/567/688/695/315/669/425/269/</t>
  </si>
  <si>
    <t>/997/8/567/688/695/315/669/425/869/</t>
  </si>
  <si>
    <t>/997/8/567/688/695/315/669/425/902/</t>
  </si>
  <si>
    <t>/997/8/567/688/695/315/669/425/377/</t>
  </si>
  <si>
    <t>/997/8/567/688/695/315/669/425/393/</t>
  </si>
  <si>
    <t>Posteromedial visual area</t>
  </si>
  <si>
    <t>/997/8/567/688/695/315/669/533/</t>
  </si>
  <si>
    <t>Posteromedial visual area, layer 1</t>
  </si>
  <si>
    <t>/997/8/567/688/695/315/669/533/805/</t>
  </si>
  <si>
    <t>Posteromedial visual area, layer 2/3</t>
  </si>
  <si>
    <t>/997/8/567/688/695/315/669/533/41/</t>
  </si>
  <si>
    <t>Posteromedial visual area, layer 4</t>
  </si>
  <si>
    <t>/997/8/567/688/695/315/669/533/501/</t>
  </si>
  <si>
    <t>Posteromedial visual area, layer 5</t>
  </si>
  <si>
    <t>/997/8/567/688/695/315/669/533/565/</t>
  </si>
  <si>
    <t>Posteromedial visual area, layer 6a</t>
  </si>
  <si>
    <t>/997/8/567/688/695/315/669/533/257/</t>
  </si>
  <si>
    <t>Posteromedial visual area, layer 6b</t>
  </si>
  <si>
    <t>/997/8/567/688/695/315/669/533/469/</t>
  </si>
  <si>
    <t>/997/8/567/688/695/315/669/312782574/</t>
  </si>
  <si>
    <t>/997/8/567/688/695/315/669/312782574/312782578/</t>
  </si>
  <si>
    <t>/997/8/567/688/695/315/669/312782574/312782582/</t>
  </si>
  <si>
    <t>/997/8/567/688/695/315/669/312782574/312782586/</t>
  </si>
  <si>
    <t>/997/8/567/688/695/315/669/312782574/312782590/</t>
  </si>
  <si>
    <t>/997/8/567/688/695/315/669/312782574/312782594/</t>
  </si>
  <si>
    <t>/997/8/567/688/695/315/669/312782574/312782598/</t>
  </si>
  <si>
    <t>/997/8/567/688/695/315/669/312782628/</t>
  </si>
  <si>
    <t>/997/8/567/688/695/315/669/312782628/312782632/</t>
  </si>
  <si>
    <t>/997/8/567/688/695/315/669/312782628/312782636/</t>
  </si>
  <si>
    <t>/997/8/567/688/695/315/669/312782628/312782640/</t>
  </si>
  <si>
    <t>/997/8/567/688/695/315/669/312782628/312782644/</t>
  </si>
  <si>
    <t>/997/8/567/688/695/315/669/312782628/312782648/</t>
  </si>
  <si>
    <t>/997/8/567/688/695/315/669/312782628/312782652/</t>
  </si>
  <si>
    <t>/997/8/567/688/695/315/31/</t>
  </si>
  <si>
    <t>/997/8/567/688/695/315/31/39/</t>
  </si>
  <si>
    <t>/997/8/567/688/695/315/31/39/935/</t>
  </si>
  <si>
    <t>/997/8/567/688/695/315/31/39/211/</t>
  </si>
  <si>
    <t>/997/8/567/688/695/315/31/39/1015/</t>
  </si>
  <si>
    <t>/997/8/567/688/695/315/31/39/919/</t>
  </si>
  <si>
    <t>/997/8/567/688/695/315/31/39/927/</t>
  </si>
  <si>
    <t>/997/8/567/688/695/315/31/48/</t>
  </si>
  <si>
    <t>/997/8/567/688/695/315/31/48/588/</t>
  </si>
  <si>
    <t>/997/8/567/688/695/315/31/48/296/</t>
  </si>
  <si>
    <t>/997/8/567/688/695/315/31/48/772/</t>
  </si>
  <si>
    <t>/997/8/567/688/695/315/31/48/810/</t>
  </si>
  <si>
    <t>/997/8/567/688/695/315/31/48/819/</t>
  </si>
  <si>
    <t>/997/8/567/688/695/315/972/</t>
  </si>
  <si>
    <t>/997/8/567/688/695/315/972/171/</t>
  </si>
  <si>
    <t>/997/8/567/688/695/315/972/304/</t>
  </si>
  <si>
    <t>/997/8/567/688/695/315/972/363/</t>
  </si>
  <si>
    <t>/997/8/567/688/695/315/972/84/</t>
  </si>
  <si>
    <t>/997/8/567/688/695/315/972/132/</t>
  </si>
  <si>
    <t>/997/8/567/688/695/315/44/</t>
  </si>
  <si>
    <t>/997/8/567/688/695/315/44/707/</t>
  </si>
  <si>
    <t>/997/8/567/688/695/315/44/556/</t>
  </si>
  <si>
    <t>/997/8/567/688/695/315/44/827/</t>
  </si>
  <si>
    <t>/997/8/567/688/695/315/44/1054/</t>
  </si>
  <si>
    <t>/997/8/567/688/695/315/44/1081/</t>
  </si>
  <si>
    <t>/997/8/567/688/695/315/714/</t>
  </si>
  <si>
    <t>/997/8/567/688/695/315/714/723/</t>
  </si>
  <si>
    <t>/997/8/567/688/695/315/714/723/448/</t>
  </si>
  <si>
    <t>/997/8/567/688/695/315/714/723/412/</t>
  </si>
  <si>
    <t>/997/8/567/688/695/315/714/723/630/</t>
  </si>
  <si>
    <t>/997/8/567/688/695/315/714/723/440/</t>
  </si>
  <si>
    <t>/997/8/567/688/695/315/714/723/488/</t>
  </si>
  <si>
    <t>/997/8/567/688/695/315/714/731/</t>
  </si>
  <si>
    <t>/997/8/567/688/695/315/714/731/484/</t>
  </si>
  <si>
    <t>/997/8/567/688/695/315/714/731/582/</t>
  </si>
  <si>
    <t>/997/8/567/688/695/315/714/731/620/</t>
  </si>
  <si>
    <t>/997/8/567/688/695/315/714/731/910/</t>
  </si>
  <si>
    <t>/997/8/567/688/695/315/714/731/527696977/</t>
  </si>
  <si>
    <t>/997/8/567/688/695/315/714/746/</t>
  </si>
  <si>
    <t>/997/8/567/688/695/315/714/746/969/</t>
  </si>
  <si>
    <t>/997/8/567/688/695/315/714/746/288/</t>
  </si>
  <si>
    <t>/997/8/567/688/695/315/714/746/1125/</t>
  </si>
  <si>
    <t>/997/8/567/688/695/315/714/746/608/</t>
  </si>
  <si>
    <t>/997/8/567/688/695/315/714/746/680/</t>
  </si>
  <si>
    <t>/997/8/567/688/695/315/95/</t>
  </si>
  <si>
    <t>/997/8/567/688/695/315/95/104/</t>
  </si>
  <si>
    <t>/997/8/567/688/695/315/95/104/996/</t>
  </si>
  <si>
    <t>/997/8/567/688/695/315/95/104/328/</t>
  </si>
  <si>
    <t>/997/8/567/688/695/315/95/104/1101/</t>
  </si>
  <si>
    <t>/997/8/567/688/695/315/95/104/783/</t>
  </si>
  <si>
    <t>/997/8/567/688/695/315/95/104/831/</t>
  </si>
  <si>
    <t>/997/8/567/688/695/315/95/111/</t>
  </si>
  <si>
    <t>/997/8/567/688/695/315/95/111/120/</t>
  </si>
  <si>
    <t>/997/8/567/688/695/315/95/111/163/</t>
  </si>
  <si>
    <t>/997/8/567/688/695/315/95/111/344/</t>
  </si>
  <si>
    <t>/997/8/567/688/695/315/95/111/314/</t>
  </si>
  <si>
    <t>/997/8/567/688/695/315/95/111/355/</t>
  </si>
  <si>
    <t>/997/8/567/688/695/315/95/119/</t>
  </si>
  <si>
    <t>/997/8/567/688/695/315/95/119/704/</t>
  </si>
  <si>
    <t>/997/8/567/688/695/315/95/119/694/</t>
  </si>
  <si>
    <t>/997/8/567/688/695/315/95/119/800/</t>
  </si>
  <si>
    <t>/997/8/567/688/695/315/95/119/675/</t>
  </si>
  <si>
    <t>/997/8/567/688/695/315/95/119/699/</t>
  </si>
  <si>
    <t>/997/8/567/688/695/315/254/</t>
  </si>
  <si>
    <t>/997/8/567/688/695/315/254/894/</t>
  </si>
  <si>
    <t>/997/8/567/688/695/315/254/894/671/</t>
  </si>
  <si>
    <t>/997/8/567/688/695/315/254/894/965/</t>
  </si>
  <si>
    <t>/997/8/567/688/695/315/254/894/774/</t>
  </si>
  <si>
    <t>/997/8/567/688/695/315/254/894/906/</t>
  </si>
  <si>
    <t>/997/8/567/688/695/315/254/894/279/</t>
  </si>
  <si>
    <t>/997/8/567/688/695/315/254/879/</t>
  </si>
  <si>
    <t>/997/8/567/688/695/315/254/879/442/</t>
  </si>
  <si>
    <t>/997/8/567/688/695/315/254/879/434/</t>
  </si>
  <si>
    <t>/997/8/567/688/695/315/254/879/610/</t>
  </si>
  <si>
    <t>/997/8/567/688/695/315/254/879/274/</t>
  </si>
  <si>
    <t>/997/8/567/688/695/315/254/879/330/</t>
  </si>
  <si>
    <t>/997/8/567/688/695/315/254/886/</t>
  </si>
  <si>
    <t>/997/8/567/688/695/315/254/886/542/</t>
  </si>
  <si>
    <t>/997/8/567/688/695/315/254/886/430/</t>
  </si>
  <si>
    <t>/997/8/567/688/695/315/254/886/687/</t>
  </si>
  <si>
    <t>/997/8/567/688/695/315/254/886/590/</t>
  </si>
  <si>
    <t>/997/8/567/688/695/315/254/886/622/</t>
  </si>
  <si>
    <t>/997/8/567/688/695/315/22/</t>
  </si>
  <si>
    <t>/997/8/567/688/695/315/22/312782546/</t>
  </si>
  <si>
    <t>/997/8/567/688/695/315/22/312782546/312782550/</t>
  </si>
  <si>
    <t>/997/8/567/688/695/315/22/312782546/312782554/</t>
  </si>
  <si>
    <t>/997/8/567/688/695/315/22/312782546/312782558/</t>
  </si>
  <si>
    <t>/997/8/567/688/695/315/22/312782546/312782562/</t>
  </si>
  <si>
    <t>/997/8/567/688/695/315/22/312782546/312782566/</t>
  </si>
  <si>
    <t>/997/8/567/688/695/315/22/312782546/312782570/</t>
  </si>
  <si>
    <t>/997/8/567/688/695/315/22/417/</t>
  </si>
  <si>
    <t>/997/8/567/688/695/315/22/417/312782604/</t>
  </si>
  <si>
    <t>/997/8/567/688/695/315/22/417/312782608/</t>
  </si>
  <si>
    <t>/997/8/567/688/695/315/22/417/312782612/</t>
  </si>
  <si>
    <t>/997/8/567/688/695/315/22/417/312782616/</t>
  </si>
  <si>
    <t>/997/8/567/688/695/315/22/417/312782620/</t>
  </si>
  <si>
    <t>/997/8/567/688/695/315/541/</t>
  </si>
  <si>
    <t>/997/8/567/688/695/315/541/97/</t>
  </si>
  <si>
    <t>/997/8/567/688/695/315/541/1127/</t>
  </si>
  <si>
    <t>/997/8/567/688/695/315/541/234/</t>
  </si>
  <si>
    <t>/997/8/567/688/695/315/541/289/</t>
  </si>
  <si>
    <t>/997/8/567/688/695/315/541/729/</t>
  </si>
  <si>
    <t>/997/8/567/688/695/315/541/786/</t>
  </si>
  <si>
    <t>/997/8/567/688/695/315/922/</t>
  </si>
  <si>
    <t>/997/8/567/688/695/315/922/335/</t>
  </si>
  <si>
    <t>/997/8/567/688/695/315/922/368/</t>
  </si>
  <si>
    <t>/997/8/567/688/695/315/922/540/</t>
  </si>
  <si>
    <t>/997/8/567/688/695/315/922/692/</t>
  </si>
  <si>
    <t>/997/8/567/688/695/315/922/888/</t>
  </si>
  <si>
    <t>/997/8/567/688/695/315/895/</t>
  </si>
  <si>
    <t>/997/8/567/688/695/315/895/836/</t>
  </si>
  <si>
    <t>/997/8/567/688/695/315/895/427/</t>
  </si>
  <si>
    <t>/997/8/567/688/695/315/895/988/</t>
  </si>
  <si>
    <t>/997/8/567/688/695/315/895/977/</t>
  </si>
  <si>
    <t>/997/8/567/688/695/315/895/1045/</t>
  </si>
  <si>
    <t>/997/8/567/688/695/698/</t>
  </si>
  <si>
    <t>/997/8/567/688/695/698/507/</t>
  </si>
  <si>
    <t>/997/8/567/688/695/698/151/</t>
  </si>
  <si>
    <t>/997/8/567/688/695/698/151/188/</t>
  </si>
  <si>
    <t>/997/8/567/688/695/698/151/196/</t>
  </si>
  <si>
    <t>/997/8/567/688/695/698/151/204/</t>
  </si>
  <si>
    <t>/997/8/567/688/695/698/159/</t>
  </si>
  <si>
    <t>/997/8/567/688/695/698/589/</t>
  </si>
  <si>
    <t>/997/8/567/688/695/698/589/597/</t>
  </si>
  <si>
    <t>/997/8/567/688/695/698/589/605/</t>
  </si>
  <si>
    <t>/997/8/567/688/695/698/814/</t>
  </si>
  <si>
    <t>/997/8/567/688/695/698/961/</t>
  </si>
  <si>
    <t>/997/8/567/688/695/698/619/</t>
  </si>
  <si>
    <t>/997/8/567/688/695/698/619/260/</t>
  </si>
  <si>
    <t>/997/8/567/688/695/698/619/268/</t>
  </si>
  <si>
    <t>/997/8/567/688/695/698/619/1139/</t>
  </si>
  <si>
    <t>/997/8/567/688/695/698/631/</t>
  </si>
  <si>
    <t>/997/8/567/688/695/698/631/639/</t>
  </si>
  <si>
    <t>/997/8/567/688/695/698/631/647/</t>
  </si>
  <si>
    <t>/997/8/567/688/695/698/631/647/655/</t>
  </si>
  <si>
    <t>/997/8/567/688/695/698/631/647/663/</t>
  </si>
  <si>
    <t>/997/8/567/688/695/698/788/</t>
  </si>
  <si>
    <t>/997/8/567/688/695/698/566/</t>
  </si>
  <si>
    <t>/997/8/567/688/695/1089/</t>
  </si>
  <si>
    <t>/997/8/567/688/695/1089/1080/</t>
  </si>
  <si>
    <t>/997/8/567/688/695/1089/1080/375/</t>
  </si>
  <si>
    <t>/997/8/567/688/695/1089/1080/375/382/</t>
  </si>
  <si>
    <t>/997/8/567/688/695/1089/1080/375/423/</t>
  </si>
  <si>
    <t>/997/8/567/688/695/1089/1080/375/463/</t>
  </si>
  <si>
    <t>/997/8/567/688/695/1089/1080/726/</t>
  </si>
  <si>
    <t>/997/8/567/688/695/1089/1080/726/632/</t>
  </si>
  <si>
    <t>/997/8/567/688/695/1089/1080/982/</t>
  </si>
  <si>
    <t>/997/8/567/688/695/1089/1080/19/</t>
  </si>
  <si>
    <t>/997/8/567/688/695/1089/822/</t>
  </si>
  <si>
    <t>/997/8/567/688/695/1089/822/909/</t>
  </si>
  <si>
    <t>/997/8/567/688/695/1089/822/909/918/</t>
  </si>
  <si>
    <t>/997/8/567/688/695/1089/822/909/918/1121/</t>
  </si>
  <si>
    <t>/997/8/567/688/695/1089/822/909/918/20/</t>
  </si>
  <si>
    <t>/997/8/567/688/695/1089/822/909/918/52/</t>
  </si>
  <si>
    <t>/997/8/567/688/695/1089/822/909/918/139/</t>
  </si>
  <si>
    <t>/997/8/567/688/695/1089/822/909/918/28/</t>
  </si>
  <si>
    <t>/997/8/567/688/695/1089/822/909/926/</t>
  </si>
  <si>
    <t>/997/8/567/688/695/1089/822/909/926/526/</t>
  </si>
  <si>
    <t>/997/8/567/688/695/1089/822/909/926/543/</t>
  </si>
  <si>
    <t>/997/8/567/688/695/1089/822/909/926/664/</t>
  </si>
  <si>
    <t>/997/8/567/688/695/1089/822/909/926/727/</t>
  </si>
  <si>
    <t>/997/8/567/688/695/1089/822/909/926/743/</t>
  </si>
  <si>
    <t>/997/8/567/688/695/1089/822/843/</t>
  </si>
  <si>
    <t>/997/8/567/688/695/1089/822/1037/</t>
  </si>
  <si>
    <t>/997/8/567/688/695/1089/822/1084/</t>
  </si>
  <si>
    <t>/997/8/567/688/695/1089/822/502/</t>
  </si>
  <si>
    <t>/997/8/567/688/695/1089/822/484682470/</t>
  </si>
  <si>
    <t>/997/8/567/688/695/1089/822/589508447/</t>
  </si>
  <si>
    <t>/997/8/567/688/695/1089/822/484682508/</t>
  </si>
  <si>
    <t>/997/8/567/688/703/</t>
  </si>
  <si>
    <t>/997/8/567/688/703/583/</t>
  </si>
  <si>
    <t>/997/8/567/688/703/942/</t>
  </si>
  <si>
    <t>/997/8/567/688/703/942/952/</t>
  </si>
  <si>
    <t>/997/8/567/688/703/942/966/</t>
  </si>
  <si>
    <t>/997/8/567/688/703/131/</t>
  </si>
  <si>
    <t>/997/8/567/688/703/295/</t>
  </si>
  <si>
    <t>/997/8/567/688/703/295/303/</t>
  </si>
  <si>
    <t>/997/8/567/688/703/295/311/</t>
  </si>
  <si>
    <t>/997/8/567/688/703/295/451/</t>
  </si>
  <si>
    <t>/997/8/567/688/703/319/</t>
  </si>
  <si>
    <t>/997/8/567/688/703/319/327/</t>
  </si>
  <si>
    <t>/997/8/567/688/703/319/334/</t>
  </si>
  <si>
    <t>/997/8/567/688/703/780/</t>
  </si>
  <si>
    <t>/997/8/567/623/</t>
  </si>
  <si>
    <t>/997/8/567/623/477/</t>
  </si>
  <si>
    <t>/997/8/567/623/477/485/</t>
  </si>
  <si>
    <t>/997/8/567/623/477/485/672/</t>
  </si>
  <si>
    <t>/997/8/567/623/477/493/</t>
  </si>
  <si>
    <t>/997/8/567/623/477/493/56/</t>
  </si>
  <si>
    <t>/997/8/567/623/477/493/998/</t>
  </si>
  <si>
    <t>/997/8/567/623/477/493/754/</t>
  </si>
  <si>
    <t>/997/8/567/623/477/275/</t>
  </si>
  <si>
    <t>/997/8/567/623/477/275/242/</t>
  </si>
  <si>
    <t>/997/8/567/623/477/275/242/250/</t>
  </si>
  <si>
    <t>/997/8/567/623/477/275/242/258/</t>
  </si>
  <si>
    <t>/997/8/567/623/477/275/242/266/</t>
  </si>
  <si>
    <t>/997/8/567/623/477/275/310/</t>
  </si>
  <si>
    <t>/997/8/567/623/477/275/333/</t>
  </si>
  <si>
    <t>/997/8/567/623/477/278/</t>
  </si>
  <si>
    <t>/997/8/567/623/477/278/23/</t>
  </si>
  <si>
    <t>/997/8/567/623/477/278/292/</t>
  </si>
  <si>
    <t>/997/8/567/623/477/278/536/</t>
  </si>
  <si>
    <t>/997/8/567/623/477/278/536/544/</t>
  </si>
  <si>
    <t>/997/8/567/623/477/278/536/551/</t>
  </si>
  <si>
    <t>/997/8/567/623/477/278/536/559/</t>
  </si>
  <si>
    <t>/997/8/567/623/477/278/1105/</t>
  </si>
  <si>
    <t>/997/8/567/623/477/278/403/</t>
  </si>
  <si>
    <t>/997/8/567/623/803/</t>
  </si>
  <si>
    <t>/997/8/567/623/803/818/</t>
  </si>
  <si>
    <t>/997/8/567/623/803/818/1022/</t>
  </si>
  <si>
    <t>/997/8/567/623/803/818/1031/</t>
  </si>
  <si>
    <t>/997/8/567/623/803/835/</t>
  </si>
  <si>
    <t>/997/8/567/623/803/835/342/</t>
  </si>
  <si>
    <t>/997/8/567/623/803/835/298/</t>
  </si>
  <si>
    <t>/997/8/567/623/803/826/</t>
  </si>
  <si>
    <t>/997/8/567/623/803/826/904/</t>
  </si>
  <si>
    <t>/997/8/567/623/803/826/904/564/</t>
  </si>
  <si>
    <t>/997/8/567/623/803/826/904/596/</t>
  </si>
  <si>
    <t>/997/8/567/623/803/826/581/</t>
  </si>
  <si>
    <t>/997/8/567/623/803/809/</t>
  </si>
  <si>
    <t>/997/8/567/623/803/809/351/</t>
  </si>
  <si>
    <t>/997/8/567/623/803/809/287/</t>
  </si>
  <si>
    <t>/997/8/343/</t>
  </si>
  <si>
    <t>/997/8/343/1129/</t>
  </si>
  <si>
    <t>/997/8/343/1129/549/</t>
  </si>
  <si>
    <t>/997/8/343/1129/549/864/</t>
  </si>
  <si>
    <t>/997/8/343/1129/549/864/637/</t>
  </si>
  <si>
    <t>/997/8/343/1129/549/864/637/629/</t>
  </si>
  <si>
    <t>/997/8/343/1129/549/864/637/685/</t>
  </si>
  <si>
    <t>/997/8/343/1129/549/864/637/709/</t>
  </si>
  <si>
    <t>/997/8/343/1129/549/864/637/709/718/</t>
  </si>
  <si>
    <t>/997/8/343/1129/549/864/637/709/725/</t>
  </si>
  <si>
    <t>/997/8/343/1129/549/864/637/709/733/</t>
  </si>
  <si>
    <t>/997/8/343/1129/549/864/637/709/741/</t>
  </si>
  <si>
    <t>/997/8/343/1129/549/864/637/563807435/</t>
  </si>
  <si>
    <t>/997/8/343/1129/549/864/406/</t>
  </si>
  <si>
    <t>/997/8/343/1129/549/864/406/414/</t>
  </si>
  <si>
    <t>/997/8/343/1129/549/864/406/422/</t>
  </si>
  <si>
    <t>/997/8/343/1129/549/864/609/</t>
  </si>
  <si>
    <t>/997/8/343/1129/549/864/1044/</t>
  </si>
  <si>
    <t>/997/8/343/1129/549/864/1008/</t>
  </si>
  <si>
    <t>/997/8/343/1129/549/864/1008/475/</t>
  </si>
  <si>
    <t>/997/8/343/1129/549/864/1008/475/1072/</t>
  </si>
  <si>
    <t>/997/8/343/1129/549/864/1008/475/1079/</t>
  </si>
  <si>
    <t>/997/8/343/1129/549/864/1008/475/1088/</t>
  </si>
  <si>
    <t>/997/8/343/1129/549/864/1008/170/</t>
  </si>
  <si>
    <t>/997/8/343/1129/549/864/1008/170/496345668/</t>
  </si>
  <si>
    <t>/997/8/343/1129/549/864/1008/170/496345672/</t>
  </si>
  <si>
    <t>/997/8/343/1129/549/856/</t>
  </si>
  <si>
    <t>/997/8/343/1129/549/856/138/</t>
  </si>
  <si>
    <t>/997/8/343/1129/549/856/138/218/</t>
  </si>
  <si>
    <t>/997/8/343/1129/549/856/138/1020/</t>
  </si>
  <si>
    <t>/997/8/343/1129/549/856/138/1029/</t>
  </si>
  <si>
    <t>/997/8/343/1129/549/856/138/325/</t>
  </si>
  <si>
    <t>/997/8/343/1129/549/856/138/560581551/</t>
  </si>
  <si>
    <t>/997/8/343/1129/549/856/239/</t>
  </si>
  <si>
    <t>/997/8/343/1129/549/856/239/255/</t>
  </si>
  <si>
    <t>/997/8/343/1129/549/856/239/127/</t>
  </si>
  <si>
    <t>/997/8/343/1129/549/856/239/127/1096/</t>
  </si>
  <si>
    <t>/997/8/343/1129/549/856/239/127/1104/</t>
  </si>
  <si>
    <t>/997/8/343/1129/549/856/239/64/</t>
  </si>
  <si>
    <t>/997/8/343/1129/549/856/239/1120/</t>
  </si>
  <si>
    <t>/997/8/343/1129/549/856/239/1113/</t>
  </si>
  <si>
    <t>/997/8/343/1129/549/856/239/155/</t>
  </si>
  <si>
    <t>/997/8/343/1129/549/856/444/</t>
  </si>
  <si>
    <t>/997/8/343/1129/549/856/444/59/</t>
  </si>
  <si>
    <t>/997/8/343/1129/549/856/444/362/</t>
  </si>
  <si>
    <t>/997/8/343/1129/549/856/444/366/</t>
  </si>
  <si>
    <t>/997/8/343/1129/549/856/444/1077/</t>
  </si>
  <si>
    <t>/997/8/343/1129/549/856/571/</t>
  </si>
  <si>
    <t>/997/8/343/1129/549/856/571/149/</t>
  </si>
  <si>
    <t>/997/8/343/1129/549/856/571/15/</t>
  </si>
  <si>
    <t>/997/8/343/1129/549/856/571/181/</t>
  </si>
  <si>
    <t>/997/8/343/1129/549/856/571/560581559/</t>
  </si>
  <si>
    <t>/997/8/343/1129/549/856/51/</t>
  </si>
  <si>
    <t>/997/8/343/1129/549/856/51/189/</t>
  </si>
  <si>
    <t>/997/8/343/1129/549/856/51/599/</t>
  </si>
  <si>
    <t>/997/8/343/1129/549/856/51/907/</t>
  </si>
  <si>
    <t>/997/8/343/1129/549/856/51/575/</t>
  </si>
  <si>
    <t>/997/8/343/1129/549/856/51/930/</t>
  </si>
  <si>
    <t>/997/8/343/1129/549/856/51/560581563/</t>
  </si>
  <si>
    <t>/997/8/343/1129/549/856/262/</t>
  </si>
  <si>
    <t>/997/8/343/1129/549/856/1014/</t>
  </si>
  <si>
    <t>/997/8/343/1129/549/856/1014/27/</t>
  </si>
  <si>
    <t>/997/8/343/1129/549/856/1014/563807439/</t>
  </si>
  <si>
    <t>/997/8/343/1129/549/856/1014/178/</t>
  </si>
  <si>
    <t>/997/8/343/1129/549/856/1014/321/</t>
  </si>
  <si>
    <t>/997/8/343/1129/549/856/958/</t>
  </si>
  <si>
    <t>/997/8/343/1129/549/856/958/483/</t>
  </si>
  <si>
    <t>/997/8/343/1129/549/856/958/186/</t>
  </si>
  <si>
    <t>/997/8/343/1129/1097/</t>
  </si>
  <si>
    <t>/997/8/343/1129/1097/157/</t>
  </si>
  <si>
    <t>/997/8/343/1129/1097/157/390/</t>
  </si>
  <si>
    <t>/997/8/343/1129/1097/157/332/</t>
  </si>
  <si>
    <t>/997/8/343/1129/1097/157/38/</t>
  </si>
  <si>
    <t>/997/8/343/1129/1097/157/30/</t>
  </si>
  <si>
    <t>/997/8/343/1129/1097/157/118/</t>
  </si>
  <si>
    <t>/997/8/343/1129/1097/157/223/</t>
  </si>
  <si>
    <t>/997/8/343/1129/1097/141/</t>
  </si>
  <si>
    <t>/997/8/343/1129/1097/141/72/</t>
  </si>
  <si>
    <t>/997/8/343/1129/1097/141/263/</t>
  </si>
  <si>
    <t>/997/8/343/1129/1097/141/272/</t>
  </si>
  <si>
    <t>/997/8/343/1129/1097/141/830/</t>
  </si>
  <si>
    <t>/997/8/343/1129/1097/141/452/</t>
  </si>
  <si>
    <t>/997/8/343/1129/1097/141/523/</t>
  </si>
  <si>
    <t>/997/8/343/1129/1097/141/763/</t>
  </si>
  <si>
    <t>/997/8/343/1129/1097/141/914/</t>
  </si>
  <si>
    <t>/997/8/343/1129/1097/141/1109/</t>
  </si>
  <si>
    <t>/997/8/343/1129/1097/141/126/</t>
  </si>
  <si>
    <t>/997/8/343/1129/1097/141/133/</t>
  </si>
  <si>
    <t>/997/8/343/1129/1097/141/347/</t>
  </si>
  <si>
    <t>/997/8/343/1129/1097/141/286/</t>
  </si>
  <si>
    <t>/997/8/343/1129/1097/141/338/</t>
  </si>
  <si>
    <t>/997/8/343/1129/1097/141/576073699/</t>
  </si>
  <si>
    <t>/997/8/343/1129/1097/141/689/</t>
  </si>
  <si>
    <t>/997/8/343/1129/1097/467/</t>
  </si>
  <si>
    <t>/997/8/343/1129/1097/467/88/</t>
  </si>
  <si>
    <t>/997/8/343/1129/1097/467/331/</t>
  </si>
  <si>
    <t>/997/8/343/1129/1097/467/331/210/</t>
  </si>
  <si>
    <t>/997/8/343/1129/1097/467/331/491/</t>
  </si>
  <si>
    <t>/997/8/343/1129/1097/467/331/491/732/</t>
  </si>
  <si>
    <t>/997/8/343/1129/1097/467/331/491/606826647/</t>
  </si>
  <si>
    <t>/997/8/343/1129/1097/467/331/491/606826651/</t>
  </si>
  <si>
    <t>/997/8/343/1129/1097/467/331/491/606826655/</t>
  </si>
  <si>
    <t>/997/8/343/1129/1097/467/331/491/606826659/</t>
  </si>
  <si>
    <t>/997/8/343/1129/1097/467/331/525/</t>
  </si>
  <si>
    <t>/997/8/343/1129/1097/467/331/557/</t>
  </si>
  <si>
    <t>/997/8/343/1129/1097/467/331/557/1126/</t>
  </si>
  <si>
    <t>/997/8/343/1129/1097/467/331/557/1/</t>
  </si>
  <si>
    <t>/997/8/343/1129/1097/467/515/</t>
  </si>
  <si>
    <t>/997/8/343/1129/1097/467/980/</t>
  </si>
  <si>
    <t>/997/8/343/1129/1097/467/1004/</t>
  </si>
  <si>
    <t>/997/8/343/1129/1097/467/63/</t>
  </si>
  <si>
    <t>/997/8/343/1129/1097/467/693/</t>
  </si>
  <si>
    <t>/997/8/343/1129/1097/467/946/</t>
  </si>
  <si>
    <t>/997/8/343/1129/1097/290/</t>
  </si>
  <si>
    <t>/997/8/343/1129/1097/290/194/</t>
  </si>
  <si>
    <t>/997/8/343/1129/1097/290/226/</t>
  </si>
  <si>
    <t>/997/8/343/1129/1097/290/356/</t>
  </si>
  <si>
    <t>/997/8/343/1129/1097/290/364/</t>
  </si>
  <si>
    <t>/997/8/343/1129/1097/290/576073704/</t>
  </si>
  <si>
    <t>/997/8/343/1129/1097/290/173/</t>
  </si>
  <si>
    <t>/997/8/343/1129/1097/290/470/</t>
  </si>
  <si>
    <t>/997/8/343/1129/1097/290/614/</t>
  </si>
  <si>
    <t>/997/8/343/1129/1097/290/797/</t>
  </si>
  <si>
    <t>/997/8/343/1129/1097/290/797/804/</t>
  </si>
  <si>
    <t>/997/8/343/313/</t>
  </si>
  <si>
    <t>/997/8/343/313/339/</t>
  </si>
  <si>
    <t>/997/8/343/313/339/302/</t>
  </si>
  <si>
    <t>/997/8/343/313/339/302/851/</t>
  </si>
  <si>
    <t>/997/8/343/313/339/302/842/</t>
  </si>
  <si>
    <t>/997/8/343/313/339/302/834/</t>
  </si>
  <si>
    <t>/997/8/343/313/339/4/</t>
  </si>
  <si>
    <t>/997/8/343/313/339/4/811/</t>
  </si>
  <si>
    <t>/997/8/343/313/339/4/820/</t>
  </si>
  <si>
    <t>/997/8/343/313/339/4/828/</t>
  </si>
  <si>
    <t>/997/8/343/313/339/580/</t>
  </si>
  <si>
    <t>/997/8/343/313/339/271/</t>
  </si>
  <si>
    <t>/997/8/343/313/339/874/</t>
  </si>
  <si>
    <t>/997/8/343/313/339/460/</t>
  </si>
  <si>
    <t>/997/8/343/313/339/599626923/</t>
  </si>
  <si>
    <t>/997/8/343/313/323/</t>
  </si>
  <si>
    <t>/997/8/343/313/323/381/</t>
  </si>
  <si>
    <t>/997/8/343/313/323/749/</t>
  </si>
  <si>
    <t>/997/8/343/313/323/607344830/</t>
  </si>
  <si>
    <t>/997/8/343/313/323/246/</t>
  </si>
  <si>
    <t>/997/8/343/313/323/128/</t>
  </si>
  <si>
    <t>/997/8/343/313/323/294/</t>
  </si>
  <si>
    <t>/997/8/343/313/323/294/26/</t>
  </si>
  <si>
    <t>/997/8/343/313/323/294/42/</t>
  </si>
  <si>
    <t>/997/8/343/313/323/294/17/</t>
  </si>
  <si>
    <t>/997/8/343/313/323/294/10/</t>
  </si>
  <si>
    <t>/997/8/343/313/323/795/</t>
  </si>
  <si>
    <t>/997/8/343/313/323/795/50/</t>
  </si>
  <si>
    <t>/997/8/343/313/323/795/67/</t>
  </si>
  <si>
    <t>/997/8/343/313/323/795/587/</t>
  </si>
  <si>
    <t>/997/8/343/313/323/795/614454277/</t>
  </si>
  <si>
    <t>/997/8/343/313/323/1100/</t>
  </si>
  <si>
    <t>/997/8/343/313/323/1100/215/</t>
  </si>
  <si>
    <t>/997/8/343/313/323/1100/531/</t>
  </si>
  <si>
    <t>/997/8/343/313/323/1100/628/</t>
  </si>
  <si>
    <t>/997/8/343/313/323/1100/634/</t>
  </si>
  <si>
    <t>/997/8/343/313/323/1100/706/</t>
  </si>
  <si>
    <t>/997/8/343/313/323/1100/1061/</t>
  </si>
  <si>
    <t>/997/8/343/313/323/1100/549009203/</t>
  </si>
  <si>
    <t>/997/8/343/313/323/616/</t>
  </si>
  <si>
    <t>/997/8/343/313/323/214/</t>
  </si>
  <si>
    <t>/997/8/343/313/323/35/</t>
  </si>
  <si>
    <t>/997/8/343/313/323/549009211/</t>
  </si>
  <si>
    <t>/997/8/343/313/323/975/</t>
  </si>
  <si>
    <t>/997/8/343/313/323/115/</t>
  </si>
  <si>
    <t>/997/8/343/313/323/606826663/</t>
  </si>
  <si>
    <t>/997/8/343/313/323/757/</t>
  </si>
  <si>
    <t>/997/8/343/313/323/231/</t>
  </si>
  <si>
    <t>/997/8/343/313/323/66/</t>
  </si>
  <si>
    <t>/997/8/343/313/323/75/</t>
  </si>
  <si>
    <t>/997/8/343/313/323/58/</t>
  </si>
  <si>
    <t>/997/8/343/313/348/</t>
  </si>
  <si>
    <t>/997/8/343/313/348/374/</t>
  </si>
  <si>
    <t>/997/8/343/313/348/1052/</t>
  </si>
  <si>
    <t>/997/8/343/313/348/165/</t>
  </si>
  <si>
    <t>/997/8/343/313/348/165/12/</t>
  </si>
  <si>
    <t>/997/8/343/313/348/165/100/</t>
  </si>
  <si>
    <t>/997/8/343/313/348/165/100/607344834/</t>
  </si>
  <si>
    <t>/997/8/343/313/348/165/100/607344838/</t>
  </si>
  <si>
    <t>/997/8/343/313/348/165/100/607344842/</t>
  </si>
  <si>
    <t>/997/8/343/313/348/165/100/607344846/</t>
  </si>
  <si>
    <t>/997/8/343/313/348/165/100/607344850/</t>
  </si>
  <si>
    <t>/997/8/343/313/348/165/100/607344854/</t>
  </si>
  <si>
    <t>/997/8/343/313/348/165/100/607344858/</t>
  </si>
  <si>
    <t>/997/8/343/313/348/165/100/607344862/</t>
  </si>
  <si>
    <t>/997/8/343/313/348/165/197/</t>
  </si>
  <si>
    <t>/997/8/343/313/348/165/591/</t>
  </si>
  <si>
    <t>/997/8/343/313/348/165/872/</t>
  </si>
  <si>
    <t>/997/8/343/1065/</t>
  </si>
  <si>
    <t>/997/8/343/1065/771/</t>
  </si>
  <si>
    <t>/997/8/343/1065/771/1132/</t>
  </si>
  <si>
    <t>/997/8/343/1065/771/1132/612/</t>
  </si>
  <si>
    <t>/997/8/343/1065/771/1132/7/</t>
  </si>
  <si>
    <t>/997/8/343/1065/771/1132/867/</t>
  </si>
  <si>
    <t>/997/8/343/1065/771/1132/867/123/</t>
  </si>
  <si>
    <t>/997/8/343/1065/771/1132/398/</t>
  </si>
  <si>
    <t>/997/8/343/1065/771/1132/398/122/</t>
  </si>
  <si>
    <t>/997/8/343/1065/771/1132/398/105/</t>
  </si>
  <si>
    <t>/997/8/343/1065/771/1132/398/114/</t>
  </si>
  <si>
    <t>/997/8/343/1065/771/987/</t>
  </si>
  <si>
    <t>/997/8/343/1065/771/987/280/</t>
  </si>
  <si>
    <t>/997/8/343/1065/771/987/880/</t>
  </si>
  <si>
    <t>/997/8/343/1065/771/987/599626927/</t>
  </si>
  <si>
    <t>/997/8/343/1065/771/987/898/</t>
  </si>
  <si>
    <t>/997/8/343/1065/771/987/931/</t>
  </si>
  <si>
    <t>/997/8/343/1065/771/987/1093/</t>
  </si>
  <si>
    <t>/997/8/343/1065/771/987/318/</t>
  </si>
  <si>
    <t>/997/8/343/1065/771/987/534/</t>
  </si>
  <si>
    <t>/997/8/343/1065/771/987/574/</t>
  </si>
  <si>
    <t>/997/8/343/1065/771/987/621/</t>
  </si>
  <si>
    <t>/997/8/343/1065/771/987/549009215/</t>
  </si>
  <si>
    <t>/997/8/343/1065/771/987/549009219/</t>
  </si>
  <si>
    <t>/997/8/343/1065/771/987/549009223/</t>
  </si>
  <si>
    <t>/997/8/343/1065/771/987/549009227/</t>
  </si>
  <si>
    <t>/997/8/343/1065/771/1117/</t>
  </si>
  <si>
    <t>/997/8/343/1065/771/1117/679/</t>
  </si>
  <si>
    <t>/997/8/343/1065/771/1117/147/</t>
  </si>
  <si>
    <t>/997/8/343/1065/771/1117/162/</t>
  </si>
  <si>
    <t>/997/8/343/1065/771/1117/604/</t>
  </si>
  <si>
    <t>/997/8/343/1065/771/1117/146/</t>
  </si>
  <si>
    <t>/997/8/343/1065/771/1117/238/</t>
  </si>
  <si>
    <t>/997/8/343/1065/771/1117/350/</t>
  </si>
  <si>
    <t>/997/8/343/1065/771/1117/358/</t>
  </si>
  <si>
    <t>/997/8/343/1065/354/</t>
  </si>
  <si>
    <t>/997/8/343/1065/354/386/</t>
  </si>
  <si>
    <t>/997/8/343/1065/354/386/207/</t>
  </si>
  <si>
    <t>/997/8/343/1065/354/386/607/</t>
  </si>
  <si>
    <t>/997/8/343/1065/354/386/607/96/</t>
  </si>
  <si>
    <t>/997/8/343/1065/354/386/607/101/</t>
  </si>
  <si>
    <t>/997/8/343/1065/354/386/720/</t>
  </si>
  <si>
    <t>/997/8/343/1065/354/386/720/711/</t>
  </si>
  <si>
    <t>/997/8/343/1065/354/386/720/1039/</t>
  </si>
  <si>
    <t>/997/8/343/1065/354/386/903/</t>
  </si>
  <si>
    <t>/997/8/343/1065/354/386/642/</t>
  </si>
  <si>
    <t>/997/8/343/1065/354/386/651/</t>
  </si>
  <si>
    <t>/997/8/343/1065/354/386/429/</t>
  </si>
  <si>
    <t>/997/8/343/1065/354/386/437/</t>
  </si>
  <si>
    <t>/997/8/343/1065/354/386/445/</t>
  </si>
  <si>
    <t>/997/8/343/1065/354/386/589508451/</t>
  </si>
  <si>
    <t>/997/8/343/1065/354/370/</t>
  </si>
  <si>
    <t>/997/8/343/1065/354/370/653/</t>
  </si>
  <si>
    <t>/997/8/343/1065/354/370/661/</t>
  </si>
  <si>
    <t>/997/8/343/1065/354/370/576/</t>
  </si>
  <si>
    <t>/997/8/343/1065/354/370/135/</t>
  </si>
  <si>
    <t>/997/8/343/1065/354/370/135/939/</t>
  </si>
  <si>
    <t>/997/8/343/1065/354/370/135/143/</t>
  </si>
  <si>
    <t>/997/8/343/1065/354/370/839/</t>
  </si>
  <si>
    <t>/997/8/343/1065/354/370/1048/</t>
  </si>
  <si>
    <t>/997/8/343/1065/354/370/372/</t>
  </si>
  <si>
    <t>/997/8/343/1065/354/370/83/</t>
  </si>
  <si>
    <t>/997/8/343/1065/354/370/136/</t>
  </si>
  <si>
    <t>/997/8/343/1065/354/370/106/</t>
  </si>
  <si>
    <t>/997/8/343/1065/354/370/203/</t>
  </si>
  <si>
    <t>/997/8/343/1065/354/370/235/</t>
  </si>
  <si>
    <t>/997/8/343/1065/354/370/235/955/</t>
  </si>
  <si>
    <t>/997/8/343/1065/354/370/235/963/</t>
  </si>
  <si>
    <t>/997/8/343/1065/354/370/307/</t>
  </si>
  <si>
    <t>/997/8/343/1065/354/370/395/</t>
  </si>
  <si>
    <t>/997/8/343/1065/354/370/395/1098/</t>
  </si>
  <si>
    <t>/997/8/343/1065/354/370/395/1107/</t>
  </si>
  <si>
    <t>/997/8/343/1065/354/370/852/</t>
  </si>
  <si>
    <t>/997/8/343/1065/354/370/859/</t>
  </si>
  <si>
    <t>/997/8/343/1065/354/370/938/</t>
  </si>
  <si>
    <t>/997/8/343/1065/354/370/938/970/</t>
  </si>
  <si>
    <t>/997/8/343/1065/354/370/938/978/</t>
  </si>
  <si>
    <t>/997/8/343/1065/354/370/154/</t>
  </si>
  <si>
    <t>/997/8/343/1065/354/370/154/177/</t>
  </si>
  <si>
    <t>/997/8/343/1065/354/370/154/169/</t>
  </si>
  <si>
    <t>/997/8/343/1065/354/370/1069/</t>
  </si>
  <si>
    <t>/997/8/343/1065/354/370/701/</t>
  </si>
  <si>
    <t>/997/8/343/1065/354/370/701/209/</t>
  </si>
  <si>
    <t>/997/8/343/1065/354/370/701/202/</t>
  </si>
  <si>
    <t>/997/8/343/1065/354/370/701/225/</t>
  </si>
  <si>
    <t>/997/8/343/1065/354/370/701/217/</t>
  </si>
  <si>
    <t>/997/8/343/1065/354/370/765/</t>
  </si>
  <si>
    <t>/997/8/343/1065/354/370/773/</t>
  </si>
  <si>
    <t>/997/8/343/1065/354/370/781/</t>
  </si>
  <si>
    <t>/997/8/343/1065/354/379/</t>
  </si>
  <si>
    <t>/997/8/343/1065/354/379/206/</t>
  </si>
  <si>
    <t>/997/8/343/1065/354/379/230/</t>
  </si>
  <si>
    <t>/997/8/343/1065/354/379/222/</t>
  </si>
  <si>
    <t>/997/8/512/</t>
  </si>
  <si>
    <t>/997/8/512/528/</t>
  </si>
  <si>
    <t>/997/8/512/528/645/</t>
  </si>
  <si>
    <t>/997/8/512/528/645/912/</t>
  </si>
  <si>
    <t>/997/8/512/528/645/920/</t>
  </si>
  <si>
    <t>/997/8/512/528/645/920/976/</t>
  </si>
  <si>
    <t>/997/8/512/528/645/920/984/</t>
  </si>
  <si>
    <t>/997/8/512/528/645/928/</t>
  </si>
  <si>
    <t>/997/8/512/528/645/928/1091/</t>
  </si>
  <si>
    <t>/997/8/512/528/645/936/</t>
  </si>
  <si>
    <t>/997/8/512/528/645/944/</t>
  </si>
  <si>
    <t>/997/8/512/528/645/951/</t>
  </si>
  <si>
    <t>/997/8/512/528/645/957/</t>
  </si>
  <si>
    <t>/997/8/512/528/645/968/</t>
  </si>
  <si>
    <t>/997/8/512/528/1073/</t>
  </si>
  <si>
    <t>/997/8/512/528/1073/1007/</t>
  </si>
  <si>
    <t>/997/8/512/528/1073/1017/</t>
  </si>
  <si>
    <t>/997/8/512/528/1073/1017/1056/</t>
  </si>
  <si>
    <t>/997/8/512/528/1073/1017/1064/</t>
  </si>
  <si>
    <t>/997/8/512/528/1073/1025/</t>
  </si>
  <si>
    <t>/997/8/512/528/1073/1033/</t>
  </si>
  <si>
    <t>/997/8/512/528/1073/1041/</t>
  </si>
  <si>
    <t>/997/8/512/528/1073/1049/</t>
  </si>
  <si>
    <t>/997/8/512/519/</t>
  </si>
  <si>
    <t>/997/8/512/519/989/</t>
  </si>
  <si>
    <t>/997/8/512/519/91/</t>
  </si>
  <si>
    <t>/997/8/512/519/846/</t>
  </si>
  <si>
    <t>/997/8/512/519/589508455/</t>
  </si>
  <si>
    <t>/997/1009/</t>
  </si>
  <si>
    <t>/997/1009/967/</t>
  </si>
  <si>
    <t>/997/1009/967/949/</t>
  </si>
  <si>
    <t>/997/1009/967/840/</t>
  </si>
  <si>
    <t>/997/1009/967/840/1016/</t>
  </si>
  <si>
    <t>/997/1009/967/840/21/</t>
  </si>
  <si>
    <t>/997/1009/967/840/21/665/</t>
  </si>
  <si>
    <t>/997/1009/967/840/21/538/</t>
  </si>
  <si>
    <t>/997/1009/967/840/900/</t>
  </si>
  <si>
    <t>/997/1009/967/848/</t>
  </si>
  <si>
    <t>/997/1009/967/848/916/</t>
  </si>
  <si>
    <t>/997/1009/967/848/336/</t>
  </si>
  <si>
    <t>/997/1009/967/848/117/</t>
  </si>
  <si>
    <t>/997/1009/967/848/125/</t>
  </si>
  <si>
    <t>/997/1009/967/832/</t>
  </si>
  <si>
    <t>/997/1009/967/832/62/</t>
  </si>
  <si>
    <t>/997/1009/967/832/158/</t>
  </si>
  <si>
    <t>/997/1009/967/911/</t>
  </si>
  <si>
    <t>/997/1009/967/901/</t>
  </si>
  <si>
    <t>/997/1009/967/901/93/</t>
  </si>
  <si>
    <t>/997/1009/967/901/229/</t>
  </si>
  <si>
    <t>/997/1009/967/901/229/794/</t>
  </si>
  <si>
    <t>/997/1009/967/798/</t>
  </si>
  <si>
    <t>/997/1009/967/798/1116/</t>
  </si>
  <si>
    <t>/997/1009/967/933/</t>
  </si>
  <si>
    <t>/997/1009/967/933/413/</t>
  </si>
  <si>
    <t>/997/1009/967/933/948/</t>
  </si>
  <si>
    <t>/997/1009/967/933/948/841/</t>
  </si>
  <si>
    <t>/997/1009/967/933/948/506/</t>
  </si>
  <si>
    <t>/997/1009/967/933/948/658/</t>
  </si>
  <si>
    <t>/997/1009/967/933/948/633/</t>
  </si>
  <si>
    <t>/997/1009/967/933/948/482/</t>
  </si>
  <si>
    <t>/997/1009/967/917/</t>
  </si>
  <si>
    <t>/997/1009/967/917/237/</t>
  </si>
  <si>
    <t>/997/1009/967/792/</t>
  </si>
  <si>
    <t>/997/1009/967/792/932/</t>
  </si>
  <si>
    <t>/997/1009/967/792/932/514/</t>
  </si>
  <si>
    <t>/997/1009/967/792/932/514/380/</t>
  </si>
  <si>
    <t>/997/1009/967/792/932/697/</t>
  </si>
  <si>
    <t>/997/1009/960/</t>
  </si>
  <si>
    <t>/997/1009/960/744/</t>
  </si>
  <si>
    <t>/997/1009/960/752/</t>
  </si>
  <si>
    <t>/997/1009/960/752/326/</t>
  </si>
  <si>
    <t>/997/1009/960/752/326/812/</t>
  </si>
  <si>
    <t>/997/1009/960/752/326/850/</t>
  </si>
  <si>
    <t>/997/1009/960/752/326/866/</t>
  </si>
  <si>
    <t>/997/1009/960/752/78/</t>
  </si>
  <si>
    <t>/997/1009/960/752/1123/</t>
  </si>
  <si>
    <t>/997/1009/960/752/1123/553/</t>
  </si>
  <si>
    <t>/997/1009/960/728/</t>
  </si>
  <si>
    <t>/997/1009/484682512/</t>
  </si>
  <si>
    <t>/997/1009/983/</t>
  </si>
  <si>
    <t>/997/1009/983/776/</t>
  </si>
  <si>
    <t>/997/1009/983/776/956/</t>
  </si>
  <si>
    <t>/997/1009/983/776/956/579/</t>
  </si>
  <si>
    <t>/997/1009/983/776/964/</t>
  </si>
  <si>
    <t>/997/1009/983/776/1108/</t>
  </si>
  <si>
    <t>/997/1009/983/776/971/</t>
  </si>
  <si>
    <t>/997/1009/983/776/484682516/</t>
  </si>
  <si>
    <t>/997/1009/983/776/986/</t>
  </si>
  <si>
    <t>/997/1009/983/784/</t>
  </si>
  <si>
    <t>/997/1009/983/784/6/</t>
  </si>
  <si>
    <t>/997/1009/983/784/924/</t>
  </si>
  <si>
    <t>/997/1009/983/784/190/</t>
  </si>
  <si>
    <t>/997/1009/983/784/198/</t>
  </si>
  <si>
    <t>/997/1009/983/896/</t>
  </si>
  <si>
    <t>/997/1009/983/896/1092/</t>
  </si>
  <si>
    <t>/997/1009/983/896/484682520/</t>
  </si>
  <si>
    <t>/997/1009/983/896/484682524/</t>
  </si>
  <si>
    <t>/997/1009/1000/</t>
  </si>
  <si>
    <t>/997/1009/1000/760/</t>
  </si>
  <si>
    <t>/997/1009/1000/760/102/</t>
  </si>
  <si>
    <t>/997/1009/1000/877/</t>
  </si>
  <si>
    <t>/997/1009/1000/877/1051/</t>
  </si>
  <si>
    <t>/997/1009/1000/877/1060/</t>
  </si>
  <si>
    <t>/997/1009/1000/877/1043/</t>
  </si>
  <si>
    <t>/997/1009/1000/863/</t>
  </si>
  <si>
    <t>/997/1009/1000/863/397/</t>
  </si>
  <si>
    <t>/997/1009/991/</t>
  </si>
  <si>
    <t>/997/1009/991/768/</t>
  </si>
  <si>
    <t>/997/1009/991/768/884/</t>
  </si>
  <si>
    <t>/997/1009/991/768/908/</t>
  </si>
  <si>
    <t>/997/1009/991/768/940/</t>
  </si>
  <si>
    <t>/997/1009/991/768/1099/</t>
  </si>
  <si>
    <t>/997/1009/991/768/1099/466/</t>
  </si>
  <si>
    <t>/997/1009/991/768/1099/530/</t>
  </si>
  <si>
    <t>/997/1009/991/768/1099/603/</t>
  </si>
  <si>
    <t>/997/1009/991/768/1099/737/</t>
  </si>
  <si>
    <t>/997/1009/991/768/1099/737/428/</t>
  </si>
  <si>
    <t>/997/1009/991/768/1099/737/436/</t>
  </si>
  <si>
    <t>/997/1009/991/768/1099/618/</t>
  </si>
  <si>
    <t>/997/1009/991/768/1099/618/443/</t>
  </si>
  <si>
    <t>/997/1009/991/768/1099/618/449/</t>
  </si>
  <si>
    <t>/997/1009/991/768/301/</t>
  </si>
  <si>
    <t>/997/1009/991/824/</t>
  </si>
  <si>
    <t>/997/1009/991/824/54/</t>
  </si>
  <si>
    <t>/997/1009/991/824/349/</t>
  </si>
  <si>
    <t>/997/1009/991/824/46/</t>
  </si>
  <si>
    <t>/997/1009/991/824/46/753/</t>
  </si>
  <si>
    <t>/997/1009/991/824/46/690/</t>
  </si>
  <si>
    <t>/997/1009/991/824/46/681/</t>
  </si>
  <si>
    <t>/997/1009/991/824/46/673/</t>
  </si>
  <si>
    <t>/997/1009/991/824/1083/</t>
  </si>
  <si>
    <t>/997/1009/991/824/1083/802/</t>
  </si>
  <si>
    <t>/997/1009/991/824/1083/595/</t>
  </si>
  <si>
    <t>/997/1009/991/824/1083/611/</t>
  </si>
  <si>
    <t>/997/73/</t>
  </si>
  <si>
    <t>/997/73/81/</t>
  </si>
  <si>
    <t>/997/73/81/98/</t>
  </si>
  <si>
    <t>/997/73/81/108/</t>
  </si>
  <si>
    <t>/997/73/129/</t>
  </si>
  <si>
    <t>/997/73/140/</t>
  </si>
  <si>
    <t>/997/73/145/</t>
  </si>
  <si>
    <t>/997/73/145/153/</t>
  </si>
  <si>
    <t>/997/73/164/</t>
  </si>
  <si>
    <t>/997/8/343/1129/1097/1140/</t>
  </si>
  <si>
    <t>/997/8/567/688/695/1089/1080/726/1141/</t>
  </si>
  <si>
    <t>/997/8/567/688/695/1089/1080/726/1142/</t>
  </si>
  <si>
    <t>/997/8/567/688/695/315/22/417/22/</t>
  </si>
  <si>
    <t>/997/1009/991/768/301/301/</t>
  </si>
  <si>
    <t>/997/8/343/1129/549/864/1008/170/549/</t>
  </si>
  <si>
    <t>LabelAbrv</t>
  </si>
  <si>
    <t>Region</t>
  </si>
  <si>
    <t>posterior parietal association areas</t>
  </si>
  <si>
    <t>Primary somatosensory area barrel field</t>
  </si>
  <si>
    <t>MMme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</si>
</sst>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6" x14ac:knownFonts="1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2"/>
      <color theme="1"/>
      <name val="Calibri"/>
      <family val="2"/>
      <scheme val="minor"/>
    </font>
    <font>
      <b/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330">
    <fill>
      <patternFill patternType="none"/>
    </fill>
    <fill>
      <patternFill patternType="gray125"/>
    </fill>
    <fill>
      <patternFill patternType="solid">
        <fgColor rgb="FFA0ED9D"/>
        <bgColor indexed="64"/>
      </patternFill>
    </fill>
    <fill>
      <patternFill patternType="solid">
        <fgColor rgb="FFA0EE9C"/>
        <bgColor indexed="64"/>
      </patternFill>
    </fill>
    <fill>
      <patternFill patternType="solid">
        <fgColor rgb="FF84E981"/>
        <bgColor indexed="64"/>
      </patternFill>
    </fill>
    <fill>
      <patternFill patternType="solid">
        <fgColor rgb="FF9DE69C"/>
        <bgColor indexed="64"/>
      </patternFill>
    </fill>
    <fill>
      <patternFill patternType="solid">
        <fgColor rgb="FF8AD987"/>
        <bgColor indexed="64"/>
      </patternFill>
    </fill>
    <fill>
      <patternFill patternType="solid">
        <fgColor rgb="FF60E6B5"/>
        <bgColor indexed="64"/>
      </patternFill>
    </fill>
    <fill>
      <patternFill patternType="solid">
        <fgColor rgb="FF60E7B5"/>
        <bgColor indexed="64"/>
      </patternFill>
    </fill>
    <fill>
      <patternFill patternType="solid">
        <fgColor rgb="FF95E3C7"/>
        <bgColor indexed="64"/>
      </patternFill>
    </fill>
    <fill>
      <patternFill patternType="solid">
        <fgColor rgb="FFA8ECD2"/>
        <bgColor indexed="64"/>
      </patternFill>
    </fill>
    <fill>
      <patternFill patternType="solid">
        <fgColor rgb="FF95E4C8"/>
        <bgColor indexed="64"/>
      </patternFill>
    </fill>
    <fill>
      <patternFill patternType="solid">
        <fgColor rgb="FF2FA850"/>
        <bgColor indexed="64"/>
      </patternFill>
    </fill>
    <fill>
      <patternFill patternType="solid">
        <fgColor rgb="FF2FA84F"/>
        <bgColor indexed="64"/>
      </patternFill>
    </fill>
    <fill>
      <patternFill patternType="solid">
        <fgColor rgb="FF219665"/>
        <bgColor indexed="64"/>
      </patternFill>
    </fill>
    <fill>
      <patternFill patternType="solid">
        <fgColor rgb="FF219666"/>
        <bgColor indexed="64"/>
      </patternFill>
    </fill>
    <fill>
      <patternFill patternType="solid">
        <fgColor rgb="FF219765"/>
        <bgColor indexed="64"/>
      </patternFill>
    </fill>
    <fill>
      <patternFill patternType="solid">
        <fgColor rgb="FF209666"/>
        <bgColor indexed="64"/>
      </patternFill>
    </fill>
    <fill>
      <patternFill patternType="solid">
        <fgColor rgb="FF219866"/>
        <bgColor indexed="64"/>
      </patternFill>
    </fill>
    <fill>
      <patternFill patternType="solid">
        <fgColor rgb="FF0E9683"/>
        <bgColor indexed="64"/>
      </patternFill>
    </fill>
    <fill>
      <patternFill patternType="solid">
        <fgColor rgb="FF0E9F91"/>
        <bgColor indexed="64"/>
      </patternFill>
    </fill>
    <fill>
      <patternFill patternType="solid">
        <fgColor rgb="FF0D9E91"/>
        <bgColor indexed="64"/>
      </patternFill>
    </fill>
    <fill>
      <patternFill patternType="solid">
        <fgColor rgb="FF248A5D"/>
        <bgColor indexed="64"/>
      </patternFill>
    </fill>
    <fill>
      <patternFill patternType="solid">
        <fgColor rgb="FF23885E"/>
        <bgColor indexed="64"/>
      </patternFill>
    </fill>
    <fill>
      <patternFill patternType="solid">
        <fgColor rgb="FF22895D"/>
        <bgColor indexed="64"/>
      </patternFill>
    </fill>
    <fill>
      <patternFill patternType="solid">
        <fgColor rgb="FF24895D"/>
        <bgColor indexed="64"/>
      </patternFill>
    </fill>
    <fill>
      <patternFill patternType="solid">
        <fgColor rgb="FF12AD83"/>
        <bgColor indexed="64"/>
      </patternFill>
    </fill>
    <fill>
      <patternFill patternType="solid">
        <fgColor rgb="FF12AD82"/>
        <bgColor indexed="64"/>
      </patternFill>
    </fill>
    <fill>
      <patternFill patternType="solid">
        <fgColor rgb="FF088489"/>
        <bgColor indexed="64"/>
      </patternFill>
    </fill>
    <fill>
      <patternFill patternType="solid">
        <fgColor rgb="FF09858B"/>
        <bgColor indexed="64"/>
      </patternFill>
    </fill>
    <fill>
      <patternFill patternType="solid">
        <fgColor rgb="FF0A838A"/>
        <bgColor indexed="64"/>
      </patternFill>
    </fill>
    <fill>
      <patternFill patternType="solid">
        <fgColor rgb="FF09838B"/>
        <bgColor indexed="64"/>
      </patternFill>
    </fill>
    <fill>
      <patternFill patternType="solid">
        <fgColor rgb="FF08828B"/>
        <bgColor indexed="64"/>
      </patternFill>
    </fill>
    <fill>
      <patternFill patternType="solid">
        <fgColor rgb="FF098389"/>
        <bgColor indexed="64"/>
      </patternFill>
    </fill>
    <fill>
      <patternFill patternType="solid">
        <fgColor rgb="FF088588"/>
        <bgColor indexed="64"/>
      </patternFill>
    </fill>
    <fill>
      <patternFill patternType="solid">
        <fgColor rgb="FF0A848B"/>
        <bgColor indexed="64"/>
      </patternFill>
    </fill>
    <fill>
      <patternFill patternType="solid">
        <fgColor rgb="FF0A828B"/>
        <bgColor indexed="64"/>
      </patternFill>
    </fill>
    <fill>
      <patternFill patternType="solid">
        <fgColor rgb="FF0B848B"/>
        <bgColor indexed="64"/>
      </patternFill>
    </fill>
    <fill>
      <patternFill patternType="solid">
        <fgColor rgb="FF0A858C"/>
        <bgColor indexed="64"/>
      </patternFill>
    </fill>
    <fill>
      <patternFill patternType="solid">
        <fgColor rgb="FF0A828A"/>
        <bgColor indexed="64"/>
      </patternFill>
    </fill>
    <fill>
      <patternFill patternType="solid">
        <fgColor rgb="FF08818B"/>
        <bgColor indexed="64"/>
      </patternFill>
    </fill>
    <fill>
      <patternFill patternType="solid">
        <fgColor rgb="FF0A858A"/>
        <bgColor indexed="64"/>
      </patternFill>
    </fill>
    <fill>
      <patternFill patternType="solid">
        <fgColor rgb="FF15B0B3"/>
        <bgColor indexed="64"/>
      </patternFill>
    </fill>
    <fill>
      <patternFill patternType="solid">
        <fgColor rgb="FF15B0B2"/>
        <bgColor indexed="64"/>
      </patternFill>
    </fill>
    <fill>
      <patternFill patternType="solid">
        <fgColor rgb="FF1F9D58"/>
        <bgColor indexed="64"/>
      </patternFill>
    </fill>
    <fill>
      <patternFill patternType="solid">
        <fgColor rgb="FF1D9D59"/>
        <bgColor indexed="64"/>
      </patternFill>
    </fill>
    <fill>
      <patternFill patternType="solid">
        <fgColor rgb="FF1E9C5A"/>
        <bgColor indexed="64"/>
      </patternFill>
    </fill>
    <fill>
      <patternFill patternType="solid">
        <fgColor rgb="FF1A8061"/>
        <bgColor indexed="64"/>
      </patternFill>
    </fill>
    <fill>
      <patternFill patternType="solid">
        <fgColor rgb="FF1C8063"/>
        <bgColor indexed="64"/>
      </patternFill>
    </fill>
    <fill>
      <patternFill patternType="solid">
        <fgColor rgb="FF197F61"/>
        <bgColor indexed="64"/>
      </patternFill>
    </fill>
    <fill>
      <patternFill patternType="solid">
        <fgColor rgb="FF1C8064"/>
        <bgColor indexed="64"/>
      </patternFill>
    </fill>
    <fill>
      <patternFill patternType="solid">
        <fgColor rgb="FF1A8063"/>
        <bgColor indexed="64"/>
      </patternFill>
    </fill>
    <fill>
      <patternFill patternType="solid">
        <fgColor rgb="FF187F62"/>
        <bgColor indexed="64"/>
      </patternFill>
    </fill>
    <fill>
      <patternFill patternType="solid">
        <fgColor rgb="FF197E62"/>
        <bgColor indexed="64"/>
      </patternFill>
    </fill>
    <fill>
      <patternFill patternType="solid">
        <fgColor rgb="FF1B7E63"/>
        <bgColor indexed="64"/>
      </patternFill>
    </fill>
    <fill>
      <patternFill patternType="solid">
        <fgColor rgb="FF188064"/>
        <bgColor indexed="64"/>
      </patternFill>
    </fill>
    <fill>
      <patternFill patternType="solid">
        <fgColor rgb="FF1A7F64"/>
        <bgColor indexed="64"/>
      </patternFill>
    </fill>
    <fill>
      <patternFill patternType="solid">
        <fgColor rgb="FFA0EE9D"/>
        <bgColor indexed="64"/>
      </patternFill>
    </fill>
    <fill>
      <patternFill patternType="solid">
        <fgColor rgb="FF84EA80"/>
        <bgColor indexed="64"/>
      </patternFill>
    </fill>
    <fill>
      <patternFill patternType="solid">
        <fgColor rgb="FF9DE79B"/>
        <bgColor indexed="64"/>
      </patternFill>
    </fill>
    <fill>
      <patternFill patternType="solid">
        <fgColor rgb="FF6ACAB9"/>
        <bgColor indexed="64"/>
      </patternFill>
    </fill>
    <fill>
      <patternFill patternType="solid">
        <fgColor rgb="FF5FE6B7"/>
        <bgColor indexed="64"/>
      </patternFill>
    </fill>
    <fill>
      <patternFill patternType="solid">
        <fgColor rgb="FF95E3C8"/>
        <bgColor indexed="64"/>
      </patternFill>
    </fill>
    <fill>
      <patternFill patternType="solid">
        <fgColor rgb="FF62CF9E"/>
        <bgColor indexed="64"/>
      </patternFill>
    </fill>
    <fill>
      <patternFill patternType="solid">
        <fgColor rgb="FF9AD1BD"/>
        <bgColor indexed="64"/>
      </patternFill>
    </fill>
    <fill>
      <patternFill patternType="solid">
        <fgColor rgb="FF9DF0D1"/>
        <bgColor indexed="64"/>
      </patternFill>
    </fill>
    <fill>
      <patternFill patternType="solid">
        <fgColor rgb="FF2EA84F"/>
        <bgColor indexed="64"/>
      </patternFill>
    </fill>
    <fill>
      <patternFill patternType="solid">
        <fgColor rgb="FF2EA750"/>
        <bgColor indexed="64"/>
      </patternFill>
    </fill>
    <fill>
      <patternFill patternType="solid">
        <fgColor rgb="FF219764"/>
        <bgColor indexed="64"/>
      </patternFill>
    </fill>
    <fill>
      <patternFill patternType="solid">
        <fgColor rgb="FF219864"/>
        <bgColor indexed="64"/>
      </patternFill>
    </fill>
    <fill>
      <patternFill patternType="solid">
        <fgColor rgb="FF219766"/>
        <bgColor indexed="64"/>
      </patternFill>
    </fill>
    <fill>
      <patternFill patternType="solid">
        <fgColor rgb="FF209765"/>
        <bgColor indexed="64"/>
      </patternFill>
    </fill>
    <fill>
      <patternFill patternType="solid">
        <fgColor rgb="FF0E9583"/>
        <bgColor indexed="64"/>
      </patternFill>
    </fill>
    <fill>
      <patternFill patternType="solid">
        <fgColor rgb="FF0E9684"/>
        <bgColor indexed="64"/>
      </patternFill>
    </fill>
    <fill>
      <patternFill patternType="solid">
        <fgColor rgb="FF0D9F90"/>
        <bgColor indexed="64"/>
      </patternFill>
    </fill>
    <fill>
      <patternFill patternType="solid">
        <fgColor rgb="FF248A5B"/>
        <bgColor indexed="64"/>
      </patternFill>
    </fill>
    <fill>
      <patternFill patternType="solid">
        <fgColor rgb="FF23885C"/>
        <bgColor indexed="64"/>
      </patternFill>
    </fill>
    <fill>
      <patternFill patternType="solid">
        <fgColor rgb="FF24885D"/>
        <bgColor indexed="64"/>
      </patternFill>
    </fill>
    <fill>
      <patternFill patternType="solid">
        <fgColor rgb="FF228A5D"/>
        <bgColor indexed="64"/>
      </patternFill>
    </fill>
    <fill>
      <patternFill patternType="solid">
        <fgColor rgb="FF238A5E"/>
        <bgColor indexed="64"/>
      </patternFill>
    </fill>
    <fill>
      <patternFill patternType="solid">
        <fgColor rgb="FF97EC93"/>
        <bgColor indexed="64"/>
      </patternFill>
    </fill>
    <fill>
      <patternFill patternType="solid">
        <fgColor rgb="FF84EA81"/>
        <bgColor indexed="64"/>
      </patternFill>
    </fill>
    <fill>
      <patternFill patternType="solid">
        <fgColor rgb="FF9DE79C"/>
        <bgColor indexed="64"/>
      </patternFill>
    </fill>
    <fill>
      <patternFill patternType="solid">
        <fgColor rgb="FFA3DAA3"/>
        <bgColor indexed="64"/>
      </patternFill>
    </fill>
    <fill>
      <patternFill patternType="solid">
        <fgColor rgb="FF5FE7B6"/>
        <bgColor indexed="64"/>
      </patternFill>
    </fill>
    <fill>
      <patternFill patternType="solid">
        <fgColor rgb="FF95E4C7"/>
        <bgColor indexed="64"/>
      </patternFill>
    </fill>
    <fill>
      <patternFill patternType="solid">
        <fgColor rgb="FF61D09F"/>
        <bgColor indexed="64"/>
      </patternFill>
    </fill>
    <fill>
      <patternFill patternType="solid">
        <fgColor rgb="FF54BF94"/>
        <bgColor indexed="64"/>
      </patternFill>
    </fill>
    <fill>
      <patternFill patternType="solid">
        <fgColor rgb="FF9DF0D2"/>
        <bgColor indexed="64"/>
      </patternFill>
    </fill>
    <fill>
      <patternFill patternType="solid">
        <fgColor rgb="FF2FA74F"/>
        <bgColor indexed="64"/>
      </patternFill>
    </fill>
    <fill>
      <patternFill patternType="solid">
        <fgColor rgb="FF1F9865"/>
        <bgColor indexed="64"/>
      </patternFill>
    </fill>
    <fill>
      <patternFill patternType="solid">
        <fgColor rgb="FF1F9866"/>
        <bgColor indexed="64"/>
      </patternFill>
    </fill>
    <fill>
      <patternFill patternType="solid">
        <fgColor rgb="FF209766"/>
        <bgColor indexed="64"/>
      </patternFill>
    </fill>
    <fill>
      <patternFill patternType="solid">
        <fgColor rgb="FF209764"/>
        <bgColor indexed="64"/>
      </patternFill>
    </fill>
    <fill>
      <patternFill patternType="solid">
        <fgColor rgb="FF209665"/>
        <bgColor indexed="64"/>
      </patternFill>
    </fill>
    <fill>
      <patternFill patternType="solid">
        <fgColor rgb="FF0F9684"/>
        <bgColor indexed="64"/>
      </patternFill>
    </fill>
    <fill>
      <patternFill patternType="solid">
        <fgColor rgb="FF0F9683"/>
        <bgColor indexed="64"/>
      </patternFill>
    </fill>
    <fill>
      <patternFill patternType="solid">
        <fgColor rgb="FF0D9F91"/>
        <bgColor indexed="64"/>
      </patternFill>
    </fill>
    <fill>
      <patternFill patternType="solid">
        <fgColor rgb="FF22895E"/>
        <bgColor indexed="64"/>
      </patternFill>
    </fill>
    <fill>
      <patternFill patternType="solid">
        <fgColor rgb="FF228A5C"/>
        <bgColor indexed="64"/>
      </patternFill>
    </fill>
    <fill>
      <patternFill patternType="solid">
        <fgColor rgb="FF24875E"/>
        <bgColor indexed="64"/>
      </patternFill>
    </fill>
    <fill>
      <patternFill patternType="solid">
        <fgColor rgb="FF248A5C"/>
        <bgColor indexed="64"/>
      </patternFill>
    </fill>
    <fill>
      <patternFill patternType="solid">
        <fgColor rgb="FF23885D"/>
        <bgColor indexed="64"/>
      </patternFill>
    </fill>
    <fill>
      <patternFill patternType="solid">
        <fgColor rgb="FF8ADA86"/>
        <bgColor indexed="64"/>
      </patternFill>
    </fill>
    <fill>
      <patternFill patternType="solid">
        <fgColor rgb="FF60E5B7"/>
        <bgColor indexed="64"/>
      </patternFill>
    </fill>
    <fill>
      <patternFill patternType="solid">
        <fgColor rgb="FF99D2BD"/>
        <bgColor indexed="64"/>
      </patternFill>
    </fill>
    <fill>
      <patternFill patternType="solid">
        <fgColor rgb="FF209865"/>
        <bgColor indexed="64"/>
      </patternFill>
    </fill>
    <fill>
      <patternFill patternType="solid">
        <fgColor rgb="FF0D9E90"/>
        <bgColor indexed="64"/>
      </patternFill>
    </fill>
    <fill>
      <patternFill patternType="solid">
        <fgColor rgb="FF23895D"/>
        <bgColor indexed="64"/>
      </patternFill>
    </fill>
    <fill>
      <patternFill patternType="solid">
        <fgColor rgb="FF12AC83"/>
        <bgColor indexed="64"/>
      </patternFill>
    </fill>
    <fill>
      <patternFill patternType="solid">
        <fgColor rgb="FF08858B"/>
        <bgColor indexed="64"/>
      </patternFill>
    </fill>
    <fill>
      <patternFill patternType="solid">
        <fgColor rgb="FF09848C"/>
        <bgColor indexed="64"/>
      </patternFill>
    </fill>
    <fill>
      <patternFill patternType="solid">
        <fgColor rgb="FF0A848C"/>
        <bgColor indexed="64"/>
      </patternFill>
    </fill>
    <fill>
      <patternFill patternType="solid">
        <fgColor rgb="FF08838A"/>
        <bgColor indexed="64"/>
      </patternFill>
    </fill>
    <fill>
      <patternFill patternType="solid">
        <fgColor rgb="FF088389"/>
        <bgColor indexed="64"/>
      </patternFill>
    </fill>
    <fill>
      <patternFill patternType="solid">
        <fgColor rgb="FF0B838A"/>
        <bgColor indexed="64"/>
      </patternFill>
    </fill>
    <fill>
      <patternFill patternType="solid">
        <fgColor rgb="FF08828C"/>
        <bgColor indexed="64"/>
      </patternFill>
    </fill>
    <fill>
      <patternFill patternType="solid">
        <fgColor rgb="FF15AFB3"/>
        <bgColor indexed="64"/>
      </patternFill>
    </fill>
    <fill>
      <patternFill patternType="solid">
        <fgColor rgb="FF1D9C5A"/>
        <bgColor indexed="64"/>
      </patternFill>
    </fill>
    <fill>
      <patternFill patternType="solid">
        <fgColor rgb="FF1F9C59"/>
        <bgColor indexed="64"/>
      </patternFill>
    </fill>
    <fill>
      <patternFill patternType="solid">
        <fgColor rgb="FF197D61"/>
        <bgColor indexed="64"/>
      </patternFill>
    </fill>
    <fill>
      <patternFill patternType="solid">
        <fgColor rgb="FF188061"/>
        <bgColor indexed="64"/>
      </patternFill>
    </fill>
    <fill>
      <patternFill patternType="solid">
        <fgColor rgb="FF1B7F64"/>
        <bgColor indexed="64"/>
      </patternFill>
    </fill>
    <fill>
      <patternFill patternType="solid">
        <fgColor rgb="FF1A7E64"/>
        <bgColor indexed="64"/>
      </patternFill>
    </fill>
    <fill>
      <patternFill patternType="solid">
        <fgColor rgb="FF1C7F64"/>
        <bgColor indexed="64"/>
      </patternFill>
    </fill>
    <fill>
      <patternFill patternType="solid">
        <fgColor rgb="FF1A7E61"/>
        <bgColor indexed="64"/>
      </patternFill>
    </fill>
    <fill>
      <patternFill patternType="solid">
        <fgColor rgb="FF59B262"/>
        <bgColor indexed="64"/>
      </patternFill>
    </fill>
    <fill>
      <patternFill patternType="solid">
        <fgColor rgb="FF40A465"/>
        <bgColor indexed="64"/>
      </patternFill>
    </fill>
    <fill>
      <patternFill patternType="solid">
        <fgColor rgb="FF3FA466"/>
        <bgColor indexed="64"/>
      </patternFill>
    </fill>
    <fill>
      <patternFill patternType="solid">
        <fgColor rgb="FF1AA496"/>
        <bgColor indexed="64"/>
      </patternFill>
    </fill>
    <fill>
      <patternFill patternType="solid">
        <fgColor rgb="FF1AA596"/>
        <bgColor indexed="64"/>
      </patternFill>
    </fill>
    <fill>
      <patternFill patternType="solid">
        <fgColor rgb="FF029198"/>
        <bgColor indexed="64"/>
      </patternFill>
    </fill>
    <fill>
      <patternFill patternType="solid">
        <fgColor rgb="FF019298"/>
        <bgColor indexed="64"/>
      </patternFill>
    </fill>
    <fill>
      <patternFill patternType="solid">
        <fgColor rgb="FF019FAC"/>
        <bgColor indexed="64"/>
      </patternFill>
    </fill>
    <fill>
      <patternFill patternType="solid">
        <fgColor rgb="FF70FF71"/>
        <bgColor indexed="64"/>
      </patternFill>
    </fill>
    <fill>
      <patternFill patternType="solid">
        <fgColor rgb="FF197C64"/>
        <bgColor indexed="64"/>
      </patternFill>
    </fill>
    <fill>
      <patternFill patternType="solid">
        <fgColor rgb="FF197E61"/>
        <bgColor indexed="64"/>
      </patternFill>
    </fill>
    <fill>
      <patternFill patternType="solid">
        <fgColor rgb="FF59B263"/>
        <bgColor indexed="64"/>
      </patternFill>
    </fill>
    <fill>
      <patternFill patternType="solid">
        <fgColor rgb="FF40A564"/>
        <bgColor indexed="64"/>
      </patternFill>
    </fill>
    <fill>
      <patternFill patternType="solid">
        <fgColor rgb="FF1CA597"/>
        <bgColor indexed="64"/>
      </patternFill>
    </fill>
    <fill>
      <patternFill patternType="solid">
        <fgColor rgb="FF1AA497"/>
        <bgColor indexed="64"/>
      </patternFill>
    </fill>
    <fill>
      <patternFill patternType="solid">
        <fgColor rgb="FF1BA598"/>
        <bgColor indexed="64"/>
      </patternFill>
    </fill>
    <fill>
      <patternFill patternType="solid">
        <fgColor rgb="FF1AA698"/>
        <bgColor indexed="64"/>
      </patternFill>
    </fill>
    <fill>
      <patternFill patternType="solid">
        <fgColor rgb="FF029298"/>
        <bgColor indexed="64"/>
      </patternFill>
    </fill>
    <fill>
      <patternFill patternType="solid">
        <fgColor rgb="FF019198"/>
        <bgColor indexed="64"/>
      </patternFill>
    </fill>
    <fill>
      <patternFill patternType="solid">
        <fgColor rgb="FF029397"/>
        <bgColor indexed="64"/>
      </patternFill>
    </fill>
    <fill>
      <patternFill patternType="solid">
        <fgColor rgb="FF049399"/>
        <bgColor indexed="64"/>
      </patternFill>
    </fill>
    <fill>
      <patternFill patternType="solid">
        <fgColor rgb="FF039198"/>
        <bgColor indexed="64"/>
      </patternFill>
    </fill>
    <fill>
      <patternFill patternType="solid">
        <fgColor rgb="FF019EAA"/>
        <bgColor indexed="64"/>
      </patternFill>
    </fill>
    <fill>
      <patternFill patternType="solid">
        <fgColor rgb="FF029FAC"/>
        <bgColor indexed="64"/>
      </patternFill>
    </fill>
    <fill>
      <patternFill patternType="solid">
        <fgColor rgb="FF009FAB"/>
        <bgColor indexed="64"/>
      </patternFill>
    </fill>
    <fill>
      <patternFill patternType="solid">
        <fgColor rgb="FF268E44"/>
        <bgColor indexed="64"/>
      </patternFill>
    </fill>
    <fill>
      <patternFill patternType="solid">
        <fgColor rgb="FF009C75"/>
        <bgColor indexed="64"/>
      </patternFill>
    </fill>
    <fill>
      <patternFill patternType="solid">
        <fgColor rgb="FF32B623"/>
        <bgColor indexed="64"/>
      </patternFill>
    </fill>
    <fill>
      <patternFill patternType="solid">
        <fgColor rgb="FF31B623"/>
        <bgColor indexed="64"/>
      </patternFill>
    </fill>
    <fill>
      <patternFill patternType="solid">
        <fgColor rgb="FF32B722"/>
        <bgColor indexed="64"/>
      </patternFill>
    </fill>
    <fill>
      <patternFill patternType="solid">
        <fgColor rgb="FF33B931"/>
        <bgColor indexed="64"/>
      </patternFill>
    </fill>
    <fill>
      <patternFill patternType="solid">
        <fgColor rgb="FF59B847"/>
        <bgColor indexed="64"/>
      </patternFill>
    </fill>
    <fill>
      <patternFill patternType="solid">
        <fgColor rgb="FF65A83D"/>
        <bgColor indexed="64"/>
      </patternFill>
    </fill>
    <fill>
      <patternFill patternType="solid">
        <fgColor rgb="FF7ECF49"/>
        <bgColor indexed="64"/>
      </patternFill>
    </fill>
    <fill>
      <patternFill patternType="solid">
        <fgColor rgb="FF7ED04B"/>
        <bgColor indexed="64"/>
      </patternFill>
    </fill>
    <fill>
      <patternFill patternType="solid">
        <fgColor rgb="FFB0FFB8"/>
        <bgColor indexed="64"/>
      </patternFill>
    </fill>
    <fill>
      <patternFill patternType="solid">
        <fgColor rgb="FF9CE79C"/>
        <bgColor indexed="64"/>
      </patternFill>
    </fill>
    <fill>
      <patternFill patternType="solid">
        <fgColor rgb="FF94E4C7"/>
        <bgColor indexed="64"/>
      </patternFill>
    </fill>
    <fill>
      <patternFill patternType="solid">
        <fgColor rgb="FF2FA750"/>
        <bgColor indexed="64"/>
      </patternFill>
    </fill>
    <fill>
      <patternFill patternType="solid">
        <fgColor rgb="FF1F9766"/>
        <bgColor indexed="64"/>
      </patternFill>
    </fill>
    <fill>
      <patternFill patternType="solid">
        <fgColor rgb="FF0E9F90"/>
        <bgColor indexed="64"/>
      </patternFill>
    </fill>
    <fill>
      <patternFill patternType="solid">
        <fgColor rgb="FF238A5D"/>
        <bgColor indexed="64"/>
      </patternFill>
    </fill>
    <fill>
      <patternFill patternType="solid">
        <fgColor rgb="FF11AC82"/>
        <bgColor indexed="64"/>
      </patternFill>
    </fill>
    <fill>
      <patternFill patternType="solid">
        <fgColor rgb="FF0A838B"/>
        <bgColor indexed="64"/>
      </patternFill>
    </fill>
    <fill>
      <patternFill patternType="solid">
        <fgColor rgb="FF0A8489"/>
        <bgColor indexed="64"/>
      </patternFill>
    </fill>
    <fill>
      <patternFill patternType="solid">
        <fgColor rgb="FF0B848C"/>
        <bgColor indexed="64"/>
      </patternFill>
    </fill>
    <fill>
      <patternFill patternType="solid">
        <fgColor rgb="FF09858A"/>
        <bgColor indexed="64"/>
      </patternFill>
    </fill>
    <fill>
      <patternFill patternType="solid">
        <fgColor rgb="FF098589"/>
        <bgColor indexed="64"/>
      </patternFill>
    </fill>
    <fill>
      <patternFill patternType="solid">
        <fgColor rgb="FF0A8389"/>
        <bgColor indexed="64"/>
      </patternFill>
    </fill>
    <fill>
      <patternFill patternType="solid">
        <fgColor rgb="FF0C858C"/>
        <bgColor indexed="64"/>
      </patternFill>
    </fill>
    <fill>
      <patternFill patternType="solid">
        <fgColor rgb="FF16AFB3"/>
        <bgColor indexed="64"/>
      </patternFill>
    </fill>
    <fill>
      <patternFill patternType="solid">
        <fgColor rgb="FF1F9C58"/>
        <bgColor indexed="64"/>
      </patternFill>
    </fill>
    <fill>
      <patternFill patternType="solid">
        <fgColor rgb="FF1A7E62"/>
        <bgColor indexed="64"/>
      </patternFill>
    </fill>
    <fill>
      <patternFill patternType="solid">
        <fgColor rgb="FF187E62"/>
        <bgColor indexed="64"/>
      </patternFill>
    </fill>
    <fill>
      <patternFill patternType="solid">
        <fgColor rgb="FF197F60"/>
        <bgColor indexed="64"/>
      </patternFill>
    </fill>
    <fill>
      <patternFill patternType="solid">
        <fgColor rgb="FF1A8062"/>
        <bgColor indexed="64"/>
      </patternFill>
    </fill>
    <fill>
      <patternFill patternType="solid">
        <fgColor rgb="FF187D61"/>
        <bgColor indexed="64"/>
      </patternFill>
    </fill>
    <fill>
      <patternFill patternType="solid">
        <fgColor rgb="FF187F60"/>
        <bgColor indexed="64"/>
      </patternFill>
    </fill>
    <fill>
      <patternFill patternType="solid">
        <fgColor rgb="FF198060"/>
        <bgColor indexed="64"/>
      </patternFill>
    </fill>
    <fill>
      <patternFill patternType="solid">
        <fgColor rgb="FF1C7F63"/>
        <bgColor indexed="64"/>
      </patternFill>
    </fill>
    <fill>
      <patternFill patternType="solid">
        <fgColor rgb="FF3EA666"/>
        <bgColor indexed="64"/>
      </patternFill>
    </fill>
    <fill>
      <patternFill patternType="solid">
        <fgColor rgb="FF3FA664"/>
        <bgColor indexed="64"/>
      </patternFill>
    </fill>
    <fill>
      <patternFill patternType="solid">
        <fgColor rgb="FF1CA697"/>
        <bgColor indexed="64"/>
      </patternFill>
    </fill>
    <fill>
      <patternFill patternType="solid">
        <fgColor rgb="FF1AA498"/>
        <bgColor indexed="64"/>
      </patternFill>
    </fill>
    <fill>
      <patternFill patternType="solid">
        <fgColor rgb="FF029399"/>
        <bgColor indexed="64"/>
      </patternFill>
    </fill>
    <fill>
      <patternFill patternType="solid">
        <fgColor rgb="FF019396"/>
        <bgColor indexed="64"/>
      </patternFill>
    </fill>
    <fill>
      <patternFill patternType="solid">
        <fgColor rgb="FF009DAC"/>
        <bgColor indexed="64"/>
      </patternFill>
    </fill>
    <fill>
      <patternFill patternType="solid">
        <fgColor rgb="FF019C75"/>
        <bgColor indexed="64"/>
      </patternFill>
    </fill>
    <fill>
      <patternFill patternType="solid">
        <fgColor rgb="FF11AD83"/>
        <bgColor indexed="64"/>
      </patternFill>
    </fill>
    <fill>
      <patternFill patternType="solid">
        <fgColor rgb="FF0B838C"/>
        <bgColor indexed="64"/>
      </patternFill>
    </fill>
    <fill>
      <patternFill patternType="solid">
        <fgColor rgb="FF08848C"/>
        <bgColor indexed="64"/>
      </patternFill>
    </fill>
    <fill>
      <patternFill patternType="solid">
        <fgColor rgb="FF09828C"/>
        <bgColor indexed="64"/>
      </patternFill>
    </fill>
    <fill>
      <patternFill patternType="solid">
        <fgColor rgb="FF09848B"/>
        <bgColor indexed="64"/>
      </patternFill>
    </fill>
    <fill>
      <patternFill patternType="solid">
        <fgColor rgb="FF08858C"/>
        <bgColor indexed="64"/>
      </patternFill>
    </fill>
    <fill>
      <patternFill patternType="solid">
        <fgColor rgb="FF09818C"/>
        <bgColor indexed="64"/>
      </patternFill>
    </fill>
    <fill>
      <patternFill patternType="solid">
        <fgColor rgb="FF0A858B"/>
        <bgColor indexed="64"/>
      </patternFill>
    </fill>
    <fill>
      <patternFill patternType="solid">
        <fgColor rgb="FF16B0B3"/>
        <bgColor indexed="64"/>
      </patternFill>
    </fill>
    <fill>
      <patternFill patternType="solid">
        <fgColor rgb="FF1D9D5A"/>
        <bgColor indexed="64"/>
      </patternFill>
    </fill>
    <fill>
      <patternFill patternType="solid">
        <fgColor rgb="FF197D63"/>
        <bgColor indexed="64"/>
      </patternFill>
    </fill>
    <fill>
      <patternFill patternType="solid">
        <fgColor rgb="FF1A7F63"/>
        <bgColor indexed="64"/>
      </patternFill>
    </fill>
    <fill>
      <patternFill patternType="solid">
        <fgColor rgb="FF1B7E62"/>
        <bgColor indexed="64"/>
      </patternFill>
    </fill>
    <fill>
      <patternFill patternType="solid">
        <fgColor rgb="FF197E63"/>
        <bgColor indexed="64"/>
      </patternFill>
    </fill>
    <fill>
      <patternFill patternType="solid">
        <fgColor rgb="FF188062"/>
        <bgColor indexed="64"/>
      </patternFill>
    </fill>
    <fill>
      <patternFill patternType="solid">
        <fgColor rgb="FF197F63"/>
        <bgColor indexed="64"/>
      </patternFill>
    </fill>
    <fill>
      <patternFill patternType="solid">
        <fgColor rgb="FF1B8062"/>
        <bgColor indexed="64"/>
      </patternFill>
    </fill>
    <fill>
      <patternFill patternType="solid">
        <fgColor rgb="FF59B362"/>
        <bgColor indexed="64"/>
      </patternFill>
    </fill>
    <fill>
      <patternFill patternType="solid">
        <fgColor rgb="FF40A664"/>
        <bgColor indexed="64"/>
      </patternFill>
    </fill>
    <fill>
      <patternFill patternType="solid">
        <fgColor rgb="FF40A565"/>
        <bgColor indexed="64"/>
      </patternFill>
    </fill>
    <fill>
      <patternFill patternType="solid">
        <fgColor rgb="FF1BA597"/>
        <bgColor indexed="64"/>
      </patternFill>
    </fill>
    <fill>
      <patternFill patternType="solid">
        <fgColor rgb="FF1BA697"/>
        <bgColor indexed="64"/>
      </patternFill>
    </fill>
    <fill>
      <patternFill patternType="solid">
        <fgColor rgb="FF019197"/>
        <bgColor indexed="64"/>
      </patternFill>
    </fill>
    <fill>
      <patternFill patternType="solid">
        <fgColor rgb="FF029396"/>
        <bgColor indexed="64"/>
      </patternFill>
    </fill>
    <fill>
      <patternFill patternType="solid">
        <fgColor rgb="FF019397"/>
        <bgColor indexed="64"/>
      </patternFill>
    </fill>
    <fill>
      <patternFill patternType="solid">
        <fgColor rgb="FF039399"/>
        <bgColor indexed="64"/>
      </patternFill>
    </fill>
    <fill>
      <patternFill patternType="solid">
        <fgColor rgb="FF039199"/>
        <bgColor indexed="64"/>
      </patternFill>
    </fill>
    <fill>
      <patternFill patternType="solid">
        <fgColor rgb="FF039297"/>
        <bgColor indexed="64"/>
      </patternFill>
    </fill>
    <fill>
      <patternFill patternType="solid">
        <fgColor rgb="FF029EAC"/>
        <bgColor indexed="64"/>
      </patternFill>
    </fill>
    <fill>
      <patternFill patternType="solid">
        <fgColor rgb="FF019EAB"/>
        <bgColor indexed="64"/>
      </patternFill>
    </fill>
    <fill>
      <patternFill patternType="solid">
        <fgColor rgb="FF009FAC"/>
        <bgColor indexed="64"/>
      </patternFill>
    </fill>
    <fill>
      <patternFill patternType="solid">
        <fgColor rgb="FF258F45"/>
        <bgColor indexed="64"/>
      </patternFill>
    </fill>
    <fill>
      <patternFill patternType="solid">
        <fgColor rgb="FF009B75"/>
        <bgColor indexed="64"/>
      </patternFill>
    </fill>
    <fill>
      <patternFill patternType="solid">
        <fgColor rgb="FF30B724"/>
        <bgColor indexed="64"/>
      </patternFill>
    </fill>
    <fill>
      <patternFill patternType="solid">
        <fgColor rgb="FF90EB8D"/>
        <bgColor indexed="64"/>
      </patternFill>
    </fill>
    <fill>
      <patternFill patternType="solid">
        <fgColor rgb="FF62CF9F"/>
        <bgColor indexed="64"/>
      </patternFill>
    </fill>
    <fill>
      <patternFill patternType="solid">
        <fgColor rgb="FF209864"/>
        <bgColor indexed="64"/>
      </patternFill>
    </fill>
    <fill>
      <patternFill patternType="solid">
        <fgColor rgb="FF219865"/>
        <bgColor indexed="64"/>
      </patternFill>
    </fill>
    <fill>
      <patternFill patternType="solid">
        <fgColor rgb="FF238A5C"/>
        <bgColor indexed="64"/>
      </patternFill>
    </fill>
    <fill>
      <patternFill patternType="solid">
        <fgColor rgb="FF23895C"/>
        <bgColor indexed="64"/>
      </patternFill>
    </fill>
    <fill>
      <patternFill patternType="solid">
        <fgColor rgb="FF0A8589"/>
        <bgColor indexed="64"/>
      </patternFill>
    </fill>
    <fill>
      <patternFill patternType="solid">
        <fgColor rgb="FF0B858A"/>
        <bgColor indexed="64"/>
      </patternFill>
    </fill>
    <fill>
      <patternFill patternType="solid">
        <fgColor rgb="FF0B858B"/>
        <bgColor indexed="64"/>
      </patternFill>
    </fill>
    <fill>
      <patternFill patternType="solid">
        <fgColor rgb="FF08848B"/>
        <bgColor indexed="64"/>
      </patternFill>
    </fill>
    <fill>
      <patternFill patternType="solid">
        <fgColor rgb="FF0B848A"/>
        <bgColor indexed="64"/>
      </patternFill>
    </fill>
    <fill>
      <patternFill patternType="solid">
        <fgColor rgb="FF08858A"/>
        <bgColor indexed="64"/>
      </patternFill>
    </fill>
    <fill>
      <patternFill patternType="solid">
        <fgColor rgb="FF098588"/>
        <bgColor indexed="64"/>
      </patternFill>
    </fill>
    <fill>
      <patternFill patternType="solid">
        <fgColor rgb="FF098489"/>
        <bgColor indexed="64"/>
      </patternFill>
    </fill>
    <fill>
      <patternFill patternType="solid">
        <fgColor rgb="FF1E9D58"/>
        <bgColor indexed="64"/>
      </patternFill>
    </fill>
    <fill>
      <patternFill patternType="solid">
        <fgColor rgb="FF1F9B5A"/>
        <bgColor indexed="64"/>
      </patternFill>
    </fill>
    <fill>
      <patternFill patternType="solid">
        <fgColor rgb="FF1B8063"/>
        <bgColor indexed="64"/>
      </patternFill>
    </fill>
    <fill>
      <patternFill patternType="solid">
        <fgColor rgb="FF197E64"/>
        <bgColor indexed="64"/>
      </patternFill>
    </fill>
    <fill>
      <patternFill patternType="solid">
        <fgColor rgb="FF187C64"/>
        <bgColor indexed="64"/>
      </patternFill>
    </fill>
    <fill>
      <patternFill patternType="solid">
        <fgColor rgb="FF1A8064"/>
        <bgColor indexed="64"/>
      </patternFill>
    </fill>
    <fill>
      <patternFill patternType="solid">
        <fgColor rgb="FF197F62"/>
        <bgColor indexed="64"/>
      </patternFill>
    </fill>
    <fill>
      <patternFill patternType="solid">
        <fgColor rgb="FF188060"/>
        <bgColor indexed="64"/>
      </patternFill>
    </fill>
    <fill>
      <patternFill patternType="solid">
        <fgColor rgb="FF197F64"/>
        <bgColor indexed="64"/>
      </patternFill>
    </fill>
    <fill>
      <patternFill patternType="solid">
        <fgColor rgb="FF1A7D64"/>
        <bgColor indexed="64"/>
      </patternFill>
    </fill>
    <fill>
      <patternFill patternType="solid">
        <fgColor rgb="FF58B263"/>
        <bgColor indexed="64"/>
      </patternFill>
    </fill>
    <fill>
      <patternFill patternType="solid">
        <fgColor rgb="FF3EA566"/>
        <bgColor indexed="64"/>
      </patternFill>
    </fill>
    <fill>
      <patternFill patternType="solid">
        <fgColor rgb="FF1BA696"/>
        <bgColor indexed="64"/>
      </patternFill>
    </fill>
    <fill>
      <patternFill patternType="solid">
        <fgColor rgb="FF039298"/>
        <bgColor indexed="64"/>
      </patternFill>
    </fill>
    <fill>
      <patternFill patternType="solid">
        <fgColor rgb="FF029398"/>
        <bgColor indexed="64"/>
      </patternFill>
    </fill>
    <fill>
      <patternFill patternType="solid">
        <fgColor rgb="FF029FAB"/>
        <bgColor indexed="64"/>
      </patternFill>
    </fill>
    <fill>
      <patternFill patternType="solid">
        <fgColor rgb="FF268F44"/>
        <bgColor indexed="64"/>
      </patternFill>
    </fill>
    <fill>
      <patternFill patternType="solid">
        <fgColor rgb="FF32B824"/>
        <bgColor indexed="64"/>
      </patternFill>
    </fill>
    <fill>
      <patternFill patternType="solid">
        <fgColor rgb="FF187F63"/>
        <bgColor indexed="64"/>
      </patternFill>
    </fill>
    <fill>
      <patternFill patternType="solid">
        <fgColor rgb="FF1A7D63"/>
        <bgColor indexed="64"/>
      </patternFill>
    </fill>
    <fill>
      <patternFill patternType="solid">
        <fgColor rgb="FF58B362"/>
        <bgColor indexed="64"/>
      </patternFill>
    </fill>
    <fill>
      <patternFill patternType="solid">
        <fgColor rgb="FF3FA566"/>
        <bgColor indexed="64"/>
      </patternFill>
    </fill>
    <fill>
      <patternFill patternType="solid">
        <fgColor rgb="FF40A665"/>
        <bgColor indexed="64"/>
      </patternFill>
    </fill>
    <fill>
      <patternFill patternType="solid">
        <fgColor rgb="FF1AA598"/>
        <bgColor indexed="64"/>
      </patternFill>
    </fill>
    <fill>
      <patternFill patternType="solid">
        <fgColor rgb="FF1AA597"/>
        <bgColor indexed="64"/>
      </patternFill>
    </fill>
    <fill>
      <patternFill patternType="solid">
        <fgColor rgb="FF1BA698"/>
        <bgColor indexed="64"/>
      </patternFill>
    </fill>
    <fill>
      <patternFill patternType="solid">
        <fgColor rgb="FF039299"/>
        <bgColor indexed="64"/>
      </patternFill>
    </fill>
    <fill>
      <patternFill patternType="solid">
        <fgColor rgb="FF029197"/>
        <bgColor indexed="64"/>
      </patternFill>
    </fill>
    <fill>
      <patternFill patternType="solid">
        <fgColor rgb="FF019098"/>
        <bgColor indexed="64"/>
      </patternFill>
    </fill>
    <fill>
      <patternFill patternType="solid">
        <fgColor rgb="FF019398"/>
        <bgColor indexed="64"/>
      </patternFill>
    </fill>
    <fill>
      <patternFill patternType="solid">
        <fgColor rgb="FF039397"/>
        <bgColor indexed="64"/>
      </patternFill>
    </fill>
    <fill>
      <patternFill patternType="solid">
        <fgColor rgb="FF019299"/>
        <bgColor indexed="64"/>
      </patternFill>
    </fill>
    <fill>
      <patternFill patternType="solid">
        <fgColor rgb="FF009DAA"/>
        <bgColor indexed="64"/>
      </patternFill>
    </fill>
    <fill>
      <patternFill patternType="solid">
        <fgColor rgb="FF019EAC"/>
        <bgColor indexed="64"/>
      </patternFill>
    </fill>
    <fill>
      <patternFill patternType="solid">
        <fgColor rgb="FF268F45"/>
        <bgColor indexed="64"/>
      </patternFill>
    </fill>
    <fill>
      <patternFill patternType="solid">
        <fgColor rgb="FF019C74"/>
        <bgColor indexed="64"/>
      </patternFill>
    </fill>
    <fill>
      <patternFill patternType="solid">
        <fgColor rgb="FF009C74"/>
        <bgColor indexed="64"/>
      </patternFill>
    </fill>
    <fill>
      <patternFill patternType="solid">
        <fgColor rgb="FF31B723"/>
        <bgColor indexed="64"/>
      </patternFill>
    </fill>
    <fill>
      <patternFill patternType="solid">
        <fgColor rgb="FF32B825"/>
        <bgColor indexed="64"/>
      </patternFill>
    </fill>
    <fill>
      <patternFill patternType="solid">
        <fgColor rgb="FF32B822"/>
        <bgColor indexed="64"/>
      </patternFill>
    </fill>
    <fill>
      <patternFill patternType="solid">
        <fgColor rgb="FF33B932"/>
        <bgColor indexed="64"/>
      </patternFill>
    </fill>
    <fill>
      <patternFill patternType="solid">
        <fgColor rgb="FF30B625"/>
        <bgColor indexed="64"/>
      </patternFill>
    </fill>
    <fill>
      <patternFill patternType="solid">
        <fgColor rgb="FF7BD04A"/>
        <bgColor indexed="64"/>
      </patternFill>
    </fill>
    <fill>
      <patternFill patternType="solid">
        <fgColor rgb="FF7ECF4B"/>
        <bgColor indexed="64"/>
      </patternFill>
    </fill>
    <fill>
      <patternFill patternType="solid">
        <fgColor rgb="FF7DCD4B"/>
        <bgColor indexed="64"/>
      </patternFill>
    </fill>
    <fill>
      <patternFill patternType="solid">
        <fgColor rgb="FFA2B1D8"/>
        <bgColor indexed="64"/>
      </patternFill>
    </fill>
    <fill>
      <patternFill patternType="solid">
        <fgColor rgb="FF96A6D2"/>
        <bgColor indexed="64"/>
      </patternFill>
    </fill>
    <fill>
      <patternFill patternType="solid">
        <fgColor rgb="FF8598CC"/>
        <bgColor indexed="64"/>
      </patternFill>
    </fill>
    <fill>
      <patternFill patternType="solid">
        <fgColor rgb="FFB1BFDF"/>
        <bgColor indexed="64"/>
      </patternFill>
    </fill>
    <fill>
      <patternFill patternType="solid">
        <fgColor rgb="FF80CDF8"/>
        <bgColor indexed="64"/>
      </patternFill>
    </fill>
    <fill>
      <patternFill patternType="solid">
        <fgColor rgb="FF7FC0E0"/>
        <bgColor indexed="64"/>
      </patternFill>
    </fill>
    <fill>
      <patternFill patternType="solid">
        <fgColor rgb="FF80BFE1"/>
        <bgColor indexed="64"/>
      </patternFill>
    </fill>
    <fill>
      <patternFill patternType="solid">
        <fgColor rgb="FF80C0E1"/>
        <bgColor indexed="64"/>
      </patternFill>
    </fill>
    <fill>
      <patternFill patternType="solid">
        <fgColor rgb="FF90CAED"/>
        <bgColor indexed="64"/>
      </patternFill>
    </fill>
    <fill>
      <patternFill patternType="solid">
        <fgColor rgb="FF97D6F9"/>
        <bgColor indexed="64"/>
      </patternFill>
    </fill>
    <fill>
      <patternFill patternType="solid">
        <fgColor rgb="FFFFFA8F"/>
        <bgColor indexed="64"/>
      </patternFill>
    </fill>
    <fill>
      <patternFill patternType="solid">
        <fgColor rgb="FFFCFB90"/>
        <bgColor indexed="64"/>
      </patternFill>
    </fill>
    <fill>
      <patternFill patternType="solid">
        <fgColor rgb="FFFDFB91"/>
        <bgColor indexed="64"/>
      </patternFill>
    </fill>
    <fill>
      <patternFill patternType="solid">
        <fgColor rgb="FF59D9AA"/>
        <bgColor indexed="64"/>
      </patternFill>
    </fill>
    <fill>
      <patternFill patternType="solid">
        <fgColor rgb="FF9DEFD2"/>
        <bgColor indexed="64"/>
      </patternFill>
    </fill>
    <fill>
      <patternFill patternType="solid">
        <fgColor rgb="FF209866"/>
        <bgColor indexed="64"/>
      </patternFill>
    </fill>
    <fill>
      <patternFill patternType="solid">
        <fgColor rgb="FF0E9584"/>
        <bgColor indexed="64"/>
      </patternFill>
    </fill>
    <fill>
      <patternFill patternType="solid">
        <fgColor rgb="FF22885E"/>
        <bgColor indexed="64"/>
      </patternFill>
    </fill>
    <fill>
      <patternFill patternType="solid">
        <fgColor rgb="FF11AC83"/>
        <bgColor indexed="64"/>
      </patternFill>
    </fill>
    <fill>
      <patternFill patternType="solid">
        <fgColor rgb="FF09828B"/>
        <bgColor indexed="64"/>
      </patternFill>
    </fill>
    <fill>
      <patternFill patternType="solid">
        <fgColor rgb="FF08848A"/>
        <bgColor indexed="64"/>
      </patternFill>
    </fill>
    <fill>
      <patternFill patternType="solid">
        <fgColor rgb="FF09848A"/>
        <bgColor indexed="64"/>
      </patternFill>
    </fill>
    <fill>
      <patternFill patternType="solid">
        <fgColor rgb="FF0B838B"/>
        <bgColor indexed="64"/>
      </patternFill>
    </fill>
    <fill>
      <patternFill patternType="solid">
        <fgColor rgb="FF08838B"/>
        <bgColor indexed="64"/>
      </patternFill>
    </fill>
    <fill>
      <patternFill patternType="solid">
        <fgColor rgb="FF0C848C"/>
        <bgColor indexed="64"/>
      </patternFill>
    </fill>
    <fill>
      <patternFill patternType="solid">
        <fgColor rgb="FF088488"/>
        <bgColor indexed="64"/>
      </patternFill>
    </fill>
    <fill>
      <patternFill patternType="solid">
        <fgColor rgb="FF16B0B2"/>
        <bgColor indexed="64"/>
      </patternFill>
    </fill>
    <fill>
      <patternFill patternType="solid">
        <fgColor rgb="FF1E9C59"/>
        <bgColor indexed="64"/>
      </patternFill>
    </fill>
    <fill>
      <patternFill patternType="solid">
        <fgColor rgb="FF1E9D5A"/>
        <bgColor indexed="64"/>
      </patternFill>
    </fill>
    <fill>
      <patternFill patternType="solid">
        <fgColor rgb="FF187C63"/>
        <bgColor indexed="64"/>
      </patternFill>
    </fill>
    <fill>
      <patternFill patternType="solid">
        <fgColor rgb="FF187E63"/>
        <bgColor indexed="64"/>
      </patternFill>
    </fill>
    <fill>
      <patternFill patternType="solid">
        <fgColor rgb="FF1B7E64"/>
        <bgColor indexed="64"/>
      </patternFill>
    </fill>
    <fill>
      <patternFill patternType="solid">
        <fgColor rgb="FF1B7F62"/>
        <bgColor indexed="64"/>
      </patternFill>
    </fill>
    <fill>
      <patternFill patternType="solid">
        <fgColor rgb="FF187F64"/>
        <bgColor indexed="64"/>
      </patternFill>
    </fill>
    <fill>
      <patternFill patternType="solid">
        <fgColor rgb="FF1A7F61"/>
        <bgColor indexed="64"/>
      </patternFill>
    </fill>
    <fill>
      <patternFill patternType="solid">
        <fgColor rgb="FF198063"/>
        <bgColor indexed="64"/>
      </patternFill>
    </fill>
    <fill>
      <patternFill patternType="solid">
        <fgColor rgb="FF59B363"/>
        <bgColor indexed="64"/>
      </patternFill>
    </fill>
    <fill>
      <patternFill patternType="solid">
        <fgColor rgb="FF40A566"/>
        <bgColor indexed="64"/>
      </patternFill>
    </fill>
    <fill>
      <patternFill patternType="solid">
        <fgColor rgb="FF1BA497"/>
        <bgColor indexed="64"/>
      </patternFill>
    </fill>
    <fill>
      <patternFill patternType="solid">
        <fgColor rgb="FF1AA697"/>
        <bgColor indexed="64"/>
      </patternFill>
    </fill>
    <fill>
      <patternFill patternType="solid">
        <fgColor rgb="FF019296"/>
        <bgColor indexed="64"/>
      </patternFill>
    </fill>
    <fill>
      <patternFill patternType="solid">
        <fgColor rgb="FF029EAB"/>
        <bgColor indexed="64"/>
      </patternFill>
    </fill>
    <fill>
      <patternFill patternType="solid">
        <fgColor rgb="FF268E45"/>
        <bgColor indexed="64"/>
      </patternFill>
    </fill>
    <fill>
      <patternFill patternType="solid">
        <fgColor rgb="FF30B824"/>
        <bgColor indexed="64"/>
      </patternFill>
    </fill>
    <fill>
      <patternFill patternType="solid">
        <fgColor rgb="FF11AD82"/>
        <bgColor indexed="64"/>
      </patternFill>
    </fill>
    <fill>
      <patternFill patternType="solid">
        <fgColor rgb="FF088589"/>
        <bgColor indexed="64"/>
      </patternFill>
    </fill>
    <fill>
      <patternFill patternType="solid">
        <fgColor rgb="FF08838C"/>
        <bgColor indexed="64"/>
      </patternFill>
    </fill>
    <fill>
      <patternFill patternType="solid">
        <fgColor rgb="FF09858C"/>
        <bgColor indexed="64"/>
      </patternFill>
    </fill>
    <fill>
      <patternFill patternType="solid">
        <fgColor rgb="FF09838C"/>
        <bgColor indexed="64"/>
      </patternFill>
    </fill>
    <fill>
      <patternFill patternType="solid">
        <fgColor rgb="FF0A828C"/>
        <bgColor indexed="64"/>
      </patternFill>
    </fill>
    <fill>
      <patternFill patternType="solid">
        <fgColor rgb="FF0C858B"/>
        <bgColor indexed="64"/>
      </patternFill>
    </fill>
    <fill>
      <patternFill patternType="solid">
        <fgColor rgb="FF0A848A"/>
        <bgColor indexed="64"/>
      </patternFill>
    </fill>
    <fill>
      <patternFill patternType="solid">
        <fgColor rgb="FF15AFB2"/>
        <bgColor indexed="64"/>
      </patternFill>
    </fill>
    <fill>
      <patternFill patternType="solid">
        <fgColor rgb="FF1E9C58"/>
        <bgColor indexed="64"/>
      </patternFill>
    </fill>
    <fill>
      <patternFill patternType="solid">
        <fgColor rgb="FF1E9B5A"/>
        <bgColor indexed="64"/>
      </patternFill>
    </fill>
    <fill>
      <patternFill patternType="solid">
        <fgColor rgb="FF198062"/>
        <bgColor indexed="64"/>
      </patternFill>
    </fill>
    <fill>
      <patternFill patternType="solid">
        <fgColor rgb="FF188063"/>
        <bgColor indexed="64"/>
      </patternFill>
    </fill>
    <fill>
      <patternFill patternType="solid">
        <fgColor rgb="FF187D62"/>
        <bgColor indexed="64"/>
      </patternFill>
    </fill>
    <fill>
      <patternFill patternType="solid">
        <fgColor rgb="FF187E61"/>
        <bgColor indexed="64"/>
      </patternFill>
    </fill>
    <fill>
      <patternFill patternType="solid">
        <fgColor rgb="FF197C63"/>
        <bgColor indexed="64"/>
      </patternFill>
    </fill>
    <fill>
      <patternFill patternType="solid">
        <fgColor rgb="FF1A7D62"/>
        <bgColor indexed="64"/>
      </patternFill>
    </fill>
    <fill>
      <patternFill patternType="solid">
        <fgColor rgb="FF197D62"/>
        <bgColor indexed="64"/>
      </patternFill>
    </fill>
    <fill>
      <patternFill patternType="solid">
        <fgColor rgb="FF1B8061"/>
        <bgColor indexed="64"/>
      </patternFill>
    </fill>
    <fill>
      <patternFill patternType="solid">
        <fgColor rgb="FF3EA665"/>
        <bgColor indexed="64"/>
      </patternFill>
    </fill>
    <fill>
      <patternFill patternType="solid">
        <fgColor rgb="FF40A666"/>
        <bgColor indexed="64"/>
      </patternFill>
    </fill>
    <fill>
      <patternFill patternType="solid">
        <fgColor rgb="FF1BA498"/>
        <bgColor indexed="64"/>
      </patternFill>
    </fill>
    <fill>
      <patternFill patternType="solid">
        <fgColor rgb="FF1BA596"/>
        <bgColor indexed="64"/>
      </patternFill>
    </fill>
    <fill>
      <patternFill patternType="solid">
        <fgColor rgb="FF1CA598"/>
        <bgColor indexed="64"/>
      </patternFill>
    </fill>
    <fill>
      <patternFill patternType="solid">
        <fgColor rgb="FF029199"/>
        <bgColor indexed="64"/>
      </patternFill>
    </fill>
    <fill>
      <patternFill patternType="solid">
        <fgColor rgb="FF019099"/>
        <bgColor indexed="64"/>
      </patternFill>
    </fill>
    <fill>
      <patternFill patternType="solid">
        <fgColor rgb="FF039398"/>
        <bgColor indexed="64"/>
      </patternFill>
    </fill>
    <fill>
      <patternFill patternType="solid">
        <fgColor rgb="FF019399"/>
        <bgColor indexed="64"/>
      </patternFill>
    </fill>
    <fill>
      <patternFill patternType="solid">
        <fgColor rgb="FF029297"/>
        <bgColor indexed="64"/>
      </patternFill>
    </fill>
    <fill>
      <patternFill patternType="solid">
        <fgColor rgb="FF019DAB"/>
        <bgColor indexed="64"/>
      </patternFill>
    </fill>
    <fill>
      <patternFill patternType="solid">
        <fgColor rgb="FF009EAA"/>
        <bgColor indexed="64"/>
      </patternFill>
    </fill>
    <fill>
      <patternFill patternType="solid">
        <fgColor rgb="FF009EAB"/>
        <bgColor indexed="64"/>
      </patternFill>
    </fill>
    <fill>
      <patternFill patternType="solid">
        <fgColor rgb="FF258F44"/>
        <bgColor indexed="64"/>
      </patternFill>
    </fill>
    <fill>
      <patternFill patternType="solid">
        <fgColor rgb="FF009B74"/>
        <bgColor indexed="64"/>
      </patternFill>
    </fill>
    <fill>
      <patternFill patternType="solid">
        <fgColor rgb="FF019B75"/>
        <bgColor indexed="64"/>
      </patternFill>
    </fill>
    <fill>
      <patternFill patternType="solid">
        <fgColor rgb="FF31B625"/>
        <bgColor indexed="64"/>
      </patternFill>
    </fill>
    <fill>
      <patternFill patternType="solid">
        <fgColor rgb="FF32B725"/>
        <bgColor indexed="64"/>
      </patternFill>
    </fill>
    <fill>
      <patternFill patternType="solid">
        <fgColor rgb="FF7ECE4A"/>
        <bgColor indexed="64"/>
      </patternFill>
    </fill>
    <fill>
      <patternFill patternType="solid">
        <fgColor rgb="FF96A6D3"/>
        <bgColor indexed="64"/>
      </patternFill>
    </fill>
    <fill>
      <patternFill patternType="solid">
        <fgColor rgb="FFFDFB90"/>
        <bgColor indexed="64"/>
      </patternFill>
    </fill>
    <fill>
      <patternFill patternType="solid">
        <fgColor rgb="FFFFFB8E"/>
        <bgColor indexed="64"/>
      </patternFill>
    </fill>
    <fill>
      <patternFill patternType="solid">
        <fgColor rgb="FFFEA6FF"/>
        <bgColor indexed="64"/>
      </patternFill>
    </fill>
    <fill>
      <patternFill patternType="solid">
        <fgColor rgb="FFFE7AFD"/>
        <bgColor indexed="64"/>
      </patternFill>
    </fill>
    <fill>
      <patternFill patternType="solid">
        <fgColor rgb="FFFE90FE"/>
        <bgColor indexed="64"/>
      </patternFill>
    </fill>
    <fill>
      <patternFill patternType="solid">
        <fgColor rgb="FFFF90FF"/>
        <bgColor indexed="64"/>
      </patternFill>
    </fill>
    <fill>
      <patternFill patternType="solid">
        <fgColor rgb="FFFF64FF"/>
        <bgColor indexed="64"/>
      </patternFill>
    </fill>
    <fill>
      <patternFill patternType="solid">
        <fgColor rgb="FFFE7E83"/>
        <bgColor indexed="64"/>
      </patternFill>
    </fill>
    <fill>
      <patternFill patternType="solid">
        <fgColor rgb="FFFE8E9D"/>
        <bgColor indexed="64"/>
      </patternFill>
    </fill>
    <fill>
      <patternFill patternType="solid">
        <fgColor rgb="FFFF909D"/>
        <bgColor indexed="64"/>
      </patternFill>
    </fill>
    <fill>
      <patternFill patternType="solid">
        <fgColor rgb="FF31B824"/>
        <bgColor indexed="64"/>
      </patternFill>
    </fill>
    <fill>
      <patternFill patternType="solid">
        <fgColor rgb="FF7DCF49"/>
        <bgColor indexed="64"/>
      </patternFill>
    </fill>
    <fill>
      <patternFill patternType="solid">
        <fgColor rgb="FF96A7D3"/>
        <bgColor indexed="64"/>
      </patternFill>
    </fill>
    <fill>
      <patternFill patternType="solid">
        <fgColor rgb="FF8599CC"/>
        <bgColor indexed="64"/>
      </patternFill>
    </fill>
    <fill>
      <patternFill patternType="solid">
        <fgColor rgb="FF80BEE1"/>
        <bgColor indexed="64"/>
      </patternFill>
    </fill>
    <fill>
      <patternFill patternType="solid">
        <fgColor rgb="FF8FCAED"/>
        <bgColor indexed="64"/>
      </patternFill>
    </fill>
    <fill>
      <patternFill patternType="solid">
        <fgColor rgb="FFFEFA90"/>
        <bgColor indexed="64"/>
      </patternFill>
    </fill>
    <fill>
      <patternFill patternType="solid">
        <fgColor rgb="FFFEFA91"/>
        <bgColor indexed="64"/>
      </patternFill>
    </fill>
    <fill>
      <patternFill patternType="solid">
        <fgColor rgb="FFFCFA91"/>
        <bgColor indexed="64"/>
      </patternFill>
    </fill>
    <fill>
      <patternFill patternType="solid">
        <fgColor rgb="FFF0EF80"/>
        <bgColor indexed="64"/>
      </patternFill>
    </fill>
    <fill>
      <patternFill patternType="solid">
        <fgColor rgb="FFF0F07F"/>
        <bgColor indexed="64"/>
      </patternFill>
    </fill>
    <fill>
      <patternFill patternType="solid">
        <fgColor rgb="FFFFA6FF"/>
        <bgColor indexed="64"/>
      </patternFill>
    </fill>
    <fill>
      <patternFill patternType="solid">
        <fgColor rgb="FFFEA5FF"/>
        <bgColor indexed="64"/>
      </patternFill>
    </fill>
    <fill>
      <patternFill patternType="solid">
        <fgColor rgb="FFFFA5FF"/>
        <bgColor indexed="64"/>
      </patternFill>
    </fill>
    <fill>
      <patternFill patternType="solid">
        <fgColor rgb="FFFF79FE"/>
        <bgColor indexed="64"/>
      </patternFill>
    </fill>
    <fill>
      <patternFill patternType="solid">
        <fgColor rgb="FFFD7AFF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8FFF"/>
        <bgColor indexed="64"/>
      </patternFill>
    </fill>
    <fill>
      <patternFill patternType="solid">
        <fgColor rgb="FFFC90FF"/>
        <bgColor indexed="64"/>
      </patternFill>
    </fill>
    <fill>
      <patternFill patternType="solid">
        <fgColor rgb="FFFF8DFD"/>
        <bgColor indexed="64"/>
      </patternFill>
    </fill>
    <fill>
      <patternFill patternType="solid">
        <fgColor rgb="FFFE8FFD"/>
        <bgColor indexed="64"/>
      </patternFill>
    </fill>
    <fill>
      <patternFill patternType="solid">
        <fgColor rgb="FFFD90FF"/>
        <bgColor indexed="64"/>
      </patternFill>
    </fill>
    <fill>
      <patternFill patternType="solid">
        <fgColor rgb="FFFF90FC"/>
        <bgColor indexed="64"/>
      </patternFill>
    </fill>
    <fill>
      <patternFill patternType="solid">
        <fgColor rgb="FFFE8082"/>
        <bgColor indexed="64"/>
      </patternFill>
    </fill>
    <fill>
      <patternFill patternType="solid">
        <fgColor rgb="FFFF7E84"/>
        <bgColor indexed="64"/>
      </patternFill>
    </fill>
    <fill>
      <patternFill patternType="solid">
        <fgColor rgb="FFFE8084"/>
        <bgColor indexed="64"/>
      </patternFill>
    </fill>
    <fill>
      <patternFill patternType="solid">
        <fgColor rgb="FFFE7F82"/>
        <bgColor indexed="64"/>
      </patternFill>
    </fill>
    <fill>
      <patternFill patternType="solid">
        <fgColor rgb="FFFF8084"/>
        <bgColor indexed="64"/>
      </patternFill>
    </fill>
    <fill>
      <patternFill patternType="solid">
        <fgColor rgb="FFFC8F9E"/>
        <bgColor indexed="64"/>
      </patternFill>
    </fill>
    <fill>
      <patternFill patternType="solid">
        <fgColor rgb="FFFC909E"/>
        <bgColor indexed="64"/>
      </patternFill>
    </fill>
    <fill>
      <patternFill patternType="solid">
        <fgColor rgb="FFFF8E9E"/>
        <bgColor indexed="64"/>
      </patternFill>
    </fill>
    <fill>
      <patternFill patternType="solid">
        <fgColor rgb="FFFD909C"/>
        <bgColor indexed="64"/>
      </patternFill>
    </fill>
    <fill>
      <patternFill patternType="solid">
        <fgColor rgb="FFFC909D"/>
        <bgColor indexed="64"/>
      </patternFill>
    </fill>
    <fill>
      <patternFill patternType="solid">
        <fgColor rgb="FFFC8E9F"/>
        <bgColor indexed="64"/>
      </patternFill>
    </fill>
    <fill>
      <patternFill patternType="solid">
        <fgColor rgb="FFFE909D"/>
        <bgColor indexed="64"/>
      </patternFill>
    </fill>
    <fill>
      <patternFill patternType="solid">
        <fgColor rgb="FFFE8D9D"/>
        <bgColor indexed="64"/>
      </patternFill>
    </fill>
    <fill>
      <patternFill patternType="solid">
        <fgColor rgb="FFFD8E9D"/>
        <bgColor indexed="64"/>
      </patternFill>
    </fill>
    <fill>
      <patternFill patternType="solid">
        <fgColor rgb="FFFD4B3C"/>
        <bgColor indexed="64"/>
      </patternFill>
    </fill>
    <fill>
      <patternFill patternType="solid">
        <fgColor rgb="FFFD4C3E"/>
        <bgColor indexed="64"/>
      </patternFill>
    </fill>
    <fill>
      <patternFill patternType="solid">
        <fgColor rgb="FFFF493D"/>
        <bgColor indexed="64"/>
      </patternFill>
    </fill>
    <fill>
      <patternFill patternType="solid">
        <fgColor rgb="FFFE4A3C"/>
        <bgColor indexed="64"/>
      </patternFill>
    </fill>
    <fill>
      <patternFill patternType="solid">
        <fgColor rgb="FFFE4C3D"/>
        <bgColor indexed="64"/>
      </patternFill>
    </fill>
    <fill>
      <patternFill patternType="solid">
        <fgColor rgb="FFF0483B"/>
        <bgColor indexed="64"/>
      </patternFill>
    </fill>
    <fill>
      <patternFill patternType="solid">
        <fgColor rgb="FFF1483A"/>
        <bgColor indexed="64"/>
      </patternFill>
    </fill>
    <fill>
      <patternFill patternType="solid">
        <fgColor rgb="FFF2483B"/>
        <bgColor indexed="64"/>
      </patternFill>
    </fill>
    <fill>
      <patternFill patternType="solid">
        <fgColor rgb="FFFE5D4E"/>
        <bgColor indexed="64"/>
      </patternFill>
    </fill>
    <fill>
      <patternFill patternType="solid">
        <fgColor rgb="FFFF5C4E"/>
        <bgColor indexed="64"/>
      </patternFill>
    </fill>
    <fill>
      <patternFill patternType="solid">
        <fgColor rgb="FF32B525"/>
        <bgColor indexed="64"/>
      </patternFill>
    </fill>
    <fill>
      <patternFill patternType="solid">
        <fgColor rgb="FF7DCF4B"/>
        <bgColor indexed="64"/>
      </patternFill>
    </fill>
    <fill>
      <patternFill patternType="solid">
        <fgColor rgb="FF96A7D2"/>
        <bgColor indexed="64"/>
      </patternFill>
    </fill>
    <fill>
      <patternFill patternType="solid">
        <fgColor rgb="FF7ECDF8"/>
        <bgColor indexed="64"/>
      </patternFill>
    </fill>
    <fill>
      <patternFill patternType="solid">
        <fgColor rgb="FF80BFE0"/>
        <bgColor indexed="64"/>
      </patternFill>
    </fill>
    <fill>
      <patternFill patternType="solid">
        <fgColor rgb="FF8FCBEC"/>
        <bgColor indexed="64"/>
      </patternFill>
    </fill>
    <fill>
      <patternFill patternType="solid">
        <fgColor rgb="FF98D6F8"/>
        <bgColor indexed="64"/>
      </patternFill>
    </fill>
    <fill>
      <patternFill patternType="solid">
        <fgColor rgb="FFFFFA91"/>
        <bgColor indexed="64"/>
      </patternFill>
    </fill>
    <fill>
      <patternFill patternType="solid">
        <fgColor rgb="FFF0F080"/>
        <bgColor indexed="64"/>
      </patternFill>
    </fill>
    <fill>
      <patternFill patternType="solid">
        <fgColor rgb="FFFFA5FD"/>
        <bgColor indexed="64"/>
      </patternFill>
    </fill>
    <fill>
      <patternFill patternType="solid">
        <fgColor rgb="FFFE8FFC"/>
        <bgColor indexed="64"/>
      </patternFill>
    </fill>
    <fill>
      <patternFill patternType="solid">
        <fgColor rgb="FFFE90FF"/>
        <bgColor indexed="64"/>
      </patternFill>
    </fill>
    <fill>
      <patternFill patternType="solid">
        <fgColor rgb="FFFE8EFF"/>
        <bgColor indexed="64"/>
      </patternFill>
    </fill>
    <fill>
      <patternFill patternType="solid">
        <fgColor rgb="FFFF7F84"/>
        <bgColor indexed="64"/>
      </patternFill>
    </fill>
    <fill>
      <patternFill patternType="solid">
        <fgColor rgb="FFFC8F9F"/>
        <bgColor indexed="64"/>
      </patternFill>
    </fill>
    <fill>
      <patternFill patternType="solid">
        <fgColor rgb="FFFF909C"/>
        <bgColor indexed="64"/>
      </patternFill>
    </fill>
    <fill>
      <patternFill patternType="solid">
        <fgColor rgb="FF72D568"/>
        <bgColor indexed="64"/>
      </patternFill>
    </fill>
    <fill>
      <patternFill patternType="solid">
        <fgColor rgb="FF7ED04A"/>
        <bgColor indexed="64"/>
      </patternFill>
    </fill>
    <fill>
      <patternFill patternType="solid">
        <fgColor rgb="FF95A7D3"/>
        <bgColor indexed="64"/>
      </patternFill>
    </fill>
    <fill>
      <patternFill patternType="solid">
        <fgColor rgb="FF7FCCF7"/>
        <bgColor indexed="64"/>
      </patternFill>
    </fill>
    <fill>
      <patternFill patternType="solid">
        <fgColor rgb="FF7EC0E2"/>
        <bgColor indexed="64"/>
      </patternFill>
    </fill>
    <fill>
      <patternFill patternType="solid">
        <fgColor rgb="FF8FCBED"/>
        <bgColor indexed="64"/>
      </patternFill>
    </fill>
    <fill>
      <patternFill patternType="solid">
        <fgColor rgb="FFB0F0FF"/>
        <bgColor indexed="64"/>
      </patternFill>
    </fill>
    <fill>
      <patternFill patternType="solid">
        <fgColor rgb="FFFEF991"/>
        <bgColor indexed="64"/>
      </patternFill>
    </fill>
    <fill>
      <patternFill patternType="solid">
        <fgColor rgb="FFFCFC90"/>
        <bgColor indexed="64"/>
      </patternFill>
    </fill>
    <fill>
      <patternFill patternType="solid">
        <fgColor rgb="FFFFFCBC"/>
        <bgColor indexed="64"/>
      </patternFill>
    </fill>
    <fill>
      <patternFill patternType="solid">
        <fgColor rgb="FFFFA6FD"/>
        <bgColor indexed="64"/>
      </patternFill>
    </fill>
    <fill>
      <patternFill patternType="solid">
        <fgColor rgb="FFFEA5FE"/>
        <bgColor indexed="64"/>
      </patternFill>
    </fill>
    <fill>
      <patternFill patternType="solid">
        <fgColor rgb="FFFEA6FE"/>
        <bgColor indexed="64"/>
      </patternFill>
    </fill>
    <fill>
      <patternFill patternType="solid">
        <fgColor rgb="FFFD8FFE"/>
        <bgColor indexed="64"/>
      </patternFill>
    </fill>
    <fill>
      <patternFill patternType="solid">
        <fgColor rgb="FFFE79FE"/>
        <bgColor indexed="64"/>
      </patternFill>
    </fill>
    <fill>
      <patternFill patternType="solid">
        <fgColor rgb="FFFF78FF"/>
        <bgColor indexed="64"/>
      </patternFill>
    </fill>
    <fill>
      <patternFill patternType="solid">
        <fgColor rgb="FFFF90FD"/>
        <bgColor indexed="64"/>
      </patternFill>
    </fill>
    <fill>
      <patternFill patternType="solid">
        <fgColor rgb="FFFC90FE"/>
        <bgColor indexed="64"/>
      </patternFill>
    </fill>
    <fill>
      <patternFill patternType="solid">
        <fgColor rgb="FFFF8EFE"/>
        <bgColor indexed="64"/>
      </patternFill>
    </fill>
    <fill>
      <patternFill patternType="solid">
        <fgColor rgb="FFFF8FFE"/>
        <bgColor indexed="64"/>
      </patternFill>
    </fill>
    <fill>
      <patternFill patternType="solid">
        <fgColor rgb="FFFD8FFF"/>
        <bgColor indexed="64"/>
      </patternFill>
    </fill>
    <fill>
      <patternFill patternType="solid">
        <fgColor rgb="FFFE90FC"/>
        <bgColor indexed="64"/>
      </patternFill>
    </fill>
    <fill>
      <patternFill patternType="solid">
        <fgColor rgb="FFFC8FFE"/>
        <bgColor indexed="64"/>
      </patternFill>
    </fill>
    <fill>
      <patternFill patternType="solid">
        <fgColor rgb="FFFF7E83"/>
        <bgColor indexed="64"/>
      </patternFill>
    </fill>
    <fill>
      <patternFill patternType="solid">
        <fgColor rgb="FFFD7E84"/>
        <bgColor indexed="64"/>
      </patternFill>
    </fill>
    <fill>
      <patternFill patternType="solid">
        <fgColor rgb="FF4FC244"/>
        <bgColor indexed="64"/>
      </patternFill>
    </fill>
    <fill>
      <patternFill patternType="solid">
        <fgColor rgb="FF7DD048"/>
        <bgColor indexed="64"/>
      </patternFill>
    </fill>
    <fill>
      <patternFill patternType="solid">
        <fgColor rgb="FF8499CC"/>
        <bgColor indexed="64"/>
      </patternFill>
    </fill>
    <fill>
      <patternFill patternType="solid">
        <fgColor rgb="FFFDFC8F"/>
        <bgColor indexed="64"/>
      </patternFill>
    </fill>
    <fill>
      <patternFill patternType="solid">
        <fgColor rgb="FFFEFB8F"/>
        <bgColor indexed="64"/>
      </patternFill>
    </fill>
    <fill>
      <patternFill patternType="solid">
        <fgColor rgb="FFFFFDBC"/>
        <bgColor indexed="64"/>
      </patternFill>
    </fill>
    <fill>
      <patternFill patternType="solid">
        <fgColor rgb="FFFFA5FE"/>
        <bgColor indexed="64"/>
      </patternFill>
    </fill>
    <fill>
      <patternFill patternType="solid">
        <fgColor rgb="FFFF7AFD"/>
        <bgColor indexed="64"/>
      </patternFill>
    </fill>
    <fill>
      <patternFill patternType="solid">
        <fgColor rgb="FFFE8DFE"/>
        <bgColor indexed="64"/>
      </patternFill>
    </fill>
    <fill>
      <patternFill patternType="solid">
        <fgColor rgb="FFFF8DFE"/>
        <bgColor indexed="64"/>
      </patternFill>
    </fill>
    <fill>
      <patternFill patternType="solid">
        <fgColor rgb="FFFF7E82"/>
        <bgColor indexed="64"/>
      </patternFill>
    </fill>
    <fill>
      <patternFill patternType="solid">
        <fgColor rgb="FFFE7E84"/>
        <bgColor indexed="64"/>
      </patternFill>
    </fill>
    <fill>
      <patternFill patternType="solid">
        <fgColor rgb="FFFE909F"/>
        <bgColor indexed="64"/>
      </patternFill>
    </fill>
    <fill>
      <patternFill patternType="solid">
        <fgColor rgb="FF57B947"/>
        <bgColor indexed="64"/>
      </patternFill>
    </fill>
    <fill>
      <patternFill patternType="solid">
        <fgColor rgb="FF70FF70"/>
        <bgColor indexed="64"/>
      </patternFill>
    </fill>
    <fill>
      <patternFill patternType="solid">
        <fgColor rgb="FF8599CB"/>
        <bgColor indexed="64"/>
      </patternFill>
    </fill>
    <fill>
      <patternFill patternType="solid">
        <fgColor rgb="FF7FCDF7"/>
        <bgColor indexed="64"/>
      </patternFill>
    </fill>
    <fill>
      <patternFill patternType="solid">
        <fgColor rgb="FF80BFE2"/>
        <bgColor indexed="64"/>
      </patternFill>
    </fill>
    <fill>
      <patternFill patternType="solid">
        <fgColor rgb="FF90CBEC"/>
        <bgColor indexed="64"/>
      </patternFill>
    </fill>
    <fill>
      <patternFill patternType="solid">
        <fgColor rgb="FFFFFC8E"/>
        <bgColor indexed="64"/>
      </patternFill>
    </fill>
    <fill>
      <patternFill patternType="solid">
        <fgColor rgb="FFFFFC8D"/>
        <bgColor indexed="64"/>
      </patternFill>
    </fill>
    <fill>
      <patternFill patternType="solid">
        <fgColor rgb="FFFCFC91"/>
        <bgColor indexed="64"/>
      </patternFill>
    </fill>
    <fill>
      <patternFill patternType="solid">
        <fgColor rgb="FFFFFDBB"/>
        <bgColor indexed="64"/>
      </patternFill>
    </fill>
    <fill>
      <patternFill patternType="solid">
        <fgColor rgb="FFFDA6FF"/>
        <bgColor indexed="64"/>
      </patternFill>
    </fill>
    <fill>
      <patternFill patternType="solid">
        <fgColor rgb="FFFDA6FE"/>
        <bgColor indexed="64"/>
      </patternFill>
    </fill>
    <fill>
      <patternFill patternType="solid">
        <fgColor rgb="FFFFA4FE"/>
        <bgColor indexed="64"/>
      </patternFill>
    </fill>
    <fill>
      <patternFill patternType="solid">
        <fgColor rgb="FFFF79FD"/>
        <bgColor indexed="64"/>
      </patternFill>
    </fill>
    <fill>
      <patternFill patternType="solid">
        <fgColor rgb="FFFE79FF"/>
        <bgColor indexed="64"/>
      </patternFill>
    </fill>
    <fill>
      <patternFill patternType="solid">
        <fgColor rgb="FFFF79FF"/>
        <bgColor indexed="64"/>
      </patternFill>
    </fill>
    <fill>
      <patternFill patternType="solid">
        <fgColor rgb="FFFD90FC"/>
        <bgColor indexed="64"/>
      </patternFill>
    </fill>
    <fill>
      <patternFill patternType="solid">
        <fgColor rgb="FFFF8EFF"/>
        <bgColor indexed="64"/>
      </patternFill>
    </fill>
    <fill>
      <patternFill patternType="solid">
        <fgColor rgb="FFFE8FFF"/>
        <bgColor indexed="64"/>
      </patternFill>
    </fill>
    <fill>
      <patternFill patternType="solid">
        <fgColor rgb="FFFF8FFF"/>
        <bgColor indexed="64"/>
      </patternFill>
    </fill>
    <fill>
      <patternFill patternType="solid">
        <fgColor rgb="FFFD90FE"/>
        <bgColor indexed="64"/>
      </patternFill>
    </fill>
    <fill>
      <patternFill patternType="solid">
        <fgColor rgb="FFFF8FFC"/>
        <bgColor indexed="64"/>
      </patternFill>
    </fill>
    <fill>
      <patternFill patternType="solid">
        <fgColor rgb="FFFD8EFD"/>
        <bgColor indexed="64"/>
      </patternFill>
    </fill>
    <fill>
      <patternFill patternType="solid">
        <fgColor rgb="FFFF7F82"/>
        <bgColor indexed="64"/>
      </patternFill>
    </fill>
    <fill>
      <patternFill patternType="solid">
        <fgColor rgb="FFFF8082"/>
        <bgColor indexed="64"/>
      </patternFill>
    </fill>
    <fill>
      <patternFill patternType="solid">
        <fgColor rgb="FF47C83C"/>
        <bgColor indexed="64"/>
      </patternFill>
    </fill>
    <fill>
      <patternFill patternType="solid">
        <fgColor rgb="FF80C0E2"/>
        <bgColor indexed="64"/>
      </patternFill>
    </fill>
    <fill>
      <patternFill patternType="solid">
        <fgColor rgb="FFFEA4FF"/>
        <bgColor indexed="64"/>
      </patternFill>
    </fill>
    <fill>
      <patternFill patternType="solid">
        <fgColor rgb="FFFD8084"/>
        <bgColor indexed="64"/>
      </patternFill>
    </fill>
    <fill>
      <patternFill patternType="solid">
        <fgColor rgb="FFFF7F83"/>
        <bgColor indexed="64"/>
      </patternFill>
    </fill>
    <fill>
      <patternFill patternType="solid">
        <fgColor rgb="FFFD909F"/>
        <bgColor indexed="64"/>
      </patternFill>
    </fill>
    <fill>
      <patternFill patternType="solid">
        <fgColor rgb="FFFF8F9F"/>
        <bgColor indexed="64"/>
      </patternFill>
    </fill>
    <fill>
      <patternFill patternType="solid">
        <fgColor rgb="FFFD8D9F"/>
        <bgColor indexed="64"/>
      </patternFill>
    </fill>
    <fill>
      <patternFill patternType="solid">
        <fgColor rgb="FFFF8D9D"/>
        <bgColor indexed="64"/>
      </patternFill>
    </fill>
    <fill>
      <patternFill patternType="solid">
        <fgColor rgb="FFFE909C"/>
        <bgColor indexed="64"/>
      </patternFill>
    </fill>
    <fill>
      <patternFill patternType="solid">
        <fgColor rgb="FFFC4C3D"/>
        <bgColor indexed="64"/>
      </patternFill>
    </fill>
    <fill>
      <patternFill patternType="solid">
        <fgColor rgb="FFFC4B3E"/>
        <bgColor indexed="64"/>
      </patternFill>
    </fill>
    <fill>
      <patternFill patternType="solid">
        <fgColor rgb="FFF24839"/>
        <bgColor indexed="64"/>
      </patternFill>
    </fill>
    <fill>
      <patternFill patternType="solid">
        <fgColor rgb="FFF1483B"/>
        <bgColor indexed="64"/>
      </patternFill>
    </fill>
    <fill>
      <patternFill patternType="solid">
        <fgColor rgb="FFFE5346"/>
        <bgColor indexed="64"/>
      </patternFill>
    </fill>
    <fill>
      <patternFill patternType="solid">
        <fgColor rgb="FFFF5346"/>
        <bgColor indexed="64"/>
      </patternFill>
    </fill>
    <fill>
      <patternFill patternType="solid">
        <fgColor rgb="FFFE5547"/>
        <bgColor indexed="64"/>
      </patternFill>
    </fill>
    <fill>
      <patternFill patternType="solid">
        <fgColor rgb="FFFF707F"/>
        <bgColor indexed="64"/>
      </patternFill>
    </fill>
    <fill>
      <patternFill patternType="solid">
        <fgColor rgb="FFFFBA86"/>
        <bgColor indexed="64"/>
      </patternFill>
    </fill>
    <fill>
      <patternFill patternType="solid">
        <fgColor rgb="FFFFAC6F"/>
        <bgColor indexed="64"/>
      </patternFill>
    </fill>
    <fill>
      <patternFill patternType="solid">
        <fgColor rgb="FFFEC294"/>
        <bgColor indexed="64"/>
      </patternFill>
    </fill>
    <fill>
      <patternFill patternType="solid">
        <fgColor rgb="FFFFC295"/>
        <bgColor indexed="64"/>
      </patternFill>
    </fill>
    <fill>
      <patternFill patternType="solid">
        <fgColor rgb="FFFDA3D1"/>
        <bgColor indexed="64"/>
      </patternFill>
    </fill>
    <fill>
      <patternFill patternType="solid">
        <fgColor rgb="FFFFA3D2"/>
        <bgColor indexed="64"/>
      </patternFill>
    </fill>
    <fill>
      <patternFill patternType="solid">
        <fgColor rgb="FFFFB3D8"/>
        <bgColor indexed="64"/>
      </patternFill>
    </fill>
    <fill>
      <patternFill patternType="solid">
        <fgColor rgb="FFFDB3D6"/>
        <bgColor indexed="64"/>
      </patternFill>
    </fill>
    <fill>
      <patternFill patternType="solid">
        <fgColor rgb="FFFDB2D9"/>
        <bgColor indexed="64"/>
      </patternFill>
    </fill>
    <fill>
      <patternFill patternType="solid">
        <fgColor rgb="FFFFB1D9"/>
        <bgColor indexed="64"/>
      </patternFill>
    </fill>
    <fill>
      <patternFill patternType="solid">
        <fgColor rgb="FFFF9BCD"/>
        <bgColor indexed="64"/>
      </patternFill>
    </fill>
    <fill>
      <patternFill patternType="solid">
        <fgColor rgb="FFA9AAA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8CCC7"/>
        <bgColor indexed="64"/>
      </patternFill>
    </fill>
    <fill>
      <patternFill patternType="solid">
        <fgColor rgb="FFC8C8C9"/>
        <bgColor indexed="64"/>
      </patternFill>
    </fill>
    <fill>
      <patternFill patternType="solid">
        <fgColor rgb="FFCBC8CC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C9C8CA"/>
        <bgColor indexed="64"/>
      </patternFill>
    </fill>
    <fill>
      <patternFill patternType="solid">
        <fgColor rgb="FFC7C9CA"/>
        <bgColor indexed="64"/>
      </patternFill>
    </fill>
    <fill>
      <patternFill patternType="solid">
        <fgColor rgb="FFC9CACB"/>
        <bgColor indexed="64"/>
      </patternFill>
    </fill>
    <fill>
      <patternFill patternType="solid">
        <fgColor rgb="FFCCCBCA"/>
        <bgColor indexed="64"/>
      </patternFill>
    </fill>
    <fill>
      <patternFill patternType="solid">
        <fgColor rgb="FFCBCBC7"/>
        <bgColor indexed="64"/>
      </patternFill>
    </fill>
    <fill>
      <patternFill patternType="solid">
        <fgColor rgb="FFC9CCC7"/>
        <bgColor indexed="64"/>
      </patternFill>
    </fill>
    <fill>
      <patternFill patternType="solid">
        <fgColor rgb="FFCBC7CC"/>
        <bgColor indexed="64"/>
      </patternFill>
    </fill>
    <fill>
      <patternFill patternType="solid">
        <fgColor rgb="FFC9C7CA"/>
        <bgColor indexed="64"/>
      </patternFill>
    </fill>
    <fill>
      <patternFill patternType="solid">
        <fgColor rgb="FFCCCBC7"/>
        <bgColor indexed="64"/>
      </patternFill>
    </fill>
    <fill>
      <patternFill patternType="solid">
        <fgColor rgb="FFCCC7CA"/>
        <bgColor indexed="64"/>
      </patternFill>
    </fill>
    <fill>
      <patternFill patternType="solid">
        <fgColor rgb="FFC9C9C8"/>
        <bgColor indexed="64"/>
      </patternFill>
    </fill>
    <fill>
      <patternFill patternType="solid">
        <fgColor rgb="FFC8C8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2B0D8"/>
        <bgColor indexed="64"/>
      </patternFill>
    </fill>
    <fill>
      <patternFill patternType="solid">
        <fgColor rgb="FFFE7F84"/>
        <bgColor indexed="64"/>
      </patternFill>
    </fill>
    <fill>
      <patternFill patternType="solid">
        <fgColor rgb="FFFE8F9F"/>
        <bgColor indexed="64"/>
      </patternFill>
    </fill>
    <fill>
      <patternFill patternType="solid">
        <fgColor rgb="FFFF4B3C"/>
        <bgColor indexed="64"/>
      </patternFill>
    </fill>
    <fill>
      <patternFill patternType="solid">
        <fgColor rgb="FFFF5D4F"/>
        <bgColor indexed="64"/>
      </patternFill>
    </fill>
    <fill>
      <patternFill patternType="solid">
        <fgColor rgb="FFFD5446"/>
        <bgColor indexed="64"/>
      </patternFill>
    </fill>
    <fill>
      <patternFill patternType="solid">
        <fgColor rgb="FFFFAD6E"/>
        <bgColor indexed="64"/>
      </patternFill>
    </fill>
    <fill>
      <patternFill patternType="solid">
        <fgColor rgb="FFFEC6E2"/>
        <bgColor indexed="64"/>
      </patternFill>
    </fill>
    <fill>
      <patternFill patternType="solid">
        <fgColor rgb="FFFFB0D7"/>
        <bgColor indexed="64"/>
      </patternFill>
    </fill>
    <fill>
      <patternFill patternType="solid">
        <fgColor rgb="FFA7AAA9"/>
        <bgColor indexed="64"/>
      </patternFill>
    </fill>
    <fill>
      <patternFill patternType="solid">
        <fgColor rgb="FFCCCBCB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CCC7CC"/>
        <bgColor indexed="64"/>
      </patternFill>
    </fill>
    <fill>
      <patternFill patternType="solid">
        <fgColor rgb="FFC9C9CA"/>
        <bgColor indexed="64"/>
      </patternFill>
    </fill>
    <fill>
      <patternFill patternType="solid">
        <fgColor rgb="FFCBC8C8"/>
        <bgColor indexed="64"/>
      </patternFill>
    </fill>
    <fill>
      <patternFill patternType="solid">
        <fgColor rgb="FF7ECD4A"/>
        <bgColor indexed="64"/>
      </patternFill>
    </fill>
    <fill>
      <patternFill patternType="solid">
        <fgColor rgb="FF80BEE2"/>
        <bgColor indexed="64"/>
      </patternFill>
    </fill>
    <fill>
      <patternFill patternType="solid">
        <fgColor rgb="FFFFF990"/>
        <bgColor indexed="64"/>
      </patternFill>
    </fill>
    <fill>
      <patternFill patternType="solid">
        <fgColor rgb="FFFEA6FD"/>
        <bgColor indexed="64"/>
      </patternFill>
    </fill>
    <fill>
      <patternFill patternType="solid">
        <fgColor rgb="FFFF7AFE"/>
        <bgColor indexed="64"/>
      </patternFill>
    </fill>
    <fill>
      <patternFill patternType="solid">
        <fgColor rgb="FFFF90FE"/>
        <bgColor indexed="64"/>
      </patternFill>
    </fill>
    <fill>
      <patternFill patternType="solid">
        <fgColor rgb="FFFF8081"/>
        <bgColor indexed="64"/>
      </patternFill>
    </fill>
    <fill>
      <patternFill patternType="solid">
        <fgColor rgb="FFFE8083"/>
        <bgColor indexed="64"/>
      </patternFill>
    </fill>
    <fill>
      <patternFill patternType="solid">
        <fgColor rgb="FFFF909F"/>
        <bgColor indexed="64"/>
      </patternFill>
    </fill>
    <fill>
      <patternFill patternType="solid">
        <fgColor rgb="FFFD8E9F"/>
        <bgColor indexed="64"/>
      </patternFill>
    </fill>
    <fill>
      <patternFill patternType="solid">
        <fgColor rgb="FFFE909E"/>
        <bgColor indexed="64"/>
      </patternFill>
    </fill>
    <fill>
      <patternFill patternType="solid">
        <fgColor rgb="FFFF8E9C"/>
        <bgColor indexed="64"/>
      </patternFill>
    </fill>
    <fill>
      <patternFill patternType="solid">
        <fgColor rgb="FFFF6F80"/>
        <bgColor indexed="64"/>
      </patternFill>
    </fill>
    <fill>
      <patternFill patternType="solid">
        <fgColor rgb="FFFF4C3E"/>
        <bgColor indexed="64"/>
      </patternFill>
    </fill>
    <fill>
      <patternFill patternType="solid">
        <fgColor rgb="FFFF4A3E"/>
        <bgColor indexed="64"/>
      </patternFill>
    </fill>
    <fill>
      <patternFill patternType="solid">
        <fgColor rgb="FFF2463A"/>
        <bgColor indexed="64"/>
      </patternFill>
    </fill>
    <fill>
      <patternFill patternType="solid">
        <fgColor rgb="FFFE5B50"/>
        <bgColor indexed="64"/>
      </patternFill>
    </fill>
    <fill>
      <patternFill patternType="solid">
        <fgColor rgb="FFFE5445"/>
        <bgColor indexed="64"/>
      </patternFill>
    </fill>
    <fill>
      <patternFill patternType="solid">
        <fgColor rgb="FFFF5445"/>
        <bgColor indexed="64"/>
      </patternFill>
    </fill>
    <fill>
      <patternFill patternType="solid">
        <fgColor rgb="FFFFB885"/>
        <bgColor indexed="64"/>
      </patternFill>
    </fill>
    <fill>
      <patternFill patternType="solid">
        <fgColor rgb="FFFEB984"/>
        <bgColor indexed="64"/>
      </patternFill>
    </fill>
    <fill>
      <patternFill patternType="solid">
        <fgColor rgb="FFFDBA86"/>
        <bgColor indexed="64"/>
      </patternFill>
    </fill>
    <fill>
      <patternFill patternType="solid">
        <fgColor rgb="FFFEAD6F"/>
        <bgColor indexed="64"/>
      </patternFill>
    </fill>
    <fill>
      <patternFill patternType="solid">
        <fgColor rgb="FFFFC195"/>
        <bgColor indexed="64"/>
      </patternFill>
    </fill>
    <fill>
      <patternFill patternType="solid">
        <fgColor rgb="FFFDA5D1"/>
        <bgColor indexed="64"/>
      </patternFill>
    </fill>
    <fill>
      <patternFill patternType="solid">
        <fgColor rgb="FFFFC6E2"/>
        <bgColor indexed="64"/>
      </patternFill>
    </fill>
    <fill>
      <patternFill patternType="solid">
        <fgColor rgb="FFFCB3D8"/>
        <bgColor indexed="64"/>
      </patternFill>
    </fill>
    <fill>
      <patternFill patternType="solid">
        <fgColor rgb="FFFEB3D7"/>
        <bgColor indexed="64"/>
      </patternFill>
    </fill>
    <fill>
      <patternFill patternType="solid">
        <fgColor rgb="FFFDB0D9"/>
        <bgColor indexed="64"/>
      </patternFill>
    </fill>
    <fill>
      <patternFill patternType="solid">
        <fgColor rgb="FFFFB3D7"/>
        <bgColor indexed="64"/>
      </patternFill>
    </fill>
    <fill>
      <patternFill patternType="solid">
        <fgColor rgb="FFFEB3D9"/>
        <bgColor indexed="64"/>
      </patternFill>
    </fill>
    <fill>
      <patternFill patternType="solid">
        <fgColor rgb="FFA8AAAA"/>
        <bgColor indexed="64"/>
      </patternFill>
    </fill>
    <fill>
      <patternFill patternType="solid">
        <fgColor rgb="FFA8A9AA"/>
        <bgColor indexed="64"/>
      </patternFill>
    </fill>
    <fill>
      <patternFill patternType="solid">
        <fgColor rgb="FFC7CAC9"/>
        <bgColor indexed="64"/>
      </patternFill>
    </fill>
    <fill>
      <patternFill patternType="solid">
        <fgColor rgb="FFC8C9CB"/>
        <bgColor indexed="64"/>
      </patternFill>
    </fill>
    <fill>
      <patternFill patternType="solid">
        <fgColor rgb="FFC7C8CC"/>
        <bgColor indexed="64"/>
      </patternFill>
    </fill>
    <fill>
      <patternFill patternType="solid">
        <fgColor rgb="FFCBC9C7"/>
        <bgColor indexed="64"/>
      </patternFill>
    </fill>
    <fill>
      <patternFill patternType="solid">
        <fgColor rgb="FFC8CBCC"/>
        <bgColor indexed="64"/>
      </patternFill>
    </fill>
    <fill>
      <patternFill patternType="solid">
        <fgColor rgb="FFCBC9C9"/>
        <bgColor indexed="64"/>
      </patternFill>
    </fill>
    <fill>
      <patternFill patternType="solid">
        <fgColor rgb="FFC9CBCB"/>
        <bgColor indexed="64"/>
      </patternFill>
    </fill>
    <fill>
      <patternFill patternType="solid">
        <fgColor rgb="FFCBC9C8"/>
        <bgColor indexed="64"/>
      </patternFill>
    </fill>
    <fill>
      <patternFill patternType="solid">
        <fgColor rgb="FFC9CAC8"/>
        <bgColor indexed="64"/>
      </patternFill>
    </fill>
    <fill>
      <patternFill patternType="solid">
        <fgColor rgb="FFCCCACB"/>
        <bgColor indexed="64"/>
      </patternFill>
    </fill>
    <fill>
      <patternFill patternType="solid">
        <fgColor rgb="FFCAC8CA"/>
        <bgColor indexed="64"/>
      </patternFill>
    </fill>
    <fill>
      <patternFill patternType="solid">
        <fgColor rgb="FFFEF990"/>
        <bgColor indexed="64"/>
      </patternFill>
    </fill>
    <fill>
      <patternFill patternType="solid">
        <fgColor rgb="FFFD909D"/>
        <bgColor indexed="64"/>
      </patternFill>
    </fill>
    <fill>
      <patternFill patternType="solid">
        <fgColor rgb="FFFC4C3E"/>
        <bgColor indexed="64"/>
      </patternFill>
    </fill>
    <fill>
      <patternFill patternType="solid">
        <fgColor rgb="FFF1473B"/>
        <bgColor indexed="64"/>
      </patternFill>
    </fill>
    <fill>
      <patternFill patternType="solid">
        <fgColor rgb="FFFF5347"/>
        <bgColor indexed="64"/>
      </patternFill>
    </fill>
    <fill>
      <patternFill patternType="solid">
        <fgColor rgb="FFFDBA85"/>
        <bgColor indexed="64"/>
      </patternFill>
    </fill>
    <fill>
      <patternFill patternType="solid">
        <fgColor rgb="FFFEC394"/>
        <bgColor indexed="64"/>
      </patternFill>
    </fill>
    <fill>
      <patternFill patternType="solid">
        <fgColor rgb="FFFEB1D7"/>
        <bgColor indexed="64"/>
      </patternFill>
    </fill>
    <fill>
      <patternFill patternType="solid">
        <fgColor rgb="FFFEB2D9"/>
        <bgColor indexed="64"/>
      </patternFill>
    </fill>
    <fill>
      <patternFill patternType="solid">
        <fgColor rgb="FFC8C7CB"/>
        <bgColor indexed="64"/>
      </patternFill>
    </fill>
    <fill>
      <patternFill patternType="solid">
        <fgColor rgb="FFCCC9C7"/>
        <bgColor indexed="64"/>
      </patternFill>
    </fill>
    <fill>
      <patternFill patternType="solid">
        <fgColor rgb="FFCAC8C9"/>
        <bgColor indexed="64"/>
      </patternFill>
    </fill>
    <fill>
      <patternFill patternType="solid">
        <fgColor rgb="FFCACCC8"/>
        <bgColor indexed="64"/>
      </patternFill>
    </fill>
    <fill>
      <patternFill patternType="solid">
        <fgColor rgb="FFC8CBC9"/>
        <bgColor indexed="64"/>
      </patternFill>
    </fill>
    <fill>
      <patternFill patternType="solid">
        <fgColor rgb="FFC9CACA"/>
        <bgColor indexed="64"/>
      </patternFill>
    </fill>
    <fill>
      <patternFill patternType="solid">
        <fgColor rgb="FFA2B1D7"/>
        <bgColor indexed="64"/>
      </patternFill>
    </fill>
    <fill>
      <patternFill patternType="solid">
        <fgColor rgb="FF90CBED"/>
        <bgColor indexed="64"/>
      </patternFill>
    </fill>
    <fill>
      <patternFill patternType="solid">
        <fgColor rgb="FFFDFB8F"/>
        <bgColor indexed="64"/>
      </patternFill>
    </fill>
    <fill>
      <patternFill patternType="solid">
        <fgColor rgb="FFFE90FD"/>
        <bgColor indexed="64"/>
      </patternFill>
    </fill>
    <fill>
      <patternFill patternType="solid">
        <fgColor rgb="FFFD8082"/>
        <bgColor indexed="64"/>
      </patternFill>
    </fill>
    <fill>
      <patternFill patternType="solid">
        <fgColor rgb="FFFD5547"/>
        <bgColor indexed="64"/>
      </patternFill>
    </fill>
    <fill>
      <patternFill patternType="solid">
        <fgColor rgb="FFFF5447"/>
        <bgColor indexed="64"/>
      </patternFill>
    </fill>
    <fill>
      <patternFill patternType="solid">
        <fgColor rgb="FFFFBA84"/>
        <bgColor indexed="64"/>
      </patternFill>
    </fill>
    <fill>
      <patternFill patternType="solid">
        <fgColor rgb="FFFDB986"/>
        <bgColor indexed="64"/>
      </patternFill>
    </fill>
    <fill>
      <patternFill patternType="solid">
        <fgColor rgb="FFFEAE6E"/>
        <bgColor indexed="64"/>
      </patternFill>
    </fill>
    <fill>
      <patternFill patternType="solid">
        <fgColor rgb="FFFEC295"/>
        <bgColor indexed="64"/>
      </patternFill>
    </fill>
    <fill>
      <patternFill patternType="solid">
        <fgColor rgb="FFFF9B88"/>
        <bgColor indexed="64"/>
      </patternFill>
    </fill>
    <fill>
      <patternFill patternType="solid">
        <fgColor rgb="FFFEA3D2"/>
        <bgColor indexed="64"/>
      </patternFill>
    </fill>
    <fill>
      <patternFill patternType="solid">
        <fgColor rgb="FFFFA4D0"/>
        <bgColor indexed="64"/>
      </patternFill>
    </fill>
    <fill>
      <patternFill patternType="solid">
        <fgColor rgb="FFFFB0D8"/>
        <bgColor indexed="64"/>
      </patternFill>
    </fill>
    <fill>
      <patternFill patternType="solid">
        <fgColor rgb="FFFDB2D7"/>
        <bgColor indexed="64"/>
      </patternFill>
    </fill>
    <fill>
      <patternFill patternType="solid">
        <fgColor rgb="FFFFB1D6"/>
        <bgColor indexed="64"/>
      </patternFill>
    </fill>
    <fill>
      <patternFill patternType="solid">
        <fgColor rgb="FFFEB0D9"/>
        <bgColor indexed="64"/>
      </patternFill>
    </fill>
    <fill>
      <patternFill patternType="solid">
        <fgColor rgb="FFFCB2D8"/>
        <bgColor indexed="64"/>
      </patternFill>
    </fill>
    <fill>
      <patternFill patternType="solid">
        <fgColor rgb="FFFF9B87"/>
        <bgColor indexed="64"/>
      </patternFill>
    </fill>
    <fill>
      <patternFill patternType="solid">
        <fgColor rgb="FFAAA8AA"/>
        <bgColor indexed="64"/>
      </patternFill>
    </fill>
    <fill>
      <patternFill patternType="solid">
        <fgColor rgb="FFCCCAC8"/>
        <bgColor indexed="64"/>
      </patternFill>
    </fill>
    <fill>
      <patternFill patternType="solid">
        <fgColor rgb="FFC7CAC8"/>
        <bgColor indexed="64"/>
      </patternFill>
    </fill>
    <fill>
      <patternFill patternType="solid">
        <fgColor rgb="FFC8C9C9"/>
        <bgColor indexed="64"/>
      </patternFill>
    </fill>
    <fill>
      <patternFill patternType="solid">
        <fgColor rgb="FFC7CACA"/>
        <bgColor indexed="64"/>
      </patternFill>
    </fill>
    <fill>
      <patternFill patternType="solid">
        <fgColor rgb="FFC7C9C9"/>
        <bgColor indexed="64"/>
      </patternFill>
    </fill>
    <fill>
      <patternFill patternType="solid">
        <fgColor rgb="FFC7CCCA"/>
        <bgColor indexed="64"/>
      </patternFill>
    </fill>
    <fill>
      <patternFill patternType="solid">
        <fgColor rgb="FFCCCBC8"/>
        <bgColor indexed="64"/>
      </patternFill>
    </fill>
    <fill>
      <patternFill patternType="solid">
        <fgColor rgb="FFC8CACA"/>
        <bgColor indexed="64"/>
      </patternFill>
    </fill>
    <fill>
      <patternFill patternType="solid">
        <fgColor rgb="FFCAC8C7"/>
        <bgColor indexed="64"/>
      </patternFill>
    </fill>
    <fill>
      <patternFill patternType="solid">
        <fgColor rgb="FFCCCCC7"/>
        <bgColor indexed="64"/>
      </patternFill>
    </fill>
    <fill>
      <patternFill patternType="solid">
        <fgColor rgb="FF90CAEC"/>
        <bgColor indexed="64"/>
      </patternFill>
    </fill>
    <fill>
      <patternFill patternType="solid">
        <fgColor rgb="FFFFA6FE"/>
        <bgColor indexed="64"/>
      </patternFill>
    </fill>
    <fill>
      <patternFill patternType="solid">
        <fgColor rgb="FFFD8FFD"/>
        <bgColor indexed="64"/>
      </patternFill>
    </fill>
    <fill>
      <patternFill patternType="solid">
        <fgColor rgb="FFFF8FFD"/>
        <bgColor indexed="64"/>
      </patternFill>
    </fill>
    <fill>
      <patternFill patternType="solid">
        <fgColor rgb="FFFE7F83"/>
        <bgColor indexed="64"/>
      </patternFill>
    </fill>
    <fill>
      <patternFill patternType="solid">
        <fgColor rgb="FFFE8F9E"/>
        <bgColor indexed="64"/>
      </patternFill>
    </fill>
    <fill>
      <patternFill patternType="solid">
        <fgColor rgb="FFFE8E9C"/>
        <bgColor indexed="64"/>
      </patternFill>
    </fill>
    <fill>
      <patternFill patternType="solid">
        <fgColor rgb="FFFF4B3D"/>
        <bgColor indexed="64"/>
      </patternFill>
    </fill>
    <fill>
      <patternFill patternType="solid">
        <fgColor rgb="FFFD5447"/>
        <bgColor indexed="64"/>
      </patternFill>
    </fill>
    <fill>
      <patternFill patternType="solid">
        <fgColor rgb="FFFFB886"/>
        <bgColor indexed="64"/>
      </patternFill>
    </fill>
    <fill>
      <patternFill patternType="solid">
        <fgColor rgb="FFFDA5D2"/>
        <bgColor indexed="64"/>
      </patternFill>
    </fill>
    <fill>
      <patternFill patternType="solid">
        <fgColor rgb="FFFCB3D7"/>
        <bgColor indexed="64"/>
      </patternFill>
    </fill>
    <fill>
      <patternFill patternType="solid">
        <fgColor rgb="FFFF7080"/>
        <bgColor indexed="64"/>
      </patternFill>
    </fill>
    <fill>
      <patternFill patternType="solid">
        <fgColor rgb="FFC9CCC9"/>
        <bgColor indexed="64"/>
      </patternFill>
    </fill>
    <fill>
      <patternFill patternType="solid">
        <fgColor rgb="FFCAC7CC"/>
        <bgColor indexed="64"/>
      </patternFill>
    </fill>
    <fill>
      <patternFill patternType="solid">
        <fgColor rgb="FFC8CAC7"/>
        <bgColor indexed="64"/>
      </patternFill>
    </fill>
    <fill>
      <patternFill patternType="solid">
        <fgColor rgb="FFCBCBCC"/>
        <bgColor indexed="64"/>
      </patternFill>
    </fill>
    <fill>
      <patternFill patternType="solid">
        <fgColor rgb="FFCAC8CB"/>
        <bgColor indexed="64"/>
      </patternFill>
    </fill>
    <fill>
      <patternFill patternType="solid">
        <fgColor rgb="FFC8CACB"/>
        <bgColor indexed="64"/>
      </patternFill>
    </fill>
    <fill>
      <patternFill patternType="solid">
        <fgColor rgb="FFC8C8CB"/>
        <bgColor indexed="64"/>
      </patternFill>
    </fill>
    <fill>
      <patternFill patternType="solid">
        <fgColor rgb="FFB3C0DE"/>
        <bgColor indexed="64"/>
      </patternFill>
    </fill>
    <fill>
      <patternFill patternType="solid">
        <fgColor rgb="FFFE8DFF"/>
        <bgColor indexed="64"/>
      </patternFill>
    </fill>
    <fill>
      <patternFill patternType="solid">
        <fgColor rgb="FFFF8083"/>
        <bgColor indexed="64"/>
      </patternFill>
    </fill>
    <fill>
      <patternFill patternType="solid">
        <fgColor rgb="FFFD8083"/>
        <bgColor indexed="64"/>
      </patternFill>
    </fill>
    <fill>
      <patternFill patternType="solid">
        <fgColor rgb="FFFE8D9F"/>
        <bgColor indexed="64"/>
      </patternFill>
    </fill>
    <fill>
      <patternFill patternType="solid">
        <fgColor rgb="FFFD8F9F"/>
        <bgColor indexed="64"/>
      </patternFill>
    </fill>
    <fill>
      <patternFill patternType="solid">
        <fgColor rgb="FFFE8E9F"/>
        <bgColor indexed="64"/>
      </patternFill>
    </fill>
    <fill>
      <patternFill patternType="solid">
        <fgColor rgb="FFFD8F9E"/>
        <bgColor indexed="64"/>
      </patternFill>
    </fill>
    <fill>
      <patternFill patternType="solid">
        <fgColor rgb="FFFF4B3E"/>
        <bgColor indexed="64"/>
      </patternFill>
    </fill>
    <fill>
      <patternFill patternType="solid">
        <fgColor rgb="FFFD4B3E"/>
        <bgColor indexed="64"/>
      </patternFill>
    </fill>
    <fill>
      <patternFill patternType="solid">
        <fgColor rgb="FFFF4B3B"/>
        <bgColor indexed="64"/>
      </patternFill>
    </fill>
    <fill>
      <patternFill patternType="solid">
        <fgColor rgb="FFF2473A"/>
        <bgColor indexed="64"/>
      </patternFill>
    </fill>
    <fill>
      <patternFill patternType="solid">
        <fgColor rgb="FFFF5D50"/>
        <bgColor indexed="64"/>
      </patternFill>
    </fill>
    <fill>
      <patternFill patternType="solid">
        <fgColor rgb="FFFF5547"/>
        <bgColor indexed="64"/>
      </patternFill>
    </fill>
    <fill>
      <patternFill patternType="solid">
        <fgColor rgb="FFFF5446"/>
        <bgColor indexed="64"/>
      </patternFill>
    </fill>
    <fill>
      <patternFill patternType="solid">
        <fgColor rgb="FFFEB985"/>
        <bgColor indexed="64"/>
      </patternFill>
    </fill>
    <fill>
      <patternFill patternType="solid">
        <fgColor rgb="FFFEB886"/>
        <bgColor indexed="64"/>
      </patternFill>
    </fill>
    <fill>
      <patternFill patternType="solid">
        <fgColor rgb="FFFEAD6E"/>
        <bgColor indexed="64"/>
      </patternFill>
    </fill>
    <fill>
      <patternFill patternType="solid">
        <fgColor rgb="FFFFC294"/>
        <bgColor indexed="64"/>
      </patternFill>
    </fill>
    <fill>
      <patternFill patternType="solid">
        <fgColor rgb="FFFFA2D2"/>
        <bgColor indexed="64"/>
      </patternFill>
    </fill>
    <fill>
      <patternFill patternType="solid">
        <fgColor rgb="FFFEA5D1"/>
        <bgColor indexed="64"/>
      </patternFill>
    </fill>
    <fill>
      <patternFill patternType="solid">
        <fgColor rgb="FFFFC5E2"/>
        <bgColor indexed="64"/>
      </patternFill>
    </fill>
    <fill>
      <patternFill patternType="solid">
        <fgColor rgb="FFFFB2D6"/>
        <bgColor indexed="64"/>
      </patternFill>
    </fill>
    <fill>
      <patternFill patternType="solid">
        <fgColor rgb="FFFCB1D9"/>
        <bgColor indexed="64"/>
      </patternFill>
    </fill>
    <fill>
      <patternFill patternType="solid">
        <fgColor rgb="FFFDB1D7"/>
        <bgColor indexed="64"/>
      </patternFill>
    </fill>
    <fill>
      <patternFill patternType="solid">
        <fgColor rgb="FFFFB2D8"/>
        <bgColor indexed="64"/>
      </patternFill>
    </fill>
    <fill>
      <patternFill patternType="solid">
        <fgColor rgb="FFFFB2D9"/>
        <bgColor indexed="64"/>
      </patternFill>
    </fill>
    <fill>
      <patternFill patternType="solid">
        <fgColor rgb="FFA9AAA7"/>
        <bgColor indexed="64"/>
      </patternFill>
    </fill>
    <fill>
      <patternFill patternType="solid">
        <fgColor rgb="FFCBCCCB"/>
        <bgColor indexed="64"/>
      </patternFill>
    </fill>
    <fill>
      <patternFill patternType="solid">
        <fgColor rgb="FFC8CCC9"/>
        <bgColor indexed="64"/>
      </patternFill>
    </fill>
    <fill>
      <patternFill patternType="solid">
        <fgColor rgb="FFC8CBC7"/>
        <bgColor indexed="64"/>
      </patternFill>
    </fill>
    <fill>
      <patternFill patternType="solid">
        <fgColor rgb="FFC9CBC7"/>
        <bgColor indexed="64"/>
      </patternFill>
    </fill>
    <fill>
      <patternFill patternType="solid">
        <fgColor rgb="FFC7CBCC"/>
        <bgColor indexed="64"/>
      </patternFill>
    </fill>
    <fill>
      <patternFill patternType="solid">
        <fgColor rgb="FFC9C7C9"/>
        <bgColor indexed="64"/>
      </patternFill>
    </fill>
    <fill>
      <patternFill patternType="solid">
        <fgColor rgb="FFC9C8C8"/>
        <bgColor indexed="64"/>
      </patternFill>
    </fill>
    <fill>
      <patternFill patternType="solid">
        <fgColor rgb="FFCACACB"/>
        <bgColor indexed="64"/>
      </patternFill>
    </fill>
    <fill>
      <patternFill patternType="solid">
        <fgColor rgb="FFCACAC9"/>
        <bgColor indexed="64"/>
      </patternFill>
    </fill>
    <fill>
      <patternFill patternType="solid">
        <fgColor rgb="FFCCCACA"/>
        <bgColor indexed="64"/>
      </patternFill>
    </fill>
    <fill>
      <patternFill patternType="solid">
        <fgColor rgb="FFC8CAC9"/>
        <bgColor indexed="64"/>
      </patternFill>
    </fill>
    <fill>
      <patternFill patternType="solid">
        <fgColor rgb="FFCBC8CA"/>
        <bgColor indexed="64"/>
      </patternFill>
    </fill>
    <fill>
      <patternFill patternType="solid">
        <fgColor rgb="FFCACBC9"/>
        <bgColor indexed="64"/>
      </patternFill>
    </fill>
    <fill>
      <patternFill patternType="solid">
        <fgColor rgb="FFCACBC7"/>
        <bgColor indexed="64"/>
      </patternFill>
    </fill>
    <fill>
      <patternFill patternType="solid">
        <fgColor rgb="FFFF7AFF"/>
        <bgColor indexed="64"/>
      </patternFill>
    </fill>
    <fill>
      <patternFill patternType="solid">
        <fgColor rgb="FFFE8D9E"/>
        <bgColor indexed="64"/>
      </patternFill>
    </fill>
    <fill>
      <patternFill patternType="solid">
        <fgColor rgb="FFFF8E9F"/>
        <bgColor indexed="64"/>
      </patternFill>
    </fill>
    <fill>
      <patternFill patternType="solid">
        <fgColor rgb="FFF24739"/>
        <bgColor indexed="64"/>
      </patternFill>
    </fill>
    <fill>
      <patternFill patternType="solid">
        <fgColor rgb="FFFEBA85"/>
        <bgColor indexed="64"/>
      </patternFill>
    </fill>
    <fill>
      <patternFill patternType="solid">
        <fgColor rgb="FFFFC393"/>
        <bgColor indexed="64"/>
      </patternFill>
    </fill>
    <fill>
      <patternFill patternType="solid">
        <fgColor rgb="FFFDA3D2"/>
        <bgColor indexed="64"/>
      </patternFill>
    </fill>
    <fill>
      <patternFill patternType="solid">
        <fgColor rgb="FFFCB2D9"/>
        <bgColor indexed="64"/>
      </patternFill>
    </fill>
    <fill>
      <patternFill patternType="solid">
        <fgColor rgb="FFFDB1D9"/>
        <bgColor indexed="64"/>
      </patternFill>
    </fill>
    <fill>
      <patternFill patternType="solid">
        <fgColor rgb="FFC7C9CC"/>
        <bgColor indexed="64"/>
      </patternFill>
    </fill>
    <fill>
      <patternFill patternType="solid">
        <fgColor rgb="FFCCC8CC"/>
        <bgColor indexed="64"/>
      </patternFill>
    </fill>
    <fill>
      <patternFill patternType="solid">
        <fgColor rgb="FFC9C9CB"/>
        <bgColor indexed="64"/>
      </patternFill>
    </fill>
    <fill>
      <patternFill patternType="solid">
        <fgColor rgb="FFC7CBCA"/>
        <bgColor indexed="64"/>
      </patternFill>
    </fill>
    <fill>
      <patternFill patternType="solid">
        <fgColor rgb="FFCAC7CB"/>
        <bgColor indexed="64"/>
      </patternFill>
    </fill>
    <fill>
      <patternFill patternType="solid">
        <fgColor rgb="FFB3C0DF"/>
        <bgColor indexed="64"/>
      </patternFill>
    </fill>
    <fill>
      <patternFill patternType="solid">
        <fgColor rgb="FFFBFC91"/>
        <bgColor indexed="64"/>
      </patternFill>
    </fill>
    <fill>
      <patternFill patternType="solid">
        <fgColor rgb="FFFEFDBC"/>
        <bgColor indexed="64"/>
      </patternFill>
    </fill>
    <fill>
      <patternFill patternType="solid">
        <fgColor rgb="FFFF78FE"/>
        <bgColor indexed="64"/>
      </patternFill>
    </fill>
    <fill>
      <patternFill patternType="solid">
        <fgColor rgb="FFFE8FFE"/>
        <bgColor indexed="64"/>
      </patternFill>
    </fill>
    <fill>
      <patternFill patternType="solid">
        <fgColor rgb="FFFD8DFF"/>
        <bgColor indexed="64"/>
      </patternFill>
    </fill>
    <fill>
      <patternFill patternType="solid">
        <fgColor rgb="FFFD7F84"/>
        <bgColor indexed="64"/>
      </patternFill>
    </fill>
    <fill>
      <patternFill patternType="solid">
        <fgColor rgb="FFFF8D9F"/>
        <bgColor indexed="64"/>
      </patternFill>
    </fill>
    <fill>
      <patternFill patternType="solid">
        <fgColor rgb="FFFD8E9E"/>
        <bgColor indexed="64"/>
      </patternFill>
    </fill>
    <fill>
      <patternFill patternType="solid">
        <fgColor rgb="FFFF8F9E"/>
        <bgColor indexed="64"/>
      </patternFill>
    </fill>
    <fill>
      <patternFill patternType="solid">
        <fgColor rgb="FFFD8F9C"/>
        <bgColor indexed="64"/>
      </patternFill>
    </fill>
    <fill>
      <patternFill patternType="solid">
        <fgColor rgb="FFFF909E"/>
        <bgColor indexed="64"/>
      </patternFill>
    </fill>
    <fill>
      <patternFill patternType="solid">
        <fgColor rgb="FFFF4A3D"/>
        <bgColor indexed="64"/>
      </patternFill>
    </fill>
    <fill>
      <patternFill patternType="solid">
        <fgColor rgb="FFFD4A3D"/>
        <bgColor indexed="64"/>
      </patternFill>
    </fill>
    <fill>
      <patternFill patternType="solid">
        <fgColor rgb="FFFF4C3C"/>
        <bgColor indexed="64"/>
      </patternFill>
    </fill>
    <fill>
      <patternFill patternType="solid">
        <fgColor rgb="FFF2473B"/>
        <bgColor indexed="64"/>
      </patternFill>
    </fill>
    <fill>
      <patternFill patternType="solid">
        <fgColor rgb="FFFF5B4F"/>
        <bgColor indexed="64"/>
      </patternFill>
    </fill>
    <fill>
      <patternFill patternType="solid">
        <fgColor rgb="FFFE5546"/>
        <bgColor indexed="64"/>
      </patternFill>
    </fill>
    <fill>
      <patternFill patternType="solid">
        <fgColor rgb="FFFF5545"/>
        <bgColor indexed="64"/>
      </patternFill>
    </fill>
    <fill>
      <patternFill patternType="solid">
        <fgColor rgb="FFF1473A"/>
        <bgColor indexed="64"/>
      </patternFill>
    </fill>
    <fill>
      <patternFill patternType="solid">
        <fgColor rgb="FFFEB986"/>
        <bgColor indexed="64"/>
      </patternFill>
    </fill>
    <fill>
      <patternFill patternType="solid">
        <fgColor rgb="FFFFAD6D"/>
        <bgColor indexed="64"/>
      </patternFill>
    </fill>
    <fill>
      <patternFill patternType="solid">
        <fgColor rgb="FFFFAE6D"/>
        <bgColor indexed="64"/>
      </patternFill>
    </fill>
    <fill>
      <patternFill patternType="solid">
        <fgColor rgb="FFFEC395"/>
        <bgColor indexed="64"/>
      </patternFill>
    </fill>
    <fill>
      <patternFill patternType="solid">
        <fgColor rgb="FFFDA5D0"/>
        <bgColor indexed="64"/>
      </patternFill>
    </fill>
    <fill>
      <patternFill patternType="solid">
        <fgColor rgb="FFFEA4D2"/>
        <bgColor indexed="64"/>
      </patternFill>
    </fill>
    <fill>
      <patternFill patternType="solid">
        <fgColor rgb="FFFDA4D0"/>
        <bgColor indexed="64"/>
      </patternFill>
    </fill>
    <fill>
      <patternFill patternType="solid">
        <fgColor rgb="FFFCB3D9"/>
        <bgColor indexed="64"/>
      </patternFill>
    </fill>
    <fill>
      <patternFill patternType="solid">
        <fgColor rgb="FFFFB0D9"/>
        <bgColor indexed="64"/>
      </patternFill>
    </fill>
    <fill>
      <patternFill patternType="solid">
        <fgColor rgb="FFFDB2D8"/>
        <bgColor indexed="64"/>
      </patternFill>
    </fill>
    <fill>
      <patternFill patternType="solid">
        <fgColor rgb="FFFDB3D8"/>
        <bgColor indexed="64"/>
      </patternFill>
    </fill>
    <fill>
      <patternFill patternType="solid">
        <fgColor rgb="FFFEB0D8"/>
        <bgColor indexed="64"/>
      </patternFill>
    </fill>
    <fill>
      <patternFill patternType="solid">
        <fgColor rgb="FFBFDAE3"/>
        <bgColor indexed="64"/>
      </patternFill>
    </fill>
    <fill>
      <patternFill patternType="solid">
        <fgColor rgb="FFC8CBCA"/>
        <bgColor indexed="64"/>
      </patternFill>
    </fill>
    <fill>
      <patternFill patternType="solid">
        <fgColor rgb="FFCCCAC9"/>
        <bgColor indexed="64"/>
      </patternFill>
    </fill>
    <fill>
      <patternFill patternType="solid">
        <fgColor rgb="FFC7C8CA"/>
        <bgColor indexed="64"/>
      </patternFill>
    </fill>
    <fill>
      <patternFill patternType="solid">
        <fgColor rgb="FFC9C9CC"/>
        <bgColor indexed="64"/>
      </patternFill>
    </fill>
    <fill>
      <patternFill patternType="solid">
        <fgColor rgb="FFCCCAC7"/>
        <bgColor indexed="64"/>
      </patternFill>
    </fill>
    <fill>
      <patternFill patternType="solid">
        <fgColor rgb="FFC7CACC"/>
        <bgColor indexed="64"/>
      </patternFill>
    </fill>
    <fill>
      <patternFill patternType="solid">
        <fgColor rgb="FFCCC7CB"/>
        <bgColor indexed="64"/>
      </patternFill>
    </fill>
    <fill>
      <patternFill patternType="solid">
        <fgColor rgb="FFC7C9CB"/>
        <bgColor indexed="64"/>
      </patternFill>
    </fill>
    <fill>
      <patternFill patternType="solid">
        <fgColor rgb="FFCBCACC"/>
        <bgColor indexed="64"/>
      </patternFill>
    </fill>
    <fill>
      <patternFill patternType="solid">
        <fgColor rgb="FFCCCCCB"/>
        <bgColor indexed="64"/>
      </patternFill>
    </fill>
    <fill>
      <patternFill patternType="solid">
        <fgColor rgb="FFCAC9CC"/>
        <bgColor indexed="64"/>
      </patternFill>
    </fill>
    <fill>
      <patternFill patternType="solid">
        <fgColor rgb="FFCBC9CB"/>
        <bgColor indexed="64"/>
      </patternFill>
    </fill>
    <fill>
      <patternFill patternType="solid">
        <fgColor rgb="FFCACAC7"/>
        <bgColor indexed="64"/>
      </patternFill>
    </fill>
    <fill>
      <patternFill patternType="solid">
        <fgColor rgb="FFFD7F83"/>
        <bgColor indexed="64"/>
      </patternFill>
    </fill>
    <fill>
      <patternFill patternType="solid">
        <fgColor rgb="FFFF8E9D"/>
        <bgColor indexed="64"/>
      </patternFill>
    </fill>
    <fill>
      <patternFill patternType="solid">
        <fgColor rgb="FFFE493D"/>
        <bgColor indexed="64"/>
      </patternFill>
    </fill>
    <fill>
      <patternFill patternType="solid">
        <fgColor rgb="FFFD5D50"/>
        <bgColor indexed="64"/>
      </patternFill>
    </fill>
    <fill>
      <patternFill patternType="solid">
        <fgColor rgb="FFE64438"/>
        <bgColor indexed="64"/>
      </patternFill>
    </fill>
    <fill>
      <patternFill patternType="solid">
        <fgColor rgb="FFFDC395"/>
        <bgColor indexed="64"/>
      </patternFill>
    </fill>
    <fill>
      <patternFill patternType="solid">
        <fgColor rgb="FFFDB1D8"/>
        <bgColor indexed="64"/>
      </patternFill>
    </fill>
    <fill>
      <patternFill patternType="solid">
        <fgColor rgb="FFFEB2D7"/>
        <bgColor indexed="64"/>
      </patternFill>
    </fill>
    <fill>
      <patternFill patternType="solid">
        <fgColor rgb="FFA9A9A8"/>
        <bgColor indexed="64"/>
      </patternFill>
    </fill>
    <fill>
      <patternFill patternType="solid">
        <fgColor rgb="FFCCC8CA"/>
        <bgColor indexed="64"/>
      </patternFill>
    </fill>
    <fill>
      <patternFill patternType="solid">
        <fgColor rgb="FFC7CBCB"/>
        <bgColor indexed="64"/>
      </patternFill>
    </fill>
    <fill>
      <patternFill patternType="solid">
        <fgColor rgb="FFCBC9CC"/>
        <bgColor indexed="64"/>
      </patternFill>
    </fill>
    <fill>
      <patternFill patternType="solid">
        <fgColor rgb="FF98D5F9"/>
        <bgColor indexed="64"/>
      </patternFill>
    </fill>
    <fill>
      <patternFill patternType="solid">
        <fgColor rgb="FFFDFA91"/>
        <bgColor indexed="64"/>
      </patternFill>
    </fill>
    <fill>
      <patternFill patternType="solid">
        <fgColor rgb="FFFE7AFE"/>
        <bgColor indexed="64"/>
      </patternFill>
    </fill>
    <fill>
      <patternFill patternType="solid">
        <fgColor rgb="FFFD8F9D"/>
        <bgColor indexed="64"/>
      </patternFill>
    </fill>
    <fill>
      <patternFill patternType="solid">
        <fgColor rgb="FFFD5545"/>
        <bgColor indexed="64"/>
      </patternFill>
    </fill>
    <fill>
      <patternFill patternType="solid">
        <fgColor rgb="FFFE5446"/>
        <bgColor indexed="64"/>
      </patternFill>
    </fill>
    <fill>
      <patternFill patternType="solid">
        <fgColor rgb="FFFFB984"/>
        <bgColor indexed="64"/>
      </patternFill>
    </fill>
    <fill>
      <patternFill patternType="solid">
        <fgColor rgb="FFFEBA86"/>
        <bgColor indexed="64"/>
      </patternFill>
    </fill>
    <fill>
      <patternFill patternType="solid">
        <fgColor rgb="FFFFAE6F"/>
        <bgColor indexed="64"/>
      </patternFill>
    </fill>
    <fill>
      <patternFill patternType="solid">
        <fgColor rgb="FFFFAC6D"/>
        <bgColor indexed="64"/>
      </patternFill>
    </fill>
    <fill>
      <patternFill patternType="solid">
        <fgColor rgb="FFFEA3D0"/>
        <bgColor indexed="64"/>
      </patternFill>
    </fill>
    <fill>
      <patternFill patternType="solid">
        <fgColor rgb="FFFFA5D0"/>
        <bgColor indexed="64"/>
      </patternFill>
    </fill>
    <fill>
      <patternFill patternType="solid">
        <fgColor rgb="FFFFC6E1"/>
        <bgColor indexed="64"/>
      </patternFill>
    </fill>
    <fill>
      <patternFill patternType="solid">
        <fgColor rgb="FFFEB1D9"/>
        <bgColor indexed="64"/>
      </patternFill>
    </fill>
    <fill>
      <patternFill patternType="solid">
        <fgColor rgb="FFFFB3D6"/>
        <bgColor indexed="64"/>
      </patternFill>
    </fill>
    <fill>
      <patternFill patternType="solid">
        <fgColor rgb="FFFFB1D8"/>
        <bgColor indexed="64"/>
      </patternFill>
    </fill>
    <fill>
      <patternFill patternType="solid">
        <fgColor rgb="FFFEB3D6"/>
        <bgColor indexed="64"/>
      </patternFill>
    </fill>
    <fill>
      <patternFill patternType="solid">
        <fgColor rgb="FFAAA8A9"/>
        <bgColor indexed="64"/>
      </patternFill>
    </fill>
    <fill>
      <patternFill patternType="solid">
        <fgColor rgb="FFAAA9A7"/>
        <bgColor indexed="64"/>
      </patternFill>
    </fill>
    <fill>
      <patternFill patternType="solid">
        <fgColor rgb="FFCCC9C8"/>
        <bgColor indexed="64"/>
      </patternFill>
    </fill>
    <fill>
      <patternFill patternType="solid">
        <fgColor rgb="FFCACCC7"/>
        <bgColor indexed="64"/>
      </patternFill>
    </fill>
    <fill>
      <patternFill patternType="solid">
        <fgColor rgb="FFCBC8CB"/>
        <bgColor indexed="64"/>
      </patternFill>
    </fill>
    <fill>
      <patternFill patternType="solid">
        <fgColor rgb="FFCBCAC7"/>
        <bgColor indexed="64"/>
      </patternFill>
    </fill>
    <fill>
      <patternFill patternType="solid">
        <fgColor rgb="FFC8C9CA"/>
        <bgColor indexed="64"/>
      </patternFill>
    </fill>
    <fill>
      <patternFill patternType="solid">
        <fgColor rgb="FFCCC7C9"/>
        <bgColor indexed="64"/>
      </patternFill>
    </fill>
    <fill>
      <patternFill patternType="solid">
        <fgColor rgb="FFCAC9C8"/>
        <bgColor indexed="64"/>
      </patternFill>
    </fill>
    <fill>
      <patternFill patternType="solid">
        <fgColor rgb="FFCBC7CB"/>
        <bgColor indexed="64"/>
      </patternFill>
    </fill>
    <fill>
      <patternFill patternType="solid">
        <fgColor rgb="FFCBCCC7"/>
        <bgColor indexed="64"/>
      </patternFill>
    </fill>
    <fill>
      <patternFill patternType="solid">
        <fgColor rgb="FFC7CCCC"/>
        <bgColor indexed="64"/>
      </patternFill>
    </fill>
    <fill>
      <patternFill patternType="solid">
        <fgColor rgb="FFCCCCCA"/>
        <bgColor indexed="64"/>
      </patternFill>
    </fill>
    <fill>
      <patternFill patternType="solid">
        <fgColor rgb="FF98D6F9"/>
        <bgColor indexed="64"/>
      </patternFill>
    </fill>
    <fill>
      <patternFill patternType="solid">
        <fgColor rgb="FFFFA4FF"/>
        <bgColor indexed="64"/>
      </patternFill>
    </fill>
    <fill>
      <patternFill patternType="solid">
        <fgColor rgb="FFFC8EFF"/>
        <bgColor indexed="64"/>
      </patternFill>
    </fill>
    <fill>
      <patternFill patternType="solid">
        <fgColor rgb="FFFE8EFE"/>
        <bgColor indexed="64"/>
      </patternFill>
    </fill>
    <fill>
      <patternFill patternType="solid">
        <fgColor rgb="FFFF8F9D"/>
        <bgColor indexed="64"/>
      </patternFill>
    </fill>
    <fill>
      <patternFill patternType="solid">
        <fgColor rgb="FFFD909E"/>
        <bgColor indexed="64"/>
      </patternFill>
    </fill>
    <fill>
      <patternFill patternType="solid">
        <fgColor rgb="FFFF4C3D"/>
        <bgColor indexed="64"/>
      </patternFill>
    </fill>
    <fill>
      <patternFill patternType="solid">
        <fgColor rgb="FFF2483A"/>
        <bgColor indexed="64"/>
      </patternFill>
    </fill>
    <fill>
      <patternFill patternType="solid">
        <fgColor rgb="FFFE5447"/>
        <bgColor indexed="64"/>
      </patternFill>
    </fill>
    <fill>
      <patternFill patternType="solid">
        <fgColor rgb="FFFFB986"/>
        <bgColor indexed="64"/>
      </patternFill>
    </fill>
    <fill>
      <patternFill patternType="solid">
        <fgColor rgb="FFFEA5D0"/>
        <bgColor indexed="64"/>
      </patternFill>
    </fill>
    <fill>
      <patternFill patternType="solid">
        <fgColor rgb="FFFEB1D8"/>
        <bgColor indexed="64"/>
      </patternFill>
    </fill>
    <fill>
      <patternFill patternType="solid">
        <fgColor rgb="FFFEB3D8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8C9C8"/>
        <bgColor indexed="64"/>
      </patternFill>
    </fill>
    <fill>
      <patternFill patternType="solid">
        <fgColor rgb="FFCCC8CB"/>
        <bgColor indexed="64"/>
      </patternFill>
    </fill>
    <fill>
      <patternFill patternType="solid">
        <fgColor rgb="FF1F9D5A"/>
        <bgColor indexed="64"/>
      </patternFill>
    </fill>
    <fill>
      <patternFill patternType="solid">
        <fgColor rgb="FF1F9B59"/>
        <bgColor indexed="64"/>
      </patternFill>
    </fill>
    <fill>
      <patternFill patternType="solid">
        <fgColor rgb="FF198064"/>
        <bgColor indexed="64"/>
      </patternFill>
    </fill>
    <fill>
      <patternFill patternType="solid">
        <fgColor rgb="FF1B7D64"/>
        <bgColor indexed="64"/>
      </patternFill>
    </fill>
    <fill>
      <patternFill patternType="solid">
        <fgColor rgb="FF187C62"/>
        <bgColor indexed="64"/>
      </patternFill>
    </fill>
    <fill>
      <patternFill patternType="solid">
        <fgColor rgb="FF1F9D59"/>
        <bgColor indexed="64"/>
      </patternFill>
    </fill>
    <fill>
      <patternFill patternType="solid">
        <fgColor rgb="FF1B8064"/>
        <bgColor indexed="64"/>
      </patternFill>
    </fill>
    <fill>
      <patternFill patternType="solid">
        <fgColor rgb="FF197D64"/>
        <bgColor indexed="64"/>
      </patternFill>
    </fill>
    <fill>
      <patternFill patternType="solid">
        <fgColor rgb="FF187D64"/>
        <bgColor indexed="64"/>
      </patternFill>
    </fill>
    <fill>
      <patternFill patternType="solid">
        <fgColor rgb="FF1B7F61"/>
        <bgColor indexed="64"/>
      </patternFill>
    </fill>
    <fill>
      <patternFill patternType="solid">
        <fgColor rgb="FF1A8060"/>
        <bgColor indexed="64"/>
      </patternFill>
    </fill>
    <fill>
      <patternFill patternType="solid">
        <fgColor rgb="FF029299"/>
        <bgColor indexed="64"/>
      </patternFill>
    </fill>
    <fill>
      <patternFill patternType="solid">
        <fgColor rgb="FF019199"/>
        <bgColor indexed="64"/>
      </patternFill>
    </fill>
    <fill>
      <patternFill patternType="solid">
        <fgColor rgb="FF08828A"/>
        <bgColor indexed="64"/>
      </patternFill>
    </fill>
    <fill>
      <patternFill patternType="solid">
        <fgColor rgb="FF0A838C"/>
        <bgColor indexed="64"/>
      </patternFill>
    </fill>
    <fill>
      <patternFill patternType="solid">
        <fgColor rgb="FF3FA564"/>
        <bgColor indexed="64"/>
      </patternFill>
    </fill>
    <fill>
      <patternFill patternType="solid">
        <fgColor rgb="FF1F9C5A"/>
        <bgColor indexed="64"/>
      </patternFill>
    </fill>
    <fill>
      <patternFill patternType="solid">
        <fgColor rgb="FF1A7F62"/>
        <bgColor indexed="64"/>
      </patternFill>
    </fill>
    <fill>
      <patternFill patternType="solid">
        <fgColor rgb="FF187F61"/>
        <bgColor indexed="64"/>
      </patternFill>
    </fill>
    <fill>
      <patternFill patternType="solid">
        <fgColor rgb="FF187E64"/>
        <bgColor indexed="64"/>
      </patternFill>
    </fill>
    <fill>
      <patternFill patternType="solid">
        <fgColor rgb="FF198061"/>
        <bgColor indexed="64"/>
      </patternFill>
    </fill>
    <fill>
      <patternFill patternType="solid">
        <fgColor rgb="FF1B7D63"/>
        <bgColor indexed="64"/>
      </patternFill>
    </fill>
    <fill>
      <patternFill patternType="solid">
        <fgColor rgb="FF1A7C64"/>
        <bgColor indexed="64"/>
      </patternFill>
    </fill>
    <fill>
      <patternFill patternType="solid">
        <fgColor rgb="FF1B7F63"/>
        <bgColor indexed="64"/>
      </patternFill>
    </fill>
    <fill>
      <patternFill patternType="solid">
        <fgColor rgb="FF248A5E"/>
        <bgColor indexed="64"/>
      </patternFill>
    </fill>
    <fill>
      <patternFill patternType="solid">
        <fgColor rgb="FF1BA496"/>
        <bgColor indexed="64"/>
      </patternFill>
    </fill>
    <fill>
      <patternFill patternType="solid">
        <fgColor rgb="FF1DA598"/>
        <bgColor indexed="64"/>
      </patternFill>
    </fill>
    <fill>
      <patternFill patternType="solid">
        <fgColor rgb="FF009DAB"/>
        <bgColor indexed="64"/>
      </patternFill>
    </fill>
    <fill>
      <patternFill patternType="solid">
        <fgColor rgb="FF019FAB"/>
        <bgColor indexed="64"/>
      </patternFill>
    </fill>
    <fill>
      <patternFill patternType="solid">
        <fgColor rgb="FF82C6AE"/>
        <bgColor indexed="64"/>
      </patternFill>
    </fill>
    <fill>
      <patternFill patternType="solid">
        <fgColor rgb="FF54BE93"/>
        <bgColor indexed="64"/>
      </patternFill>
    </fill>
    <fill>
      <patternFill patternType="solid">
        <fgColor rgb="FF54BF93"/>
        <bgColor indexed="64"/>
      </patternFill>
    </fill>
    <fill>
      <patternFill patternType="solid">
        <fgColor rgb="FF62D09F"/>
        <bgColor indexed="64"/>
      </patternFill>
    </fill>
    <fill>
      <patternFill patternType="solid">
        <fgColor rgb="FF62D09D"/>
        <bgColor indexed="64"/>
      </patternFill>
    </fill>
    <fill>
      <patternFill patternType="solid">
        <fgColor rgb="FF60D09F"/>
        <bgColor indexed="64"/>
      </patternFill>
    </fill>
    <fill>
      <patternFill patternType="solid">
        <fgColor rgb="FFA3DAA4"/>
        <bgColor indexed="64"/>
      </patternFill>
    </fill>
    <fill>
      <patternFill patternType="solid">
        <fgColor rgb="FF69CBBA"/>
        <bgColor indexed="64"/>
      </patternFill>
    </fill>
    <fill>
      <patternFill patternType="solid">
        <fgColor rgb="FF61E7B7"/>
        <bgColor indexed="64"/>
      </patternFill>
    </fill>
    <fill>
      <patternFill patternType="solid">
        <fgColor rgb="FF61E6B6"/>
        <bgColor indexed="64"/>
      </patternFill>
    </fill>
    <fill>
      <patternFill patternType="solid">
        <fgColor rgb="FF5FE7B7"/>
        <bgColor indexed="64"/>
      </patternFill>
    </fill>
    <fill>
      <patternFill patternType="solid">
        <fgColor rgb="FF029296"/>
        <bgColor indexed="64"/>
      </patternFill>
    </fill>
    <fill>
      <patternFill patternType="solid">
        <fgColor rgb="FF3FA565"/>
        <bgColor indexed="64"/>
      </patternFill>
    </fill>
    <fill>
      <patternFill patternType="solid">
        <fgColor rgb="FF1CA696"/>
        <bgColor indexed="64"/>
      </patternFill>
    </fill>
    <fill>
      <patternFill patternType="solid">
        <fgColor rgb="FF1AA397"/>
        <bgColor indexed="64"/>
      </patternFill>
    </fill>
    <fill>
      <patternFill patternType="solid">
        <fgColor rgb="FF1AA495"/>
        <bgColor indexed="64"/>
      </patternFill>
    </fill>
    <fill>
      <patternFill patternType="solid">
        <fgColor rgb="FF1E9D59"/>
        <bgColor indexed="64"/>
      </patternFill>
    </fill>
    <fill>
      <patternFill patternType="solid">
        <fgColor rgb="FF187E60"/>
        <bgColor indexed="64"/>
      </patternFill>
    </fill>
    <fill>
      <patternFill patternType="solid">
        <fgColor rgb="FF019297"/>
        <bgColor indexed="64"/>
      </patternFill>
    </fill>
    <fill>
      <patternFill patternType="solid">
        <fgColor rgb="FF0B858C"/>
        <bgColor indexed="64"/>
      </patternFill>
    </fill>
    <fill>
      <patternFill patternType="solid">
        <fgColor rgb="FF40A466"/>
        <bgColor indexed="64"/>
      </patternFill>
    </fill>
    <fill>
      <patternFill patternType="solid">
        <fgColor rgb="FF24885E"/>
        <bgColor indexed="64"/>
      </patternFill>
    </fill>
    <fill>
      <patternFill patternType="solid">
        <fgColor rgb="FF1CA596"/>
        <bgColor indexed="64"/>
      </patternFill>
    </fill>
    <fill>
      <patternFill patternType="solid">
        <fgColor rgb="FF1BA595"/>
        <bgColor indexed="64"/>
      </patternFill>
    </fill>
    <fill>
      <patternFill patternType="solid">
        <fgColor rgb="FF1AA396"/>
        <bgColor indexed="64"/>
      </patternFill>
    </fill>
    <fill>
      <patternFill patternType="solid">
        <fgColor rgb="FF009EAC"/>
        <bgColor indexed="64"/>
      </patternFill>
    </fill>
    <fill>
      <patternFill patternType="solid">
        <fgColor rgb="FF009FAA"/>
        <bgColor indexed="64"/>
      </patternFill>
    </fill>
    <fill>
      <patternFill patternType="solid">
        <fgColor rgb="FF82C7AE"/>
        <bgColor indexed="64"/>
      </patternFill>
    </fill>
    <fill>
      <patternFill patternType="solid">
        <fgColor rgb="FF9AD2BC"/>
        <bgColor indexed="64"/>
      </patternFill>
    </fill>
    <fill>
      <patternFill patternType="solid">
        <fgColor rgb="FF53BF93"/>
        <bgColor indexed="64"/>
      </patternFill>
    </fill>
    <fill>
      <patternFill patternType="solid">
        <fgColor rgb="FF53BF94"/>
        <bgColor indexed="64"/>
      </patternFill>
    </fill>
    <fill>
      <patternFill patternType="solid">
        <fgColor rgb="FF61D09E"/>
        <bgColor indexed="64"/>
      </patternFill>
    </fill>
    <fill>
      <patternFill patternType="solid">
        <fgColor rgb="FF62CF9D"/>
        <bgColor indexed="64"/>
      </patternFill>
    </fill>
    <fill>
      <patternFill patternType="solid">
        <fgColor rgb="FFA4DAA3"/>
        <bgColor indexed="64"/>
      </patternFill>
    </fill>
    <fill>
      <patternFill patternType="solid">
        <fgColor rgb="FF6ACBBA"/>
        <bgColor indexed="64"/>
      </patternFill>
    </fill>
    <fill>
      <patternFill patternType="solid">
        <fgColor rgb="FF61E7B6"/>
        <bgColor indexed="64"/>
      </patternFill>
    </fill>
    <fill>
      <patternFill patternType="solid">
        <fgColor rgb="FF61E6B5"/>
        <bgColor indexed="64"/>
      </patternFill>
    </fill>
    <fill>
      <patternFill patternType="solid">
        <fgColor rgb="FF60E7B6"/>
        <bgColor indexed="64"/>
      </patternFill>
    </fill>
    <fill>
      <patternFill patternType="solid">
        <fgColor rgb="FF60E6B7"/>
        <bgColor indexed="64"/>
      </patternFill>
    </fill>
    <fill>
      <patternFill patternType="solid">
        <fgColor rgb="FF59DAAB"/>
        <bgColor indexed="64"/>
      </patternFill>
    </fill>
    <fill>
      <patternFill patternType="solid">
        <fgColor rgb="FFA8EBD2"/>
        <bgColor indexed="64"/>
      </patternFill>
    </fill>
    <fill>
      <patternFill patternType="solid">
        <fgColor rgb="FF7DD04A"/>
        <bgColor indexed="64"/>
      </patternFill>
    </fill>
    <fill>
      <patternFill patternType="solid">
        <fgColor rgb="FF66A83C"/>
        <bgColor indexed="64"/>
      </patternFill>
    </fill>
    <fill>
      <patternFill patternType="solid">
        <fgColor rgb="FF7DCE4B"/>
        <bgColor indexed="64"/>
      </patternFill>
    </fill>
    <fill>
      <patternFill patternType="solid">
        <fgColor rgb="FF7CD04B"/>
        <bgColor indexed="64"/>
      </patternFill>
    </fill>
    <fill>
      <patternFill patternType="solid">
        <fgColor rgb="FF7CD049"/>
        <bgColor indexed="64"/>
      </patternFill>
    </fill>
    <fill>
      <patternFill patternType="solid">
        <fgColor rgb="FF7DCE49"/>
        <bgColor indexed="64"/>
      </patternFill>
    </fill>
    <fill>
      <patternFill patternType="solid">
        <fgColor rgb="FF7ECF48"/>
        <bgColor indexed="64"/>
      </patternFill>
    </fill>
    <fill>
      <patternFill patternType="solid">
        <fgColor rgb="FF2FB825"/>
        <bgColor indexed="64"/>
      </patternFill>
    </fill>
    <fill>
      <patternFill patternType="solid">
        <fgColor rgb="FF32B724"/>
        <bgColor indexed="64"/>
      </patternFill>
    </fill>
    <fill>
      <patternFill patternType="solid">
        <fgColor rgb="FF31B624"/>
        <bgColor indexed="64"/>
      </patternFill>
    </fill>
    <fill>
      <patternFill patternType="solid">
        <fgColor rgb="FF30B723"/>
        <bgColor indexed="64"/>
      </patternFill>
    </fill>
    <fill>
      <patternFill patternType="solid">
        <fgColor rgb="FF32B723"/>
        <bgColor indexed="64"/>
      </patternFill>
    </fill>
    <fill>
      <patternFill patternType="solid">
        <fgColor rgb="FF71D569"/>
        <bgColor indexed="64"/>
      </patternFill>
    </fill>
    <fill>
      <patternFill patternType="solid">
        <fgColor rgb="FF48C83B"/>
        <bgColor indexed="64"/>
      </patternFill>
    </fill>
    <fill>
      <patternFill patternType="solid">
        <fgColor rgb="FF59B946"/>
        <bgColor indexed="64"/>
      </patternFill>
    </fill>
    <fill>
      <patternFill patternType="solid">
        <fgColor rgb="FF4EC244"/>
        <bgColor indexed="64"/>
      </patternFill>
    </fill>
    <fill>
      <patternFill patternType="solid">
        <fgColor rgb="FF4EC243"/>
        <bgColor indexed="64"/>
      </patternFill>
    </fill>
    <fill>
      <patternFill patternType="solid">
        <fgColor rgb="FF57BA47"/>
        <bgColor indexed="64"/>
      </patternFill>
    </fill>
    <fill>
      <patternFill patternType="solid">
        <fgColor rgb="FF58BA47"/>
        <bgColor indexed="64"/>
      </patternFill>
    </fill>
    <fill>
      <patternFill patternType="solid">
        <fgColor rgb="FF7FCCF8"/>
        <bgColor indexed="64"/>
      </patternFill>
    </fill>
    <fill>
      <patternFill patternType="solid">
        <fgColor rgb="FF7FC0E2"/>
        <bgColor indexed="64"/>
      </patternFill>
    </fill>
    <fill>
      <patternFill patternType="solid">
        <fgColor rgb="FF80C0E0"/>
        <bgColor indexed="64"/>
      </patternFill>
    </fill>
    <fill>
      <patternFill patternType="solid">
        <fgColor rgb="FFB2C0DE"/>
        <bgColor indexed="64"/>
      </patternFill>
    </fill>
    <fill>
      <patternFill patternType="solid">
        <fgColor rgb="FFB1C0DF"/>
        <bgColor indexed="64"/>
      </patternFill>
    </fill>
    <fill>
      <patternFill patternType="solid">
        <fgColor rgb="FFB3BEDE"/>
        <bgColor indexed="64"/>
      </patternFill>
    </fill>
    <fill>
      <patternFill patternType="solid">
        <fgColor rgb="FFB1C0DE"/>
        <bgColor indexed="64"/>
      </patternFill>
    </fill>
    <fill>
      <patternFill patternType="solid">
        <fgColor rgb="FF09828A"/>
        <bgColor indexed="64"/>
      </patternFill>
    </fill>
    <fill>
      <patternFill patternType="solid">
        <fgColor rgb="FF3FA666"/>
        <bgColor indexed="64"/>
      </patternFill>
    </fill>
    <fill>
      <patternFill patternType="solid">
        <fgColor rgb="FF2EA850"/>
        <bgColor indexed="64"/>
      </patternFill>
    </fill>
    <fill>
      <patternFill patternType="solid">
        <fgColor rgb="FF24895E"/>
        <bgColor indexed="64"/>
      </patternFill>
    </fill>
    <fill>
      <patternFill patternType="solid">
        <fgColor rgb="FF1CA498"/>
        <bgColor indexed="64"/>
      </patternFill>
    </fill>
    <fill>
      <patternFill patternType="solid">
        <fgColor rgb="FF1BA695"/>
        <bgColor indexed="64"/>
      </patternFill>
    </fill>
    <fill>
      <patternFill patternType="solid">
        <fgColor rgb="FF1BA397"/>
        <bgColor indexed="64"/>
      </patternFill>
    </fill>
    <fill>
      <patternFill patternType="solid">
        <fgColor rgb="FF1AA696"/>
        <bgColor indexed="64"/>
      </patternFill>
    </fill>
    <fill>
      <patternFill patternType="solid">
        <fgColor rgb="FF1C8062"/>
        <bgColor indexed="64"/>
      </patternFill>
    </fill>
    <fill>
      <patternFill patternType="solid">
        <fgColor rgb="FF1CA497"/>
        <bgColor indexed="64"/>
      </patternFill>
    </fill>
    <fill>
      <patternFill patternType="solid">
        <fgColor rgb="FF1BA398"/>
        <bgColor indexed="64"/>
      </patternFill>
    </fill>
    <fill>
      <patternFill patternType="solid">
        <fgColor rgb="FF1CA695"/>
        <bgColor indexed="64"/>
      </patternFill>
    </fill>
    <fill>
      <patternFill patternType="solid">
        <fgColor rgb="FF019FAA"/>
        <bgColor indexed="64"/>
      </patternFill>
    </fill>
    <fill>
      <patternFill patternType="solid">
        <fgColor rgb="FF82C7AD"/>
        <bgColor indexed="64"/>
      </patternFill>
    </fill>
    <fill>
      <patternFill patternType="solid">
        <fgColor rgb="FF53BE94"/>
        <bgColor indexed="64"/>
      </patternFill>
    </fill>
    <fill>
      <patternFill patternType="solid">
        <fgColor rgb="FF61CF9F"/>
        <bgColor indexed="64"/>
      </patternFill>
    </fill>
    <fill>
      <patternFill patternType="solid">
        <fgColor rgb="FF62D09E"/>
        <bgColor indexed="64"/>
      </patternFill>
    </fill>
    <fill>
      <patternFill patternType="solid">
        <fgColor rgb="FFA4D9A3"/>
        <bgColor indexed="64"/>
      </patternFill>
    </fill>
    <fill>
      <patternFill patternType="solid">
        <fgColor rgb="FF6ACBB9"/>
        <bgColor indexed="64"/>
      </patternFill>
    </fill>
    <fill>
      <patternFill patternType="solid">
        <fgColor rgb="FF94E4C8"/>
        <bgColor indexed="64"/>
      </patternFill>
    </fill>
    <fill>
      <patternFill patternType="solid">
        <fgColor rgb="FF61E6B7"/>
        <bgColor indexed="64"/>
      </patternFill>
    </fill>
    <fill>
      <patternFill patternType="solid">
        <fgColor rgb="FF61E5B7"/>
        <bgColor indexed="64"/>
      </patternFill>
    </fill>
    <fill>
      <patternFill patternType="solid">
        <fgColor rgb="FF60E6B6"/>
        <bgColor indexed="64"/>
      </patternFill>
    </fill>
    <fill>
      <patternFill patternType="solid">
        <fgColor rgb="FF029099"/>
        <bgColor indexed="64"/>
      </patternFill>
    </fill>
    <fill>
      <patternFill patternType="solid">
        <fgColor rgb="FF08818C"/>
        <bgColor indexed="64"/>
      </patternFill>
    </fill>
    <fill>
      <patternFill patternType="solid">
        <fgColor rgb="FF3FA665"/>
        <bgColor indexed="64"/>
      </patternFill>
    </fill>
    <fill>
      <patternFill patternType="solid">
        <fgColor rgb="FF58B363"/>
        <bgColor indexed="64"/>
      </patternFill>
    </fill>
    <fill>
      <patternFill patternType="solid">
        <fgColor rgb="FF23895E"/>
        <bgColor indexed="64"/>
      </patternFill>
    </fill>
    <fill>
      <patternFill patternType="solid">
        <fgColor rgb="FF1AA695"/>
        <bgColor indexed="64"/>
      </patternFill>
    </fill>
    <fill>
      <patternFill patternType="solid">
        <fgColor rgb="FF1DA698"/>
        <bgColor indexed="64"/>
      </patternFill>
    </fill>
    <fill>
      <patternFill patternType="solid">
        <fgColor rgb="FF1DA597"/>
        <bgColor indexed="64"/>
      </patternFill>
    </fill>
    <fill>
      <patternFill patternType="solid">
        <fgColor rgb="FF1A7E63"/>
        <bgColor indexed="64"/>
      </patternFill>
    </fill>
    <fill>
      <patternFill patternType="solid">
        <fgColor rgb="FF049398"/>
        <bgColor indexed="64"/>
      </patternFill>
    </fill>
    <fill>
      <patternFill patternType="solid">
        <fgColor rgb="FF09838A"/>
        <bgColor indexed="64"/>
      </patternFill>
    </fill>
    <fill>
      <patternFill patternType="solid">
        <fgColor rgb="FF187D63"/>
        <bgColor indexed="64"/>
      </patternFill>
    </fill>
    <fill>
      <patternFill patternType="solid">
        <fgColor rgb="FF049299"/>
        <bgColor indexed="64"/>
      </patternFill>
    </fill>
    <fill>
      <patternFill patternType="solid">
        <fgColor rgb="FF61CF9E"/>
        <bgColor indexed="64"/>
      </patternFill>
    </fill>
    <fill>
      <patternFill patternType="solid">
        <fgColor rgb="FFA8ECD3"/>
        <bgColor indexed="64"/>
      </patternFill>
    </fill>
    <fill>
      <patternFill patternType="solid">
        <fgColor rgb="FF66A83D"/>
        <bgColor indexed="64"/>
      </patternFill>
    </fill>
    <fill>
      <patternFill patternType="solid">
        <fgColor rgb="FF7ECE4B"/>
        <bgColor indexed="64"/>
      </patternFill>
    </fill>
    <fill>
      <patternFill patternType="solid">
        <fgColor rgb="FF66A73D"/>
        <bgColor indexed="64"/>
      </patternFill>
    </fill>
    <fill>
      <patternFill patternType="solid">
        <fgColor rgb="FF7CCE4B"/>
        <bgColor indexed="64"/>
      </patternFill>
    </fill>
    <fill>
      <patternFill patternType="solid">
        <fgColor rgb="FF7CCE4A"/>
        <bgColor indexed="64"/>
      </patternFill>
    </fill>
    <fill>
      <patternFill patternType="solid">
        <fgColor rgb="FF30B624"/>
        <bgColor indexed="64"/>
      </patternFill>
    </fill>
    <fill>
      <patternFill patternType="solid">
        <fgColor rgb="FF32B823"/>
        <bgColor indexed="64"/>
      </patternFill>
    </fill>
    <fill>
      <patternFill patternType="solid">
        <fgColor rgb="FF72D469"/>
        <bgColor indexed="64"/>
      </patternFill>
    </fill>
    <fill>
      <patternFill patternType="solid">
        <fgColor rgb="FF48C83C"/>
        <bgColor indexed="64"/>
      </patternFill>
    </fill>
    <fill>
      <patternFill patternType="solid">
        <fgColor rgb="FF4FC144"/>
        <bgColor indexed="64"/>
      </patternFill>
    </fill>
    <fill>
      <patternFill patternType="solid">
        <fgColor rgb="FF58BA48"/>
        <bgColor indexed="64"/>
      </patternFill>
    </fill>
    <fill>
      <patternFill patternType="solid">
        <fgColor rgb="FF56B84A"/>
        <bgColor indexed="64"/>
      </patternFill>
    </fill>
    <fill>
      <patternFill patternType="solid">
        <fgColor rgb="FF8ADA87"/>
        <bgColor indexed="64"/>
      </patternFill>
    </fill>
    <fill>
      <patternFill patternType="solid">
        <fgColor rgb="FF80CCF7"/>
        <bgColor indexed="64"/>
      </patternFill>
    </fill>
    <fill>
      <patternFill patternType="solid">
        <fgColor rgb="FF7FCDF8"/>
        <bgColor indexed="64"/>
      </patternFill>
    </fill>
    <fill>
      <patternFill patternType="solid">
        <fgColor rgb="FF7FBFE1"/>
        <bgColor indexed="64"/>
      </patternFill>
    </fill>
    <fill>
      <patternFill patternType="solid">
        <fgColor rgb="FFB2BFDF"/>
        <bgColor indexed="64"/>
      </patternFill>
    </fill>
    <fill>
      <patternFill patternType="solid">
        <fgColor rgb="FFB3C0DD"/>
        <bgColor indexed="64"/>
      </patternFill>
    </fill>
    <fill>
      <patternFill patternType="solid">
        <fgColor rgb="FFB2BEDF"/>
        <bgColor indexed="64"/>
      </patternFill>
    </fill>
    <fill>
      <patternFill patternType="solid">
        <fgColor rgb="FF24895C"/>
        <bgColor indexed="64"/>
      </patternFill>
    </fill>
    <fill>
      <patternFill patternType="solid">
        <fgColor rgb="FF1CA496"/>
        <bgColor indexed="64"/>
      </patternFill>
    </fill>
    <fill>
      <patternFill patternType="solid">
        <fgColor rgb="FFFC909F"/>
        <bgColor indexed="64"/>
      </patternFill>
    </fill>
    <fill>
      <patternFill patternType="solid">
        <fgColor rgb="FFFE5C4F"/>
        <bgColor indexed="64"/>
      </patternFill>
    </fill>
    <fill>
      <patternFill patternType="solid">
        <fgColor rgb="FFFF5546"/>
        <bgColor indexed="64"/>
      </patternFill>
    </fill>
    <fill>
      <patternFill patternType="solid">
        <fgColor rgb="FF1AA398"/>
        <bgColor indexed="64"/>
      </patternFill>
    </fill>
    <fill>
      <patternFill patternType="solid">
        <fgColor rgb="FF019DAC"/>
        <bgColor indexed="64"/>
      </patternFill>
    </fill>
    <fill>
      <patternFill patternType="solid">
        <fgColor rgb="FF54BE94"/>
        <bgColor indexed="64"/>
      </patternFill>
    </fill>
    <fill>
      <patternFill patternType="solid">
        <fgColor rgb="FF59DAAA"/>
        <bgColor indexed="64"/>
      </patternFill>
    </fill>
    <fill>
      <patternFill patternType="solid">
        <fgColor rgb="FFA8EBD3"/>
        <bgColor indexed="64"/>
      </patternFill>
    </fill>
    <fill>
      <patternFill patternType="solid">
        <fgColor rgb="FF7CCF4B"/>
        <bgColor indexed="64"/>
      </patternFill>
    </fill>
    <fill>
      <patternFill patternType="solid">
        <fgColor rgb="FF7DCE4A"/>
        <bgColor indexed="64"/>
      </patternFill>
    </fill>
    <fill>
      <patternFill patternType="solid">
        <fgColor rgb="FF7ED048"/>
        <bgColor indexed="64"/>
      </patternFill>
    </fill>
    <fill>
      <patternFill patternType="solid">
        <fgColor rgb="FF7BD04B"/>
        <bgColor indexed="64"/>
      </patternFill>
    </fill>
    <fill>
      <patternFill patternType="solid">
        <fgColor rgb="FF30B823"/>
        <bgColor indexed="64"/>
      </patternFill>
    </fill>
    <fill>
      <patternFill patternType="solid">
        <fgColor rgb="FF30B825"/>
        <bgColor indexed="64"/>
      </patternFill>
    </fill>
    <fill>
      <patternFill patternType="solid">
        <fgColor rgb="FF32B624"/>
        <bgColor indexed="64"/>
      </patternFill>
    </fill>
    <fill>
      <patternFill patternType="solid">
        <fgColor rgb="FF30B725"/>
        <bgColor indexed="64"/>
      </patternFill>
    </fill>
    <fill>
      <patternFill patternType="solid">
        <fgColor rgb="FF32B625"/>
        <bgColor indexed="64"/>
      </patternFill>
    </fill>
    <fill>
      <patternFill patternType="solid">
        <fgColor rgb="FF72D569"/>
        <bgColor indexed="64"/>
      </patternFill>
    </fill>
    <fill>
      <patternFill patternType="solid">
        <fgColor rgb="FF4FC243"/>
        <bgColor indexed="64"/>
      </patternFill>
    </fill>
    <fill>
      <patternFill patternType="solid">
        <fgColor rgb="FF4BB546"/>
        <bgColor indexed="64"/>
      </patternFill>
    </fill>
    <fill>
      <patternFill patternType="solid">
        <fgColor rgb="FF56B84B"/>
        <bgColor indexed="64"/>
      </patternFill>
    </fill>
    <fill>
      <patternFill patternType="solid">
        <fgColor rgb="FF57BA48"/>
        <bgColor indexed="64"/>
      </patternFill>
    </fill>
    <fill>
      <patternFill patternType="solid">
        <fgColor rgb="FF80CDF6"/>
        <bgColor indexed="64"/>
      </patternFill>
    </fill>
    <fill>
      <patternFill patternType="solid">
        <fgColor rgb="FF80CBF8"/>
        <bgColor indexed="64"/>
      </patternFill>
    </fill>
    <fill>
      <patternFill patternType="solid">
        <fgColor rgb="FF7EC0E1"/>
        <bgColor indexed="64"/>
      </patternFill>
    </fill>
    <fill>
      <patternFill patternType="solid">
        <fgColor rgb="FFB3BFDF"/>
        <bgColor indexed="64"/>
      </patternFill>
    </fill>
    <fill>
      <patternFill patternType="solid">
        <fgColor rgb="FFB3BEDF"/>
        <bgColor indexed="64"/>
      </patternFill>
    </fill>
    <fill>
      <patternFill patternType="solid">
        <fgColor rgb="FFB2C0DF"/>
        <bgColor indexed="64"/>
      </patternFill>
    </fill>
    <fill>
      <patternFill patternType="solid">
        <fgColor rgb="FFFE8E9E"/>
        <bgColor indexed="64"/>
      </patternFill>
    </fill>
    <fill>
      <patternFill patternType="solid">
        <fgColor rgb="FFFE8F9C"/>
        <bgColor indexed="64"/>
      </patternFill>
    </fill>
    <fill>
      <patternFill patternType="solid">
        <fgColor rgb="FFFE5D4F"/>
        <bgColor indexed="64"/>
      </patternFill>
    </fill>
    <fill>
      <patternFill patternType="solid">
        <fgColor rgb="FF24885C"/>
        <bgColor indexed="64"/>
      </patternFill>
    </fill>
    <fill>
      <patternFill patternType="solid">
        <fgColor rgb="FF62CE9F"/>
        <bgColor indexed="64"/>
      </patternFill>
    </fill>
    <fill>
      <patternFill patternType="solid">
        <fgColor rgb="FFA4DAA4"/>
        <bgColor indexed="64"/>
      </patternFill>
    </fill>
    <fill>
      <patternFill patternType="solid">
        <fgColor rgb="FF61E5B6"/>
        <bgColor indexed="64"/>
      </patternFill>
    </fill>
    <fill>
      <patternFill patternType="solid">
        <fgColor rgb="FFFD8D9E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rgb="FFFD5D4F"/>
        <bgColor indexed="64"/>
      </patternFill>
    </fill>
    <fill>
      <patternFill patternType="solid">
        <fgColor rgb="FFFE5D50"/>
        <bgColor indexed="64"/>
      </patternFill>
    </fill>
    <fill>
      <patternFill patternType="solid">
        <fgColor rgb="FFFD5546"/>
        <bgColor indexed="64"/>
      </patternFill>
    </fill>
    <fill>
      <patternFill patternType="solid">
        <fgColor rgb="FFFE4A3E"/>
        <bgColor indexed="64"/>
      </patternFill>
    </fill>
    <fill>
      <patternFill patternType="solid">
        <fgColor rgb="FFFE4B3E"/>
        <bgColor indexed="64"/>
      </patternFill>
    </fill>
    <fill>
      <patternFill patternType="solid">
        <fgColor rgb="FFFF493E"/>
        <bgColor indexed="64"/>
      </patternFill>
    </fill>
    <fill>
      <patternFill patternType="solid">
        <fgColor rgb="FFF2463B"/>
        <bgColor indexed="64"/>
      </patternFill>
    </fill>
    <fill>
      <patternFill patternType="solid">
        <fgColor rgb="FF228A5E"/>
        <bgColor indexed="64"/>
      </patternFill>
    </fill>
    <fill>
      <patternFill patternType="solid">
        <fgColor rgb="FF1AA595"/>
        <bgColor indexed="64"/>
      </patternFill>
    </fill>
    <fill>
      <patternFill patternType="solid">
        <fgColor rgb="FFFF8D9E"/>
        <bgColor indexed="64"/>
      </patternFill>
    </fill>
    <fill>
      <patternFill patternType="solid">
        <fgColor rgb="FFFE5C50"/>
        <bgColor indexed="64"/>
      </patternFill>
    </fill>
    <fill>
      <patternFill patternType="solid">
        <fgColor rgb="FFFD4C3D"/>
        <bgColor indexed="64"/>
      </patternFill>
    </fill>
    <fill>
      <patternFill patternType="solid">
        <fgColor rgb="FFFE4B3D"/>
        <bgColor indexed="64"/>
      </patternFill>
    </fill>
    <fill>
      <patternFill patternType="solid">
        <fgColor rgb="FFFD4C3C"/>
        <bgColor indexed="64"/>
      </patternFill>
    </fill>
    <fill>
      <patternFill patternType="solid">
        <fgColor rgb="FFFF8DFF"/>
        <bgColor indexed="64"/>
      </patternFill>
    </fill>
    <fill>
      <patternFill patternType="solid">
        <fgColor rgb="FFFD90FD"/>
        <bgColor indexed="64"/>
      </patternFill>
    </fill>
    <fill>
      <patternFill patternType="solid">
        <fgColor rgb="FF1DA697"/>
        <bgColor indexed="64"/>
      </patternFill>
    </fill>
    <fill>
      <patternFill patternType="solid">
        <fgColor rgb="FF1CA698"/>
        <bgColor indexed="64"/>
      </patternFill>
    </fill>
    <fill>
      <patternFill patternType="solid">
        <fgColor rgb="FF9AD2BD"/>
        <bgColor indexed="64"/>
      </patternFill>
    </fill>
    <fill>
      <patternFill patternType="solid">
        <fgColor rgb="FF58DAAB"/>
        <bgColor indexed="64"/>
      </patternFill>
    </fill>
    <fill>
      <patternFill patternType="solid">
        <fgColor rgb="FF7ECF4A"/>
        <bgColor indexed="64"/>
      </patternFill>
    </fill>
    <fill>
      <patternFill patternType="solid">
        <fgColor rgb="FF7ED049"/>
        <bgColor indexed="64"/>
      </patternFill>
    </fill>
    <fill>
      <patternFill patternType="solid">
        <fgColor rgb="FF7CD04A"/>
        <bgColor indexed="64"/>
      </patternFill>
    </fill>
    <fill>
      <patternFill patternType="solid">
        <fgColor rgb="FF7ECE49"/>
        <bgColor indexed="64"/>
      </patternFill>
    </fill>
    <fill>
      <patternFill patternType="solid">
        <fgColor rgb="FF7CCF49"/>
        <bgColor indexed="64"/>
      </patternFill>
    </fill>
    <fill>
      <patternFill patternType="solid">
        <fgColor rgb="FF31B724"/>
        <bgColor indexed="64"/>
      </patternFill>
    </fill>
    <fill>
      <patternFill patternType="solid">
        <fgColor rgb="FF31B725"/>
        <bgColor indexed="64"/>
      </patternFill>
    </fill>
    <fill>
      <patternFill patternType="solid">
        <fgColor rgb="FF48C73C"/>
        <bgColor indexed="64"/>
      </patternFill>
    </fill>
    <fill>
      <patternFill patternType="solid">
        <fgColor rgb="FF58B947"/>
        <bgColor indexed="64"/>
      </patternFill>
    </fill>
    <fill>
      <patternFill patternType="solid">
        <fgColor rgb="FF4FC143"/>
        <bgColor indexed="64"/>
      </patternFill>
    </fill>
    <fill>
      <patternFill patternType="solid">
        <fgColor rgb="FF58B948"/>
        <bgColor indexed="64"/>
      </patternFill>
    </fill>
    <fill>
      <patternFill patternType="solid">
        <fgColor rgb="FF80CCF8"/>
        <bgColor indexed="64"/>
      </patternFill>
    </fill>
    <fill>
      <patternFill patternType="solid">
        <fgColor rgb="FF7FBFE2"/>
        <bgColor indexed="64"/>
      </patternFill>
    </fill>
    <fill>
      <patternFill patternType="solid">
        <fgColor rgb="FFB3BFDE"/>
        <bgColor indexed="64"/>
      </patternFill>
    </fill>
    <fill>
      <patternFill patternType="solid">
        <fgColor rgb="FFB3BFDD"/>
        <bgColor indexed="64"/>
      </patternFill>
    </fill>
    <fill>
      <patternFill patternType="solid">
        <fgColor rgb="FFB2BEDE"/>
        <bgColor indexed="64"/>
      </patternFill>
    </fill>
    <fill>
      <patternFill patternType="solid">
        <fgColor rgb="FFFD5C50"/>
        <bgColor indexed="64"/>
      </patternFill>
    </fill>
    <fill>
      <patternFill patternType="solid">
        <fgColor rgb="FFFF5B50"/>
        <bgColor indexed="64"/>
      </patternFill>
    </fill>
    <fill>
      <patternFill patternType="solid">
        <fgColor rgb="FFA7ECD3"/>
        <bgColor indexed="64"/>
      </patternFill>
    </fill>
    <fill>
      <patternFill patternType="solid">
        <fgColor rgb="FF4BB547"/>
        <bgColor indexed="64"/>
      </patternFill>
    </fill>
    <fill>
      <patternFill patternType="solid">
        <fgColor rgb="FF80CDF7"/>
        <bgColor indexed="64"/>
      </patternFill>
    </fill>
    <fill>
      <patternFill patternType="solid">
        <fgColor rgb="FF7FC0E1"/>
        <bgColor indexed="64"/>
      </patternFill>
    </fill>
    <fill>
      <patternFill patternType="solid">
        <fgColor rgb="FFB2BFDD"/>
        <bgColor indexed="64"/>
      </patternFill>
    </fill>
    <fill>
      <patternFill patternType="solid">
        <fgColor rgb="FFFE5C4E"/>
        <bgColor indexed="64"/>
      </patternFill>
    </fill>
    <fill>
      <patternFill patternType="solid">
        <fgColor rgb="FF53BE93"/>
        <bgColor indexed="64"/>
      </patternFill>
    </fill>
    <fill>
      <patternFill patternType="solid">
        <fgColor rgb="FF7DD04B"/>
        <bgColor indexed="64"/>
      </patternFill>
    </fill>
    <fill>
      <patternFill patternType="solid">
        <fgColor rgb="FF7CCF4A"/>
        <bgColor indexed="64"/>
      </patternFill>
    </fill>
    <fill>
      <patternFill patternType="solid">
        <fgColor rgb="FF32B524"/>
        <bgColor indexed="64"/>
      </patternFill>
    </fill>
    <fill>
      <patternFill patternType="solid">
        <fgColor rgb="FF4EC144"/>
        <bgColor indexed="64"/>
      </patternFill>
    </fill>
    <fill>
      <patternFill patternType="solid">
        <fgColor rgb="FF7FBEE2"/>
        <bgColor indexed="64"/>
      </patternFill>
    </fill>
    <fill>
      <patternFill patternType="solid">
        <fgColor rgb="FFB2BFDE"/>
        <bgColor indexed="64"/>
      </patternFill>
    </fill>
    <fill>
      <patternFill patternType="solid">
        <fgColor rgb="FF60E7B7"/>
        <bgColor indexed="64"/>
      </patternFill>
    </fill>
    <fill>
      <patternFill patternType="solid">
        <fgColor rgb="FFFE4C3C"/>
        <bgColor indexed="64"/>
      </patternFill>
    </fill>
    <fill>
      <patternFill patternType="solid">
        <fgColor rgb="FF7DCF4A"/>
        <bgColor indexed="64"/>
      </patternFill>
    </fill>
    <fill>
      <patternFill patternType="solid">
        <fgColor rgb="FF7ECD4B"/>
        <bgColor indexed="64"/>
      </patternFill>
    </fill>
    <fill>
      <patternFill patternType="solid">
        <fgColor rgb="FF31B825"/>
        <bgColor indexed="64"/>
      </patternFill>
    </fill>
    <fill>
      <patternFill patternType="solid">
        <fgColor rgb="FF57B948"/>
        <bgColor indexed="64"/>
      </patternFill>
    </fill>
    <fill>
      <patternFill patternType="solid">
        <fgColor rgb="FFB2C0DD"/>
        <bgColor indexed="64"/>
      </patternFill>
    </fill>
    <fill>
      <patternFill patternType="solid">
        <fgColor rgb="FF6ACABA"/>
        <bgColor indexed="64"/>
      </patternFill>
    </fill>
    <fill>
      <patternFill patternType="solid">
        <fgColor rgb="FFFF5345"/>
        <bgColor indexed="64"/>
      </patternFill>
    </fill>
    <fill>
      <patternFill patternType="solid">
        <fgColor rgb="FFFE493E"/>
        <bgColor indexed="64"/>
      </patternFill>
    </fill>
    <fill>
      <patternFill patternType="solid">
        <fgColor rgb="FFFF8EFC"/>
        <bgColor indexed="64"/>
      </patternFill>
    </fill>
    <fill>
      <patternFill patternType="solid">
        <fgColor rgb="FFFFAE6E"/>
        <bgColor indexed="64"/>
      </patternFill>
    </fill>
    <fill>
      <patternFill patternType="solid">
        <fgColor rgb="FFFEAC6E"/>
        <bgColor indexed="64"/>
      </patternFill>
    </fill>
    <fill>
      <patternFill patternType="solid">
        <fgColor rgb="FFFFBA85"/>
        <bgColor indexed="64"/>
      </patternFill>
    </fill>
    <fill>
      <patternFill patternType="solid">
        <fgColor rgb="FFFEA4D0"/>
        <bgColor indexed="64"/>
      </patternFill>
    </fill>
    <fill>
      <patternFill patternType="solid">
        <fgColor rgb="FFEBE654"/>
        <bgColor indexed="64"/>
      </patternFill>
    </fill>
    <fill>
      <patternFill patternType="solid">
        <fgColor rgb="FFECE754"/>
        <bgColor indexed="64"/>
      </patternFill>
    </fill>
    <fill>
      <patternFill patternType="solid">
        <fgColor rgb="FFFDF991"/>
        <bgColor indexed="64"/>
      </patternFill>
    </fill>
    <fill>
      <patternFill patternType="solid">
        <fgColor rgb="FFFD4A3E"/>
        <bgColor indexed="64"/>
      </patternFill>
    </fill>
    <fill>
      <patternFill patternType="solid">
        <fgColor rgb="FF61E7B5"/>
        <bgColor indexed="64"/>
      </patternFill>
    </fill>
    <fill>
      <patternFill patternType="solid">
        <fgColor rgb="FFFF5C4F"/>
        <bgColor indexed="64"/>
      </patternFill>
    </fill>
    <fill>
      <patternFill patternType="solid">
        <fgColor rgb="FFFE5545"/>
        <bgColor indexed="64"/>
      </patternFill>
    </fill>
    <fill>
      <patternFill patternType="solid">
        <fgColor rgb="FFFC90FD"/>
        <bgColor indexed="64"/>
      </patternFill>
    </fill>
    <fill>
      <patternFill patternType="solid">
        <fgColor rgb="FFFEAE6D"/>
        <bgColor indexed="64"/>
      </patternFill>
    </fill>
    <fill>
      <patternFill patternType="solid">
        <fgColor rgb="FFFDAD6E"/>
        <bgColor indexed="64"/>
      </patternFill>
    </fill>
    <fill>
      <patternFill patternType="solid">
        <fgColor rgb="FFFEB1D6"/>
        <bgColor indexed="64"/>
      </patternFill>
    </fill>
    <fill>
      <patternFill patternType="solid">
        <fgColor rgb="FFFEB2D6"/>
        <bgColor indexed="64"/>
      </patternFill>
    </fill>
    <fill>
      <patternFill patternType="solid">
        <fgColor rgb="FFFEFA8F"/>
        <bgColor indexed="64"/>
      </patternFill>
    </fill>
    <fill>
      <patternFill patternType="solid">
        <fgColor rgb="FFFEFB91"/>
        <bgColor indexed="64"/>
      </patternFill>
    </fill>
    <fill>
      <patternFill patternType="solid">
        <fgColor rgb="FFFDFA8F"/>
        <bgColor indexed="64"/>
      </patternFill>
    </fill>
    <fill>
      <patternFill patternType="solid">
        <fgColor rgb="FF59D9AB"/>
        <bgColor indexed="64"/>
      </patternFill>
    </fill>
    <fill>
      <patternFill patternType="solid">
        <fgColor rgb="FF59B947"/>
        <bgColor indexed="64"/>
      </patternFill>
    </fill>
    <fill>
      <patternFill patternType="solid">
        <fgColor rgb="FFFF5C50"/>
        <bgColor indexed="64"/>
      </patternFill>
    </fill>
    <fill>
      <patternFill patternType="solid">
        <fgColor rgb="FFFE5347"/>
        <bgColor indexed="64"/>
      </patternFill>
    </fill>
    <fill>
      <patternFill patternType="solid">
        <fgColor rgb="FFFE4C3E"/>
        <bgColor indexed="64"/>
      </patternFill>
    </fill>
    <fill>
      <patternFill patternType="solid">
        <fgColor rgb="FFFF4C3B"/>
        <bgColor indexed="64"/>
      </patternFill>
    </fill>
    <fill>
      <patternFill patternType="solid">
        <fgColor rgb="FFFE8EFD"/>
        <bgColor indexed="64"/>
      </patternFill>
    </fill>
    <fill>
      <patternFill patternType="solid">
        <fgColor rgb="FFFF8EFD"/>
        <bgColor indexed="64"/>
      </patternFill>
    </fill>
    <fill>
      <patternFill patternType="solid">
        <fgColor rgb="FFFEAE6F"/>
        <bgColor indexed="64"/>
      </patternFill>
    </fill>
    <fill>
      <patternFill patternType="solid">
        <fgColor rgb="FFFDAD6F"/>
        <bgColor indexed="64"/>
      </patternFill>
    </fill>
    <fill>
      <patternFill patternType="solid">
        <fgColor rgb="FFFDA4D1"/>
        <bgColor indexed="64"/>
      </patternFill>
    </fill>
    <fill>
      <patternFill patternType="solid">
        <fgColor rgb="FFFEA5D2"/>
        <bgColor indexed="64"/>
      </patternFill>
    </fill>
    <fill>
      <patternFill patternType="solid">
        <fgColor rgb="FFFFFA8E"/>
        <bgColor indexed="64"/>
      </patternFill>
    </fill>
    <fill>
      <patternFill patternType="solid">
        <fgColor rgb="FFFFF991"/>
        <bgColor indexed="64"/>
      </patternFill>
    </fill>
    <fill>
      <patternFill patternType="solid">
        <fgColor rgb="FFFEFC8D"/>
        <bgColor indexed="64"/>
      </patternFill>
    </fill>
    <fill>
      <patternFill patternType="solid">
        <fgColor rgb="FFFCFB91"/>
        <bgColor indexed="64"/>
      </patternFill>
    </fill>
    <fill>
      <patternFill patternType="solid">
        <fgColor rgb="FFECE752"/>
        <bgColor indexed="64"/>
      </patternFill>
    </fill>
    <fill>
      <patternFill patternType="solid">
        <fgColor rgb="FFEBE652"/>
        <bgColor indexed="64"/>
      </patternFill>
    </fill>
    <fill>
      <patternFill patternType="solid">
        <fgColor rgb="FFECE653"/>
        <bgColor indexed="64"/>
      </patternFill>
    </fill>
    <fill>
      <patternFill patternType="solid">
        <fgColor rgb="FFFEFC8E"/>
        <bgColor indexed="64"/>
      </patternFill>
    </fill>
    <fill>
      <patternFill patternType="solid">
        <fgColor rgb="FFFDFC8E"/>
        <bgColor indexed="64"/>
      </patternFill>
    </fill>
    <fill>
      <patternFill patternType="solid">
        <fgColor rgb="FFFEFA8E"/>
        <bgColor indexed="64"/>
      </patternFill>
    </fill>
    <fill>
      <patternFill patternType="solid">
        <fgColor rgb="FFFEFC91"/>
        <bgColor indexed="64"/>
      </patternFill>
    </fill>
    <fill>
      <patternFill patternType="solid">
        <fgColor rgb="FFFDFA8E"/>
        <bgColor indexed="64"/>
      </patternFill>
    </fill>
    <fill>
      <patternFill patternType="solid">
        <fgColor rgb="FFFFFB90"/>
        <bgColor indexed="64"/>
      </patternFill>
    </fill>
    <fill>
      <patternFill patternType="solid">
        <fgColor rgb="FFFDFC91"/>
        <bgColor indexed="64"/>
      </patternFill>
    </fill>
    <fill>
      <patternFill patternType="solid">
        <fgColor rgb="FFC9C8CB"/>
        <bgColor indexed="64"/>
      </patternFill>
    </fill>
    <fill>
      <patternFill patternType="solid">
        <fgColor rgb="FFCBC8C9"/>
        <bgColor indexed="64"/>
      </patternFill>
    </fill>
    <fill>
      <patternFill patternType="solid">
        <fgColor rgb="FFCAC8C8"/>
        <bgColor indexed="64"/>
      </patternFill>
    </fill>
    <fill>
      <patternFill patternType="solid">
        <fgColor rgb="FFCCCBCC"/>
        <bgColor indexed="64"/>
      </patternFill>
    </fill>
    <fill>
      <patternFill patternType="solid">
        <fgColor rgb="FFCBCCC9"/>
        <bgColor indexed="64"/>
      </patternFill>
    </fill>
    <fill>
      <patternFill patternType="solid">
        <fgColor rgb="FFC7CCC8"/>
        <bgColor indexed="64"/>
      </patternFill>
    </fill>
    <fill>
      <patternFill patternType="solid">
        <fgColor rgb="FFCAC9CB"/>
        <bgColor indexed="64"/>
      </patternFill>
    </fill>
    <fill>
      <patternFill patternType="solid">
        <fgColor rgb="FFCBC8C7"/>
        <bgColor indexed="64"/>
      </patternFill>
    </fill>
    <fill>
      <patternFill patternType="solid">
        <fgColor rgb="FFC7C8CB"/>
        <bgColor indexed="64"/>
      </patternFill>
    </fill>
    <fill>
      <patternFill patternType="solid">
        <fgColor rgb="FFC7CACB"/>
        <bgColor indexed="64"/>
      </patternFill>
    </fill>
    <fill>
      <patternFill patternType="solid">
        <fgColor rgb="FFCACCCA"/>
        <bgColor indexed="64"/>
      </patternFill>
    </fill>
    <fill>
      <patternFill patternType="solid">
        <fgColor rgb="FFCBCBC9"/>
        <bgColor indexed="64"/>
      </patternFill>
    </fill>
    <fill>
      <patternFill patternType="solid">
        <fgColor rgb="FFCBCAC8"/>
        <bgColor indexed="64"/>
      </patternFill>
    </fill>
    <fill>
      <patternFill patternType="solid">
        <fgColor rgb="FFCCC8C7"/>
        <bgColor indexed="64"/>
      </patternFill>
    </fill>
    <fill>
      <patternFill patternType="solid">
        <fgColor rgb="FFC7CCCB"/>
        <bgColor indexed="64"/>
      </patternFill>
    </fill>
    <fill>
      <patternFill patternType="solid">
        <fgColor rgb="FFFF5D4E"/>
        <bgColor indexed="64"/>
      </patternFill>
    </fill>
    <fill>
      <patternFill patternType="solid">
        <fgColor rgb="FFFDAE6F"/>
        <bgColor indexed="64"/>
      </patternFill>
    </fill>
    <fill>
      <patternFill patternType="solid">
        <fgColor rgb="FFFEBA84"/>
        <bgColor indexed="64"/>
      </patternFill>
    </fill>
    <fill>
      <patternFill patternType="solid">
        <fgColor rgb="FFFEA4D1"/>
        <bgColor indexed="64"/>
      </patternFill>
    </fill>
    <fill>
      <patternFill patternType="solid">
        <fgColor rgb="FFFFA4D1"/>
        <bgColor indexed="64"/>
      </patternFill>
    </fill>
    <fill>
      <patternFill patternType="solid">
        <fgColor rgb="FFFFB1D7"/>
        <bgColor indexed="64"/>
      </patternFill>
    </fill>
    <fill>
      <patternFill patternType="solid">
        <fgColor rgb="FFFFFC91"/>
        <bgColor indexed="64"/>
      </patternFill>
    </fill>
    <fill>
      <patternFill patternType="solid">
        <fgColor rgb="FFFDF98F"/>
        <bgColor indexed="64"/>
      </patternFill>
    </fill>
    <fill>
      <patternFill patternType="solid">
        <fgColor rgb="FFFDFA90"/>
        <bgColor indexed="64"/>
      </patternFill>
    </fill>
    <fill>
      <patternFill patternType="solid">
        <fgColor rgb="FFFCFA90"/>
        <bgColor indexed="64"/>
      </patternFill>
    </fill>
    <fill>
      <patternFill patternType="solid">
        <fgColor rgb="FFEAE753"/>
        <bgColor indexed="64"/>
      </patternFill>
    </fill>
    <fill>
      <patternFill patternType="solid">
        <fgColor rgb="FFFE4A3D"/>
        <bgColor indexed="64"/>
      </patternFill>
    </fill>
    <fill>
      <patternFill patternType="solid">
        <fgColor rgb="FFFE4B3B"/>
        <bgColor indexed="64"/>
      </patternFill>
    </fill>
    <fill>
      <patternFill patternType="solid">
        <fgColor rgb="FFA4D9A4"/>
        <bgColor indexed="64"/>
      </patternFill>
    </fill>
    <fill>
      <patternFill patternType="solid">
        <fgColor rgb="FFFE8F9D"/>
        <bgColor indexed="64"/>
      </patternFill>
    </fill>
    <fill>
      <patternFill patternType="solid">
        <fgColor rgb="FFFE4C3B"/>
        <bgColor indexed="64"/>
      </patternFill>
    </fill>
    <fill>
      <patternFill patternType="solid">
        <fgColor rgb="FFFD4B3D"/>
        <bgColor indexed="64"/>
      </patternFill>
    </fill>
    <fill>
      <patternFill patternType="solid">
        <fgColor rgb="FF7DD049"/>
        <bgColor indexed="64"/>
      </patternFill>
    </fill>
    <fill>
      <patternFill patternType="solid">
        <fgColor rgb="FF31B823"/>
        <bgColor indexed="64"/>
      </patternFill>
    </fill>
    <fill>
      <patternFill patternType="solid">
        <fgColor rgb="FFFEAD6D"/>
        <bgColor indexed="64"/>
      </patternFill>
    </fill>
    <fill>
      <patternFill patternType="solid">
        <fgColor rgb="FFFFC394"/>
        <bgColor indexed="64"/>
      </patternFill>
    </fill>
    <fill>
      <patternFill patternType="solid">
        <fgColor rgb="FFFFA5CF"/>
        <bgColor indexed="64"/>
      </patternFill>
    </fill>
    <fill>
      <patternFill patternType="solid">
        <fgColor rgb="FFFEF891"/>
        <bgColor indexed="64"/>
      </patternFill>
    </fill>
    <fill>
      <patternFill patternType="solid">
        <fgColor rgb="FFFDFB8E"/>
        <bgColor indexed="64"/>
      </patternFill>
    </fill>
    <fill>
      <patternFill patternType="solid">
        <fgColor rgb="FFEBE754"/>
        <bgColor indexed="64"/>
      </patternFill>
    </fill>
    <fill>
      <patternFill patternType="solid">
        <fgColor rgb="FFCCC7C8"/>
        <bgColor indexed="64"/>
      </patternFill>
    </fill>
    <fill>
      <patternFill patternType="solid">
        <fgColor rgb="FFC8CBCB"/>
        <bgColor indexed="64"/>
      </patternFill>
    </fill>
    <fill>
      <patternFill patternType="solid">
        <fgColor rgb="FFC9CBCA"/>
        <bgColor indexed="64"/>
      </patternFill>
    </fill>
    <fill>
      <patternFill patternType="solid">
        <fgColor rgb="FFCACBCC"/>
        <bgColor indexed="64"/>
      </patternFill>
    </fill>
    <fill>
      <patternFill patternType="solid">
        <fgColor rgb="FFC8CAC8"/>
        <bgColor indexed="64"/>
      </patternFill>
    </fill>
    <fill>
      <patternFill patternType="solid">
        <fgColor rgb="FFCCCCC8"/>
        <bgColor indexed="64"/>
      </patternFill>
    </fill>
    <fill>
      <patternFill patternType="solid">
        <fgColor rgb="FFCBCCCC"/>
        <bgColor indexed="64"/>
      </patternFill>
    </fill>
    <fill>
      <patternFill patternType="solid">
        <fgColor rgb="FFC8C9CC"/>
        <bgColor indexed="64"/>
      </patternFill>
    </fill>
    <fill>
      <patternFill patternType="solid">
        <fgColor rgb="FFCACBCB"/>
        <bgColor indexed="64"/>
      </patternFill>
    </fill>
    <fill>
      <patternFill patternType="solid">
        <fgColor rgb="FFCAC9CA"/>
        <bgColor indexed="64"/>
      </patternFill>
    </fill>
    <fill>
      <patternFill patternType="solid">
        <fgColor rgb="FFAAA7AA"/>
        <bgColor indexed="64"/>
      </patternFill>
    </fill>
    <fill>
      <patternFill patternType="solid">
        <fgColor rgb="FFA8A9A8"/>
        <bgColor indexed="64"/>
      </patternFill>
    </fill>
    <fill>
      <patternFill patternType="solid">
        <fgColor rgb="FFA7AAAA"/>
        <bgColor indexed="64"/>
      </patternFill>
    </fill>
    <fill>
      <patternFill patternType="solid">
        <fgColor rgb="FFA9AAAA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FFB2D7"/>
        <bgColor indexed="64"/>
      </patternFill>
    </fill>
    <fill>
      <patternFill patternType="solid">
        <fgColor rgb="FFEBE752"/>
        <bgColor indexed="64"/>
      </patternFill>
    </fill>
    <fill>
      <patternFill patternType="solid">
        <fgColor rgb="FFCCC8C9"/>
        <bgColor indexed="64"/>
      </patternFill>
    </fill>
    <fill>
      <patternFill patternType="solid">
        <fgColor rgb="FFCAC9C7"/>
        <bgColor indexed="64"/>
      </patternFill>
    </fill>
    <fill>
      <patternFill patternType="solid">
        <fgColor rgb="FFFFC395"/>
        <bgColor indexed="64"/>
      </patternFill>
    </fill>
    <fill>
      <patternFill patternType="solid">
        <fgColor rgb="FFFFB3D9"/>
        <bgColor indexed="64"/>
      </patternFill>
    </fill>
    <fill>
      <patternFill patternType="solid">
        <fgColor rgb="FFEBE753"/>
        <bgColor indexed="64"/>
      </patternFill>
    </fill>
    <fill>
      <patternFill patternType="solid">
        <fgColor rgb="FFFFFB8D"/>
        <bgColor indexed="64"/>
      </patternFill>
    </fill>
    <fill>
      <patternFill patternType="solid">
        <fgColor rgb="FFFCFA8F"/>
        <bgColor indexed="64"/>
      </patternFill>
    </fill>
    <fill>
      <patternFill patternType="solid">
        <fgColor rgb="FFEBE653"/>
        <bgColor indexed="64"/>
      </patternFill>
    </fill>
    <fill>
      <patternFill patternType="solid">
        <fgColor rgb="FFEAE754"/>
        <bgColor indexed="64"/>
      </patternFill>
    </fill>
    <fill>
      <patternFill patternType="solid">
        <fgColor rgb="FFC7CCC9"/>
        <bgColor indexed="64"/>
      </patternFill>
    </fill>
    <fill>
      <patternFill patternType="solid">
        <fgColor rgb="FFC8CCCB"/>
        <bgColor indexed="64"/>
      </patternFill>
    </fill>
    <fill>
      <patternFill patternType="solid">
        <fgColor rgb="FFCAC9C9"/>
        <bgColor indexed="64"/>
      </patternFill>
    </fill>
    <fill>
      <patternFill patternType="solid">
        <fgColor rgb="FFFD8EFE"/>
        <bgColor indexed="64"/>
      </patternFill>
    </fill>
    <fill>
      <patternFill patternType="solid">
        <fgColor rgb="FFFFFB8F"/>
        <bgColor indexed="64"/>
      </patternFill>
    </fill>
    <fill>
      <patternFill patternType="solid">
        <fgColor rgb="FFFEFB90"/>
        <bgColor indexed="64"/>
      </patternFill>
    </fill>
    <fill>
      <patternFill patternType="solid">
        <fgColor rgb="FFFFFA90"/>
        <bgColor indexed="64"/>
      </patternFill>
    </fill>
    <fill>
      <patternFill patternType="solid">
        <fgColor rgb="FFC8C8CA"/>
        <bgColor indexed="64"/>
      </patternFill>
    </fill>
    <fill>
      <patternFill patternType="solid">
        <fgColor rgb="FFCBCCC8"/>
        <bgColor indexed="64"/>
      </patternFill>
    </fill>
    <fill>
      <patternFill patternType="solid">
        <fgColor rgb="FFC9CBC8"/>
        <bgColor indexed="64"/>
      </patternFill>
    </fill>
    <fill>
      <patternFill patternType="solid">
        <fgColor rgb="FFC9CBCC"/>
        <bgColor indexed="64"/>
      </patternFill>
    </fill>
    <fill>
      <patternFill patternType="solid">
        <fgColor rgb="FFCCCACC"/>
        <bgColor indexed="64"/>
      </patternFill>
    </fill>
    <fill>
      <patternFill patternType="solid">
        <fgColor rgb="FFC8CCCC"/>
        <bgColor indexed="64"/>
      </patternFill>
    </fill>
    <fill>
      <patternFill patternType="solid">
        <fgColor rgb="FFCACCC9"/>
        <bgColor indexed="64"/>
      </patternFill>
    </fill>
    <fill>
      <patternFill patternType="solid">
        <fgColor rgb="FFC8CCC8"/>
        <bgColor indexed="64"/>
      </patternFill>
    </fill>
    <fill>
      <patternFill patternType="solid">
        <fgColor rgb="FFCACCCC"/>
        <bgColor indexed="64"/>
      </patternFill>
    </fill>
    <fill>
      <patternFill patternType="solid">
        <fgColor rgb="FFC7CBC9"/>
        <bgColor indexed="64"/>
      </patternFill>
    </fill>
    <fill>
      <patternFill patternType="solid">
        <fgColor rgb="FFCCC9CC"/>
        <bgColor indexed="64"/>
      </patternFill>
    </fill>
    <fill>
      <patternFill patternType="solid">
        <fgColor rgb="FFCBC7C9"/>
        <bgColor indexed="64"/>
      </patternFill>
    </fill>
    <fill>
      <patternFill patternType="solid">
        <fgColor rgb="FFC9CAC9"/>
        <bgColor indexed="64"/>
      </patternFill>
    </fill>
    <fill>
      <patternFill patternType="solid">
        <fgColor rgb="FFCAC7CA"/>
        <bgColor indexed="64"/>
      </patternFill>
    </fill>
    <fill>
      <patternFill patternType="solid">
        <fgColor rgb="FFC9C7CB"/>
        <bgColor indexed="64"/>
      </patternFill>
    </fill>
    <fill>
      <patternFill patternType="solid">
        <fgColor rgb="FFAAA8A8"/>
        <bgColor indexed="64"/>
      </patternFill>
    </fill>
    <fill>
      <patternFill patternType="solid">
        <fgColor rgb="FFAAA7A9"/>
        <bgColor indexed="64"/>
      </patternFill>
    </fill>
    <fill>
      <patternFill patternType="solid">
        <fgColor rgb="FFA8A9A9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AA9A9"/>
        <bgColor indexed="64"/>
      </patternFill>
    </fill>
    <fill>
      <patternFill patternType="solid">
        <fgColor rgb="FFAAAAA8"/>
        <bgColor indexed="64"/>
      </patternFill>
    </fill>
    <fill>
      <patternFill patternType="solid">
        <fgColor rgb="FFCCCBC9"/>
        <bgColor indexed="64"/>
      </patternFill>
    </fill>
    <fill>
      <patternFill patternType="solid">
        <fgColor rgb="FFCBCCCA"/>
        <bgColor indexed="64"/>
      </patternFill>
    </fill>
    <fill>
      <patternFill patternType="solid">
        <fgColor rgb="FFCACAC8"/>
        <bgColor indexed="64"/>
      </patternFill>
    </fill>
    <fill>
      <patternFill patternType="solid">
        <fgColor rgb="FFA8AAA9"/>
        <bgColor indexed="64"/>
      </patternFill>
    </fill>
    <fill>
      <patternFill patternType="solid">
        <fgColor rgb="FFA8A8A9"/>
        <bgColor indexed="64"/>
      </patternFill>
    </fill>
    <fill>
      <patternFill patternType="solid">
        <fgColor rgb="FFCACBC8"/>
        <bgColor indexed="64"/>
      </patternFill>
    </fill>
    <fill>
      <patternFill patternType="solid">
        <fgColor rgb="FFFD8EFF"/>
        <bgColor indexed="64"/>
      </patternFill>
    </fill>
    <fill>
      <patternFill patternType="solid">
        <fgColor rgb="FFFEB2D8"/>
        <bgColor indexed="64"/>
      </patternFill>
    </fill>
    <fill>
      <patternFill patternType="solid">
        <fgColor rgb="FFFFFC90"/>
        <bgColor indexed="64"/>
      </patternFill>
    </fill>
    <fill>
      <patternFill patternType="solid">
        <fgColor rgb="FFFFF890"/>
        <bgColor indexed="64"/>
      </patternFill>
    </fill>
    <fill>
      <patternFill patternType="solid">
        <fgColor rgb="FFECE553"/>
        <bgColor indexed="64"/>
      </patternFill>
    </fill>
    <fill>
      <patternFill patternType="solid">
        <fgColor rgb="FFFFFB91"/>
        <bgColor indexed="64"/>
      </patternFill>
    </fill>
    <fill>
      <patternFill patternType="solid">
        <fgColor rgb="FFFDF990"/>
        <bgColor indexed="64"/>
      </patternFill>
    </fill>
    <fill>
      <patternFill patternType="solid">
        <fgColor rgb="FFFFFC8F"/>
        <bgColor indexed="64"/>
      </patternFill>
    </fill>
    <fill>
      <patternFill patternType="solid">
        <fgColor rgb="FFCBC7C8"/>
        <bgColor indexed="64"/>
      </patternFill>
    </fill>
    <fill>
      <patternFill patternType="solid">
        <fgColor rgb="FFCAC8CC"/>
        <bgColor indexed="64"/>
      </patternFill>
    </fill>
    <fill>
      <patternFill patternType="solid">
        <fgColor rgb="FFCCC9C9"/>
        <bgColor indexed="64"/>
      </patternFill>
    </fill>
    <fill>
      <patternFill patternType="solid">
        <fgColor rgb="FFCACACC"/>
        <bgColor indexed="64"/>
      </patternFill>
    </fill>
    <fill>
      <patternFill patternType="solid">
        <fgColor rgb="FFC7CBC8"/>
        <bgColor indexed="64"/>
      </patternFill>
    </fill>
    <fill>
      <patternFill patternType="solid">
        <fgColor rgb="FFA9A7AA"/>
        <bgColor indexed="64"/>
      </patternFill>
    </fill>
    <fill>
      <patternFill patternType="solid">
        <fgColor rgb="FFA9AAA9"/>
        <bgColor indexed="64"/>
      </patternFill>
    </fill>
    <fill>
      <patternFill patternType="solid">
        <fgColor rgb="FFFE4B3C"/>
        <bgColor indexed="64"/>
      </patternFill>
    </fill>
    <fill>
      <patternFill patternType="solid">
        <fgColor rgb="FFECE654"/>
        <bgColor indexed="64"/>
      </patternFill>
    </fill>
    <fill>
      <patternFill patternType="solid">
        <fgColor rgb="FFECE652"/>
        <bgColor indexed="64"/>
      </patternFill>
    </fill>
    <fill>
      <patternFill patternType="solid">
        <fgColor rgb="FFC9CCCA"/>
        <bgColor indexed="64"/>
      </patternFill>
    </fill>
    <fill>
      <patternFill patternType="solid">
        <fgColor rgb="FFCBCBC8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8CACC"/>
        <bgColor indexed="64"/>
      </patternFill>
    </fill>
    <fill>
      <patternFill patternType="solid">
        <fgColor rgb="FFFEFC8F"/>
        <bgColor indexed="64"/>
      </patternFill>
    </fill>
    <fill>
      <patternFill patternType="solid">
        <fgColor rgb="FFC9C9C7"/>
        <bgColor indexed="64"/>
      </patternFill>
    </fill>
    <fill>
      <patternFill patternType="solid">
        <fgColor rgb="FFA8A8AA"/>
        <bgColor indexed="64"/>
      </patternFill>
    </fill>
    <fill>
      <patternFill patternType="solid">
        <fgColor rgb="FF7F2E7E"/>
        <bgColor indexed="64"/>
      </patternFill>
    </fill>
    <fill>
      <patternFill patternType="solid">
        <fgColor rgb="FFAAA9A8"/>
        <bgColor indexed="64"/>
      </patternFill>
    </fill>
    <fill>
      <patternFill patternType="solid">
        <fgColor rgb="FFFF4A3C"/>
        <bgColor indexed="64"/>
      </patternFill>
    </fill>
    <fill>
      <patternFill patternType="solid">
        <fgColor rgb="FFFFAC6E"/>
        <bgColor indexed="64"/>
      </patternFill>
    </fill>
    <fill>
      <patternFill patternType="solid">
        <fgColor rgb="FFFFA3D1"/>
        <bgColor indexed="64"/>
      </patternFill>
    </fill>
    <fill>
      <patternFill patternType="solid">
        <fgColor rgb="FFFDA4D2"/>
        <bgColor indexed="64"/>
      </patternFill>
    </fill>
    <fill>
      <patternFill patternType="solid">
        <fgColor rgb="FFFFA5D1"/>
        <bgColor indexed="64"/>
      </patternFill>
    </fill>
    <fill>
      <patternFill patternType="solid">
        <fgColor rgb="FFFEFC90"/>
        <bgColor indexed="64"/>
      </patternFill>
    </fill>
    <fill>
      <patternFill patternType="solid">
        <fgColor rgb="FFCBCAC9"/>
        <bgColor indexed="64"/>
      </patternFill>
    </fill>
    <fill>
      <patternFill patternType="solid">
        <fgColor rgb="FFC9CCCB"/>
        <bgColor indexed="64"/>
      </patternFill>
    </fill>
    <fill>
      <patternFill patternType="solid">
        <fgColor rgb="FFC9CBC9"/>
        <bgColor indexed="64"/>
      </patternFill>
    </fill>
    <fill>
      <patternFill patternType="solid">
        <fgColor rgb="FFC8C7CA"/>
        <bgColor indexed="64"/>
      </patternFill>
    </fill>
    <fill>
      <patternFill patternType="solid">
        <fgColor rgb="FFCCC8C8"/>
        <bgColor indexed="64"/>
      </patternFill>
    </fill>
    <fill>
      <patternFill patternType="solid">
        <fgColor rgb="FFCCC9CA"/>
        <bgColor indexed="64"/>
      </patternFill>
    </fill>
    <fill>
      <patternFill patternType="solid">
        <fgColor rgb="FFCBCBCA"/>
        <bgColor indexed="64"/>
      </patternFill>
    </fill>
    <fill>
      <patternFill patternType="solid">
        <fgColor rgb="FFCBCACA"/>
        <bgColor indexed="64"/>
      </patternFill>
    </fill>
    <fill>
      <patternFill patternType="solid">
        <fgColor rgb="FFCCC9CB"/>
        <bgColor indexed="64"/>
      </patternFill>
    </fill>
    <fill>
      <patternFill patternType="solid">
        <fgColor rgb="FFC8CCCA"/>
        <bgColor indexed="64"/>
      </patternFill>
    </fill>
    <fill>
      <patternFill patternType="solid">
        <fgColor rgb="FFA9A8AA"/>
        <bgColor indexed="64"/>
      </patternFill>
    </fill>
    <fill>
      <patternFill patternType="solid">
        <fgColor rgb="FFA8AAA8"/>
        <bgColor indexed="64"/>
      </patternFill>
    </fill>
    <fill>
      <patternFill patternType="solid">
        <fgColor rgb="FFA9A8A8"/>
        <bgColor indexed="64"/>
      </patternFill>
    </fill>
    <fill>
      <patternFill patternType="solid">
        <fgColor rgb="FFAAAAA9"/>
        <bgColor indexed="64"/>
      </patternFill>
    </fill>
    <fill>
      <patternFill patternType="solid">
        <fgColor rgb="FFA9A8A9"/>
        <bgColor indexed="64"/>
      </patternFill>
    </fill>
    <fill>
      <patternFill patternType="solid">
        <fgColor rgb="FFFDAE6D"/>
        <bgColor indexed="64"/>
      </patternFill>
    </fill>
    <fill>
      <patternFill patternType="solid">
        <fgColor rgb="FFFFA4D2"/>
        <bgColor indexed="64"/>
      </patternFill>
    </fill>
    <fill>
      <patternFill patternType="solid">
        <fgColor rgb="FFEBE553"/>
        <bgColor indexed="64"/>
      </patternFill>
    </fill>
    <fill>
      <patternFill patternType="solid">
        <fgColor rgb="FFEBE554"/>
        <bgColor indexed="64"/>
      </patternFill>
    </fill>
    <fill>
      <patternFill patternType="solid">
        <fgColor rgb="FFFDFC90"/>
        <bgColor indexed="64"/>
      </patternFill>
    </fill>
    <fill>
      <patternFill patternType="solid">
        <fgColor rgb="FFECE753"/>
        <bgColor indexed="64"/>
      </patternFill>
    </fill>
    <fill>
      <patternFill patternType="solid">
        <fgColor rgb="FFC9C8C9"/>
        <bgColor indexed="64"/>
      </patternFill>
    </fill>
    <fill>
      <patternFill patternType="solid">
        <fgColor rgb="FFC9CCC8"/>
        <bgColor indexed="64"/>
      </patternFill>
    </fill>
    <fill>
      <patternFill patternType="solid">
        <fgColor rgb="FFFEFB8E"/>
        <bgColor indexed="64"/>
      </patternFill>
    </fill>
    <fill>
      <patternFill patternType="solid">
        <fgColor rgb="FFCAC7C9"/>
        <bgColor indexed="64"/>
      </patternFill>
    </fill>
    <fill>
      <patternFill patternType="solid">
        <fgColor rgb="FFCACBCA"/>
        <bgColor indexed="64"/>
      </patternFill>
    </fill>
    <fill>
      <patternFill patternType="solid">
        <fgColor rgb="FFCAC7C8"/>
        <bgColor indexed="64"/>
      </patternFill>
    </fill>
    <fill>
      <patternFill patternType="solid">
        <fgColor rgb="FFAAA9AA"/>
        <bgColor indexed="64"/>
      </patternFill>
    </fill>
    <fill>
      <patternFill patternType="solid">
        <fgColor rgb="FFCBC9CA"/>
        <bgColor indexed="64"/>
      </patternFill>
    </fill>
    <fill>
      <patternFill patternType="solid">
        <fgColor rgb="FFECE554"/>
        <bgColor indexed="64"/>
      </patternFill>
    </fill>
    <fill>
      <patternFill patternType="solid">
        <fgColor rgb="FFC9C8CC"/>
        <bgColor indexed="64"/>
      </patternFill>
    </fill>
    <fill>
      <patternFill patternType="solid">
        <fgColor rgb="FFAAAAA7"/>
        <bgColor indexed="64"/>
      </patternFill>
    </fill>
    <fill>
      <patternFill patternType="solid">
        <fgColor rgb="FFFFAD6F"/>
        <bgColor indexed="64"/>
      </patternFill>
    </fill>
    <fill>
      <patternFill patternType="solid">
        <fgColor rgb="FFFEAC6F"/>
        <bgColor indexed="64"/>
      </patternFill>
    </fill>
    <fill>
      <patternFill patternType="solid">
        <fgColor rgb="FFFFB985"/>
        <bgColor indexed="64"/>
      </patternFill>
    </fill>
    <fill>
      <patternFill patternType="solid">
        <fgColor rgb="FFFEA3D1"/>
        <bgColor indexed="64"/>
      </patternFill>
    </fill>
    <fill>
      <patternFill patternType="solid">
        <fgColor rgb="FFFFA5D2"/>
        <bgColor indexed="64"/>
      </patternFill>
    </fill>
    <fill>
      <patternFill patternType="solid">
        <fgColor rgb="FFFDB3D7"/>
        <bgColor indexed="64"/>
      </patternFill>
    </fill>
    <fill>
      <patternFill patternType="solid">
        <fgColor rgb="FFCBCACB"/>
        <bgColor indexed="64"/>
      </patternFill>
    </fill>
    <fill>
      <patternFill patternType="solid">
        <fgColor rgb="FFC9CCCC"/>
        <bgColor indexed="64"/>
      </patternFill>
    </fill>
    <fill>
      <patternFill patternType="solid">
        <fgColor rgb="FFCBC7CA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A9A9AA"/>
        <bgColor indexed="64"/>
      </patternFill>
    </fill>
    <fill>
      <patternFill patternType="solid">
        <fgColor rgb="FFCCCCC9"/>
        <bgColor indexed="64"/>
      </patternFill>
    </fill>
    <fill>
      <patternFill patternType="solid">
        <fgColor rgb="FFFDAE6E"/>
        <bgColor indexed="64"/>
      </patternFill>
    </fill>
    <fill>
      <patternFill patternType="solid">
        <fgColor rgb="FFFFA3D0"/>
        <bgColor indexed="64"/>
      </patternFill>
    </fill>
    <fill>
      <patternFill patternType="solid">
        <fgColor rgb="FFFDB3D9"/>
        <bgColor indexed="64"/>
      </patternFill>
    </fill>
    <fill>
      <patternFill patternType="solid">
        <fgColor rgb="FFFFF98F"/>
        <bgColor indexed="64"/>
      </patternFill>
    </fill>
    <fill>
      <patternFill patternType="solid">
        <fgColor rgb="FFFEF98F"/>
        <bgColor indexed="64"/>
      </patternFill>
    </fill>
    <fill>
      <patternFill patternType="solid">
        <fgColor rgb="FFEAE654"/>
        <bgColor indexed="64"/>
      </patternFill>
    </fill>
    <fill>
      <patternFill patternType="solid">
        <fgColor rgb="FFFCFC8F"/>
        <bgColor indexed="64"/>
      </patternFill>
    </fill>
    <fill>
      <patternFill patternType="solid">
        <fgColor rgb="FFFCFB8F"/>
        <bgColor indexed="64"/>
      </patternFill>
    </fill>
    <fill>
      <patternFill patternType="solid">
        <fgColor rgb="FFFFF891"/>
        <bgColor indexed="64"/>
      </patternFill>
    </fill>
    <fill>
      <patternFill patternType="solid">
        <fgColor rgb="FFC9CAC7"/>
        <bgColor indexed="64"/>
      </patternFill>
    </fill>
    <fill>
      <patternFill patternType="solid">
        <fgColor rgb="FFC9CACC"/>
        <bgColor indexed="64"/>
      </patternFill>
    </fill>
    <fill>
      <patternFill patternType="solid">
        <fgColor rgb="FFC8CBC8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339">
    <xf numFmtId="0" fontId="0" fillId="0" borderId="0" xfId="0"/>
    <xf numFmtId="0" fontId="1" fillId="0" borderId="0" xfId="0" applyFont="1"/>
    <xf numFmtId="164" fontId="0" fillId="0" borderId="0" xfId="0" applyNumberFormat="1"/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2176-1F24-1C49-94FE-A308D5B68E8B}">
  <sheetPr codeName="Sheet1"/>
  <dimension ref="A1:F3"/>
  <sheetViews>
    <sheetView workbookViewId="0">
      <selection activeCell="F2" sqref="F2"/>
    </sheetView>
  </sheetViews>
  <sheetFormatPr baseColWidth="10" defaultRowHeight="16" x14ac:dyDescent="0.2"/>
  <sheetData>
    <row r="1" spans="1:6" x14ac:dyDescent="0.2">
      <c r="A1" t="str">
        <f>HEX2DEC(LEFT(B1,2))&amp;"-"&amp;HEX2DEC(MID(B1,3,2))&amp;"-"&amp;HEX2DEC(RIGHT(B1,2))</f>
        <v>34-138-92</v>
      </c>
      <c r="B1" t="s">
        <v>0</v>
      </c>
    </row>
    <row r="2" spans="1:6" x14ac:dyDescent="0.2">
      <c r="A2" t="s">
        <v>1</v>
      </c>
      <c r="F2" t="s">
        <v>3982</v>
      </c>
    </row>
    <row r="3" spans="1:6" x14ac:dyDescent="0.2">
      <c r="A3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5B2E-7FF7-8D46-8DA2-645DF401430B}">
  <sheetPr codeName="Sheet2"/>
  <dimension ref="A1:J1329"/>
  <sheetViews>
    <sheetView workbookViewId="0">
      <selection activeCell="H1" sqref="H1:H1048576"/>
    </sheetView>
  </sheetViews>
  <sheetFormatPr baseColWidth="10" defaultRowHeight="16" x14ac:dyDescent="0.2"/>
  <sheetData>
    <row r="1" spans="1:10" ht="17" x14ac:dyDescent="0.25">
      <c r="A1" s="1" t="s">
        <v>3</v>
      </c>
      <c r="B1" s="1" t="s">
        <v>3</v>
      </c>
      <c r="C1" s="1" t="s">
        <v>3981</v>
      </c>
      <c r="E1" s="1" t="s">
        <v>3986</v>
      </c>
      <c r="F1" s="1" t="s">
        <v>3987</v>
      </c>
      <c r="G1" s="1" t="s">
        <v>3983</v>
      </c>
      <c r="H1" s="1" t="s">
        <v>3984</v>
      </c>
      <c r="I1" s="1" t="s">
        <v>3985</v>
      </c>
    </row>
    <row r="2" spans="1:10" ht="17" x14ac:dyDescent="0.25">
      <c r="A2" s="1" t="s">
        <v>4</v>
      </c>
      <c r="B2" s="1" t="s">
        <v>4</v>
      </c>
      <c r="C2" s="1" t="s">
        <v>1331</v>
      </c>
      <c r="D2" t="str">
        <f>RIGHT(LEFT(C2,9),6)</f>
        <v>000000</v>
      </c>
      <c r="E2" t="str">
        <f>HEX2DEC(LEFT(D2,2))&amp;"-"&amp;HEX2DEC(MID(D2,3,2))&amp;"-"&amp;HEX2DEC(RIGHT(D2,2))</f>
        <v>0-0-0</v>
      </c>
      <c r="F2" t="str">
        <f>HEX2DEC(LEFT(D2,2))&amp;HEX2DEC(MID(D2,3,2))&amp;HEX2DEC(RIGHT(D2,2))</f>
        <v>000</v>
      </c>
      <c r="G2">
        <f>HEX2DEC(LEFT(D2,2))</f>
        <v>0</v>
      </c>
      <c r="H2">
        <f>HEX2DEC(MID(D2,3,2))</f>
        <v>0</v>
      </c>
      <c r="I2">
        <f>HEX2DEC(RIGHT(D2,2))</f>
        <v>0</v>
      </c>
      <c r="J2" s="562" t="str" cm="1">
        <f t="array" ref="J2">myRGB(G2,H2,I2)</f>
        <v/>
      </c>
    </row>
    <row r="3" spans="1:10" ht="17" x14ac:dyDescent="0.25">
      <c r="A3" s="1" t="s">
        <v>5</v>
      </c>
      <c r="B3" s="1" t="s">
        <v>2658</v>
      </c>
      <c r="C3" s="1" t="s">
        <v>1332</v>
      </c>
      <c r="D3" t="str">
        <f>RIGHT(LEFT(C3,9),6)</f>
        <v>BFDAE3</v>
      </c>
      <c r="E3" t="str">
        <f>HEX2DEC(LEFT(D3,2))&amp;"-"&amp;HEX2DEC(MID(D3,3,2))&amp;"-"&amp;HEX2DEC(RIGHT(D3,2))</f>
        <v>191-218-227</v>
      </c>
      <c r="F3" t="str">
        <f>HEX2DEC(LEFT(D3,2))&amp;HEX2DEC(MID(D3,3,2))&amp;HEX2DEC(RIGHT(D3,2))</f>
        <v>191218227</v>
      </c>
      <c r="G3">
        <f>HEX2DEC(LEFT(D3,2))</f>
        <v>191</v>
      </c>
      <c r="H3">
        <f>HEX2DEC(MID(D3,3,2))</f>
        <v>218</v>
      </c>
      <c r="I3">
        <f>HEX2DEC(RIGHT(D3,2))</f>
        <v>227</v>
      </c>
      <c r="J3" s="777" t="str" cm="1">
        <f t="array" ref="J3">myRGB(G3,H3,I3)</f>
        <v/>
      </c>
    </row>
    <row r="4" spans="1:10" ht="17" x14ac:dyDescent="0.25">
      <c r="A4" s="1" t="s">
        <v>6</v>
      </c>
      <c r="B4" s="1" t="s">
        <v>2659</v>
      </c>
      <c r="C4" s="1" t="s">
        <v>1333</v>
      </c>
      <c r="D4" t="str">
        <f t="shared" ref="D4:D67" si="0">RIGHT(LEFT(C4,9),6)</f>
        <v>B0F0FF</v>
      </c>
      <c r="E4" t="str">
        <f t="shared" ref="E4:E67" si="1">HEX2DEC(LEFT(D4,2))&amp;"-"&amp;HEX2DEC(MID(D4,3,2))&amp;"-"&amp;HEX2DEC(RIGHT(D4,2))</f>
        <v>176-240-255</v>
      </c>
      <c r="F4" t="str">
        <f t="shared" ref="F4:F67" si="2">HEX2DEC(LEFT(D4,2))&amp;HEX2DEC(MID(D4,3,2))&amp;HEX2DEC(RIGHT(D4,2))</f>
        <v>176240255</v>
      </c>
      <c r="G4">
        <f t="shared" ref="G4:G67" si="3">HEX2DEC(LEFT(D4,2))</f>
        <v>176</v>
      </c>
      <c r="H4">
        <f t="shared" ref="H4:H67" si="4">HEX2DEC(MID(D4,3,2))</f>
        <v>240</v>
      </c>
      <c r="I4">
        <f t="shared" ref="I4:I67" si="5">HEX2DEC(RIGHT(D4,2))</f>
        <v>255</v>
      </c>
      <c r="J4" s="458" t="str" cm="1">
        <f t="array" ref="J4">myRGB(G4,H4,I4)</f>
        <v/>
      </c>
    </row>
    <row r="5" spans="1:10" ht="17" x14ac:dyDescent="0.25">
      <c r="A5" s="1" t="s">
        <v>7</v>
      </c>
      <c r="B5" s="1" t="s">
        <v>2660</v>
      </c>
      <c r="C5" s="1" t="s">
        <v>1334</v>
      </c>
      <c r="D5" t="str">
        <f t="shared" si="0"/>
        <v>B0FFB8</v>
      </c>
      <c r="E5" t="str">
        <f t="shared" si="1"/>
        <v>176-255-184</v>
      </c>
      <c r="F5" t="str">
        <f t="shared" si="2"/>
        <v>176255184</v>
      </c>
      <c r="G5">
        <f t="shared" si="3"/>
        <v>176</v>
      </c>
      <c r="H5">
        <f t="shared" si="4"/>
        <v>255</v>
      </c>
      <c r="I5">
        <f t="shared" si="5"/>
        <v>184</v>
      </c>
      <c r="J5" s="170" t="str" cm="1">
        <f t="array" ref="J5">myRGB(G5,H5,I5)</f>
        <v/>
      </c>
    </row>
    <row r="6" spans="1:10" ht="17" x14ac:dyDescent="0.25">
      <c r="A6" s="1" t="s">
        <v>8</v>
      </c>
      <c r="B6" s="1" t="s">
        <v>2661</v>
      </c>
      <c r="C6" s="1" t="s">
        <v>1335</v>
      </c>
      <c r="D6" t="str">
        <f t="shared" si="0"/>
        <v>70FF70</v>
      </c>
      <c r="E6" t="str">
        <f t="shared" si="1"/>
        <v>112-255-112</v>
      </c>
      <c r="F6" t="str">
        <f t="shared" si="2"/>
        <v>112255112</v>
      </c>
      <c r="G6">
        <f t="shared" si="3"/>
        <v>112</v>
      </c>
      <c r="H6">
        <f t="shared" si="4"/>
        <v>255</v>
      </c>
      <c r="I6">
        <f t="shared" si="5"/>
        <v>112</v>
      </c>
      <c r="J6" s="491" t="str" cm="1">
        <f t="array" ref="J6">myRGB(G6,H6,I6)</f>
        <v/>
      </c>
    </row>
    <row r="7" spans="1:10" ht="17" x14ac:dyDescent="0.25">
      <c r="A7" s="1" t="s">
        <v>9</v>
      </c>
      <c r="B7" s="1" t="s">
        <v>9</v>
      </c>
      <c r="C7" s="1" t="s">
        <v>1336</v>
      </c>
      <c r="D7" t="str">
        <f t="shared" si="0"/>
        <v>70FF71</v>
      </c>
      <c r="E7" t="str">
        <f t="shared" si="1"/>
        <v>112-255-113</v>
      </c>
      <c r="F7" t="str">
        <f t="shared" si="2"/>
        <v>112255113</v>
      </c>
      <c r="G7">
        <f t="shared" si="3"/>
        <v>112</v>
      </c>
      <c r="H7">
        <f t="shared" si="4"/>
        <v>255</v>
      </c>
      <c r="I7">
        <f t="shared" si="5"/>
        <v>113</v>
      </c>
      <c r="J7" s="143" t="str" cm="1">
        <f t="array" ref="J7">myRGB(G7,H7,I7)</f>
        <v/>
      </c>
    </row>
    <row r="8" spans="1:10" ht="17" x14ac:dyDescent="0.25">
      <c r="A8" s="1" t="s">
        <v>10</v>
      </c>
      <c r="B8" s="1" t="s">
        <v>2662</v>
      </c>
      <c r="C8" s="1" t="s">
        <v>1337</v>
      </c>
      <c r="D8" t="str">
        <f t="shared" si="0"/>
        <v>268F44</v>
      </c>
      <c r="E8" t="str">
        <f t="shared" si="1"/>
        <v>38-143-68</v>
      </c>
      <c r="F8" t="str">
        <f t="shared" si="2"/>
        <v>3814368</v>
      </c>
      <c r="G8">
        <f t="shared" si="3"/>
        <v>38</v>
      </c>
      <c r="H8">
        <f t="shared" si="4"/>
        <v>143</v>
      </c>
      <c r="I8">
        <f t="shared" si="5"/>
        <v>68</v>
      </c>
      <c r="J8" s="267" t="str" cm="1">
        <f t="array" ref="J8">myRGB(G8,H8,I8)</f>
        <v/>
      </c>
    </row>
    <row r="9" spans="1:10" ht="17" x14ac:dyDescent="0.25">
      <c r="A9" s="1" t="s">
        <v>11</v>
      </c>
      <c r="B9" s="1" t="s">
        <v>2663</v>
      </c>
      <c r="C9" s="1" t="s">
        <v>1338</v>
      </c>
      <c r="D9" t="str">
        <f t="shared" si="0"/>
        <v>268F45</v>
      </c>
      <c r="E9" t="str">
        <f t="shared" si="1"/>
        <v>38-143-69</v>
      </c>
      <c r="F9" t="str">
        <f t="shared" si="2"/>
        <v>3814369</v>
      </c>
      <c r="G9">
        <f t="shared" si="3"/>
        <v>38</v>
      </c>
      <c r="H9">
        <f t="shared" si="4"/>
        <v>143</v>
      </c>
      <c r="I9">
        <f t="shared" si="5"/>
        <v>69</v>
      </c>
      <c r="J9" s="285" t="str" cm="1">
        <f t="array" ref="J9">myRGB(G9,H9,I9)</f>
        <v/>
      </c>
    </row>
    <row r="10" spans="1:10" ht="17" x14ac:dyDescent="0.25">
      <c r="A10" s="1" t="s">
        <v>12</v>
      </c>
      <c r="B10" s="1" t="s">
        <v>2664</v>
      </c>
      <c r="C10" s="1" t="s">
        <v>1339</v>
      </c>
      <c r="D10" t="str">
        <f t="shared" si="0"/>
        <v>268E45</v>
      </c>
      <c r="E10" t="str">
        <f t="shared" si="1"/>
        <v>38-142-69</v>
      </c>
      <c r="F10" t="str">
        <f t="shared" si="2"/>
        <v>3814269</v>
      </c>
      <c r="G10">
        <f t="shared" si="3"/>
        <v>38</v>
      </c>
      <c r="H10">
        <f t="shared" si="4"/>
        <v>142</v>
      </c>
      <c r="I10">
        <f t="shared" si="5"/>
        <v>69</v>
      </c>
      <c r="J10" s="338" t="str" cm="1">
        <f t="array" ref="J10">myRGB(G10,H10,I10)</f>
        <v/>
      </c>
    </row>
    <row r="11" spans="1:10" ht="17" x14ac:dyDescent="0.25">
      <c r="A11" s="1" t="s">
        <v>13</v>
      </c>
      <c r="B11" s="1" t="s">
        <v>2665</v>
      </c>
      <c r="C11" s="1" t="s">
        <v>1340</v>
      </c>
      <c r="D11" t="str">
        <f t="shared" si="0"/>
        <v>258F45</v>
      </c>
      <c r="E11" t="str">
        <f t="shared" si="1"/>
        <v>37-143-69</v>
      </c>
      <c r="F11" t="str">
        <f t="shared" si="2"/>
        <v>3714369</v>
      </c>
      <c r="G11">
        <f t="shared" si="3"/>
        <v>37</v>
      </c>
      <c r="H11">
        <f t="shared" si="4"/>
        <v>143</v>
      </c>
      <c r="I11">
        <f t="shared" si="5"/>
        <v>69</v>
      </c>
      <c r="J11" s="234" t="str" cm="1">
        <f t="array" ref="J11">myRGB(G11,H11,I11)</f>
        <v/>
      </c>
    </row>
    <row r="12" spans="1:10" ht="17" x14ac:dyDescent="0.25">
      <c r="A12" s="1" t="s">
        <v>14</v>
      </c>
      <c r="B12" s="1" t="s">
        <v>2666</v>
      </c>
      <c r="C12" s="1" t="s">
        <v>1341</v>
      </c>
      <c r="D12" t="str">
        <f t="shared" si="0"/>
        <v>268E44</v>
      </c>
      <c r="E12" t="str">
        <f t="shared" si="1"/>
        <v>38-142-68</v>
      </c>
      <c r="F12" t="str">
        <f t="shared" si="2"/>
        <v>3814268</v>
      </c>
      <c r="G12">
        <f t="shared" si="3"/>
        <v>38</v>
      </c>
      <c r="H12">
        <f t="shared" si="4"/>
        <v>142</v>
      </c>
      <c r="I12">
        <f t="shared" si="5"/>
        <v>68</v>
      </c>
      <c r="J12" s="160" t="str" cm="1">
        <f t="array" ref="J12">myRGB(G12,H12,I12)</f>
        <v/>
      </c>
    </row>
    <row r="13" spans="1:10" ht="17" x14ac:dyDescent="0.25">
      <c r="A13" s="1" t="s">
        <v>15</v>
      </c>
      <c r="B13" s="1" t="s">
        <v>2667</v>
      </c>
      <c r="C13" s="1" t="s">
        <v>1342</v>
      </c>
      <c r="D13" t="str">
        <f t="shared" si="0"/>
        <v>258F44</v>
      </c>
      <c r="E13" t="str">
        <f t="shared" si="1"/>
        <v>37-143-68</v>
      </c>
      <c r="F13" t="str">
        <f t="shared" si="2"/>
        <v>3714368</v>
      </c>
      <c r="G13">
        <f t="shared" si="3"/>
        <v>37</v>
      </c>
      <c r="H13">
        <f t="shared" si="4"/>
        <v>143</v>
      </c>
      <c r="I13">
        <f t="shared" si="5"/>
        <v>68</v>
      </c>
      <c r="J13" s="372" t="str" cm="1">
        <f t="array" ref="J13">myRGB(G13,H13,I13)</f>
        <v/>
      </c>
    </row>
    <row r="14" spans="1:10" ht="17" x14ac:dyDescent="0.25">
      <c r="A14" s="1" t="s">
        <v>16</v>
      </c>
      <c r="B14" s="1" t="s">
        <v>2668</v>
      </c>
      <c r="C14" s="1" t="s">
        <v>1343</v>
      </c>
      <c r="D14" t="str">
        <f t="shared" si="0"/>
        <v>1F9C59</v>
      </c>
      <c r="E14" t="str">
        <f t="shared" si="1"/>
        <v>31-156-89</v>
      </c>
      <c r="F14" t="str">
        <f t="shared" si="2"/>
        <v>3115689</v>
      </c>
      <c r="G14">
        <f t="shared" si="3"/>
        <v>31</v>
      </c>
      <c r="H14">
        <f t="shared" si="4"/>
        <v>156</v>
      </c>
      <c r="I14">
        <f t="shared" si="5"/>
        <v>89</v>
      </c>
      <c r="J14" s="128" t="str" cm="1">
        <f t="array" ref="J14">myRGB(G14,H14,I14)</f>
        <v/>
      </c>
    </row>
    <row r="15" spans="1:10" ht="17" x14ac:dyDescent="0.25">
      <c r="A15" s="1" t="s">
        <v>17</v>
      </c>
      <c r="B15" s="1" t="s">
        <v>2669</v>
      </c>
      <c r="C15" s="1" t="s">
        <v>1344</v>
      </c>
      <c r="D15" t="str">
        <f t="shared" si="0"/>
        <v>1F9D5A</v>
      </c>
      <c r="E15" t="str">
        <f t="shared" si="1"/>
        <v>31-157-90</v>
      </c>
      <c r="F15" t="str">
        <f t="shared" si="2"/>
        <v>3115790</v>
      </c>
      <c r="G15">
        <f t="shared" si="3"/>
        <v>31</v>
      </c>
      <c r="H15">
        <f t="shared" si="4"/>
        <v>157</v>
      </c>
      <c r="I15">
        <f t="shared" si="5"/>
        <v>90</v>
      </c>
      <c r="J15" s="850" t="str" cm="1">
        <f t="array" ref="J15">myRGB(G15,H15,I15)</f>
        <v/>
      </c>
    </row>
    <row r="16" spans="1:10" ht="17" x14ac:dyDescent="0.25">
      <c r="A16" s="1" t="s">
        <v>18</v>
      </c>
      <c r="B16" s="1" t="s">
        <v>2670</v>
      </c>
      <c r="C16" s="1" t="s">
        <v>1345</v>
      </c>
      <c r="D16" t="str">
        <f t="shared" si="0"/>
        <v>1F9D59</v>
      </c>
      <c r="E16" t="str">
        <f t="shared" si="1"/>
        <v>31-157-89</v>
      </c>
      <c r="F16" t="str">
        <f t="shared" si="2"/>
        <v>3115789</v>
      </c>
      <c r="G16">
        <f t="shared" si="3"/>
        <v>31</v>
      </c>
      <c r="H16">
        <f t="shared" si="4"/>
        <v>157</v>
      </c>
      <c r="I16">
        <f t="shared" si="5"/>
        <v>89</v>
      </c>
      <c r="J16" s="855" t="str" cm="1">
        <f t="array" ref="J16">myRGB(G16,H16,I16)</f>
        <v/>
      </c>
    </row>
    <row r="17" spans="1:10" ht="17" x14ac:dyDescent="0.25">
      <c r="A17" s="1" t="s">
        <v>19</v>
      </c>
      <c r="B17" s="1" t="s">
        <v>2671</v>
      </c>
      <c r="C17" s="1" t="s">
        <v>1346</v>
      </c>
      <c r="D17" t="str">
        <f t="shared" si="0"/>
        <v>1F9C5A</v>
      </c>
      <c r="E17" t="str">
        <f t="shared" si="1"/>
        <v>31-156-90</v>
      </c>
      <c r="F17" t="str">
        <f t="shared" si="2"/>
        <v>3115690</v>
      </c>
      <c r="G17">
        <f t="shared" si="3"/>
        <v>31</v>
      </c>
      <c r="H17">
        <f t="shared" si="4"/>
        <v>156</v>
      </c>
      <c r="I17">
        <f t="shared" si="5"/>
        <v>90</v>
      </c>
      <c r="J17" s="866" t="str" cm="1">
        <f t="array" ref="J17">myRGB(G17,H17,I17)</f>
        <v/>
      </c>
    </row>
    <row r="18" spans="1:10" ht="17" x14ac:dyDescent="0.25">
      <c r="A18" s="1" t="s">
        <v>20</v>
      </c>
      <c r="B18" s="1" t="s">
        <v>2672</v>
      </c>
      <c r="C18" s="1" t="s">
        <v>1347</v>
      </c>
      <c r="D18" t="str">
        <f t="shared" si="0"/>
        <v>1E9D59</v>
      </c>
      <c r="E18" t="str">
        <f t="shared" si="1"/>
        <v>30-157-89</v>
      </c>
      <c r="F18" t="str">
        <f t="shared" si="2"/>
        <v>3015789</v>
      </c>
      <c r="G18">
        <f t="shared" si="3"/>
        <v>30</v>
      </c>
      <c r="H18">
        <f t="shared" si="4"/>
        <v>157</v>
      </c>
      <c r="I18">
        <f t="shared" si="5"/>
        <v>89</v>
      </c>
      <c r="J18" s="895" t="str" cm="1">
        <f t="array" ref="J18">myRGB(G18,H18,I18)</f>
        <v/>
      </c>
    </row>
    <row r="19" spans="1:10" ht="17" x14ac:dyDescent="0.25">
      <c r="A19" s="1" t="s">
        <v>21</v>
      </c>
      <c r="B19" s="1" t="s">
        <v>2673</v>
      </c>
      <c r="C19" s="1" t="s">
        <v>1348</v>
      </c>
      <c r="D19" t="str">
        <f t="shared" si="0"/>
        <v>1F9B59</v>
      </c>
      <c r="E19" t="str">
        <f t="shared" si="1"/>
        <v>31-155-89</v>
      </c>
      <c r="F19" t="str">
        <f t="shared" si="2"/>
        <v>3115589</v>
      </c>
      <c r="G19">
        <f t="shared" si="3"/>
        <v>31</v>
      </c>
      <c r="H19">
        <f t="shared" si="4"/>
        <v>155</v>
      </c>
      <c r="I19">
        <f t="shared" si="5"/>
        <v>89</v>
      </c>
      <c r="J19" s="851" t="str" cm="1">
        <f t="array" ref="J19">myRGB(G19,H19,I19)</f>
        <v/>
      </c>
    </row>
    <row r="20" spans="1:10" ht="17" x14ac:dyDescent="0.25">
      <c r="A20" s="1" t="s">
        <v>22</v>
      </c>
      <c r="B20" s="1" t="s">
        <v>2674</v>
      </c>
      <c r="C20" s="1" t="s">
        <v>1349</v>
      </c>
      <c r="D20" t="str">
        <f t="shared" si="0"/>
        <v>1E9B5A</v>
      </c>
      <c r="E20" t="str">
        <f t="shared" si="1"/>
        <v>30-155-90</v>
      </c>
      <c r="F20" t="str">
        <f t="shared" si="2"/>
        <v>3015590</v>
      </c>
      <c r="G20">
        <f t="shared" si="3"/>
        <v>30</v>
      </c>
      <c r="H20">
        <f t="shared" si="4"/>
        <v>155</v>
      </c>
      <c r="I20">
        <f t="shared" si="5"/>
        <v>90</v>
      </c>
      <c r="J20" s="350" t="str" cm="1">
        <f t="array" ref="J20">myRGB(G20,H20,I20)</f>
        <v/>
      </c>
    </row>
    <row r="21" spans="1:10" ht="17" x14ac:dyDescent="0.25">
      <c r="A21" s="1" t="s">
        <v>23</v>
      </c>
      <c r="B21" s="1" t="s">
        <v>2675</v>
      </c>
      <c r="C21" s="1" t="s">
        <v>1350</v>
      </c>
      <c r="D21" t="str">
        <f t="shared" si="0"/>
        <v>1E9D5A</v>
      </c>
      <c r="E21" t="str">
        <f t="shared" si="1"/>
        <v>30-157-90</v>
      </c>
      <c r="F21" t="str">
        <f t="shared" si="2"/>
        <v>3015790</v>
      </c>
      <c r="G21">
        <f t="shared" si="3"/>
        <v>30</v>
      </c>
      <c r="H21">
        <f t="shared" si="4"/>
        <v>157</v>
      </c>
      <c r="I21">
        <f t="shared" si="5"/>
        <v>90</v>
      </c>
      <c r="J21" s="324" t="str" cm="1">
        <f t="array" ref="J21">myRGB(G21,H21,I21)</f>
        <v/>
      </c>
    </row>
    <row r="22" spans="1:10" ht="17" x14ac:dyDescent="0.25">
      <c r="A22" s="1" t="s">
        <v>24</v>
      </c>
      <c r="B22" s="1" t="s">
        <v>2676</v>
      </c>
      <c r="C22" s="1" t="s">
        <v>1351</v>
      </c>
      <c r="D22" t="str">
        <f t="shared" si="0"/>
        <v>1F9C58</v>
      </c>
      <c r="E22" t="str">
        <f t="shared" si="1"/>
        <v>31-156-88</v>
      </c>
      <c r="F22" t="str">
        <f t="shared" si="2"/>
        <v>3115688</v>
      </c>
      <c r="G22">
        <f t="shared" si="3"/>
        <v>31</v>
      </c>
      <c r="H22">
        <f t="shared" si="4"/>
        <v>156</v>
      </c>
      <c r="I22">
        <f t="shared" si="5"/>
        <v>88</v>
      </c>
      <c r="J22" s="186" t="str" cm="1">
        <f t="array" ref="J22">myRGB(G22,H22,I22)</f>
        <v/>
      </c>
    </row>
    <row r="23" spans="1:10" ht="17" x14ac:dyDescent="0.25">
      <c r="A23" s="1" t="s">
        <v>25</v>
      </c>
      <c r="B23" s="1" t="s">
        <v>2677</v>
      </c>
      <c r="C23" s="1" t="s">
        <v>1352</v>
      </c>
      <c r="D23" t="str">
        <f t="shared" si="0"/>
        <v>1E9C5A</v>
      </c>
      <c r="E23" t="str">
        <f t="shared" si="1"/>
        <v>30-156-90</v>
      </c>
      <c r="F23" t="str">
        <f t="shared" si="2"/>
        <v>3015690</v>
      </c>
      <c r="G23">
        <f t="shared" si="3"/>
        <v>30</v>
      </c>
      <c r="H23">
        <f t="shared" si="4"/>
        <v>156</v>
      </c>
      <c r="I23">
        <f t="shared" si="5"/>
        <v>90</v>
      </c>
      <c r="J23" s="55" t="str" cm="1">
        <f t="array" ref="J23">myRGB(G23,H23,I23)</f>
        <v/>
      </c>
    </row>
    <row r="24" spans="1:10" ht="17" x14ac:dyDescent="0.25">
      <c r="A24" s="1" t="s">
        <v>26</v>
      </c>
      <c r="B24" s="1" t="s">
        <v>2678</v>
      </c>
      <c r="C24" s="1" t="s">
        <v>1353</v>
      </c>
      <c r="D24" t="str">
        <f t="shared" si="0"/>
        <v>1F9B5A</v>
      </c>
      <c r="E24" t="str">
        <f t="shared" si="1"/>
        <v>31-155-90</v>
      </c>
      <c r="F24" t="str">
        <f t="shared" si="2"/>
        <v>3115590</v>
      </c>
      <c r="G24">
        <f t="shared" si="3"/>
        <v>31</v>
      </c>
      <c r="H24">
        <f t="shared" si="4"/>
        <v>155</v>
      </c>
      <c r="I24">
        <f t="shared" si="5"/>
        <v>90</v>
      </c>
      <c r="J24" s="252" t="str" cm="1">
        <f t="array" ref="J24">myRGB(G24,H24,I24)</f>
        <v/>
      </c>
    </row>
    <row r="25" spans="1:10" ht="17" x14ac:dyDescent="0.25">
      <c r="A25" s="1" t="s">
        <v>27</v>
      </c>
      <c r="B25" s="1" t="s">
        <v>2679</v>
      </c>
      <c r="C25" s="1" t="s">
        <v>1354</v>
      </c>
      <c r="D25" t="str">
        <f t="shared" si="0"/>
        <v>1D9D5A</v>
      </c>
      <c r="E25" t="str">
        <f t="shared" si="1"/>
        <v>29-157-90</v>
      </c>
      <c r="F25" t="str">
        <f t="shared" si="2"/>
        <v>2915790</v>
      </c>
      <c r="G25">
        <f t="shared" si="3"/>
        <v>29</v>
      </c>
      <c r="H25">
        <f t="shared" si="4"/>
        <v>157</v>
      </c>
      <c r="I25">
        <f t="shared" si="5"/>
        <v>90</v>
      </c>
      <c r="J25" s="212" t="str" cm="1">
        <f t="array" ref="J25">myRGB(G25,H25,I25)</f>
        <v/>
      </c>
    </row>
    <row r="26" spans="1:10" ht="17" x14ac:dyDescent="0.25">
      <c r="A26" s="1" t="s">
        <v>28</v>
      </c>
      <c r="B26" s="1" t="s">
        <v>2680</v>
      </c>
      <c r="C26" s="1" t="s">
        <v>1355</v>
      </c>
      <c r="D26" t="str">
        <f t="shared" si="0"/>
        <v>1D9D59</v>
      </c>
      <c r="E26" t="str">
        <f t="shared" si="1"/>
        <v>29-157-89</v>
      </c>
      <c r="F26" t="str">
        <f t="shared" si="2"/>
        <v>2915789</v>
      </c>
      <c r="G26">
        <f t="shared" si="3"/>
        <v>29</v>
      </c>
      <c r="H26">
        <f t="shared" si="4"/>
        <v>157</v>
      </c>
      <c r="I26">
        <f t="shared" si="5"/>
        <v>89</v>
      </c>
      <c r="J26" s="54" t="str" cm="1">
        <f t="array" ref="J26">myRGB(G26,H26,I26)</f>
        <v/>
      </c>
    </row>
    <row r="27" spans="1:10" ht="17" x14ac:dyDescent="0.25">
      <c r="A27" s="1" t="s">
        <v>29</v>
      </c>
      <c r="B27" s="1" t="s">
        <v>2681</v>
      </c>
      <c r="C27" s="1" t="s">
        <v>1356</v>
      </c>
      <c r="D27" t="str">
        <f t="shared" si="0"/>
        <v>1E9C59</v>
      </c>
      <c r="E27" t="str">
        <f t="shared" si="1"/>
        <v>30-156-89</v>
      </c>
      <c r="F27" t="str">
        <f t="shared" si="2"/>
        <v>3015689</v>
      </c>
      <c r="G27">
        <f t="shared" si="3"/>
        <v>30</v>
      </c>
      <c r="H27">
        <f t="shared" si="4"/>
        <v>156</v>
      </c>
      <c r="I27">
        <f t="shared" si="5"/>
        <v>89</v>
      </c>
      <c r="J27" s="323" t="str" cm="1">
        <f t="array" ref="J27">myRGB(G27,H27,I27)</f>
        <v/>
      </c>
    </row>
    <row r="28" spans="1:10" ht="17" x14ac:dyDescent="0.25">
      <c r="A28" s="1" t="s">
        <v>30</v>
      </c>
      <c r="B28" s="1" t="s">
        <v>2682</v>
      </c>
      <c r="C28" s="1" t="s">
        <v>1357</v>
      </c>
      <c r="D28" t="str">
        <f t="shared" si="0"/>
        <v>1E9D58</v>
      </c>
      <c r="E28" t="str">
        <f t="shared" si="1"/>
        <v>30-157-88</v>
      </c>
      <c r="F28" t="str">
        <f t="shared" si="2"/>
        <v>3015788</v>
      </c>
      <c r="G28">
        <f t="shared" si="3"/>
        <v>30</v>
      </c>
      <c r="H28">
        <f t="shared" si="4"/>
        <v>157</v>
      </c>
      <c r="I28">
        <f t="shared" si="5"/>
        <v>88</v>
      </c>
      <c r="J28" s="251" t="str" cm="1">
        <f t="array" ref="J28">myRGB(G28,H28,I28)</f>
        <v/>
      </c>
    </row>
    <row r="29" spans="1:10" ht="17" x14ac:dyDescent="0.25">
      <c r="A29" s="1" t="s">
        <v>31</v>
      </c>
      <c r="B29" s="1" t="s">
        <v>2683</v>
      </c>
      <c r="C29" s="1" t="s">
        <v>1358</v>
      </c>
      <c r="D29" t="str">
        <f t="shared" si="0"/>
        <v>1F9D58</v>
      </c>
      <c r="E29" t="str">
        <f t="shared" si="1"/>
        <v>31-157-88</v>
      </c>
      <c r="F29" t="str">
        <f t="shared" si="2"/>
        <v>3115788</v>
      </c>
      <c r="G29">
        <f t="shared" si="3"/>
        <v>31</v>
      </c>
      <c r="H29">
        <f t="shared" si="4"/>
        <v>157</v>
      </c>
      <c r="I29">
        <f t="shared" si="5"/>
        <v>88</v>
      </c>
      <c r="J29" s="53" t="str" cm="1">
        <f t="array" ref="J29">myRGB(G29,H29,I29)</f>
        <v/>
      </c>
    </row>
    <row r="30" spans="1:10" ht="17" x14ac:dyDescent="0.25">
      <c r="A30" s="1" t="s">
        <v>32</v>
      </c>
      <c r="B30" s="1" t="s">
        <v>2684</v>
      </c>
      <c r="C30" s="1" t="s">
        <v>1359</v>
      </c>
      <c r="D30" t="str">
        <f t="shared" si="0"/>
        <v>1D9C5A</v>
      </c>
      <c r="E30" t="str">
        <f t="shared" si="1"/>
        <v>29-156-90</v>
      </c>
      <c r="F30" t="str">
        <f t="shared" si="2"/>
        <v>2915690</v>
      </c>
      <c r="G30">
        <f t="shared" si="3"/>
        <v>29</v>
      </c>
      <c r="H30">
        <f t="shared" si="4"/>
        <v>156</v>
      </c>
      <c r="I30">
        <f t="shared" si="5"/>
        <v>90</v>
      </c>
      <c r="J30" s="127" t="str" cm="1">
        <f t="array" ref="J30">myRGB(G30,H30,I30)</f>
        <v/>
      </c>
    </row>
    <row r="31" spans="1:10" ht="17" x14ac:dyDescent="0.25">
      <c r="A31" s="1" t="s">
        <v>33</v>
      </c>
      <c r="B31" s="1" t="s">
        <v>2685</v>
      </c>
      <c r="C31" s="1" t="s">
        <v>1360</v>
      </c>
      <c r="D31" t="str">
        <f t="shared" si="0"/>
        <v>1E9C58</v>
      </c>
      <c r="E31" t="str">
        <f t="shared" si="1"/>
        <v>30-156-88</v>
      </c>
      <c r="F31" t="str">
        <f t="shared" si="2"/>
        <v>3015688</v>
      </c>
      <c r="G31">
        <f t="shared" si="3"/>
        <v>30</v>
      </c>
      <c r="H31">
        <f t="shared" si="4"/>
        <v>156</v>
      </c>
      <c r="I31">
        <f t="shared" si="5"/>
        <v>88</v>
      </c>
      <c r="J31" s="349" t="str" cm="1">
        <f t="array" ref="J31">myRGB(G31,H31,I31)</f>
        <v/>
      </c>
    </row>
    <row r="32" spans="1:10" ht="17" x14ac:dyDescent="0.25">
      <c r="A32" s="1" t="s">
        <v>34</v>
      </c>
      <c r="B32" s="1" t="s">
        <v>2686</v>
      </c>
      <c r="C32" s="1" t="s">
        <v>1361</v>
      </c>
      <c r="D32" t="str">
        <f t="shared" si="0"/>
        <v>1B8061</v>
      </c>
      <c r="E32" t="str">
        <f t="shared" si="1"/>
        <v>27-128-97</v>
      </c>
      <c r="F32" t="str">
        <f t="shared" si="2"/>
        <v>2712897</v>
      </c>
      <c r="G32">
        <f t="shared" si="3"/>
        <v>27</v>
      </c>
      <c r="H32">
        <f t="shared" si="4"/>
        <v>128</v>
      </c>
      <c r="I32">
        <f t="shared" si="5"/>
        <v>97</v>
      </c>
      <c r="J32" s="358" t="str" cm="1">
        <f t="array" ref="J32">myRGB(G32,H32,I32)</f>
        <v/>
      </c>
    </row>
    <row r="33" spans="1:10" ht="17" x14ac:dyDescent="0.25">
      <c r="A33" s="1" t="s">
        <v>35</v>
      </c>
      <c r="B33" s="1" t="s">
        <v>2687</v>
      </c>
      <c r="C33" s="1" t="s">
        <v>1362</v>
      </c>
      <c r="D33" t="str">
        <f t="shared" si="0"/>
        <v>1A7F62</v>
      </c>
      <c r="E33" t="str">
        <f t="shared" si="1"/>
        <v>26-127-98</v>
      </c>
      <c r="F33" t="str">
        <f t="shared" si="2"/>
        <v>2612798</v>
      </c>
      <c r="G33">
        <f t="shared" si="3"/>
        <v>26</v>
      </c>
      <c r="H33">
        <f t="shared" si="4"/>
        <v>127</v>
      </c>
      <c r="I33">
        <f t="shared" si="5"/>
        <v>98</v>
      </c>
      <c r="J33" s="867" t="str" cm="1">
        <f t="array" ref="J33">myRGB(G33,H33,I33)</f>
        <v/>
      </c>
    </row>
    <row r="34" spans="1:10" ht="17" x14ac:dyDescent="0.25">
      <c r="A34" s="1" t="s">
        <v>36</v>
      </c>
      <c r="B34" s="1" t="s">
        <v>2688</v>
      </c>
      <c r="C34" s="1" t="s">
        <v>1363</v>
      </c>
      <c r="D34" t="str">
        <f t="shared" si="0"/>
        <v>1A7E63</v>
      </c>
      <c r="E34" t="str">
        <f t="shared" si="1"/>
        <v>26-126-99</v>
      </c>
      <c r="F34" t="str">
        <f t="shared" si="2"/>
        <v>2612699</v>
      </c>
      <c r="G34">
        <f t="shared" si="3"/>
        <v>26</v>
      </c>
      <c r="H34">
        <f t="shared" si="4"/>
        <v>126</v>
      </c>
      <c r="I34">
        <f t="shared" si="5"/>
        <v>99</v>
      </c>
      <c r="J34" s="977" t="str" cm="1">
        <f t="array" ref="J34">myRGB(G34,H34,I34)</f>
        <v/>
      </c>
    </row>
    <row r="35" spans="1:10" ht="17" x14ac:dyDescent="0.25">
      <c r="A35" s="1" t="s">
        <v>37</v>
      </c>
      <c r="B35" s="1" t="s">
        <v>2689</v>
      </c>
      <c r="C35" s="1" t="s">
        <v>1364</v>
      </c>
      <c r="D35" t="str">
        <f t="shared" si="0"/>
        <v>198064</v>
      </c>
      <c r="E35" t="str">
        <f t="shared" si="1"/>
        <v>25-128-100</v>
      </c>
      <c r="F35" t="str">
        <f t="shared" si="2"/>
        <v>25128100</v>
      </c>
      <c r="G35">
        <f t="shared" si="3"/>
        <v>25</v>
      </c>
      <c r="H35">
        <f t="shared" si="4"/>
        <v>128</v>
      </c>
      <c r="I35">
        <f t="shared" si="5"/>
        <v>100</v>
      </c>
      <c r="J35" s="852" t="str" cm="1">
        <f t="array" ref="J35">myRGB(G35,H35,I35)</f>
        <v/>
      </c>
    </row>
    <row r="36" spans="1:10" ht="17" x14ac:dyDescent="0.25">
      <c r="A36" s="1" t="s">
        <v>38</v>
      </c>
      <c r="B36" s="1" t="s">
        <v>2690</v>
      </c>
      <c r="C36" s="1" t="s">
        <v>1365</v>
      </c>
      <c r="D36" t="str">
        <f t="shared" si="0"/>
        <v>1B8064</v>
      </c>
      <c r="E36" t="str">
        <f t="shared" si="1"/>
        <v>27-128-100</v>
      </c>
      <c r="F36" t="str">
        <f t="shared" si="2"/>
        <v>27128100</v>
      </c>
      <c r="G36">
        <f t="shared" si="3"/>
        <v>27</v>
      </c>
      <c r="H36">
        <f t="shared" si="4"/>
        <v>128</v>
      </c>
      <c r="I36">
        <f t="shared" si="5"/>
        <v>100</v>
      </c>
      <c r="J36" s="856" t="str" cm="1">
        <f t="array" ref="J36">myRGB(G36,H36,I36)</f>
        <v/>
      </c>
    </row>
    <row r="37" spans="1:10" ht="17" x14ac:dyDescent="0.25">
      <c r="A37" s="1" t="s">
        <v>39</v>
      </c>
      <c r="B37" s="1" t="s">
        <v>2691</v>
      </c>
      <c r="C37" s="1" t="s">
        <v>1366</v>
      </c>
      <c r="D37" t="str">
        <f t="shared" si="0"/>
        <v>187F61</v>
      </c>
      <c r="E37" t="str">
        <f t="shared" si="1"/>
        <v>24-127-97</v>
      </c>
      <c r="F37" t="str">
        <f t="shared" si="2"/>
        <v>2412797</v>
      </c>
      <c r="G37">
        <f t="shared" si="3"/>
        <v>24</v>
      </c>
      <c r="H37">
        <f t="shared" si="4"/>
        <v>127</v>
      </c>
      <c r="I37">
        <f t="shared" si="5"/>
        <v>97</v>
      </c>
      <c r="J37" s="868" t="str" cm="1">
        <f t="array" ref="J37">myRGB(G37,H37,I37)</f>
        <v/>
      </c>
    </row>
    <row r="38" spans="1:10" ht="17" x14ac:dyDescent="0.25">
      <c r="A38" s="1" t="s">
        <v>40</v>
      </c>
      <c r="B38" s="1" t="s">
        <v>2692</v>
      </c>
      <c r="C38" s="1" t="s">
        <v>1367</v>
      </c>
      <c r="D38" t="str">
        <f t="shared" si="0"/>
        <v>187D63</v>
      </c>
      <c r="E38" t="str">
        <f t="shared" si="1"/>
        <v>24-125-99</v>
      </c>
      <c r="F38" t="str">
        <f t="shared" si="2"/>
        <v>2412599</v>
      </c>
      <c r="G38">
        <f t="shared" si="3"/>
        <v>24</v>
      </c>
      <c r="H38">
        <f t="shared" si="4"/>
        <v>125</v>
      </c>
      <c r="I38">
        <f t="shared" si="5"/>
        <v>99</v>
      </c>
      <c r="J38" s="980" t="str" cm="1">
        <f t="array" ref="J38">myRGB(G38,H38,I38)</f>
        <v/>
      </c>
    </row>
    <row r="39" spans="1:10" ht="17" x14ac:dyDescent="0.25">
      <c r="A39" s="1" t="s">
        <v>41</v>
      </c>
      <c r="B39" s="1" t="s">
        <v>2693</v>
      </c>
      <c r="C39" s="1" t="s">
        <v>1368</v>
      </c>
      <c r="D39" t="str">
        <f t="shared" si="0"/>
        <v>198063</v>
      </c>
      <c r="E39" t="str">
        <f t="shared" si="1"/>
        <v>25-128-99</v>
      </c>
      <c r="F39" t="str">
        <f t="shared" si="2"/>
        <v>2512899</v>
      </c>
      <c r="G39">
        <f t="shared" si="3"/>
        <v>25</v>
      </c>
      <c r="H39">
        <f t="shared" si="4"/>
        <v>128</v>
      </c>
      <c r="I39">
        <f t="shared" si="5"/>
        <v>99</v>
      </c>
      <c r="J39" s="331" t="str" cm="1">
        <f t="array" ref="J39">myRGB(G39,H39,I39)</f>
        <v/>
      </c>
    </row>
    <row r="40" spans="1:10" ht="17" x14ac:dyDescent="0.25">
      <c r="A40" s="1" t="s">
        <v>42</v>
      </c>
      <c r="B40" s="1" t="s">
        <v>2694</v>
      </c>
      <c r="C40" s="1" t="s">
        <v>1369</v>
      </c>
      <c r="D40" t="str">
        <f t="shared" si="0"/>
        <v>197D64</v>
      </c>
      <c r="E40" t="str">
        <f t="shared" si="1"/>
        <v>25-125-100</v>
      </c>
      <c r="F40" t="str">
        <f t="shared" si="2"/>
        <v>25125100</v>
      </c>
      <c r="G40">
        <f t="shared" si="3"/>
        <v>25</v>
      </c>
      <c r="H40">
        <f t="shared" si="4"/>
        <v>125</v>
      </c>
      <c r="I40">
        <f t="shared" si="5"/>
        <v>100</v>
      </c>
      <c r="J40" s="857" t="str" cm="1">
        <f t="array" ref="J40">myRGB(G40,H40,I40)</f>
        <v/>
      </c>
    </row>
    <row r="41" spans="1:10" ht="17" x14ac:dyDescent="0.25">
      <c r="A41" s="1" t="s">
        <v>43</v>
      </c>
      <c r="B41" s="1" t="s">
        <v>2695</v>
      </c>
      <c r="C41" s="1" t="s">
        <v>1370</v>
      </c>
      <c r="D41" t="str">
        <f t="shared" si="0"/>
        <v>187E64</v>
      </c>
      <c r="E41" t="str">
        <f t="shared" si="1"/>
        <v>24-126-100</v>
      </c>
      <c r="F41" t="str">
        <f t="shared" si="2"/>
        <v>24126100</v>
      </c>
      <c r="G41">
        <f t="shared" si="3"/>
        <v>24</v>
      </c>
      <c r="H41">
        <f t="shared" si="4"/>
        <v>126</v>
      </c>
      <c r="I41">
        <f t="shared" si="5"/>
        <v>100</v>
      </c>
      <c r="J41" s="869" t="str" cm="1">
        <f t="array" ref="J41">myRGB(G41,H41,I41)</f>
        <v/>
      </c>
    </row>
    <row r="42" spans="1:10" ht="17" x14ac:dyDescent="0.25">
      <c r="A42" s="1" t="s">
        <v>44</v>
      </c>
      <c r="B42" s="1" t="s">
        <v>2696</v>
      </c>
      <c r="C42" s="1" t="s">
        <v>1371</v>
      </c>
      <c r="D42" t="str">
        <f t="shared" si="0"/>
        <v>1B7F63</v>
      </c>
      <c r="E42" t="str">
        <f t="shared" si="1"/>
        <v>27-127-99</v>
      </c>
      <c r="F42" t="str">
        <f t="shared" si="2"/>
        <v>2712799</v>
      </c>
      <c r="G42">
        <f t="shared" si="3"/>
        <v>27</v>
      </c>
      <c r="H42">
        <f t="shared" si="4"/>
        <v>127</v>
      </c>
      <c r="I42">
        <f t="shared" si="5"/>
        <v>99</v>
      </c>
      <c r="J42" s="873" t="str" cm="1">
        <f t="array" ref="J42">myRGB(G42,H42,I42)</f>
        <v/>
      </c>
    </row>
    <row r="43" spans="1:10" ht="17" x14ac:dyDescent="0.25">
      <c r="A43" s="1" t="s">
        <v>45</v>
      </c>
      <c r="B43" s="1" t="s">
        <v>2697</v>
      </c>
      <c r="C43" s="1" t="s">
        <v>1372</v>
      </c>
      <c r="D43" t="str">
        <f t="shared" si="0"/>
        <v>1B7D64</v>
      </c>
      <c r="E43" t="str">
        <f t="shared" si="1"/>
        <v>27-125-100</v>
      </c>
      <c r="F43" t="str">
        <f t="shared" si="2"/>
        <v>27125100</v>
      </c>
      <c r="G43">
        <f t="shared" si="3"/>
        <v>27</v>
      </c>
      <c r="H43">
        <f t="shared" si="4"/>
        <v>125</v>
      </c>
      <c r="I43">
        <f t="shared" si="5"/>
        <v>100</v>
      </c>
      <c r="J43" s="853" t="str" cm="1">
        <f t="array" ref="J43">myRGB(G43,H43,I43)</f>
        <v/>
      </c>
    </row>
    <row r="44" spans="1:10" ht="17" x14ac:dyDescent="0.25">
      <c r="A44" s="1" t="s">
        <v>46</v>
      </c>
      <c r="B44" s="1" t="s">
        <v>2698</v>
      </c>
      <c r="C44" s="1" t="s">
        <v>1373</v>
      </c>
      <c r="D44" t="str">
        <f t="shared" si="0"/>
        <v>187D64</v>
      </c>
      <c r="E44" t="str">
        <f t="shared" si="1"/>
        <v>24-125-100</v>
      </c>
      <c r="F44" t="str">
        <f t="shared" si="2"/>
        <v>24125100</v>
      </c>
      <c r="G44">
        <f t="shared" si="3"/>
        <v>24</v>
      </c>
      <c r="H44">
        <f t="shared" si="4"/>
        <v>125</v>
      </c>
      <c r="I44">
        <f t="shared" si="5"/>
        <v>100</v>
      </c>
      <c r="J44" s="858" t="str" cm="1">
        <f t="array" ref="J44">myRGB(G44,H44,I44)</f>
        <v/>
      </c>
    </row>
    <row r="45" spans="1:10" ht="17" x14ac:dyDescent="0.25">
      <c r="A45" s="1" t="s">
        <v>47</v>
      </c>
      <c r="B45" s="1" t="s">
        <v>2699</v>
      </c>
      <c r="C45" s="1" t="s">
        <v>1374</v>
      </c>
      <c r="D45" t="str">
        <f t="shared" si="0"/>
        <v>198061</v>
      </c>
      <c r="E45" t="str">
        <f t="shared" si="1"/>
        <v>25-128-97</v>
      </c>
      <c r="F45" t="str">
        <f t="shared" si="2"/>
        <v>2512897</v>
      </c>
      <c r="G45">
        <f t="shared" si="3"/>
        <v>25</v>
      </c>
      <c r="H45">
        <f t="shared" si="4"/>
        <v>128</v>
      </c>
      <c r="I45">
        <f t="shared" si="5"/>
        <v>97</v>
      </c>
      <c r="J45" s="870" t="str" cm="1">
        <f t="array" ref="J45">myRGB(G45,H45,I45)</f>
        <v/>
      </c>
    </row>
    <row r="46" spans="1:10" ht="17" x14ac:dyDescent="0.25">
      <c r="A46" s="1" t="s">
        <v>48</v>
      </c>
      <c r="B46" s="1" t="s">
        <v>2700</v>
      </c>
      <c r="C46" s="1" t="s">
        <v>1375</v>
      </c>
      <c r="D46" t="str">
        <f t="shared" si="0"/>
        <v>1A8064</v>
      </c>
      <c r="E46" t="str">
        <f t="shared" si="1"/>
        <v>26-128-100</v>
      </c>
      <c r="F46" t="str">
        <f t="shared" si="2"/>
        <v>26128100</v>
      </c>
      <c r="G46">
        <f t="shared" si="3"/>
        <v>26</v>
      </c>
      <c r="H46">
        <f t="shared" si="4"/>
        <v>128</v>
      </c>
      <c r="I46">
        <f t="shared" si="5"/>
        <v>100</v>
      </c>
      <c r="J46" s="256" t="str" cm="1">
        <f t="array" ref="J46">myRGB(G46,H46,I46)</f>
        <v/>
      </c>
    </row>
    <row r="47" spans="1:10" ht="17" x14ac:dyDescent="0.25">
      <c r="A47" s="1" t="s">
        <v>49</v>
      </c>
      <c r="B47" s="1" t="s">
        <v>2701</v>
      </c>
      <c r="C47" s="1" t="s">
        <v>1376</v>
      </c>
      <c r="D47" t="str">
        <f t="shared" si="0"/>
        <v>197E63</v>
      </c>
      <c r="E47" t="str">
        <f t="shared" si="1"/>
        <v>25-126-99</v>
      </c>
      <c r="F47" t="str">
        <f t="shared" si="2"/>
        <v>2512699</v>
      </c>
      <c r="G47">
        <f t="shared" si="3"/>
        <v>25</v>
      </c>
      <c r="H47">
        <f t="shared" si="4"/>
        <v>126</v>
      </c>
      <c r="I47">
        <f t="shared" si="5"/>
        <v>99</v>
      </c>
      <c r="J47" s="216" t="str" cm="1">
        <f t="array" ref="J47">myRGB(G47,H47,I47)</f>
        <v/>
      </c>
    </row>
    <row r="48" spans="1:10" ht="17" x14ac:dyDescent="0.25">
      <c r="A48" s="1" t="s">
        <v>50</v>
      </c>
      <c r="B48" s="1" t="s">
        <v>2702</v>
      </c>
      <c r="C48" s="1" t="s">
        <v>1377</v>
      </c>
      <c r="D48" t="str">
        <f t="shared" si="0"/>
        <v>1B7F64</v>
      </c>
      <c r="E48" t="str">
        <f t="shared" si="1"/>
        <v>27-127-100</v>
      </c>
      <c r="F48" t="str">
        <f t="shared" si="2"/>
        <v>27127100</v>
      </c>
      <c r="G48">
        <f t="shared" si="3"/>
        <v>27</v>
      </c>
      <c r="H48">
        <f t="shared" si="4"/>
        <v>127</v>
      </c>
      <c r="I48">
        <f t="shared" si="5"/>
        <v>100</v>
      </c>
      <c r="J48" s="131" t="str" cm="1">
        <f t="array" ref="J48">myRGB(G48,H48,I48)</f>
        <v/>
      </c>
    </row>
    <row r="49" spans="1:10" ht="17" x14ac:dyDescent="0.25">
      <c r="A49" s="1" t="s">
        <v>51</v>
      </c>
      <c r="B49" s="1" t="s">
        <v>2703</v>
      </c>
      <c r="C49" s="1" t="s">
        <v>1378</v>
      </c>
      <c r="D49" t="str">
        <f t="shared" si="0"/>
        <v>1A8062</v>
      </c>
      <c r="E49" t="str">
        <f t="shared" si="1"/>
        <v>26-128-98</v>
      </c>
      <c r="F49" t="str">
        <f t="shared" si="2"/>
        <v>2612898</v>
      </c>
      <c r="G49">
        <f t="shared" si="3"/>
        <v>26</v>
      </c>
      <c r="H49">
        <f t="shared" si="4"/>
        <v>128</v>
      </c>
      <c r="I49">
        <f t="shared" si="5"/>
        <v>98</v>
      </c>
      <c r="J49" s="190" t="str" cm="1">
        <f t="array" ref="J49">myRGB(G49,H49,I49)</f>
        <v/>
      </c>
    </row>
    <row r="50" spans="1:10" ht="17" x14ac:dyDescent="0.25">
      <c r="A50" s="1" t="s">
        <v>52</v>
      </c>
      <c r="B50" s="1" t="s">
        <v>2704</v>
      </c>
      <c r="C50" s="1" t="s">
        <v>1379</v>
      </c>
      <c r="D50" t="str">
        <f t="shared" si="0"/>
        <v>197E62</v>
      </c>
      <c r="E50" t="str">
        <f t="shared" si="1"/>
        <v>25-126-98</v>
      </c>
      <c r="F50" t="str">
        <f t="shared" si="2"/>
        <v>2512698</v>
      </c>
      <c r="G50">
        <f t="shared" si="3"/>
        <v>25</v>
      </c>
      <c r="H50">
        <f t="shared" si="4"/>
        <v>126</v>
      </c>
      <c r="I50">
        <f t="shared" si="5"/>
        <v>98</v>
      </c>
      <c r="J50" s="62" t="str" cm="1">
        <f t="array" ref="J50">myRGB(G50,H50,I50)</f>
        <v/>
      </c>
    </row>
    <row r="51" spans="1:10" ht="17" x14ac:dyDescent="0.25">
      <c r="A51" s="1" t="s">
        <v>53</v>
      </c>
      <c r="B51" s="1" t="s">
        <v>2705</v>
      </c>
      <c r="C51" s="1" t="s">
        <v>1380</v>
      </c>
      <c r="D51" t="str">
        <f t="shared" si="0"/>
        <v>187D62</v>
      </c>
      <c r="E51" t="str">
        <f t="shared" si="1"/>
        <v>24-125-98</v>
      </c>
      <c r="F51" t="str">
        <f t="shared" si="2"/>
        <v>2412598</v>
      </c>
      <c r="G51">
        <f t="shared" si="3"/>
        <v>24</v>
      </c>
      <c r="H51">
        <f t="shared" si="4"/>
        <v>125</v>
      </c>
      <c r="I51">
        <f t="shared" si="5"/>
        <v>98</v>
      </c>
      <c r="J51" s="353" t="str" cm="1">
        <f t="array" ref="J51">myRGB(G51,H51,I51)</f>
        <v/>
      </c>
    </row>
    <row r="52" spans="1:10" ht="17" x14ac:dyDescent="0.25">
      <c r="A52" s="1" t="s">
        <v>54</v>
      </c>
      <c r="B52" s="1" t="s">
        <v>2706</v>
      </c>
      <c r="C52" s="1" t="s">
        <v>1381</v>
      </c>
      <c r="D52" t="str">
        <f t="shared" si="0"/>
        <v>1B7E64</v>
      </c>
      <c r="E52" t="str">
        <f t="shared" si="1"/>
        <v>27-126-100</v>
      </c>
      <c r="F52" t="str">
        <f t="shared" si="2"/>
        <v>27126100</v>
      </c>
      <c r="G52">
        <f t="shared" si="3"/>
        <v>27</v>
      </c>
      <c r="H52">
        <f t="shared" si="4"/>
        <v>126</v>
      </c>
      <c r="I52">
        <f t="shared" si="5"/>
        <v>100</v>
      </c>
      <c r="J52" s="327" t="str" cm="1">
        <f t="array" ref="J52">myRGB(G52,H52,I52)</f>
        <v/>
      </c>
    </row>
    <row r="53" spans="1:10" ht="17" x14ac:dyDescent="0.25">
      <c r="A53" s="1" t="s">
        <v>55</v>
      </c>
      <c r="B53" s="1" t="s">
        <v>2707</v>
      </c>
      <c r="C53" s="1" t="s">
        <v>1382</v>
      </c>
      <c r="D53" t="str">
        <f t="shared" si="0"/>
        <v>197F64</v>
      </c>
      <c r="E53" t="str">
        <f t="shared" si="1"/>
        <v>25-127-100</v>
      </c>
      <c r="F53" t="str">
        <f t="shared" si="2"/>
        <v>25127100</v>
      </c>
      <c r="G53">
        <f t="shared" si="3"/>
        <v>25</v>
      </c>
      <c r="H53">
        <f t="shared" si="4"/>
        <v>127</v>
      </c>
      <c r="I53">
        <f t="shared" si="5"/>
        <v>100</v>
      </c>
      <c r="J53" s="259" t="str" cm="1">
        <f t="array" ref="J53">myRGB(G53,H53,I53)</f>
        <v/>
      </c>
    </row>
    <row r="54" spans="1:10" ht="17" x14ac:dyDescent="0.25">
      <c r="A54" s="1" t="s">
        <v>56</v>
      </c>
      <c r="B54" s="1" t="s">
        <v>2708</v>
      </c>
      <c r="C54" s="1" t="s">
        <v>1383</v>
      </c>
      <c r="D54" t="str">
        <f t="shared" si="0"/>
        <v>188060</v>
      </c>
      <c r="E54" t="str">
        <f t="shared" si="1"/>
        <v>24-128-96</v>
      </c>
      <c r="F54" t="str">
        <f t="shared" si="2"/>
        <v>2412896</v>
      </c>
      <c r="G54">
        <f t="shared" si="3"/>
        <v>24</v>
      </c>
      <c r="H54">
        <f t="shared" si="4"/>
        <v>128</v>
      </c>
      <c r="I54">
        <f t="shared" si="5"/>
        <v>96</v>
      </c>
      <c r="J54" s="258" t="str" cm="1">
        <f t="array" ref="J54">myRGB(G54,H54,I54)</f>
        <v/>
      </c>
    </row>
    <row r="55" spans="1:10" ht="17" x14ac:dyDescent="0.25">
      <c r="A55" s="1" t="s">
        <v>57</v>
      </c>
      <c r="B55" s="1" t="s">
        <v>2709</v>
      </c>
      <c r="C55" s="1" t="s">
        <v>1384</v>
      </c>
      <c r="D55" t="str">
        <f t="shared" si="0"/>
        <v>187F63</v>
      </c>
      <c r="E55" t="str">
        <f t="shared" si="1"/>
        <v>24-127-99</v>
      </c>
      <c r="F55" t="str">
        <f t="shared" si="2"/>
        <v>2412799</v>
      </c>
      <c r="G55">
        <f t="shared" si="3"/>
        <v>24</v>
      </c>
      <c r="H55">
        <f t="shared" si="4"/>
        <v>127</v>
      </c>
      <c r="I55">
        <f t="shared" si="5"/>
        <v>99</v>
      </c>
      <c r="J55" s="269" t="str" cm="1">
        <f t="array" ref="J55">myRGB(G55,H55,I55)</f>
        <v/>
      </c>
    </row>
    <row r="56" spans="1:10" ht="17" x14ac:dyDescent="0.25">
      <c r="A56" s="1" t="s">
        <v>58</v>
      </c>
      <c r="B56" s="1" t="s">
        <v>2710</v>
      </c>
      <c r="C56" s="1" t="s">
        <v>1385</v>
      </c>
      <c r="D56" t="str">
        <f t="shared" si="0"/>
        <v>197C64</v>
      </c>
      <c r="E56" t="str">
        <f t="shared" si="1"/>
        <v>25-124-100</v>
      </c>
      <c r="F56" t="str">
        <f t="shared" si="2"/>
        <v>25124100</v>
      </c>
      <c r="G56">
        <f t="shared" si="3"/>
        <v>25</v>
      </c>
      <c r="H56">
        <f t="shared" si="4"/>
        <v>124</v>
      </c>
      <c r="I56">
        <f t="shared" si="5"/>
        <v>100</v>
      </c>
      <c r="J56" s="144" t="str" cm="1">
        <f t="array" ref="J56">myRGB(G56,H56,I56)</f>
        <v/>
      </c>
    </row>
    <row r="57" spans="1:10" ht="17" x14ac:dyDescent="0.25">
      <c r="A57" s="1" t="s">
        <v>59</v>
      </c>
      <c r="B57" s="1" t="s">
        <v>2711</v>
      </c>
      <c r="C57" s="1" t="s">
        <v>1386</v>
      </c>
      <c r="D57" t="str">
        <f t="shared" si="0"/>
        <v>1A7D62</v>
      </c>
      <c r="E57" t="str">
        <f t="shared" si="1"/>
        <v>26-125-98</v>
      </c>
      <c r="F57" t="str">
        <f t="shared" si="2"/>
        <v>2612598</v>
      </c>
      <c r="G57">
        <f t="shared" si="3"/>
        <v>26</v>
      </c>
      <c r="H57">
        <f t="shared" si="4"/>
        <v>125</v>
      </c>
      <c r="I57">
        <f t="shared" si="5"/>
        <v>98</v>
      </c>
      <c r="J57" s="356" t="str" cm="1">
        <f t="array" ref="J57">myRGB(G57,H57,I57)</f>
        <v/>
      </c>
    </row>
    <row r="58" spans="1:10" ht="17" x14ac:dyDescent="0.25">
      <c r="A58" s="1" t="s">
        <v>60</v>
      </c>
      <c r="B58" s="1" t="s">
        <v>2712</v>
      </c>
      <c r="C58" s="1" t="s">
        <v>1387</v>
      </c>
      <c r="D58" t="str">
        <f t="shared" si="0"/>
        <v>198060</v>
      </c>
      <c r="E58" t="str">
        <f t="shared" si="1"/>
        <v>25-128-96</v>
      </c>
      <c r="F58" t="str">
        <f t="shared" si="2"/>
        <v>2512896</v>
      </c>
      <c r="G58">
        <f t="shared" si="3"/>
        <v>25</v>
      </c>
      <c r="H58">
        <f t="shared" si="4"/>
        <v>128</v>
      </c>
      <c r="I58">
        <f t="shared" si="5"/>
        <v>96</v>
      </c>
      <c r="J58" s="193" t="str" cm="1">
        <f t="array" ref="J58">myRGB(G58,H58,I58)</f>
        <v/>
      </c>
    </row>
    <row r="59" spans="1:10" ht="17" x14ac:dyDescent="0.25">
      <c r="A59" s="1" t="s">
        <v>61</v>
      </c>
      <c r="B59" s="1" t="s">
        <v>2713</v>
      </c>
      <c r="C59" s="1" t="s">
        <v>1388</v>
      </c>
      <c r="D59" t="str">
        <f t="shared" si="0"/>
        <v>1A7E61</v>
      </c>
      <c r="E59" t="str">
        <f t="shared" si="1"/>
        <v>26-126-97</v>
      </c>
      <c r="F59" t="str">
        <f t="shared" si="2"/>
        <v>2612697</v>
      </c>
      <c r="G59">
        <f t="shared" si="3"/>
        <v>26</v>
      </c>
      <c r="H59">
        <f t="shared" si="4"/>
        <v>126</v>
      </c>
      <c r="I59">
        <f t="shared" si="5"/>
        <v>97</v>
      </c>
      <c r="J59" s="134" t="str" cm="1">
        <f t="array" ref="J59">myRGB(G59,H59,I59)</f>
        <v/>
      </c>
    </row>
    <row r="60" spans="1:10" ht="17" x14ac:dyDescent="0.25">
      <c r="A60" s="1" t="s">
        <v>62</v>
      </c>
      <c r="B60" s="1" t="s">
        <v>2714</v>
      </c>
      <c r="C60" s="1" t="s">
        <v>1389</v>
      </c>
      <c r="D60" t="str">
        <f t="shared" si="0"/>
        <v>1B7F61</v>
      </c>
      <c r="E60" t="str">
        <f t="shared" si="1"/>
        <v>27-127-97</v>
      </c>
      <c r="F60" t="str">
        <f t="shared" si="2"/>
        <v>2712797</v>
      </c>
      <c r="G60">
        <f t="shared" si="3"/>
        <v>27</v>
      </c>
      <c r="H60">
        <f t="shared" si="4"/>
        <v>127</v>
      </c>
      <c r="I60">
        <f t="shared" si="5"/>
        <v>97</v>
      </c>
      <c r="J60" s="859" t="str" cm="1">
        <f t="array" ref="J60">myRGB(G60,H60,I60)</f>
        <v/>
      </c>
    </row>
    <row r="61" spans="1:10" ht="17" x14ac:dyDescent="0.25">
      <c r="A61" s="1" t="s">
        <v>63</v>
      </c>
      <c r="B61" s="1" t="s">
        <v>2715</v>
      </c>
      <c r="C61" s="1" t="s">
        <v>1390</v>
      </c>
      <c r="D61" t="str">
        <f t="shared" si="0"/>
        <v>1B7D63</v>
      </c>
      <c r="E61" t="str">
        <f t="shared" si="1"/>
        <v>27-125-99</v>
      </c>
      <c r="F61" t="str">
        <f t="shared" si="2"/>
        <v>2712599</v>
      </c>
      <c r="G61">
        <f t="shared" si="3"/>
        <v>27</v>
      </c>
      <c r="H61">
        <f t="shared" si="4"/>
        <v>125</v>
      </c>
      <c r="I61">
        <f t="shared" si="5"/>
        <v>99</v>
      </c>
      <c r="J61" s="871" t="str" cm="1">
        <f t="array" ref="J61">myRGB(G61,H61,I61)</f>
        <v/>
      </c>
    </row>
    <row r="62" spans="1:10" ht="17" x14ac:dyDescent="0.25">
      <c r="A62" s="1" t="s">
        <v>64</v>
      </c>
      <c r="B62" s="1" t="s">
        <v>2716</v>
      </c>
      <c r="C62" s="1" t="s">
        <v>1391</v>
      </c>
      <c r="D62" t="str">
        <f t="shared" si="0"/>
        <v>187E60</v>
      </c>
      <c r="E62" t="str">
        <f t="shared" si="1"/>
        <v>24-126-96</v>
      </c>
      <c r="F62" t="str">
        <f t="shared" si="2"/>
        <v>2412696</v>
      </c>
      <c r="G62">
        <f t="shared" si="3"/>
        <v>24</v>
      </c>
      <c r="H62">
        <f t="shared" si="4"/>
        <v>126</v>
      </c>
      <c r="I62">
        <f t="shared" si="5"/>
        <v>96</v>
      </c>
      <c r="J62" s="896" t="str" cm="1">
        <f t="array" ref="J62">myRGB(G62,H62,I62)</f>
        <v/>
      </c>
    </row>
    <row r="63" spans="1:10" ht="17" x14ac:dyDescent="0.25">
      <c r="A63" s="1" t="s">
        <v>65</v>
      </c>
      <c r="B63" s="1" t="s">
        <v>2717</v>
      </c>
      <c r="C63" s="1" t="s">
        <v>1392</v>
      </c>
      <c r="D63" t="str">
        <f t="shared" si="0"/>
        <v>187C62</v>
      </c>
      <c r="E63" t="str">
        <f t="shared" si="1"/>
        <v>24-124-98</v>
      </c>
      <c r="F63" t="str">
        <f t="shared" si="2"/>
        <v>2412498</v>
      </c>
      <c r="G63">
        <f t="shared" si="3"/>
        <v>24</v>
      </c>
      <c r="H63">
        <f t="shared" si="4"/>
        <v>124</v>
      </c>
      <c r="I63">
        <f t="shared" si="5"/>
        <v>98</v>
      </c>
      <c r="J63" s="854" t="str" cm="1">
        <f t="array" ref="J63">myRGB(G63,H63,I63)</f>
        <v/>
      </c>
    </row>
    <row r="64" spans="1:10" ht="17" x14ac:dyDescent="0.25">
      <c r="A64" s="1" t="s">
        <v>66</v>
      </c>
      <c r="B64" s="1" t="s">
        <v>2718</v>
      </c>
      <c r="C64" s="1" t="s">
        <v>1393</v>
      </c>
      <c r="D64" t="str">
        <f t="shared" si="0"/>
        <v>1A8060</v>
      </c>
      <c r="E64" t="str">
        <f t="shared" si="1"/>
        <v>26-128-96</v>
      </c>
      <c r="F64" t="str">
        <f t="shared" si="2"/>
        <v>2612896</v>
      </c>
      <c r="G64">
        <f t="shared" si="3"/>
        <v>26</v>
      </c>
      <c r="H64">
        <f t="shared" si="4"/>
        <v>128</v>
      </c>
      <c r="I64">
        <f t="shared" si="5"/>
        <v>96</v>
      </c>
      <c r="J64" s="860" t="str" cm="1">
        <f t="array" ref="J64">myRGB(G64,H64,I64)</f>
        <v/>
      </c>
    </row>
    <row r="65" spans="1:10" ht="17" x14ac:dyDescent="0.25">
      <c r="A65" s="1" t="s">
        <v>67</v>
      </c>
      <c r="B65" s="1" t="s">
        <v>2719</v>
      </c>
      <c r="C65" s="1" t="s">
        <v>1394</v>
      </c>
      <c r="D65" t="str">
        <f t="shared" si="0"/>
        <v>1A7C64</v>
      </c>
      <c r="E65" t="str">
        <f t="shared" si="1"/>
        <v>26-124-100</v>
      </c>
      <c r="F65" t="str">
        <f t="shared" si="2"/>
        <v>26124100</v>
      </c>
      <c r="G65">
        <f t="shared" si="3"/>
        <v>26</v>
      </c>
      <c r="H65">
        <f t="shared" si="4"/>
        <v>124</v>
      </c>
      <c r="I65">
        <f t="shared" si="5"/>
        <v>100</v>
      </c>
      <c r="J65" s="872" t="str" cm="1">
        <f t="array" ref="J65">myRGB(G65,H65,I65)</f>
        <v/>
      </c>
    </row>
    <row r="66" spans="1:10" ht="17" x14ac:dyDescent="0.25">
      <c r="A66" s="1" t="s">
        <v>68</v>
      </c>
      <c r="B66" s="1" t="s">
        <v>2720</v>
      </c>
      <c r="C66" s="1" t="s">
        <v>1395</v>
      </c>
      <c r="D66" t="str">
        <f t="shared" si="0"/>
        <v>1C8062</v>
      </c>
      <c r="E66" t="str">
        <f t="shared" si="1"/>
        <v>28-128-98</v>
      </c>
      <c r="F66" t="str">
        <f t="shared" si="2"/>
        <v>2812898</v>
      </c>
      <c r="G66">
        <f t="shared" si="3"/>
        <v>28</v>
      </c>
      <c r="H66">
        <f t="shared" si="4"/>
        <v>128</v>
      </c>
      <c r="I66">
        <f t="shared" si="5"/>
        <v>98</v>
      </c>
      <c r="J66" s="954" t="str" cm="1">
        <f t="array" ref="J66">myRGB(G66,H66,I66)</f>
        <v/>
      </c>
    </row>
    <row r="67" spans="1:10" ht="17" x14ac:dyDescent="0.25">
      <c r="A67" s="1" t="s">
        <v>69</v>
      </c>
      <c r="B67" s="1" t="s">
        <v>2721</v>
      </c>
      <c r="C67" s="1" t="s">
        <v>1396</v>
      </c>
      <c r="D67" t="str">
        <f t="shared" si="0"/>
        <v>197F63</v>
      </c>
      <c r="E67" t="str">
        <f t="shared" si="1"/>
        <v>25-127-99</v>
      </c>
      <c r="F67" t="str">
        <f t="shared" si="2"/>
        <v>2512799</v>
      </c>
      <c r="G67">
        <f t="shared" si="3"/>
        <v>25</v>
      </c>
      <c r="H67">
        <f t="shared" si="4"/>
        <v>127</v>
      </c>
      <c r="I67">
        <f t="shared" si="5"/>
        <v>99</v>
      </c>
      <c r="J67" s="218" t="str" cm="1">
        <f t="array" ref="J67">myRGB(G67,H67,I67)</f>
        <v/>
      </c>
    </row>
    <row r="68" spans="1:10" ht="17" x14ac:dyDescent="0.25">
      <c r="A68" s="1" t="s">
        <v>70</v>
      </c>
      <c r="B68" s="1" t="s">
        <v>2722</v>
      </c>
      <c r="C68" s="1" t="s">
        <v>1397</v>
      </c>
      <c r="D68" t="str">
        <f t="shared" ref="D68:D131" si="6">RIGHT(LEFT(C68,9),6)</f>
        <v>187F60</v>
      </c>
      <c r="E68" t="str">
        <f t="shared" ref="E68:E131" si="7">HEX2DEC(LEFT(D68,2))&amp;"-"&amp;HEX2DEC(MID(D68,3,2))&amp;"-"&amp;HEX2DEC(RIGHT(D68,2))</f>
        <v>24-127-96</v>
      </c>
      <c r="F68" t="str">
        <f t="shared" ref="F68:F131" si="8">HEX2DEC(LEFT(D68,2))&amp;HEX2DEC(MID(D68,3,2))&amp;HEX2DEC(RIGHT(D68,2))</f>
        <v>2412796</v>
      </c>
      <c r="G68">
        <f t="shared" ref="G68:G131" si="9">HEX2DEC(LEFT(D68,2))</f>
        <v>24</v>
      </c>
      <c r="H68">
        <f t="shared" ref="H68:H131" si="10">HEX2DEC(MID(D68,3,2))</f>
        <v>127</v>
      </c>
      <c r="I68">
        <f t="shared" ref="I68:I131" si="11">HEX2DEC(RIGHT(D68,2))</f>
        <v>96</v>
      </c>
      <c r="J68" s="192" t="str" cm="1">
        <f t="array" ref="J68">myRGB(G68,H68,I68)</f>
        <v/>
      </c>
    </row>
    <row r="69" spans="1:10" ht="17" x14ac:dyDescent="0.25">
      <c r="A69" s="1" t="s">
        <v>71</v>
      </c>
      <c r="B69" s="1" t="s">
        <v>2723</v>
      </c>
      <c r="C69" s="1" t="s">
        <v>1398</v>
      </c>
      <c r="D69" t="str">
        <f t="shared" si="6"/>
        <v>187F64</v>
      </c>
      <c r="E69" t="str">
        <f t="shared" si="7"/>
        <v>24-127-100</v>
      </c>
      <c r="F69" t="str">
        <f t="shared" si="8"/>
        <v>24127100</v>
      </c>
      <c r="G69">
        <f t="shared" si="9"/>
        <v>24</v>
      </c>
      <c r="H69">
        <f t="shared" si="10"/>
        <v>127</v>
      </c>
      <c r="I69">
        <f t="shared" si="11"/>
        <v>100</v>
      </c>
      <c r="J69" s="329" t="str" cm="1">
        <f t="array" ref="J69">myRGB(G69,H69,I69)</f>
        <v/>
      </c>
    </row>
    <row r="70" spans="1:10" ht="17" x14ac:dyDescent="0.25">
      <c r="A70" s="1" t="s">
        <v>72</v>
      </c>
      <c r="B70" s="1" t="s">
        <v>2724</v>
      </c>
      <c r="C70" s="1" t="s">
        <v>1399</v>
      </c>
      <c r="D70" t="str">
        <f t="shared" si="6"/>
        <v>1C7F64</v>
      </c>
      <c r="E70" t="str">
        <f t="shared" si="7"/>
        <v>28-127-100</v>
      </c>
      <c r="F70" t="str">
        <f t="shared" si="8"/>
        <v>28127100</v>
      </c>
      <c r="G70">
        <f t="shared" si="9"/>
        <v>28</v>
      </c>
      <c r="H70">
        <f t="shared" si="10"/>
        <v>127</v>
      </c>
      <c r="I70">
        <f t="shared" si="11"/>
        <v>100</v>
      </c>
      <c r="J70" s="133" t="str" cm="1">
        <f t="array" ref="J70">myRGB(G70,H70,I70)</f>
        <v/>
      </c>
    </row>
    <row r="71" spans="1:10" ht="17" x14ac:dyDescent="0.25">
      <c r="A71" s="1" t="s">
        <v>73</v>
      </c>
      <c r="B71" s="1" t="s">
        <v>2725</v>
      </c>
      <c r="C71" s="1" t="s">
        <v>1400</v>
      </c>
      <c r="D71" t="str">
        <f t="shared" si="6"/>
        <v>197C63</v>
      </c>
      <c r="E71" t="str">
        <f t="shared" si="7"/>
        <v>25-124-99</v>
      </c>
      <c r="F71" t="str">
        <f t="shared" si="8"/>
        <v>2512499</v>
      </c>
      <c r="G71">
        <f t="shared" si="9"/>
        <v>25</v>
      </c>
      <c r="H71">
        <f t="shared" si="10"/>
        <v>124</v>
      </c>
      <c r="I71">
        <f t="shared" si="11"/>
        <v>99</v>
      </c>
      <c r="J71" s="355" t="str" cm="1">
        <f t="array" ref="J71">myRGB(G71,H71,I71)</f>
        <v/>
      </c>
    </row>
    <row r="72" spans="1:10" ht="17" x14ac:dyDescent="0.25">
      <c r="A72" s="1" t="s">
        <v>74</v>
      </c>
      <c r="B72" s="1" t="s">
        <v>2726</v>
      </c>
      <c r="C72" s="1" t="s">
        <v>1401</v>
      </c>
      <c r="D72" t="str">
        <f t="shared" si="6"/>
        <v>1A7F64</v>
      </c>
      <c r="E72" t="str">
        <f t="shared" si="7"/>
        <v>26-127-100</v>
      </c>
      <c r="F72" t="str">
        <f t="shared" si="8"/>
        <v>26127100</v>
      </c>
      <c r="G72">
        <f t="shared" si="9"/>
        <v>26</v>
      </c>
      <c r="H72">
        <f t="shared" si="10"/>
        <v>127</v>
      </c>
      <c r="I72">
        <f t="shared" si="11"/>
        <v>100</v>
      </c>
      <c r="J72" s="65" t="str" cm="1">
        <f t="array" ref="J72">myRGB(G72,H72,I72)</f>
        <v/>
      </c>
    </row>
    <row r="73" spans="1:10" ht="17" x14ac:dyDescent="0.25">
      <c r="A73" s="1" t="s">
        <v>75</v>
      </c>
      <c r="B73" s="1" t="s">
        <v>2727</v>
      </c>
      <c r="C73" s="1" t="s">
        <v>1402</v>
      </c>
      <c r="D73" t="str">
        <f t="shared" si="6"/>
        <v>197F62</v>
      </c>
      <c r="E73" t="str">
        <f t="shared" si="7"/>
        <v>25-127-98</v>
      </c>
      <c r="F73" t="str">
        <f t="shared" si="8"/>
        <v>2512798</v>
      </c>
      <c r="G73">
        <f t="shared" si="9"/>
        <v>25</v>
      </c>
      <c r="H73">
        <f t="shared" si="10"/>
        <v>127</v>
      </c>
      <c r="I73">
        <f t="shared" si="11"/>
        <v>98</v>
      </c>
      <c r="J73" s="257" t="str" cm="1">
        <f t="array" ref="J73">myRGB(G73,H73,I73)</f>
        <v/>
      </c>
    </row>
    <row r="74" spans="1:10" ht="17" x14ac:dyDescent="0.25">
      <c r="A74" s="1" t="s">
        <v>76</v>
      </c>
      <c r="B74" s="1" t="s">
        <v>2728</v>
      </c>
      <c r="C74" s="1" t="s">
        <v>1403</v>
      </c>
      <c r="D74" t="str">
        <f t="shared" si="6"/>
        <v>188062</v>
      </c>
      <c r="E74" t="str">
        <f t="shared" si="7"/>
        <v>24-128-98</v>
      </c>
      <c r="F74" t="str">
        <f t="shared" si="8"/>
        <v>2412898</v>
      </c>
      <c r="G74">
        <f t="shared" si="9"/>
        <v>24</v>
      </c>
      <c r="H74">
        <f t="shared" si="10"/>
        <v>128</v>
      </c>
      <c r="I74">
        <f t="shared" si="11"/>
        <v>98</v>
      </c>
      <c r="J74" s="217" t="str" cm="1">
        <f t="array" ref="J74">myRGB(G74,H74,I74)</f>
        <v/>
      </c>
    </row>
    <row r="75" spans="1:10" ht="17" x14ac:dyDescent="0.25">
      <c r="A75" s="1" t="s">
        <v>77</v>
      </c>
      <c r="B75" s="1" t="s">
        <v>2729</v>
      </c>
      <c r="C75" s="1" t="s">
        <v>1404</v>
      </c>
      <c r="D75" t="str">
        <f t="shared" si="6"/>
        <v>187E61</v>
      </c>
      <c r="E75" t="str">
        <f t="shared" si="7"/>
        <v>24-126-97</v>
      </c>
      <c r="F75" t="str">
        <f t="shared" si="8"/>
        <v>2412697</v>
      </c>
      <c r="G75">
        <f t="shared" si="9"/>
        <v>24</v>
      </c>
      <c r="H75">
        <f t="shared" si="10"/>
        <v>126</v>
      </c>
      <c r="I75">
        <f t="shared" si="11"/>
        <v>97</v>
      </c>
      <c r="J75" s="354" t="str" cm="1">
        <f t="array" ref="J75">myRGB(G75,H75,I75)</f>
        <v/>
      </c>
    </row>
    <row r="76" spans="1:10" ht="17" x14ac:dyDescent="0.25">
      <c r="A76" s="1" t="s">
        <v>78</v>
      </c>
      <c r="B76" s="1" t="s">
        <v>2730</v>
      </c>
      <c r="C76" s="1" t="s">
        <v>1405</v>
      </c>
      <c r="D76" t="str">
        <f t="shared" si="6"/>
        <v>1A7E64</v>
      </c>
      <c r="E76" t="str">
        <f t="shared" si="7"/>
        <v>26-126-100</v>
      </c>
      <c r="F76" t="str">
        <f t="shared" si="8"/>
        <v>26126100</v>
      </c>
      <c r="G76">
        <f t="shared" si="9"/>
        <v>26</v>
      </c>
      <c r="H76">
        <f t="shared" si="10"/>
        <v>126</v>
      </c>
      <c r="I76">
        <f t="shared" si="11"/>
        <v>100</v>
      </c>
      <c r="J76" s="132" t="str" cm="1">
        <f t="array" ref="J76">myRGB(G76,H76,I76)</f>
        <v/>
      </c>
    </row>
    <row r="77" spans="1:10" ht="17" x14ac:dyDescent="0.25">
      <c r="A77" s="1" t="s">
        <v>79</v>
      </c>
      <c r="B77" s="1" t="s">
        <v>2731</v>
      </c>
      <c r="C77" s="1" t="s">
        <v>1406</v>
      </c>
      <c r="D77" t="str">
        <f t="shared" si="6"/>
        <v>1B7F62</v>
      </c>
      <c r="E77" t="str">
        <f t="shared" si="7"/>
        <v>27-127-98</v>
      </c>
      <c r="F77" t="str">
        <f t="shared" si="8"/>
        <v>2712798</v>
      </c>
      <c r="G77">
        <f t="shared" si="9"/>
        <v>27</v>
      </c>
      <c r="H77">
        <f t="shared" si="10"/>
        <v>127</v>
      </c>
      <c r="I77">
        <f t="shared" si="11"/>
        <v>98</v>
      </c>
      <c r="J77" s="328" t="str" cm="1">
        <f t="array" ref="J77">myRGB(G77,H77,I77)</f>
        <v/>
      </c>
    </row>
    <row r="78" spans="1:10" ht="17" x14ac:dyDescent="0.25">
      <c r="A78" s="1" t="s">
        <v>80</v>
      </c>
      <c r="B78" s="1" t="s">
        <v>2732</v>
      </c>
      <c r="C78" s="1" t="s">
        <v>1407</v>
      </c>
      <c r="D78" t="str">
        <f t="shared" si="6"/>
        <v>1B7E63</v>
      </c>
      <c r="E78" t="str">
        <f t="shared" si="7"/>
        <v>27-126-99</v>
      </c>
      <c r="F78" t="str">
        <f t="shared" si="8"/>
        <v>2712699</v>
      </c>
      <c r="G78">
        <f t="shared" si="9"/>
        <v>27</v>
      </c>
      <c r="H78">
        <f t="shared" si="10"/>
        <v>126</v>
      </c>
      <c r="I78">
        <f t="shared" si="11"/>
        <v>99</v>
      </c>
      <c r="J78" s="63" t="str" cm="1">
        <f t="array" ref="J78">myRGB(G78,H78,I78)</f>
        <v/>
      </c>
    </row>
    <row r="79" spans="1:10" ht="17" x14ac:dyDescent="0.25">
      <c r="A79" s="1" t="s">
        <v>81</v>
      </c>
      <c r="B79" s="1" t="s">
        <v>2733</v>
      </c>
      <c r="C79" s="1" t="s">
        <v>1408</v>
      </c>
      <c r="D79" t="str">
        <f t="shared" si="6"/>
        <v>187D61</v>
      </c>
      <c r="E79" t="str">
        <f t="shared" si="7"/>
        <v>24-125-97</v>
      </c>
      <c r="F79" t="str">
        <f t="shared" si="8"/>
        <v>2412597</v>
      </c>
      <c r="G79">
        <f t="shared" si="9"/>
        <v>24</v>
      </c>
      <c r="H79">
        <f t="shared" si="10"/>
        <v>125</v>
      </c>
      <c r="I79">
        <f t="shared" si="11"/>
        <v>97</v>
      </c>
      <c r="J79" s="191" t="str" cm="1">
        <f t="array" ref="J79">myRGB(G79,H79,I79)</f>
        <v/>
      </c>
    </row>
    <row r="80" spans="1:10" ht="17" x14ac:dyDescent="0.25">
      <c r="A80" s="1" t="s">
        <v>82</v>
      </c>
      <c r="B80" s="1" t="s">
        <v>2734</v>
      </c>
      <c r="C80" s="1" t="s">
        <v>1409</v>
      </c>
      <c r="D80" t="str">
        <f t="shared" si="6"/>
        <v>188064</v>
      </c>
      <c r="E80" t="str">
        <f t="shared" si="7"/>
        <v>24-128-100</v>
      </c>
      <c r="F80" t="str">
        <f t="shared" si="8"/>
        <v>24128100</v>
      </c>
      <c r="G80">
        <f t="shared" si="9"/>
        <v>24</v>
      </c>
      <c r="H80">
        <f t="shared" si="10"/>
        <v>128</v>
      </c>
      <c r="I80">
        <f t="shared" si="11"/>
        <v>100</v>
      </c>
      <c r="J80" s="64" t="str" cm="1">
        <f t="array" ref="J80">myRGB(G80,H80,I80)</f>
        <v/>
      </c>
    </row>
    <row r="81" spans="1:10" ht="17" x14ac:dyDescent="0.25">
      <c r="A81" s="1" t="s">
        <v>83</v>
      </c>
      <c r="B81" s="1" t="s">
        <v>2735</v>
      </c>
      <c r="C81" s="1" t="s">
        <v>1410</v>
      </c>
      <c r="D81" t="str">
        <f t="shared" si="6"/>
        <v>187E63</v>
      </c>
      <c r="E81" t="str">
        <f t="shared" si="7"/>
        <v>24-126-99</v>
      </c>
      <c r="F81" t="str">
        <f t="shared" si="8"/>
        <v>2412699</v>
      </c>
      <c r="G81">
        <f t="shared" si="9"/>
        <v>24</v>
      </c>
      <c r="H81">
        <f t="shared" si="10"/>
        <v>126</v>
      </c>
      <c r="I81">
        <f t="shared" si="11"/>
        <v>99</v>
      </c>
      <c r="J81" s="326" t="str" cm="1">
        <f t="array" ref="J81">myRGB(G81,H81,I81)</f>
        <v/>
      </c>
    </row>
    <row r="82" spans="1:10" ht="17" x14ac:dyDescent="0.25">
      <c r="A82" s="1" t="s">
        <v>84</v>
      </c>
      <c r="B82" s="1" t="s">
        <v>2736</v>
      </c>
      <c r="C82" s="1" t="s">
        <v>1411</v>
      </c>
      <c r="D82" t="str">
        <f t="shared" si="6"/>
        <v>197E64</v>
      </c>
      <c r="E82" t="str">
        <f t="shared" si="7"/>
        <v>25-126-100</v>
      </c>
      <c r="F82" t="str">
        <f t="shared" si="8"/>
        <v>25126100</v>
      </c>
      <c r="G82">
        <f t="shared" si="9"/>
        <v>25</v>
      </c>
      <c r="H82">
        <f t="shared" si="10"/>
        <v>126</v>
      </c>
      <c r="I82">
        <f t="shared" si="11"/>
        <v>100</v>
      </c>
      <c r="J82" s="254" t="str" cm="1">
        <f t="array" ref="J82">myRGB(G82,H82,I82)</f>
        <v/>
      </c>
    </row>
    <row r="83" spans="1:10" ht="17" x14ac:dyDescent="0.25">
      <c r="A83" s="1" t="s">
        <v>85</v>
      </c>
      <c r="B83" s="1" t="s">
        <v>2737</v>
      </c>
      <c r="C83" s="1" t="s">
        <v>1412</v>
      </c>
      <c r="D83" t="str">
        <f t="shared" si="6"/>
        <v>197F61</v>
      </c>
      <c r="E83" t="str">
        <f t="shared" si="7"/>
        <v>25-127-97</v>
      </c>
      <c r="F83" t="str">
        <f t="shared" si="8"/>
        <v>2512797</v>
      </c>
      <c r="G83">
        <f t="shared" si="9"/>
        <v>25</v>
      </c>
      <c r="H83">
        <f t="shared" si="10"/>
        <v>127</v>
      </c>
      <c r="I83">
        <f t="shared" si="11"/>
        <v>97</v>
      </c>
      <c r="J83" s="58" t="str" cm="1">
        <f t="array" ref="J83">myRGB(G83,H83,I83)</f>
        <v/>
      </c>
    </row>
    <row r="84" spans="1:10" ht="17" x14ac:dyDescent="0.25">
      <c r="A84" s="1" t="s">
        <v>86</v>
      </c>
      <c r="B84" s="1" t="s">
        <v>2738</v>
      </c>
      <c r="C84" s="1" t="s">
        <v>1413</v>
      </c>
      <c r="D84" t="str">
        <f t="shared" si="6"/>
        <v>1A7F63</v>
      </c>
      <c r="E84" t="str">
        <f t="shared" si="7"/>
        <v>26-127-99</v>
      </c>
      <c r="F84" t="str">
        <f t="shared" si="8"/>
        <v>2612799</v>
      </c>
      <c r="G84">
        <f t="shared" si="9"/>
        <v>26</v>
      </c>
      <c r="H84">
        <f t="shared" si="10"/>
        <v>127</v>
      </c>
      <c r="I84">
        <f t="shared" si="11"/>
        <v>99</v>
      </c>
      <c r="J84" s="214" t="str" cm="1">
        <f t="array" ref="J84">myRGB(G84,H84,I84)</f>
        <v/>
      </c>
    </row>
    <row r="85" spans="1:10" ht="17" x14ac:dyDescent="0.25">
      <c r="A85" s="1" t="s">
        <v>87</v>
      </c>
      <c r="B85" s="1" t="s">
        <v>2739</v>
      </c>
      <c r="C85" s="1" t="s">
        <v>1414</v>
      </c>
      <c r="D85" t="str">
        <f t="shared" si="6"/>
        <v>187E62</v>
      </c>
      <c r="E85" t="str">
        <f t="shared" si="7"/>
        <v>24-126-98</v>
      </c>
      <c r="F85" t="str">
        <f t="shared" si="8"/>
        <v>2412698</v>
      </c>
      <c r="G85">
        <f t="shared" si="9"/>
        <v>24</v>
      </c>
      <c r="H85">
        <f t="shared" si="10"/>
        <v>126</v>
      </c>
      <c r="I85">
        <f t="shared" si="11"/>
        <v>98</v>
      </c>
      <c r="J85" s="188" t="str" cm="1">
        <f t="array" ref="J85">myRGB(G85,H85,I85)</f>
        <v/>
      </c>
    </row>
    <row r="86" spans="1:10" ht="17" x14ac:dyDescent="0.25">
      <c r="A86" s="1" t="s">
        <v>88</v>
      </c>
      <c r="B86" s="1" t="s">
        <v>2740</v>
      </c>
      <c r="C86" s="1" t="s">
        <v>1415</v>
      </c>
      <c r="D86" t="str">
        <f t="shared" si="6"/>
        <v>197D61</v>
      </c>
      <c r="E86" t="str">
        <f t="shared" si="7"/>
        <v>25-125-97</v>
      </c>
      <c r="F86" t="str">
        <f t="shared" si="8"/>
        <v>2512597</v>
      </c>
      <c r="G86">
        <f t="shared" si="9"/>
        <v>25</v>
      </c>
      <c r="H86">
        <f t="shared" si="10"/>
        <v>125</v>
      </c>
      <c r="I86">
        <f t="shared" si="11"/>
        <v>97</v>
      </c>
      <c r="J86" s="129" t="str" cm="1">
        <f t="array" ref="J86">myRGB(G86,H86,I86)</f>
        <v/>
      </c>
    </row>
    <row r="87" spans="1:10" ht="17" x14ac:dyDescent="0.25">
      <c r="A87" s="1" t="s">
        <v>89</v>
      </c>
      <c r="B87" s="1" t="s">
        <v>2741</v>
      </c>
      <c r="C87" s="1" t="s">
        <v>1416</v>
      </c>
      <c r="D87" t="str">
        <f t="shared" si="6"/>
        <v>1C8064</v>
      </c>
      <c r="E87" t="str">
        <f t="shared" si="7"/>
        <v>28-128-100</v>
      </c>
      <c r="F87" t="str">
        <f t="shared" si="8"/>
        <v>28128100</v>
      </c>
      <c r="G87">
        <f t="shared" si="9"/>
        <v>28</v>
      </c>
      <c r="H87">
        <f t="shared" si="10"/>
        <v>128</v>
      </c>
      <c r="I87">
        <f t="shared" si="11"/>
        <v>100</v>
      </c>
      <c r="J87" s="59" t="str" cm="1">
        <f t="array" ref="J87">myRGB(G87,H87,I87)</f>
        <v/>
      </c>
    </row>
    <row r="88" spans="1:10" ht="17" x14ac:dyDescent="0.25">
      <c r="A88" s="1" t="s">
        <v>90</v>
      </c>
      <c r="B88" s="1" t="s">
        <v>2742</v>
      </c>
      <c r="C88" s="1" t="s">
        <v>1417</v>
      </c>
      <c r="D88" t="str">
        <f t="shared" si="6"/>
        <v>187F62</v>
      </c>
      <c r="E88" t="str">
        <f t="shared" si="7"/>
        <v>24-127-98</v>
      </c>
      <c r="F88" t="str">
        <f t="shared" si="8"/>
        <v>2412798</v>
      </c>
      <c r="G88">
        <f t="shared" si="9"/>
        <v>24</v>
      </c>
      <c r="H88">
        <f t="shared" si="10"/>
        <v>127</v>
      </c>
      <c r="I88">
        <f t="shared" si="11"/>
        <v>98</v>
      </c>
      <c r="J88" s="61" t="str" cm="1">
        <f t="array" ref="J88">myRGB(G88,H88,I88)</f>
        <v/>
      </c>
    </row>
    <row r="89" spans="1:10" ht="17" x14ac:dyDescent="0.25">
      <c r="A89" s="1" t="s">
        <v>91</v>
      </c>
      <c r="B89" s="1" t="s">
        <v>2743</v>
      </c>
      <c r="C89" s="1" t="s">
        <v>1418</v>
      </c>
      <c r="D89" t="str">
        <f t="shared" si="6"/>
        <v>187C64</v>
      </c>
      <c r="E89" t="str">
        <f t="shared" si="7"/>
        <v>24-124-100</v>
      </c>
      <c r="F89" t="str">
        <f t="shared" si="8"/>
        <v>24124100</v>
      </c>
      <c r="G89">
        <f t="shared" si="9"/>
        <v>24</v>
      </c>
      <c r="H89">
        <f t="shared" si="10"/>
        <v>124</v>
      </c>
      <c r="I89">
        <f t="shared" si="11"/>
        <v>100</v>
      </c>
      <c r="J89" s="255" t="str" cm="1">
        <f t="array" ref="J89">myRGB(G89,H89,I89)</f>
        <v/>
      </c>
    </row>
    <row r="90" spans="1:10" ht="17" x14ac:dyDescent="0.25">
      <c r="A90" s="1" t="s">
        <v>92</v>
      </c>
      <c r="B90" s="1" t="s">
        <v>2744</v>
      </c>
      <c r="C90" s="1" t="s">
        <v>1419</v>
      </c>
      <c r="D90" t="str">
        <f t="shared" si="6"/>
        <v>188061</v>
      </c>
      <c r="E90" t="str">
        <f t="shared" si="7"/>
        <v>24-128-97</v>
      </c>
      <c r="F90" t="str">
        <f t="shared" si="8"/>
        <v>2412897</v>
      </c>
      <c r="G90">
        <f t="shared" si="9"/>
        <v>24</v>
      </c>
      <c r="H90">
        <f t="shared" si="10"/>
        <v>128</v>
      </c>
      <c r="I90">
        <f t="shared" si="11"/>
        <v>97</v>
      </c>
      <c r="J90" s="130" t="str" cm="1">
        <f t="array" ref="J90">myRGB(G90,H90,I90)</f>
        <v/>
      </c>
    </row>
    <row r="91" spans="1:10" ht="17" x14ac:dyDescent="0.25">
      <c r="A91" s="1" t="s">
        <v>93</v>
      </c>
      <c r="B91" s="1" t="s">
        <v>2745</v>
      </c>
      <c r="C91" s="1" t="s">
        <v>1420</v>
      </c>
      <c r="D91" t="str">
        <f t="shared" si="6"/>
        <v>1B7E62</v>
      </c>
      <c r="E91" t="str">
        <f t="shared" si="7"/>
        <v>27-126-98</v>
      </c>
      <c r="F91" t="str">
        <f t="shared" si="8"/>
        <v>2712698</v>
      </c>
      <c r="G91">
        <f t="shared" si="9"/>
        <v>27</v>
      </c>
      <c r="H91">
        <f t="shared" si="10"/>
        <v>126</v>
      </c>
      <c r="I91">
        <f t="shared" si="11"/>
        <v>98</v>
      </c>
      <c r="J91" s="215" t="str" cm="1">
        <f t="array" ref="J91">myRGB(G91,H91,I91)</f>
        <v/>
      </c>
    </row>
    <row r="92" spans="1:10" ht="17" x14ac:dyDescent="0.25">
      <c r="A92" s="1" t="s">
        <v>94</v>
      </c>
      <c r="B92" s="1" t="s">
        <v>2746</v>
      </c>
      <c r="C92" s="1" t="s">
        <v>1421</v>
      </c>
      <c r="D92" t="str">
        <f t="shared" si="6"/>
        <v>197F60</v>
      </c>
      <c r="E92" t="str">
        <f t="shared" si="7"/>
        <v>25-127-96</v>
      </c>
      <c r="F92" t="str">
        <f t="shared" si="8"/>
        <v>2512796</v>
      </c>
      <c r="G92">
        <f t="shared" si="9"/>
        <v>25</v>
      </c>
      <c r="H92">
        <f t="shared" si="10"/>
        <v>127</v>
      </c>
      <c r="I92">
        <f t="shared" si="11"/>
        <v>96</v>
      </c>
      <c r="J92" s="189" t="str" cm="1">
        <f t="array" ref="J92">myRGB(G92,H92,I92)</f>
        <v/>
      </c>
    </row>
    <row r="93" spans="1:10" ht="17" x14ac:dyDescent="0.25">
      <c r="A93" s="1" t="s">
        <v>95</v>
      </c>
      <c r="B93" s="1" t="s">
        <v>2747</v>
      </c>
      <c r="C93" s="1" t="s">
        <v>1422</v>
      </c>
      <c r="D93" t="str">
        <f t="shared" si="6"/>
        <v>188063</v>
      </c>
      <c r="E93" t="str">
        <f t="shared" si="7"/>
        <v>24-128-99</v>
      </c>
      <c r="F93" t="str">
        <f t="shared" si="8"/>
        <v>2412899</v>
      </c>
      <c r="G93">
        <f t="shared" si="9"/>
        <v>24</v>
      </c>
      <c r="H93">
        <f t="shared" si="10"/>
        <v>128</v>
      </c>
      <c r="I93">
        <f t="shared" si="11"/>
        <v>99</v>
      </c>
      <c r="J93" s="352" t="str" cm="1">
        <f t="array" ref="J93">myRGB(G93,H93,I93)</f>
        <v/>
      </c>
    </row>
    <row r="94" spans="1:10" ht="17" x14ac:dyDescent="0.25">
      <c r="A94" s="1" t="s">
        <v>96</v>
      </c>
      <c r="B94" s="1" t="s">
        <v>2748</v>
      </c>
      <c r="C94" s="1" t="s">
        <v>1423</v>
      </c>
      <c r="D94" t="str">
        <f t="shared" si="6"/>
        <v>1A8063</v>
      </c>
      <c r="E94" t="str">
        <f t="shared" si="7"/>
        <v>26-128-99</v>
      </c>
      <c r="F94" t="str">
        <f t="shared" si="8"/>
        <v>2612899</v>
      </c>
      <c r="G94">
        <f t="shared" si="9"/>
        <v>26</v>
      </c>
      <c r="H94">
        <f t="shared" si="10"/>
        <v>128</v>
      </c>
      <c r="I94">
        <f t="shared" si="11"/>
        <v>99</v>
      </c>
      <c r="J94" s="60" t="str" cm="1">
        <f t="array" ref="J94">myRGB(G94,H94,I94)</f>
        <v/>
      </c>
    </row>
    <row r="95" spans="1:10" ht="17" x14ac:dyDescent="0.25">
      <c r="A95" s="1" t="s">
        <v>97</v>
      </c>
      <c r="B95" s="1" t="s">
        <v>2749</v>
      </c>
      <c r="C95" s="1" t="s">
        <v>1424</v>
      </c>
      <c r="D95" t="str">
        <f t="shared" si="6"/>
        <v>1A7D64</v>
      </c>
      <c r="E95" t="str">
        <f t="shared" si="7"/>
        <v>26-125-100</v>
      </c>
      <c r="F95" t="str">
        <f t="shared" si="8"/>
        <v>26125100</v>
      </c>
      <c r="G95">
        <f t="shared" si="9"/>
        <v>26</v>
      </c>
      <c r="H95">
        <f t="shared" si="10"/>
        <v>125</v>
      </c>
      <c r="I95">
        <f t="shared" si="11"/>
        <v>100</v>
      </c>
      <c r="J95" s="260" t="str" cm="1">
        <f t="array" ref="J95">myRGB(G95,H95,I95)</f>
        <v/>
      </c>
    </row>
    <row r="96" spans="1:10" ht="17" x14ac:dyDescent="0.25">
      <c r="A96" s="1" t="s">
        <v>98</v>
      </c>
      <c r="B96" s="1" t="s">
        <v>2750</v>
      </c>
      <c r="C96" s="1" t="s">
        <v>1425</v>
      </c>
      <c r="D96" t="str">
        <f t="shared" si="6"/>
        <v>1B8062</v>
      </c>
      <c r="E96" t="str">
        <f t="shared" si="7"/>
        <v>27-128-98</v>
      </c>
      <c r="F96" t="str">
        <f t="shared" si="8"/>
        <v>2712898</v>
      </c>
      <c r="G96">
        <f t="shared" si="9"/>
        <v>27</v>
      </c>
      <c r="H96">
        <f t="shared" si="10"/>
        <v>128</v>
      </c>
      <c r="I96">
        <f t="shared" si="11"/>
        <v>98</v>
      </c>
      <c r="J96" s="219" t="str" cm="1">
        <f t="array" ref="J96">myRGB(G96,H96,I96)</f>
        <v/>
      </c>
    </row>
    <row r="97" spans="1:10" ht="17" x14ac:dyDescent="0.25">
      <c r="A97" s="1" t="s">
        <v>99</v>
      </c>
      <c r="B97" s="1" t="s">
        <v>2751</v>
      </c>
      <c r="C97" s="1" t="s">
        <v>1426</v>
      </c>
      <c r="D97" t="str">
        <f t="shared" si="6"/>
        <v>1C7F63</v>
      </c>
      <c r="E97" t="str">
        <f t="shared" si="7"/>
        <v>28-127-99</v>
      </c>
      <c r="F97" t="str">
        <f t="shared" si="8"/>
        <v>2812799</v>
      </c>
      <c r="G97">
        <f t="shared" si="9"/>
        <v>28</v>
      </c>
      <c r="H97">
        <f t="shared" si="10"/>
        <v>127</v>
      </c>
      <c r="I97">
        <f t="shared" si="11"/>
        <v>99</v>
      </c>
      <c r="J97" s="194" t="str" cm="1">
        <f t="array" ref="J97">myRGB(G97,H97,I97)</f>
        <v/>
      </c>
    </row>
    <row r="98" spans="1:10" ht="17" x14ac:dyDescent="0.25">
      <c r="A98" s="1" t="s">
        <v>100</v>
      </c>
      <c r="B98" s="1" t="s">
        <v>2752</v>
      </c>
      <c r="C98" s="1" t="s">
        <v>1427</v>
      </c>
      <c r="D98" t="str">
        <f t="shared" si="6"/>
        <v>197E61</v>
      </c>
      <c r="E98" t="str">
        <f t="shared" si="7"/>
        <v>25-126-97</v>
      </c>
      <c r="F98" t="str">
        <f t="shared" si="8"/>
        <v>2512697</v>
      </c>
      <c r="G98">
        <f t="shared" si="9"/>
        <v>25</v>
      </c>
      <c r="H98">
        <f t="shared" si="10"/>
        <v>126</v>
      </c>
      <c r="I98">
        <f t="shared" si="11"/>
        <v>97</v>
      </c>
      <c r="J98" s="145" t="str" cm="1">
        <f t="array" ref="J98">myRGB(G98,H98,I98)</f>
        <v/>
      </c>
    </row>
    <row r="99" spans="1:10" ht="17" x14ac:dyDescent="0.25">
      <c r="A99" s="1" t="s">
        <v>101</v>
      </c>
      <c r="B99" s="1" t="s">
        <v>2753</v>
      </c>
      <c r="C99" s="1" t="s">
        <v>1428</v>
      </c>
      <c r="D99" t="str">
        <f t="shared" si="6"/>
        <v>197D62</v>
      </c>
      <c r="E99" t="str">
        <f t="shared" si="7"/>
        <v>25-125-98</v>
      </c>
      <c r="F99" t="str">
        <f t="shared" si="8"/>
        <v>2512598</v>
      </c>
      <c r="G99">
        <f t="shared" si="9"/>
        <v>25</v>
      </c>
      <c r="H99">
        <f t="shared" si="10"/>
        <v>125</v>
      </c>
      <c r="I99">
        <f t="shared" si="11"/>
        <v>98</v>
      </c>
      <c r="J99" s="357" t="str" cm="1">
        <f t="array" ref="J99">myRGB(G99,H99,I99)</f>
        <v/>
      </c>
    </row>
    <row r="100" spans="1:10" ht="17" x14ac:dyDescent="0.25">
      <c r="A100" s="1" t="s">
        <v>102</v>
      </c>
      <c r="B100" s="1" t="s">
        <v>2754</v>
      </c>
      <c r="C100" s="1" t="s">
        <v>1429</v>
      </c>
      <c r="D100" t="str">
        <f t="shared" si="6"/>
        <v>1A7F61</v>
      </c>
      <c r="E100" t="str">
        <f t="shared" si="7"/>
        <v>26-127-97</v>
      </c>
      <c r="F100" t="str">
        <f t="shared" si="8"/>
        <v>2612797</v>
      </c>
      <c r="G100">
        <f t="shared" si="9"/>
        <v>26</v>
      </c>
      <c r="H100">
        <f t="shared" si="10"/>
        <v>127</v>
      </c>
      <c r="I100">
        <f t="shared" si="11"/>
        <v>97</v>
      </c>
      <c r="J100" s="330" t="str" cm="1">
        <f t="array" ref="J100">myRGB(G100,H100,I100)</f>
        <v/>
      </c>
    </row>
    <row r="101" spans="1:10" ht="17" x14ac:dyDescent="0.25">
      <c r="A101" s="1" t="s">
        <v>103</v>
      </c>
      <c r="B101" s="1" t="s">
        <v>2755</v>
      </c>
      <c r="C101" s="1" t="s">
        <v>1430</v>
      </c>
      <c r="D101" t="str">
        <f t="shared" si="6"/>
        <v>1A7D63</v>
      </c>
      <c r="E101" t="str">
        <f t="shared" si="7"/>
        <v>26-125-99</v>
      </c>
      <c r="F101" t="str">
        <f t="shared" si="8"/>
        <v>2612599</v>
      </c>
      <c r="G101">
        <f t="shared" si="9"/>
        <v>26</v>
      </c>
      <c r="H101">
        <f t="shared" si="10"/>
        <v>125</v>
      </c>
      <c r="I101">
        <f t="shared" si="11"/>
        <v>99</v>
      </c>
      <c r="J101" s="270" t="str" cm="1">
        <f t="array" ref="J101">myRGB(G101,H101,I101)</f>
        <v/>
      </c>
    </row>
    <row r="102" spans="1:10" ht="17" x14ac:dyDescent="0.25">
      <c r="A102" s="1" t="s">
        <v>104</v>
      </c>
      <c r="B102" s="1" t="s">
        <v>2756</v>
      </c>
      <c r="C102" s="1" t="s">
        <v>1431</v>
      </c>
      <c r="D102" t="str">
        <f t="shared" si="6"/>
        <v>198062</v>
      </c>
      <c r="E102" t="str">
        <f t="shared" si="7"/>
        <v>25-128-98</v>
      </c>
      <c r="F102" t="str">
        <f t="shared" si="8"/>
        <v>2512898</v>
      </c>
      <c r="G102">
        <f t="shared" si="9"/>
        <v>25</v>
      </c>
      <c r="H102">
        <f t="shared" si="10"/>
        <v>128</v>
      </c>
      <c r="I102">
        <f t="shared" si="11"/>
        <v>98</v>
      </c>
      <c r="J102" s="351" t="str" cm="1">
        <f t="array" ref="J102">myRGB(G102,H102,I102)</f>
        <v/>
      </c>
    </row>
    <row r="103" spans="1:10" ht="17" x14ac:dyDescent="0.25">
      <c r="A103" s="1" t="s">
        <v>105</v>
      </c>
      <c r="B103" s="1" t="s">
        <v>2757</v>
      </c>
      <c r="C103" s="1" t="s">
        <v>1432</v>
      </c>
      <c r="D103" t="str">
        <f t="shared" si="6"/>
        <v>1A7E62</v>
      </c>
      <c r="E103" t="str">
        <f t="shared" si="7"/>
        <v>26-126-98</v>
      </c>
      <c r="F103" t="str">
        <f t="shared" si="8"/>
        <v>2612698</v>
      </c>
      <c r="G103">
        <f t="shared" si="9"/>
        <v>26</v>
      </c>
      <c r="H103">
        <f t="shared" si="10"/>
        <v>126</v>
      </c>
      <c r="I103">
        <f t="shared" si="11"/>
        <v>98</v>
      </c>
      <c r="J103" s="187" t="str" cm="1">
        <f t="array" ref="J103">myRGB(G103,H103,I103)</f>
        <v/>
      </c>
    </row>
    <row r="104" spans="1:10" ht="17" x14ac:dyDescent="0.25">
      <c r="A104" s="1" t="s">
        <v>106</v>
      </c>
      <c r="B104" s="1" t="s">
        <v>2758</v>
      </c>
      <c r="C104" s="1" t="s">
        <v>1433</v>
      </c>
      <c r="D104" t="str">
        <f t="shared" si="6"/>
        <v>1B8063</v>
      </c>
      <c r="E104" t="str">
        <f t="shared" si="7"/>
        <v>27-128-99</v>
      </c>
      <c r="F104" t="str">
        <f t="shared" si="8"/>
        <v>2712899</v>
      </c>
      <c r="G104">
        <f t="shared" si="9"/>
        <v>27</v>
      </c>
      <c r="H104">
        <f t="shared" si="10"/>
        <v>128</v>
      </c>
      <c r="I104">
        <f t="shared" si="11"/>
        <v>99</v>
      </c>
      <c r="J104" s="253" t="str" cm="1">
        <f t="array" ref="J104">myRGB(G104,H104,I104)</f>
        <v/>
      </c>
    </row>
    <row r="105" spans="1:10" ht="17" x14ac:dyDescent="0.25">
      <c r="A105" s="1" t="s">
        <v>107</v>
      </c>
      <c r="B105" s="1" t="s">
        <v>2759</v>
      </c>
      <c r="C105" s="1" t="s">
        <v>1434</v>
      </c>
      <c r="D105" t="str">
        <f t="shared" si="6"/>
        <v>187C63</v>
      </c>
      <c r="E105" t="str">
        <f t="shared" si="7"/>
        <v>24-124-99</v>
      </c>
      <c r="F105" t="str">
        <f t="shared" si="8"/>
        <v>2412499</v>
      </c>
      <c r="G105">
        <f t="shared" si="9"/>
        <v>24</v>
      </c>
      <c r="H105">
        <f t="shared" si="10"/>
        <v>124</v>
      </c>
      <c r="I105">
        <f t="shared" si="11"/>
        <v>99</v>
      </c>
      <c r="J105" s="325" t="str" cm="1">
        <f t="array" ref="J105">myRGB(G105,H105,I105)</f>
        <v/>
      </c>
    </row>
    <row r="106" spans="1:10" ht="17" x14ac:dyDescent="0.25">
      <c r="A106" s="1" t="s">
        <v>108</v>
      </c>
      <c r="B106" s="1" t="s">
        <v>2760</v>
      </c>
      <c r="C106" s="1" t="s">
        <v>1435</v>
      </c>
      <c r="D106" t="str">
        <f t="shared" si="6"/>
        <v>1C8063</v>
      </c>
      <c r="E106" t="str">
        <f t="shared" si="7"/>
        <v>28-128-99</v>
      </c>
      <c r="F106" t="str">
        <f t="shared" si="8"/>
        <v>2812899</v>
      </c>
      <c r="G106">
        <f t="shared" si="9"/>
        <v>28</v>
      </c>
      <c r="H106">
        <f t="shared" si="10"/>
        <v>128</v>
      </c>
      <c r="I106">
        <f t="shared" si="11"/>
        <v>99</v>
      </c>
      <c r="J106" s="57" t="str" cm="1">
        <f t="array" ref="J106">myRGB(G106,H106,I106)</f>
        <v/>
      </c>
    </row>
    <row r="107" spans="1:10" ht="17" x14ac:dyDescent="0.25">
      <c r="A107" s="1" t="s">
        <v>109</v>
      </c>
      <c r="B107" s="1" t="s">
        <v>2761</v>
      </c>
      <c r="C107" s="1" t="s">
        <v>1436</v>
      </c>
      <c r="D107" t="str">
        <f t="shared" si="6"/>
        <v>197D63</v>
      </c>
      <c r="E107" t="str">
        <f t="shared" si="7"/>
        <v>25-125-99</v>
      </c>
      <c r="F107" t="str">
        <f t="shared" si="8"/>
        <v>2512599</v>
      </c>
      <c r="G107">
        <f t="shared" si="9"/>
        <v>25</v>
      </c>
      <c r="H107">
        <f t="shared" si="10"/>
        <v>125</v>
      </c>
      <c r="I107">
        <f t="shared" si="11"/>
        <v>99</v>
      </c>
      <c r="J107" s="213" t="str" cm="1">
        <f t="array" ref="J107">myRGB(G107,H107,I107)</f>
        <v/>
      </c>
    </row>
    <row r="108" spans="1:10" ht="17" x14ac:dyDescent="0.25">
      <c r="A108" s="1" t="s">
        <v>110</v>
      </c>
      <c r="B108" s="1" t="s">
        <v>2762</v>
      </c>
      <c r="C108" s="1" t="s">
        <v>1437</v>
      </c>
      <c r="D108" t="str">
        <f t="shared" si="6"/>
        <v>1A8061</v>
      </c>
      <c r="E108" t="str">
        <f t="shared" si="7"/>
        <v>26-128-97</v>
      </c>
      <c r="F108" t="str">
        <f t="shared" si="8"/>
        <v>2612897</v>
      </c>
      <c r="G108">
        <f t="shared" si="9"/>
        <v>26</v>
      </c>
      <c r="H108">
        <f t="shared" si="10"/>
        <v>128</v>
      </c>
      <c r="I108">
        <f t="shared" si="11"/>
        <v>97</v>
      </c>
      <c r="J108" s="56" t="str" cm="1">
        <f t="array" ref="J108">myRGB(G108,H108,I108)</f>
        <v/>
      </c>
    </row>
    <row r="109" spans="1:10" ht="17" x14ac:dyDescent="0.25">
      <c r="A109" s="1" t="s">
        <v>111</v>
      </c>
      <c r="B109" s="1" t="s">
        <v>2763</v>
      </c>
      <c r="C109" s="1" t="s">
        <v>1438</v>
      </c>
      <c r="D109" t="str">
        <f t="shared" si="6"/>
        <v>019B75</v>
      </c>
      <c r="E109" t="str">
        <f t="shared" si="7"/>
        <v>1-155-117</v>
      </c>
      <c r="F109" t="str">
        <f t="shared" si="8"/>
        <v>1155117</v>
      </c>
      <c r="G109">
        <f t="shared" si="9"/>
        <v>1</v>
      </c>
      <c r="H109">
        <f t="shared" si="10"/>
        <v>155</v>
      </c>
      <c r="I109">
        <f t="shared" si="11"/>
        <v>117</v>
      </c>
      <c r="J109" s="374" t="str" cm="1">
        <f t="array" ref="J109">myRGB(G109,H109,I109)</f>
        <v/>
      </c>
    </row>
    <row r="110" spans="1:10" ht="17" x14ac:dyDescent="0.25">
      <c r="A110" s="1" t="s">
        <v>112</v>
      </c>
      <c r="B110" s="1" t="s">
        <v>2764</v>
      </c>
      <c r="C110" s="1" t="s">
        <v>1439</v>
      </c>
      <c r="D110" t="str">
        <f t="shared" si="6"/>
        <v>009C75</v>
      </c>
      <c r="E110" t="str">
        <f t="shared" si="7"/>
        <v>0-156-117</v>
      </c>
      <c r="F110" t="str">
        <f t="shared" si="8"/>
        <v>0156117</v>
      </c>
      <c r="G110">
        <f t="shared" si="9"/>
        <v>0</v>
      </c>
      <c r="H110">
        <f t="shared" si="10"/>
        <v>156</v>
      </c>
      <c r="I110">
        <f t="shared" si="11"/>
        <v>117</v>
      </c>
      <c r="J110" s="161" t="str" cm="1">
        <f t="array" ref="J110">myRGB(G110,H110,I110)</f>
        <v/>
      </c>
    </row>
    <row r="111" spans="1:10" ht="17" x14ac:dyDescent="0.25">
      <c r="A111" s="1" t="s">
        <v>113</v>
      </c>
      <c r="B111" s="1" t="s">
        <v>2765</v>
      </c>
      <c r="C111" s="1" t="s">
        <v>1440</v>
      </c>
      <c r="D111" t="str">
        <f t="shared" si="6"/>
        <v>009B75</v>
      </c>
      <c r="E111" t="str">
        <f t="shared" si="7"/>
        <v>0-155-117</v>
      </c>
      <c r="F111" t="str">
        <f t="shared" si="8"/>
        <v>0155117</v>
      </c>
      <c r="G111">
        <f t="shared" si="9"/>
        <v>0</v>
      </c>
      <c r="H111">
        <f t="shared" si="10"/>
        <v>155</v>
      </c>
      <c r="I111">
        <f t="shared" si="11"/>
        <v>117</v>
      </c>
      <c r="J111" s="235" t="str" cm="1">
        <f t="array" ref="J111">myRGB(G111,H111,I111)</f>
        <v/>
      </c>
    </row>
    <row r="112" spans="1:10" ht="17" x14ac:dyDescent="0.25">
      <c r="A112" s="1" t="s">
        <v>114</v>
      </c>
      <c r="B112" s="1" t="s">
        <v>2766</v>
      </c>
      <c r="C112" s="1" t="s">
        <v>1441</v>
      </c>
      <c r="D112" t="str">
        <f t="shared" si="6"/>
        <v>009C74</v>
      </c>
      <c r="E112" t="str">
        <f t="shared" si="7"/>
        <v>0-156-116</v>
      </c>
      <c r="F112" t="str">
        <f t="shared" si="8"/>
        <v>0156116</v>
      </c>
      <c r="G112">
        <f t="shared" si="9"/>
        <v>0</v>
      </c>
      <c r="H112">
        <f t="shared" si="10"/>
        <v>156</v>
      </c>
      <c r="I112">
        <f t="shared" si="11"/>
        <v>116</v>
      </c>
      <c r="J112" s="287" t="str" cm="1">
        <f t="array" ref="J112">myRGB(G112,H112,I112)</f>
        <v/>
      </c>
    </row>
    <row r="113" spans="1:10" ht="17" x14ac:dyDescent="0.25">
      <c r="A113" s="1" t="s">
        <v>115</v>
      </c>
      <c r="B113" s="1" t="s">
        <v>2767</v>
      </c>
      <c r="C113" s="1" t="s">
        <v>1442</v>
      </c>
      <c r="D113" t="str">
        <f t="shared" si="6"/>
        <v>019C75</v>
      </c>
      <c r="E113" t="str">
        <f t="shared" si="7"/>
        <v>1-156-117</v>
      </c>
      <c r="F113" t="str">
        <f t="shared" si="8"/>
        <v>1156117</v>
      </c>
      <c r="G113">
        <f t="shared" si="9"/>
        <v>1</v>
      </c>
      <c r="H113">
        <f t="shared" si="10"/>
        <v>156</v>
      </c>
      <c r="I113">
        <f t="shared" si="11"/>
        <v>117</v>
      </c>
      <c r="J113" s="202" t="str" cm="1">
        <f t="array" ref="J113">myRGB(G113,H113,I113)</f>
        <v/>
      </c>
    </row>
    <row r="114" spans="1:10" ht="17" x14ac:dyDescent="0.25">
      <c r="A114" s="1" t="s">
        <v>116</v>
      </c>
      <c r="B114" s="1" t="s">
        <v>2768</v>
      </c>
      <c r="C114" s="1" t="s">
        <v>1443</v>
      </c>
      <c r="D114" t="str">
        <f t="shared" si="6"/>
        <v>009B74</v>
      </c>
      <c r="E114" t="str">
        <f t="shared" si="7"/>
        <v>0-155-116</v>
      </c>
      <c r="F114" t="str">
        <f t="shared" si="8"/>
        <v>0155116</v>
      </c>
      <c r="G114">
        <f t="shared" si="9"/>
        <v>0</v>
      </c>
      <c r="H114">
        <f t="shared" si="10"/>
        <v>155</v>
      </c>
      <c r="I114">
        <f t="shared" si="11"/>
        <v>116</v>
      </c>
      <c r="J114" s="373" t="str" cm="1">
        <f t="array" ref="J114">myRGB(G114,H114,I114)</f>
        <v/>
      </c>
    </row>
    <row r="115" spans="1:10" ht="17" x14ac:dyDescent="0.25">
      <c r="A115" s="1" t="s">
        <v>117</v>
      </c>
      <c r="B115" s="1" t="s">
        <v>2769</v>
      </c>
      <c r="C115" s="1" t="s">
        <v>1444</v>
      </c>
      <c r="D115" t="str">
        <f t="shared" si="6"/>
        <v>019C74</v>
      </c>
      <c r="E115" t="str">
        <f t="shared" si="7"/>
        <v>1-156-116</v>
      </c>
      <c r="F115" t="str">
        <f t="shared" si="8"/>
        <v>1156116</v>
      </c>
      <c r="G115">
        <f t="shared" si="9"/>
        <v>1</v>
      </c>
      <c r="H115">
        <f t="shared" si="10"/>
        <v>156</v>
      </c>
      <c r="I115">
        <f t="shared" si="11"/>
        <v>116</v>
      </c>
      <c r="J115" s="286" t="str" cm="1">
        <f t="array" ref="J115">myRGB(G115,H115,I115)</f>
        <v/>
      </c>
    </row>
    <row r="116" spans="1:10" ht="17" x14ac:dyDescent="0.25">
      <c r="A116" s="1" t="s">
        <v>118</v>
      </c>
      <c r="B116" s="1" t="s">
        <v>2770</v>
      </c>
      <c r="C116" s="1" t="s">
        <v>1445</v>
      </c>
      <c r="D116" t="str">
        <f t="shared" si="6"/>
        <v>11AD83</v>
      </c>
      <c r="E116" t="str">
        <f t="shared" si="7"/>
        <v>17-173-131</v>
      </c>
      <c r="F116" t="str">
        <f t="shared" si="8"/>
        <v>17173131</v>
      </c>
      <c r="G116">
        <f t="shared" si="9"/>
        <v>17</v>
      </c>
      <c r="H116">
        <f t="shared" si="10"/>
        <v>173</v>
      </c>
      <c r="I116">
        <f t="shared" si="11"/>
        <v>131</v>
      </c>
      <c r="J116" s="203" t="str" cm="1">
        <f t="array" ref="J116">myRGB(G116,H116,I116)</f>
        <v/>
      </c>
    </row>
    <row r="117" spans="1:10" ht="17" x14ac:dyDescent="0.25">
      <c r="A117" s="1" t="s">
        <v>119</v>
      </c>
      <c r="B117" s="1" t="s">
        <v>2771</v>
      </c>
      <c r="C117" s="1" t="s">
        <v>1446</v>
      </c>
      <c r="D117" t="str">
        <f t="shared" si="6"/>
        <v>12AD83</v>
      </c>
      <c r="E117" t="str">
        <f t="shared" si="7"/>
        <v>18-173-131</v>
      </c>
      <c r="F117" t="str">
        <f t="shared" si="8"/>
        <v>18173131</v>
      </c>
      <c r="G117">
        <f t="shared" si="9"/>
        <v>18</v>
      </c>
      <c r="H117">
        <f t="shared" si="10"/>
        <v>173</v>
      </c>
      <c r="I117">
        <f t="shared" si="11"/>
        <v>131</v>
      </c>
      <c r="J117" s="35" t="str" cm="1">
        <f t="array" ref="J117">myRGB(G117,H117,I117)</f>
        <v/>
      </c>
    </row>
    <row r="118" spans="1:10" ht="17" x14ac:dyDescent="0.25">
      <c r="A118" s="1" t="s">
        <v>120</v>
      </c>
      <c r="B118" s="1" t="s">
        <v>2772</v>
      </c>
      <c r="C118" s="1" t="s">
        <v>1447</v>
      </c>
      <c r="D118" t="str">
        <f t="shared" si="6"/>
        <v>12AC83</v>
      </c>
      <c r="E118" t="str">
        <f t="shared" si="7"/>
        <v>18-172-131</v>
      </c>
      <c r="F118" t="str">
        <f t="shared" si="8"/>
        <v>18172131</v>
      </c>
      <c r="G118">
        <f t="shared" si="9"/>
        <v>18</v>
      </c>
      <c r="H118">
        <f t="shared" si="10"/>
        <v>172</v>
      </c>
      <c r="I118">
        <f t="shared" si="11"/>
        <v>131</v>
      </c>
      <c r="J118" s="118" t="str" cm="1">
        <f t="array" ref="J118">myRGB(G118,H118,I118)</f>
        <v/>
      </c>
    </row>
    <row r="119" spans="1:10" ht="17" x14ac:dyDescent="0.25">
      <c r="A119" s="1" t="s">
        <v>121</v>
      </c>
      <c r="B119" s="1" t="s">
        <v>2773</v>
      </c>
      <c r="C119" s="1" t="s">
        <v>1448</v>
      </c>
      <c r="D119" t="str">
        <f t="shared" si="6"/>
        <v>11AC82</v>
      </c>
      <c r="E119" t="str">
        <f t="shared" si="7"/>
        <v>17-172-130</v>
      </c>
      <c r="F119" t="str">
        <f t="shared" si="8"/>
        <v>17172130</v>
      </c>
      <c r="G119">
        <f t="shared" si="9"/>
        <v>17</v>
      </c>
      <c r="H119">
        <f t="shared" si="10"/>
        <v>172</v>
      </c>
      <c r="I119">
        <f t="shared" si="11"/>
        <v>130</v>
      </c>
      <c r="J119" s="177" t="str" cm="1">
        <f t="array" ref="J119">myRGB(G119,H119,I119)</f>
        <v/>
      </c>
    </row>
    <row r="120" spans="1:10" ht="17" x14ac:dyDescent="0.25">
      <c r="A120" s="1" t="s">
        <v>122</v>
      </c>
      <c r="B120" s="1" t="s">
        <v>2774</v>
      </c>
      <c r="C120" s="1" t="s">
        <v>1449</v>
      </c>
      <c r="D120" t="str">
        <f t="shared" si="6"/>
        <v>12AD82</v>
      </c>
      <c r="E120" t="str">
        <f t="shared" si="7"/>
        <v>18-173-130</v>
      </c>
      <c r="F120" t="str">
        <f t="shared" si="8"/>
        <v>18173130</v>
      </c>
      <c r="G120">
        <f t="shared" si="9"/>
        <v>18</v>
      </c>
      <c r="H120">
        <f t="shared" si="10"/>
        <v>173</v>
      </c>
      <c r="I120">
        <f t="shared" si="11"/>
        <v>130</v>
      </c>
      <c r="J120" s="36" t="str" cm="1">
        <f t="array" ref="J120">myRGB(G120,H120,I120)</f>
        <v/>
      </c>
    </row>
    <row r="121" spans="1:10" ht="17" x14ac:dyDescent="0.25">
      <c r="A121" s="1" t="s">
        <v>123</v>
      </c>
      <c r="B121" s="1" t="s">
        <v>2775</v>
      </c>
      <c r="C121" s="1" t="s">
        <v>1450</v>
      </c>
      <c r="D121" t="str">
        <f t="shared" si="6"/>
        <v>11AC83</v>
      </c>
      <c r="E121" t="str">
        <f t="shared" si="7"/>
        <v>17-172-131</v>
      </c>
      <c r="F121" t="str">
        <f t="shared" si="8"/>
        <v>17172131</v>
      </c>
      <c r="G121">
        <f t="shared" si="9"/>
        <v>17</v>
      </c>
      <c r="H121">
        <f t="shared" si="10"/>
        <v>172</v>
      </c>
      <c r="I121">
        <f t="shared" si="11"/>
        <v>131</v>
      </c>
      <c r="J121" s="314" t="str" cm="1">
        <f t="array" ref="J121">myRGB(G121,H121,I121)</f>
        <v/>
      </c>
    </row>
    <row r="122" spans="1:10" ht="17" x14ac:dyDescent="0.25">
      <c r="A122" s="1" t="s">
        <v>124</v>
      </c>
      <c r="B122" s="1" t="s">
        <v>2776</v>
      </c>
      <c r="C122" s="1" t="s">
        <v>1451</v>
      </c>
      <c r="D122" t="str">
        <f t="shared" si="6"/>
        <v>11AD82</v>
      </c>
      <c r="E122" t="str">
        <f t="shared" si="7"/>
        <v>17-173-130</v>
      </c>
      <c r="F122" t="str">
        <f t="shared" si="8"/>
        <v>17173130</v>
      </c>
      <c r="G122">
        <f t="shared" si="9"/>
        <v>17</v>
      </c>
      <c r="H122">
        <f t="shared" si="10"/>
        <v>173</v>
      </c>
      <c r="I122">
        <f t="shared" si="11"/>
        <v>130</v>
      </c>
      <c r="J122" s="340" t="str" cm="1">
        <f t="array" ref="J122">myRGB(G122,H122,I122)</f>
        <v/>
      </c>
    </row>
    <row r="123" spans="1:10" ht="17" x14ac:dyDescent="0.25">
      <c r="A123" s="1" t="s">
        <v>125</v>
      </c>
      <c r="B123" s="1" t="s">
        <v>2777</v>
      </c>
      <c r="C123" s="1" t="s">
        <v>1452</v>
      </c>
      <c r="D123" t="str">
        <f t="shared" si="6"/>
        <v>019299</v>
      </c>
      <c r="E123" t="str">
        <f t="shared" si="7"/>
        <v>1-146-153</v>
      </c>
      <c r="F123" t="str">
        <f t="shared" si="8"/>
        <v>1146153</v>
      </c>
      <c r="G123">
        <f t="shared" si="9"/>
        <v>1</v>
      </c>
      <c r="H123">
        <f t="shared" si="10"/>
        <v>146</v>
      </c>
      <c r="I123">
        <f t="shared" si="11"/>
        <v>153</v>
      </c>
      <c r="J123" s="282" t="str" cm="1">
        <f t="array" ref="J123">myRGB(G123,H123,I123)</f>
        <v/>
      </c>
    </row>
    <row r="124" spans="1:10" ht="17" x14ac:dyDescent="0.25">
      <c r="A124" s="1" t="s">
        <v>126</v>
      </c>
      <c r="B124" s="1" t="s">
        <v>2778</v>
      </c>
      <c r="C124" s="1" t="s">
        <v>1453</v>
      </c>
      <c r="D124" t="str">
        <f t="shared" si="6"/>
        <v>049399</v>
      </c>
      <c r="E124" t="str">
        <f t="shared" si="7"/>
        <v>4-147-153</v>
      </c>
      <c r="F124" t="str">
        <f t="shared" si="8"/>
        <v>4147153</v>
      </c>
      <c r="G124">
        <f t="shared" si="9"/>
        <v>4</v>
      </c>
      <c r="H124">
        <f t="shared" si="10"/>
        <v>147</v>
      </c>
      <c r="I124">
        <f t="shared" si="11"/>
        <v>153</v>
      </c>
      <c r="J124" s="155" t="str" cm="1">
        <f t="array" ref="J124">myRGB(G124,H124,I124)</f>
        <v/>
      </c>
    </row>
    <row r="125" spans="1:10" ht="17" x14ac:dyDescent="0.25">
      <c r="A125" s="1" t="s">
        <v>127</v>
      </c>
      <c r="B125" s="1" t="s">
        <v>2779</v>
      </c>
      <c r="C125" s="1" t="s">
        <v>1454</v>
      </c>
      <c r="D125" t="str">
        <f t="shared" si="6"/>
        <v>039399</v>
      </c>
      <c r="E125" t="str">
        <f t="shared" si="7"/>
        <v>3-147-153</v>
      </c>
      <c r="F125" t="str">
        <f t="shared" si="8"/>
        <v>3147153</v>
      </c>
      <c r="G125">
        <f t="shared" si="9"/>
        <v>3</v>
      </c>
      <c r="H125">
        <f t="shared" si="10"/>
        <v>147</v>
      </c>
      <c r="I125">
        <f t="shared" si="11"/>
        <v>153</v>
      </c>
      <c r="J125" s="228" t="str" cm="1">
        <f t="array" ref="J125">myRGB(G125,H125,I125)</f>
        <v/>
      </c>
    </row>
    <row r="126" spans="1:10" ht="17" x14ac:dyDescent="0.25">
      <c r="A126" s="1" t="s">
        <v>128</v>
      </c>
      <c r="B126" s="1" t="s">
        <v>2780</v>
      </c>
      <c r="C126" s="1" t="s">
        <v>1455</v>
      </c>
      <c r="D126" t="str">
        <f t="shared" si="6"/>
        <v>029397</v>
      </c>
      <c r="E126" t="str">
        <f t="shared" si="7"/>
        <v>2-147-151</v>
      </c>
      <c r="F126" t="str">
        <f t="shared" si="8"/>
        <v>2147151</v>
      </c>
      <c r="G126">
        <f t="shared" si="9"/>
        <v>2</v>
      </c>
      <c r="H126">
        <f t="shared" si="10"/>
        <v>147</v>
      </c>
      <c r="I126">
        <f t="shared" si="11"/>
        <v>151</v>
      </c>
      <c r="J126" s="154" t="str" cm="1">
        <f t="array" ref="J126">myRGB(G126,H126,I126)</f>
        <v/>
      </c>
    </row>
    <row r="127" spans="1:10" ht="17" x14ac:dyDescent="0.25">
      <c r="A127" s="1" t="s">
        <v>129</v>
      </c>
      <c r="B127" s="1" t="s">
        <v>2781</v>
      </c>
      <c r="C127" s="1" t="s">
        <v>1456</v>
      </c>
      <c r="D127" t="str">
        <f t="shared" si="6"/>
        <v>039398</v>
      </c>
      <c r="E127" t="str">
        <f t="shared" si="7"/>
        <v>3-147-152</v>
      </c>
      <c r="F127" t="str">
        <f t="shared" si="8"/>
        <v>3147152</v>
      </c>
      <c r="G127">
        <f t="shared" si="9"/>
        <v>3</v>
      </c>
      <c r="H127">
        <f t="shared" si="10"/>
        <v>147</v>
      </c>
      <c r="I127">
        <f t="shared" si="11"/>
        <v>152</v>
      </c>
      <c r="J127" s="366" t="str" cm="1">
        <f t="array" ref="J127">myRGB(G127,H127,I127)</f>
        <v/>
      </c>
    </row>
    <row r="128" spans="1:10" ht="17" x14ac:dyDescent="0.25">
      <c r="A128" s="1" t="s">
        <v>130</v>
      </c>
      <c r="B128" s="1" t="s">
        <v>2782</v>
      </c>
      <c r="C128" s="1" t="s">
        <v>1457</v>
      </c>
      <c r="D128" t="str">
        <f t="shared" si="6"/>
        <v>029398</v>
      </c>
      <c r="E128" t="str">
        <f t="shared" si="7"/>
        <v>2-147-152</v>
      </c>
      <c r="F128" t="str">
        <f t="shared" si="8"/>
        <v>2147152</v>
      </c>
      <c r="G128">
        <f t="shared" si="9"/>
        <v>2</v>
      </c>
      <c r="H128">
        <f t="shared" si="10"/>
        <v>147</v>
      </c>
      <c r="I128">
        <f t="shared" si="11"/>
        <v>152</v>
      </c>
      <c r="J128" s="265" t="str" cm="1">
        <f t="array" ref="J128">myRGB(G128,H128,I128)</f>
        <v/>
      </c>
    </row>
    <row r="129" spans="1:10" ht="17" x14ac:dyDescent="0.25">
      <c r="A129" s="1" t="s">
        <v>131</v>
      </c>
      <c r="B129" s="1" t="s">
        <v>2783</v>
      </c>
      <c r="C129" s="1" t="s">
        <v>1458</v>
      </c>
      <c r="D129" t="str">
        <f t="shared" si="6"/>
        <v>019399</v>
      </c>
      <c r="E129" t="str">
        <f t="shared" si="7"/>
        <v>1-147-153</v>
      </c>
      <c r="F129" t="str">
        <f t="shared" si="8"/>
        <v>1147153</v>
      </c>
      <c r="G129">
        <f t="shared" si="9"/>
        <v>1</v>
      </c>
      <c r="H129">
        <f t="shared" si="10"/>
        <v>147</v>
      </c>
      <c r="I129">
        <f t="shared" si="11"/>
        <v>153</v>
      </c>
      <c r="J129" s="367" t="str" cm="1">
        <f t="array" ref="J129">myRGB(G129,H129,I129)</f>
        <v/>
      </c>
    </row>
    <row r="130" spans="1:10" ht="17" x14ac:dyDescent="0.25">
      <c r="A130" s="1" t="s">
        <v>132</v>
      </c>
      <c r="B130" s="1" t="s">
        <v>2784</v>
      </c>
      <c r="C130" s="1" t="s">
        <v>1459</v>
      </c>
      <c r="D130" t="str">
        <f t="shared" si="6"/>
        <v>019398</v>
      </c>
      <c r="E130" t="str">
        <f t="shared" si="7"/>
        <v>1-147-152</v>
      </c>
      <c r="F130" t="str">
        <f t="shared" si="8"/>
        <v>1147152</v>
      </c>
      <c r="G130">
        <f t="shared" si="9"/>
        <v>1</v>
      </c>
      <c r="H130">
        <f t="shared" si="10"/>
        <v>147</v>
      </c>
      <c r="I130">
        <f t="shared" si="11"/>
        <v>152</v>
      </c>
      <c r="J130" s="280" t="str" cm="1">
        <f t="array" ref="J130">myRGB(G130,H130,I130)</f>
        <v/>
      </c>
    </row>
    <row r="131" spans="1:10" ht="17" x14ac:dyDescent="0.25">
      <c r="A131" s="1" t="s">
        <v>133</v>
      </c>
      <c r="B131" s="1" t="s">
        <v>2785</v>
      </c>
      <c r="C131" s="1" t="s">
        <v>1460</v>
      </c>
      <c r="D131" t="str">
        <f t="shared" si="6"/>
        <v>029099</v>
      </c>
      <c r="E131" t="str">
        <f t="shared" si="7"/>
        <v>2-144-153</v>
      </c>
      <c r="F131" t="str">
        <f t="shared" si="8"/>
        <v>2144153</v>
      </c>
      <c r="G131">
        <f t="shared" si="9"/>
        <v>2</v>
      </c>
      <c r="H131">
        <f t="shared" si="10"/>
        <v>144</v>
      </c>
      <c r="I131">
        <f t="shared" si="11"/>
        <v>153</v>
      </c>
      <c r="J131" s="969" t="str" cm="1">
        <f t="array" ref="J131">myRGB(G131,H131,I131)</f>
        <v/>
      </c>
    </row>
    <row r="132" spans="1:10" ht="17" x14ac:dyDescent="0.25">
      <c r="A132" s="1" t="s">
        <v>134</v>
      </c>
      <c r="B132" s="1" t="s">
        <v>2786</v>
      </c>
      <c r="C132" s="1" t="s">
        <v>1461</v>
      </c>
      <c r="D132" t="str">
        <f t="shared" ref="D132:D195" si="12">RIGHT(LEFT(C132,9),6)</f>
        <v>029299</v>
      </c>
      <c r="E132" t="str">
        <f t="shared" ref="E132:E195" si="13">HEX2DEC(LEFT(D132,2))&amp;"-"&amp;HEX2DEC(MID(D132,3,2))&amp;"-"&amp;HEX2DEC(RIGHT(D132,2))</f>
        <v>2-146-153</v>
      </c>
      <c r="F132" t="str">
        <f t="shared" ref="F132:F195" si="14">HEX2DEC(LEFT(D132,2))&amp;HEX2DEC(MID(D132,3,2))&amp;HEX2DEC(RIGHT(D132,2))</f>
        <v>2146153</v>
      </c>
      <c r="G132">
        <f t="shared" ref="G132:G195" si="15">HEX2DEC(LEFT(D132,2))</f>
        <v>2</v>
      </c>
      <c r="H132">
        <f t="shared" ref="H132:H195" si="16">HEX2DEC(MID(D132,3,2))</f>
        <v>146</v>
      </c>
      <c r="I132">
        <f t="shared" ref="I132:I195" si="17">HEX2DEC(RIGHT(D132,2))</f>
        <v>153</v>
      </c>
      <c r="J132" s="861" t="str" cm="1">
        <f t="array" ref="J132">myRGB(G132,H132,I132)</f>
        <v/>
      </c>
    </row>
    <row r="133" spans="1:10" ht="17" x14ac:dyDescent="0.25">
      <c r="A133" s="1" t="s">
        <v>135</v>
      </c>
      <c r="B133" s="1" t="s">
        <v>2787</v>
      </c>
      <c r="C133" s="1" t="s">
        <v>1462</v>
      </c>
      <c r="D133" t="str">
        <f t="shared" si="12"/>
        <v>049398</v>
      </c>
      <c r="E133" t="str">
        <f t="shared" si="13"/>
        <v>4-147-152</v>
      </c>
      <c r="F133" t="str">
        <f t="shared" si="14"/>
        <v>4147152</v>
      </c>
      <c r="G133">
        <f t="shared" si="15"/>
        <v>4</v>
      </c>
      <c r="H133">
        <f t="shared" si="16"/>
        <v>147</v>
      </c>
      <c r="I133">
        <f t="shared" si="17"/>
        <v>152</v>
      </c>
      <c r="J133" s="978" t="str" cm="1">
        <f t="array" ref="J133">myRGB(G133,H133,I133)</f>
        <v/>
      </c>
    </row>
    <row r="134" spans="1:10" ht="17" x14ac:dyDescent="0.25">
      <c r="A134" s="1" t="s">
        <v>136</v>
      </c>
      <c r="B134" s="1" t="s">
        <v>2788</v>
      </c>
      <c r="C134" s="1" t="s">
        <v>1463</v>
      </c>
      <c r="D134" t="str">
        <f t="shared" si="12"/>
        <v>049299</v>
      </c>
      <c r="E134" t="str">
        <f t="shared" si="13"/>
        <v>4-146-153</v>
      </c>
      <c r="F134" t="str">
        <f t="shared" si="14"/>
        <v>4146153</v>
      </c>
      <c r="G134">
        <f t="shared" si="15"/>
        <v>4</v>
      </c>
      <c r="H134">
        <f t="shared" si="16"/>
        <v>146</v>
      </c>
      <c r="I134">
        <f t="shared" si="17"/>
        <v>153</v>
      </c>
      <c r="J134" s="981" t="str" cm="1">
        <f t="array" ref="J134">myRGB(G134,H134,I134)</f>
        <v/>
      </c>
    </row>
    <row r="135" spans="1:10" ht="17" x14ac:dyDescent="0.25">
      <c r="A135" s="1" t="s">
        <v>137</v>
      </c>
      <c r="B135" s="1" t="s">
        <v>2789</v>
      </c>
      <c r="C135" s="1" t="s">
        <v>1464</v>
      </c>
      <c r="D135" t="str">
        <f t="shared" si="12"/>
        <v>029296</v>
      </c>
      <c r="E135" t="str">
        <f t="shared" si="13"/>
        <v>2-146-150</v>
      </c>
      <c r="F135" t="str">
        <f t="shared" si="14"/>
        <v>2146150</v>
      </c>
      <c r="G135">
        <f t="shared" si="15"/>
        <v>2</v>
      </c>
      <c r="H135">
        <f t="shared" si="16"/>
        <v>146</v>
      </c>
      <c r="I135">
        <f t="shared" si="17"/>
        <v>150</v>
      </c>
      <c r="J135" s="890" t="str" cm="1">
        <f t="array" ref="J135">myRGB(G135,H135,I135)</f>
        <v/>
      </c>
    </row>
    <row r="136" spans="1:10" ht="17" x14ac:dyDescent="0.25">
      <c r="A136" s="1" t="s">
        <v>138</v>
      </c>
      <c r="B136" s="1" t="s">
        <v>2790</v>
      </c>
      <c r="C136" s="1" t="s">
        <v>1465</v>
      </c>
      <c r="D136" t="str">
        <f t="shared" si="12"/>
        <v>019199</v>
      </c>
      <c r="E136" t="str">
        <f t="shared" si="13"/>
        <v>1-145-153</v>
      </c>
      <c r="F136" t="str">
        <f t="shared" si="14"/>
        <v>1145153</v>
      </c>
      <c r="G136">
        <f t="shared" si="15"/>
        <v>1</v>
      </c>
      <c r="H136">
        <f t="shared" si="16"/>
        <v>145</v>
      </c>
      <c r="I136">
        <f t="shared" si="17"/>
        <v>153</v>
      </c>
      <c r="J136" s="862" t="str" cm="1">
        <f t="array" ref="J136">myRGB(G136,H136,I136)</f>
        <v/>
      </c>
    </row>
    <row r="137" spans="1:10" ht="17" x14ac:dyDescent="0.25">
      <c r="A137" s="1" t="s">
        <v>139</v>
      </c>
      <c r="B137" s="1" t="s">
        <v>2791</v>
      </c>
      <c r="C137" s="1" t="s">
        <v>1466</v>
      </c>
      <c r="D137" t="str">
        <f t="shared" si="12"/>
        <v>019297</v>
      </c>
      <c r="E137" t="str">
        <f t="shared" si="13"/>
        <v>1-146-151</v>
      </c>
      <c r="F137" t="str">
        <f t="shared" si="14"/>
        <v>1146151</v>
      </c>
      <c r="G137">
        <f t="shared" si="15"/>
        <v>1</v>
      </c>
      <c r="H137">
        <f t="shared" si="16"/>
        <v>146</v>
      </c>
      <c r="I137">
        <f t="shared" si="17"/>
        <v>151</v>
      </c>
      <c r="J137" s="897" t="str" cm="1">
        <f t="array" ref="J137">myRGB(G137,H137,I137)</f>
        <v/>
      </c>
    </row>
    <row r="138" spans="1:10" ht="17" x14ac:dyDescent="0.25">
      <c r="A138" s="1" t="s">
        <v>140</v>
      </c>
      <c r="B138" s="1" t="s">
        <v>2792</v>
      </c>
      <c r="C138" s="1" t="s">
        <v>1467</v>
      </c>
      <c r="D138" t="str">
        <f t="shared" si="12"/>
        <v>039297</v>
      </c>
      <c r="E138" t="str">
        <f t="shared" si="13"/>
        <v>3-146-151</v>
      </c>
      <c r="F138" t="str">
        <f t="shared" si="14"/>
        <v>3146151</v>
      </c>
      <c r="G138">
        <f t="shared" si="15"/>
        <v>3</v>
      </c>
      <c r="H138">
        <f t="shared" si="16"/>
        <v>146</v>
      </c>
      <c r="I138">
        <f t="shared" si="17"/>
        <v>151</v>
      </c>
      <c r="J138" s="230" t="str" cm="1">
        <f t="array" ref="J138">myRGB(G138,H138,I138)</f>
        <v/>
      </c>
    </row>
    <row r="139" spans="1:10" ht="17" x14ac:dyDescent="0.25">
      <c r="A139" s="1" t="s">
        <v>141</v>
      </c>
      <c r="B139" s="1" t="s">
        <v>2793</v>
      </c>
      <c r="C139" s="1" t="s">
        <v>1468</v>
      </c>
      <c r="D139" t="str">
        <f t="shared" si="12"/>
        <v>029297</v>
      </c>
      <c r="E139" t="str">
        <f t="shared" si="13"/>
        <v>2-146-151</v>
      </c>
      <c r="F139" t="str">
        <f t="shared" si="14"/>
        <v>2146151</v>
      </c>
      <c r="G139">
        <f t="shared" si="15"/>
        <v>2</v>
      </c>
      <c r="H139">
        <f t="shared" si="16"/>
        <v>146</v>
      </c>
      <c r="I139">
        <f t="shared" si="17"/>
        <v>151</v>
      </c>
      <c r="J139" s="368" t="str" cm="1">
        <f t="array" ref="J139">myRGB(G139,H139,I139)</f>
        <v/>
      </c>
    </row>
    <row r="140" spans="1:10" ht="17" x14ac:dyDescent="0.25">
      <c r="A140" s="1" t="s">
        <v>142</v>
      </c>
      <c r="B140" s="1" t="s">
        <v>2794</v>
      </c>
      <c r="C140" s="1" t="s">
        <v>1469</v>
      </c>
      <c r="D140" t="str">
        <f t="shared" si="12"/>
        <v>019298</v>
      </c>
      <c r="E140" t="str">
        <f t="shared" si="13"/>
        <v>1-146-152</v>
      </c>
      <c r="F140" t="str">
        <f t="shared" si="14"/>
        <v>1146152</v>
      </c>
      <c r="G140">
        <f t="shared" si="15"/>
        <v>1</v>
      </c>
      <c r="H140">
        <f t="shared" si="16"/>
        <v>146</v>
      </c>
      <c r="I140">
        <f t="shared" si="17"/>
        <v>152</v>
      </c>
      <c r="J140" s="141" t="str" cm="1">
        <f t="array" ref="J140">myRGB(G140,H140,I140)</f>
        <v/>
      </c>
    </row>
    <row r="141" spans="1:10" ht="17" x14ac:dyDescent="0.25">
      <c r="A141" s="1" t="s">
        <v>143</v>
      </c>
      <c r="B141" s="1" t="s">
        <v>2795</v>
      </c>
      <c r="C141" s="1" t="s">
        <v>1470</v>
      </c>
      <c r="D141" t="str">
        <f t="shared" si="12"/>
        <v>039397</v>
      </c>
      <c r="E141" t="str">
        <f t="shared" si="13"/>
        <v>3-147-151</v>
      </c>
      <c r="F141" t="str">
        <f t="shared" si="14"/>
        <v>3147151</v>
      </c>
      <c r="G141">
        <f t="shared" si="15"/>
        <v>3</v>
      </c>
      <c r="H141">
        <f t="shared" si="16"/>
        <v>147</v>
      </c>
      <c r="I141">
        <f t="shared" si="17"/>
        <v>151</v>
      </c>
      <c r="J141" s="281" t="str" cm="1">
        <f t="array" ref="J141">myRGB(G141,H141,I141)</f>
        <v/>
      </c>
    </row>
    <row r="142" spans="1:10" ht="17" x14ac:dyDescent="0.25">
      <c r="A142" s="1" t="s">
        <v>144</v>
      </c>
      <c r="B142" s="1" t="s">
        <v>2796</v>
      </c>
      <c r="C142" s="1" t="s">
        <v>1471</v>
      </c>
      <c r="D142" t="str">
        <f t="shared" si="12"/>
        <v>039199</v>
      </c>
      <c r="E142" t="str">
        <f t="shared" si="13"/>
        <v>3-145-153</v>
      </c>
      <c r="F142" t="str">
        <f t="shared" si="14"/>
        <v>3145153</v>
      </c>
      <c r="G142">
        <f t="shared" si="15"/>
        <v>3</v>
      </c>
      <c r="H142">
        <f t="shared" si="16"/>
        <v>145</v>
      </c>
      <c r="I142">
        <f t="shared" si="17"/>
        <v>153</v>
      </c>
      <c r="J142" s="229" t="str" cm="1">
        <f t="array" ref="J142">myRGB(G142,H142,I142)</f>
        <v/>
      </c>
    </row>
    <row r="143" spans="1:10" ht="17" x14ac:dyDescent="0.25">
      <c r="A143" s="1" t="s">
        <v>145</v>
      </c>
      <c r="B143" s="1" t="s">
        <v>2797</v>
      </c>
      <c r="C143" s="1" t="s">
        <v>1472</v>
      </c>
      <c r="D143" t="str">
        <f t="shared" si="12"/>
        <v>019396</v>
      </c>
      <c r="E143" t="str">
        <f t="shared" si="13"/>
        <v>1-147-150</v>
      </c>
      <c r="F143" t="str">
        <f t="shared" si="14"/>
        <v>1147150</v>
      </c>
      <c r="G143">
        <f t="shared" si="15"/>
        <v>1</v>
      </c>
      <c r="H143">
        <f t="shared" si="16"/>
        <v>147</v>
      </c>
      <c r="I143">
        <f t="shared" si="17"/>
        <v>150</v>
      </c>
      <c r="J143" s="200" t="str" cm="1">
        <f t="array" ref="J143">myRGB(G143,H143,I143)</f>
        <v/>
      </c>
    </row>
    <row r="144" spans="1:10" ht="17" x14ac:dyDescent="0.25">
      <c r="A144" s="1" t="s">
        <v>146</v>
      </c>
      <c r="B144" s="1" t="s">
        <v>2798</v>
      </c>
      <c r="C144" s="1" t="s">
        <v>1473</v>
      </c>
      <c r="D144" t="str">
        <f t="shared" si="12"/>
        <v>039198</v>
      </c>
      <c r="E144" t="str">
        <f t="shared" si="13"/>
        <v>3-145-152</v>
      </c>
      <c r="F144" t="str">
        <f t="shared" si="14"/>
        <v>3145152</v>
      </c>
      <c r="G144">
        <f t="shared" si="15"/>
        <v>3</v>
      </c>
      <c r="H144">
        <f t="shared" si="16"/>
        <v>145</v>
      </c>
      <c r="I144">
        <f t="shared" si="17"/>
        <v>152</v>
      </c>
      <c r="J144" s="156" t="str" cm="1">
        <f t="array" ref="J144">myRGB(G144,H144,I144)</f>
        <v/>
      </c>
    </row>
    <row r="145" spans="1:10" ht="17" x14ac:dyDescent="0.25">
      <c r="A145" s="1" t="s">
        <v>147</v>
      </c>
      <c r="B145" s="1" t="s">
        <v>2799</v>
      </c>
      <c r="C145" s="1" t="s">
        <v>1474</v>
      </c>
      <c r="D145" t="str">
        <f t="shared" si="12"/>
        <v>029396</v>
      </c>
      <c r="E145" t="str">
        <f t="shared" si="13"/>
        <v>2-147-150</v>
      </c>
      <c r="F145" t="str">
        <f t="shared" si="14"/>
        <v>2147150</v>
      </c>
      <c r="G145">
        <f t="shared" si="15"/>
        <v>2</v>
      </c>
      <c r="H145">
        <f t="shared" si="16"/>
        <v>147</v>
      </c>
      <c r="I145">
        <f t="shared" si="17"/>
        <v>150</v>
      </c>
      <c r="J145" s="226" t="str" cm="1">
        <f t="array" ref="J145">myRGB(G145,H145,I145)</f>
        <v/>
      </c>
    </row>
    <row r="146" spans="1:10" ht="17" x14ac:dyDescent="0.25">
      <c r="A146" s="1" t="s">
        <v>148</v>
      </c>
      <c r="B146" s="1" t="s">
        <v>2800</v>
      </c>
      <c r="C146" s="1" t="s">
        <v>1475</v>
      </c>
      <c r="D146" t="str">
        <f t="shared" si="12"/>
        <v>039299</v>
      </c>
      <c r="E146" t="str">
        <f t="shared" si="13"/>
        <v>3-146-153</v>
      </c>
      <c r="F146" t="str">
        <f t="shared" si="14"/>
        <v>3146153</v>
      </c>
      <c r="G146">
        <f t="shared" si="15"/>
        <v>3</v>
      </c>
      <c r="H146">
        <f t="shared" si="16"/>
        <v>146</v>
      </c>
      <c r="I146">
        <f t="shared" si="17"/>
        <v>153</v>
      </c>
      <c r="J146" s="277" t="str" cm="1">
        <f t="array" ref="J146">myRGB(G146,H146,I146)</f>
        <v/>
      </c>
    </row>
    <row r="147" spans="1:10" ht="17" x14ac:dyDescent="0.25">
      <c r="A147" s="1" t="s">
        <v>149</v>
      </c>
      <c r="B147" s="1" t="s">
        <v>2801</v>
      </c>
      <c r="C147" s="1" t="s">
        <v>1476</v>
      </c>
      <c r="D147" t="str">
        <f t="shared" si="12"/>
        <v>029199</v>
      </c>
      <c r="E147" t="str">
        <f t="shared" si="13"/>
        <v>2-145-153</v>
      </c>
      <c r="F147" t="str">
        <f t="shared" si="14"/>
        <v>2145153</v>
      </c>
      <c r="G147">
        <f t="shared" si="15"/>
        <v>2</v>
      </c>
      <c r="H147">
        <f t="shared" si="16"/>
        <v>145</v>
      </c>
      <c r="I147">
        <f t="shared" si="17"/>
        <v>153</v>
      </c>
      <c r="J147" s="364" t="str" cm="1">
        <f t="array" ref="J147">myRGB(G147,H147,I147)</f>
        <v/>
      </c>
    </row>
    <row r="148" spans="1:10" ht="17" x14ac:dyDescent="0.25">
      <c r="A148" s="1" t="s">
        <v>150</v>
      </c>
      <c r="B148" s="1" t="s">
        <v>2802</v>
      </c>
      <c r="C148" s="1" t="s">
        <v>1477</v>
      </c>
      <c r="D148" t="str">
        <f t="shared" si="12"/>
        <v>039298</v>
      </c>
      <c r="E148" t="str">
        <f t="shared" si="13"/>
        <v>3-146-152</v>
      </c>
      <c r="F148" t="str">
        <f t="shared" si="14"/>
        <v>3146152</v>
      </c>
      <c r="G148">
        <f t="shared" si="15"/>
        <v>3</v>
      </c>
      <c r="H148">
        <f t="shared" si="16"/>
        <v>146</v>
      </c>
      <c r="I148">
        <f t="shared" si="17"/>
        <v>152</v>
      </c>
      <c r="J148" s="264" t="str" cm="1">
        <f t="array" ref="J148">myRGB(G148,H148,I148)</f>
        <v/>
      </c>
    </row>
    <row r="149" spans="1:10" ht="17" x14ac:dyDescent="0.25">
      <c r="A149" s="1" t="s">
        <v>151</v>
      </c>
      <c r="B149" s="1" t="s">
        <v>2803</v>
      </c>
      <c r="C149" s="1" t="s">
        <v>1478</v>
      </c>
      <c r="D149" t="str">
        <f t="shared" si="12"/>
        <v>019197</v>
      </c>
      <c r="E149" t="str">
        <f t="shared" si="13"/>
        <v>1-145-151</v>
      </c>
      <c r="F149" t="str">
        <f t="shared" si="14"/>
        <v>1145151</v>
      </c>
      <c r="G149">
        <f t="shared" si="15"/>
        <v>1</v>
      </c>
      <c r="H149">
        <f t="shared" si="16"/>
        <v>145</v>
      </c>
      <c r="I149">
        <f t="shared" si="17"/>
        <v>151</v>
      </c>
      <c r="J149" s="225" t="str" cm="1">
        <f t="array" ref="J149">myRGB(G149,H149,I149)</f>
        <v/>
      </c>
    </row>
    <row r="150" spans="1:10" ht="17" x14ac:dyDescent="0.25">
      <c r="A150" s="1" t="s">
        <v>152</v>
      </c>
      <c r="B150" s="1" t="s">
        <v>2804</v>
      </c>
      <c r="C150" s="1" t="s">
        <v>1479</v>
      </c>
      <c r="D150" t="str">
        <f t="shared" si="12"/>
        <v>029399</v>
      </c>
      <c r="E150" t="str">
        <f t="shared" si="13"/>
        <v>2-147-153</v>
      </c>
      <c r="F150" t="str">
        <f t="shared" si="14"/>
        <v>2147153</v>
      </c>
      <c r="G150">
        <f t="shared" si="15"/>
        <v>2</v>
      </c>
      <c r="H150">
        <f t="shared" si="16"/>
        <v>147</v>
      </c>
      <c r="I150">
        <f t="shared" si="17"/>
        <v>153</v>
      </c>
      <c r="J150" s="199" t="str" cm="1">
        <f t="array" ref="J150">myRGB(G150,H150,I150)</f>
        <v/>
      </c>
    </row>
    <row r="151" spans="1:10" ht="17" x14ac:dyDescent="0.25">
      <c r="A151" s="1" t="s">
        <v>153</v>
      </c>
      <c r="B151" s="1" t="s">
        <v>2805</v>
      </c>
      <c r="C151" s="1" t="s">
        <v>1480</v>
      </c>
      <c r="D151" t="str">
        <f t="shared" si="12"/>
        <v>029298</v>
      </c>
      <c r="E151" t="str">
        <f t="shared" si="13"/>
        <v>2-146-152</v>
      </c>
      <c r="F151" t="str">
        <f t="shared" si="14"/>
        <v>2146152</v>
      </c>
      <c r="G151">
        <f t="shared" si="15"/>
        <v>2</v>
      </c>
      <c r="H151">
        <f t="shared" si="16"/>
        <v>146</v>
      </c>
      <c r="I151">
        <f t="shared" si="17"/>
        <v>152</v>
      </c>
      <c r="J151" s="152" t="str" cm="1">
        <f t="array" ref="J151">myRGB(G151,H151,I151)</f>
        <v/>
      </c>
    </row>
    <row r="152" spans="1:10" ht="17" x14ac:dyDescent="0.25">
      <c r="A152" s="1" t="s">
        <v>154</v>
      </c>
      <c r="B152" s="1" t="s">
        <v>2806</v>
      </c>
      <c r="C152" s="1" t="s">
        <v>1481</v>
      </c>
      <c r="D152" t="str">
        <f t="shared" si="12"/>
        <v>019296</v>
      </c>
      <c r="E152" t="str">
        <f t="shared" si="13"/>
        <v>1-146-150</v>
      </c>
      <c r="F152" t="str">
        <f t="shared" si="14"/>
        <v>1146150</v>
      </c>
      <c r="G152">
        <f t="shared" si="15"/>
        <v>1</v>
      </c>
      <c r="H152">
        <f t="shared" si="16"/>
        <v>146</v>
      </c>
      <c r="I152">
        <f t="shared" si="17"/>
        <v>150</v>
      </c>
      <c r="J152" s="336" t="str" cm="1">
        <f t="array" ref="J152">myRGB(G152,H152,I152)</f>
        <v/>
      </c>
    </row>
    <row r="153" spans="1:10" ht="17" x14ac:dyDescent="0.25">
      <c r="A153" s="1" t="s">
        <v>155</v>
      </c>
      <c r="B153" s="1" t="s">
        <v>2807</v>
      </c>
      <c r="C153" s="1" t="s">
        <v>1482</v>
      </c>
      <c r="D153" t="str">
        <f t="shared" si="12"/>
        <v>019099</v>
      </c>
      <c r="E153" t="str">
        <f t="shared" si="13"/>
        <v>1-144-153</v>
      </c>
      <c r="F153" t="str">
        <f t="shared" si="14"/>
        <v>1144153</v>
      </c>
      <c r="G153">
        <f t="shared" si="15"/>
        <v>1</v>
      </c>
      <c r="H153">
        <f t="shared" si="16"/>
        <v>144</v>
      </c>
      <c r="I153">
        <f t="shared" si="17"/>
        <v>153</v>
      </c>
      <c r="J153" s="365" t="str" cm="1">
        <f t="array" ref="J153">myRGB(G153,H153,I153)</f>
        <v/>
      </c>
    </row>
    <row r="154" spans="1:10" ht="17" x14ac:dyDescent="0.25">
      <c r="A154" s="1" t="s">
        <v>156</v>
      </c>
      <c r="B154" s="1" t="s">
        <v>2808</v>
      </c>
      <c r="C154" s="1" t="s">
        <v>1483</v>
      </c>
      <c r="D154" t="str">
        <f t="shared" si="12"/>
        <v>029198</v>
      </c>
      <c r="E154" t="str">
        <f t="shared" si="13"/>
        <v>2-145-152</v>
      </c>
      <c r="F154" t="str">
        <f t="shared" si="14"/>
        <v>2145152</v>
      </c>
      <c r="G154">
        <f t="shared" si="15"/>
        <v>2</v>
      </c>
      <c r="H154">
        <f t="shared" si="16"/>
        <v>145</v>
      </c>
      <c r="I154">
        <f t="shared" si="17"/>
        <v>152</v>
      </c>
      <c r="J154" s="140" t="str" cm="1">
        <f t="array" ref="J154">myRGB(G154,H154,I154)</f>
        <v/>
      </c>
    </row>
    <row r="155" spans="1:10" ht="17" x14ac:dyDescent="0.25">
      <c r="A155" s="1" t="s">
        <v>157</v>
      </c>
      <c r="B155" s="1" t="s">
        <v>2809</v>
      </c>
      <c r="C155" s="1" t="s">
        <v>1484</v>
      </c>
      <c r="D155" t="str">
        <f t="shared" si="12"/>
        <v>029197</v>
      </c>
      <c r="E155" t="str">
        <f t="shared" si="13"/>
        <v>2-145-151</v>
      </c>
      <c r="F155" t="str">
        <f t="shared" si="14"/>
        <v>2145151</v>
      </c>
      <c r="G155">
        <f t="shared" si="15"/>
        <v>2</v>
      </c>
      <c r="H155">
        <f t="shared" si="16"/>
        <v>145</v>
      </c>
      <c r="I155">
        <f t="shared" si="17"/>
        <v>151</v>
      </c>
      <c r="J155" s="278" t="str" cm="1">
        <f t="array" ref="J155">myRGB(G155,H155,I155)</f>
        <v/>
      </c>
    </row>
    <row r="156" spans="1:10" ht="17" x14ac:dyDescent="0.25">
      <c r="A156" s="1" t="s">
        <v>158</v>
      </c>
      <c r="B156" s="1" t="s">
        <v>2810</v>
      </c>
      <c r="C156" s="1" t="s">
        <v>1485</v>
      </c>
      <c r="D156" t="str">
        <f t="shared" si="12"/>
        <v>019098</v>
      </c>
      <c r="E156" t="str">
        <f t="shared" si="13"/>
        <v>1-144-152</v>
      </c>
      <c r="F156" t="str">
        <f t="shared" si="14"/>
        <v>1144152</v>
      </c>
      <c r="G156">
        <f t="shared" si="15"/>
        <v>1</v>
      </c>
      <c r="H156">
        <f t="shared" si="16"/>
        <v>144</v>
      </c>
      <c r="I156">
        <f t="shared" si="17"/>
        <v>152</v>
      </c>
      <c r="J156" s="279" t="str" cm="1">
        <f t="array" ref="J156">myRGB(G156,H156,I156)</f>
        <v/>
      </c>
    </row>
    <row r="157" spans="1:10" ht="17" x14ac:dyDescent="0.25">
      <c r="A157" s="1" t="s">
        <v>159</v>
      </c>
      <c r="B157" s="1" t="s">
        <v>2811</v>
      </c>
      <c r="C157" s="1" t="s">
        <v>1486</v>
      </c>
      <c r="D157" t="str">
        <f t="shared" si="12"/>
        <v>019397</v>
      </c>
      <c r="E157" t="str">
        <f t="shared" si="13"/>
        <v>1-147-151</v>
      </c>
      <c r="F157" t="str">
        <f t="shared" si="14"/>
        <v>1147151</v>
      </c>
      <c r="G157">
        <f t="shared" si="15"/>
        <v>1</v>
      </c>
      <c r="H157">
        <f t="shared" si="16"/>
        <v>147</v>
      </c>
      <c r="I157">
        <f t="shared" si="17"/>
        <v>151</v>
      </c>
      <c r="J157" s="227" t="str" cm="1">
        <f t="array" ref="J157">myRGB(G157,H157,I157)</f>
        <v/>
      </c>
    </row>
    <row r="158" spans="1:10" ht="17" x14ac:dyDescent="0.25">
      <c r="A158" s="1" t="s">
        <v>160</v>
      </c>
      <c r="B158" s="1" t="s">
        <v>2812</v>
      </c>
      <c r="C158" s="1" t="s">
        <v>1487</v>
      </c>
      <c r="D158" t="str">
        <f t="shared" si="12"/>
        <v>019198</v>
      </c>
      <c r="E158" t="str">
        <f t="shared" si="13"/>
        <v>1-145-152</v>
      </c>
      <c r="F158" t="str">
        <f t="shared" si="14"/>
        <v>1145152</v>
      </c>
      <c r="G158">
        <f t="shared" si="15"/>
        <v>1</v>
      </c>
      <c r="H158">
        <f t="shared" si="16"/>
        <v>145</v>
      </c>
      <c r="I158">
        <f t="shared" si="17"/>
        <v>152</v>
      </c>
      <c r="J158" s="153" t="str" cm="1">
        <f t="array" ref="J158">myRGB(G158,H158,I158)</f>
        <v/>
      </c>
    </row>
    <row r="159" spans="1:10" ht="17" x14ac:dyDescent="0.25">
      <c r="A159" s="1" t="s">
        <v>161</v>
      </c>
      <c r="B159" s="1" t="s">
        <v>2813</v>
      </c>
      <c r="C159" s="1" t="s">
        <v>1488</v>
      </c>
      <c r="D159" t="str">
        <f t="shared" si="12"/>
        <v>098489</v>
      </c>
      <c r="E159" t="str">
        <f t="shared" si="13"/>
        <v>9-132-137</v>
      </c>
      <c r="F159" t="str">
        <f t="shared" si="14"/>
        <v>9132137</v>
      </c>
      <c r="G159">
        <f t="shared" si="15"/>
        <v>9</v>
      </c>
      <c r="H159">
        <f t="shared" si="16"/>
        <v>132</v>
      </c>
      <c r="I159">
        <f t="shared" si="17"/>
        <v>137</v>
      </c>
      <c r="J159" s="250" t="str" cm="1">
        <f t="array" ref="J159">myRGB(G159,H159,I159)</f>
        <v/>
      </c>
    </row>
    <row r="160" spans="1:10" ht="17" x14ac:dyDescent="0.25">
      <c r="A160" s="1" t="s">
        <v>162</v>
      </c>
      <c r="B160" s="1" t="s">
        <v>2814</v>
      </c>
      <c r="C160" s="1" t="s">
        <v>1489</v>
      </c>
      <c r="D160" t="str">
        <f t="shared" si="12"/>
        <v>08828A</v>
      </c>
      <c r="E160" t="str">
        <f t="shared" si="13"/>
        <v>8-130-138</v>
      </c>
      <c r="F160" t="str">
        <f t="shared" si="14"/>
        <v>8130138</v>
      </c>
      <c r="G160">
        <f t="shared" si="15"/>
        <v>8</v>
      </c>
      <c r="H160">
        <f t="shared" si="16"/>
        <v>130</v>
      </c>
      <c r="I160">
        <f t="shared" si="17"/>
        <v>138</v>
      </c>
      <c r="J160" s="863" t="str" cm="1">
        <f t="array" ref="J160">myRGB(G160,H160,I160)</f>
        <v/>
      </c>
    </row>
    <row r="161" spans="1:10" ht="17" x14ac:dyDescent="0.25">
      <c r="A161" s="1" t="s">
        <v>163</v>
      </c>
      <c r="B161" s="1" t="s">
        <v>2815</v>
      </c>
      <c r="C161" s="1" t="s">
        <v>1490</v>
      </c>
      <c r="D161" t="str">
        <f t="shared" si="12"/>
        <v>0B858C</v>
      </c>
      <c r="E161" t="str">
        <f t="shared" si="13"/>
        <v>11-133-140</v>
      </c>
      <c r="F161" t="str">
        <f t="shared" si="14"/>
        <v>11133140</v>
      </c>
      <c r="G161">
        <f t="shared" si="15"/>
        <v>11</v>
      </c>
      <c r="H161">
        <f t="shared" si="16"/>
        <v>133</v>
      </c>
      <c r="I161">
        <f t="shared" si="17"/>
        <v>140</v>
      </c>
      <c r="J161" s="898" t="str" cm="1">
        <f t="array" ref="J161">myRGB(G161,H161,I161)</f>
        <v/>
      </c>
    </row>
    <row r="162" spans="1:10" ht="17" x14ac:dyDescent="0.25">
      <c r="A162" s="1" t="s">
        <v>164</v>
      </c>
      <c r="B162" s="1" t="s">
        <v>2816</v>
      </c>
      <c r="C162" s="1" t="s">
        <v>1491</v>
      </c>
      <c r="D162" t="str">
        <f t="shared" si="12"/>
        <v>09828A</v>
      </c>
      <c r="E162" t="str">
        <f t="shared" si="13"/>
        <v>9-130-138</v>
      </c>
      <c r="F162" t="str">
        <f t="shared" si="14"/>
        <v>9130138</v>
      </c>
      <c r="G162">
        <f t="shared" si="15"/>
        <v>9</v>
      </c>
      <c r="H162">
        <f t="shared" si="16"/>
        <v>130</v>
      </c>
      <c r="I162">
        <f t="shared" si="17"/>
        <v>138</v>
      </c>
      <c r="J162" s="946" t="str" cm="1">
        <f t="array" ref="J162">myRGB(G162,H162,I162)</f>
        <v/>
      </c>
    </row>
    <row r="163" spans="1:10" ht="17" x14ac:dyDescent="0.25">
      <c r="A163" s="1" t="s">
        <v>165</v>
      </c>
      <c r="B163" s="1" t="s">
        <v>2817</v>
      </c>
      <c r="C163" s="1" t="s">
        <v>1492</v>
      </c>
      <c r="D163" t="str">
        <f t="shared" si="12"/>
        <v>08818C</v>
      </c>
      <c r="E163" t="str">
        <f t="shared" si="13"/>
        <v>8-129-140</v>
      </c>
      <c r="F163" t="str">
        <f t="shared" si="14"/>
        <v>8129140</v>
      </c>
      <c r="G163">
        <f t="shared" si="15"/>
        <v>8</v>
      </c>
      <c r="H163">
        <f t="shared" si="16"/>
        <v>129</v>
      </c>
      <c r="I163">
        <f t="shared" si="17"/>
        <v>140</v>
      </c>
      <c r="J163" s="970" t="str" cm="1">
        <f t="array" ref="J163">myRGB(G163,H163,I163)</f>
        <v/>
      </c>
    </row>
    <row r="164" spans="1:10" ht="17" x14ac:dyDescent="0.25">
      <c r="A164" s="1" t="s">
        <v>166</v>
      </c>
      <c r="B164" s="1" t="s">
        <v>2818</v>
      </c>
      <c r="C164" s="1" t="s">
        <v>1493</v>
      </c>
      <c r="D164" t="str">
        <f t="shared" si="12"/>
        <v>0A838C</v>
      </c>
      <c r="E164" t="str">
        <f t="shared" si="13"/>
        <v>10-131-140</v>
      </c>
      <c r="F164" t="str">
        <f t="shared" si="14"/>
        <v>10131140</v>
      </c>
      <c r="G164">
        <f t="shared" si="15"/>
        <v>10</v>
      </c>
      <c r="H164">
        <f t="shared" si="16"/>
        <v>131</v>
      </c>
      <c r="I164">
        <f t="shared" si="17"/>
        <v>140</v>
      </c>
      <c r="J164" s="864" t="str" cm="1">
        <f t="array" ref="J164">myRGB(G164,H164,I164)</f>
        <v/>
      </c>
    </row>
    <row r="165" spans="1:10" ht="17" x14ac:dyDescent="0.25">
      <c r="A165" s="1" t="s">
        <v>167</v>
      </c>
      <c r="B165" s="1" t="s">
        <v>2819</v>
      </c>
      <c r="C165" s="1" t="s">
        <v>1494</v>
      </c>
      <c r="D165" t="str">
        <f t="shared" si="12"/>
        <v>09838A</v>
      </c>
      <c r="E165" t="str">
        <f t="shared" si="13"/>
        <v>9-131-138</v>
      </c>
      <c r="F165" t="str">
        <f t="shared" si="14"/>
        <v>9131138</v>
      </c>
      <c r="G165">
        <f t="shared" si="15"/>
        <v>9</v>
      </c>
      <c r="H165">
        <f t="shared" si="16"/>
        <v>131</v>
      </c>
      <c r="I165">
        <f t="shared" si="17"/>
        <v>138</v>
      </c>
      <c r="J165" s="979" t="str" cm="1">
        <f t="array" ref="J165">myRGB(G165,H165,I165)</f>
        <v/>
      </c>
    </row>
    <row r="166" spans="1:10" ht="17" x14ac:dyDescent="0.25">
      <c r="A166" s="1" t="s">
        <v>168</v>
      </c>
      <c r="B166" s="1" t="s">
        <v>2820</v>
      </c>
      <c r="C166" s="1" t="s">
        <v>1495</v>
      </c>
      <c r="D166" t="str">
        <f t="shared" si="12"/>
        <v>09838C</v>
      </c>
      <c r="E166" t="str">
        <f t="shared" si="13"/>
        <v>9-131-140</v>
      </c>
      <c r="F166" t="str">
        <f t="shared" si="14"/>
        <v>9131140</v>
      </c>
      <c r="G166">
        <f t="shared" si="15"/>
        <v>9</v>
      </c>
      <c r="H166">
        <f t="shared" si="16"/>
        <v>131</v>
      </c>
      <c r="I166">
        <f t="shared" si="17"/>
        <v>140</v>
      </c>
      <c r="J166" s="344" t="str" cm="1">
        <f t="array" ref="J166">myRGB(G166,H166,I166)</f>
        <v/>
      </c>
    </row>
    <row r="167" spans="1:10" ht="17" x14ac:dyDescent="0.25">
      <c r="A167" s="1" t="s">
        <v>169</v>
      </c>
      <c r="B167" s="1" t="s">
        <v>2821</v>
      </c>
      <c r="C167" s="1" t="s">
        <v>1496</v>
      </c>
      <c r="D167" t="str">
        <f t="shared" si="12"/>
        <v>0B838B</v>
      </c>
      <c r="E167" t="str">
        <f t="shared" si="13"/>
        <v>11-131-139</v>
      </c>
      <c r="F167" t="str">
        <f t="shared" si="14"/>
        <v>11131139</v>
      </c>
      <c r="G167">
        <f t="shared" si="15"/>
        <v>11</v>
      </c>
      <c r="H167">
        <f t="shared" si="16"/>
        <v>131</v>
      </c>
      <c r="I167">
        <f t="shared" si="17"/>
        <v>139</v>
      </c>
      <c r="J167" s="318" t="str" cm="1">
        <f t="array" ref="J167">myRGB(G167,H167,I167)</f>
        <v/>
      </c>
    </row>
    <row r="168" spans="1:10" ht="17" x14ac:dyDescent="0.25">
      <c r="A168" s="1" t="s">
        <v>170</v>
      </c>
      <c r="B168" s="1" t="s">
        <v>2822</v>
      </c>
      <c r="C168" s="1" t="s">
        <v>1497</v>
      </c>
      <c r="D168" t="str">
        <f t="shared" si="12"/>
        <v>098389</v>
      </c>
      <c r="E168" t="str">
        <f t="shared" si="13"/>
        <v>9-131-137</v>
      </c>
      <c r="F168" t="str">
        <f t="shared" si="14"/>
        <v>9131137</v>
      </c>
      <c r="G168">
        <f t="shared" si="15"/>
        <v>9</v>
      </c>
      <c r="H168">
        <f t="shared" si="16"/>
        <v>131</v>
      </c>
      <c r="I168">
        <f t="shared" si="17"/>
        <v>137</v>
      </c>
      <c r="J168" s="42" t="str" cm="1">
        <f t="array" ref="J168">myRGB(G168,H168,I168)</f>
        <v/>
      </c>
    </row>
    <row r="169" spans="1:10" ht="17" x14ac:dyDescent="0.25">
      <c r="A169" s="1" t="s">
        <v>171</v>
      </c>
      <c r="B169" s="1" t="s">
        <v>2823</v>
      </c>
      <c r="C169" s="1" t="s">
        <v>1498</v>
      </c>
      <c r="D169" t="str">
        <f t="shared" si="12"/>
        <v>088588</v>
      </c>
      <c r="E169" t="str">
        <f t="shared" si="13"/>
        <v>8-133-136</v>
      </c>
      <c r="F169" t="str">
        <f t="shared" si="14"/>
        <v>8133136</v>
      </c>
      <c r="G169">
        <f t="shared" si="15"/>
        <v>8</v>
      </c>
      <c r="H169">
        <f t="shared" si="16"/>
        <v>133</v>
      </c>
      <c r="I169">
        <f t="shared" si="17"/>
        <v>136</v>
      </c>
      <c r="J169" s="43" t="str" cm="1">
        <f t="array" ref="J169">myRGB(G169,H169,I169)</f>
        <v/>
      </c>
    </row>
    <row r="170" spans="1:10" ht="17" x14ac:dyDescent="0.25">
      <c r="A170" s="1" t="s">
        <v>172</v>
      </c>
      <c r="B170" s="1" t="s">
        <v>2824</v>
      </c>
      <c r="C170" s="1" t="s">
        <v>1499</v>
      </c>
      <c r="D170" t="str">
        <f t="shared" si="12"/>
        <v>08848B</v>
      </c>
      <c r="E170" t="str">
        <f t="shared" si="13"/>
        <v>8-132-139</v>
      </c>
      <c r="F170" t="str">
        <f t="shared" si="14"/>
        <v>8132139</v>
      </c>
      <c r="G170">
        <f t="shared" si="15"/>
        <v>8</v>
      </c>
      <c r="H170">
        <f t="shared" si="16"/>
        <v>132</v>
      </c>
      <c r="I170">
        <f t="shared" si="17"/>
        <v>139</v>
      </c>
      <c r="J170" s="246" t="str" cm="1">
        <f t="array" ref="J170">myRGB(G170,H170,I170)</f>
        <v/>
      </c>
    </row>
    <row r="171" spans="1:10" ht="17" x14ac:dyDescent="0.25">
      <c r="A171" s="1" t="s">
        <v>173</v>
      </c>
      <c r="B171" s="1" t="s">
        <v>2825</v>
      </c>
      <c r="C171" s="1" t="s">
        <v>1500</v>
      </c>
      <c r="D171" t="str">
        <f t="shared" si="12"/>
        <v>09828C</v>
      </c>
      <c r="E171" t="str">
        <f t="shared" si="13"/>
        <v>9-130-140</v>
      </c>
      <c r="F171" t="str">
        <f t="shared" si="14"/>
        <v>9130140</v>
      </c>
      <c r="G171">
        <f t="shared" si="15"/>
        <v>9</v>
      </c>
      <c r="H171">
        <f t="shared" si="16"/>
        <v>130</v>
      </c>
      <c r="I171">
        <f t="shared" si="17"/>
        <v>140</v>
      </c>
      <c r="J171" s="206" t="str" cm="1">
        <f t="array" ref="J171">myRGB(G171,H171,I171)</f>
        <v/>
      </c>
    </row>
    <row r="172" spans="1:10" ht="17" x14ac:dyDescent="0.25">
      <c r="A172" s="1" t="s">
        <v>174</v>
      </c>
      <c r="B172" s="1" t="s">
        <v>2826</v>
      </c>
      <c r="C172" s="1" t="s">
        <v>1501</v>
      </c>
      <c r="D172" t="str">
        <f t="shared" si="12"/>
        <v>0B848C</v>
      </c>
      <c r="E172" t="str">
        <f t="shared" si="13"/>
        <v>11-132-140</v>
      </c>
      <c r="F172" t="str">
        <f t="shared" si="14"/>
        <v>11132140</v>
      </c>
      <c r="G172">
        <f t="shared" si="15"/>
        <v>11</v>
      </c>
      <c r="H172">
        <f t="shared" si="16"/>
        <v>132</v>
      </c>
      <c r="I172">
        <f t="shared" si="17"/>
        <v>140</v>
      </c>
      <c r="J172" s="180" t="str" cm="1">
        <f t="array" ref="J172">myRGB(G172,H172,I172)</f>
        <v/>
      </c>
    </row>
    <row r="173" spans="1:10" ht="17" x14ac:dyDescent="0.25">
      <c r="A173" s="1" t="s">
        <v>175</v>
      </c>
      <c r="B173" s="1" t="s">
        <v>2827</v>
      </c>
      <c r="C173" s="1" t="s">
        <v>1502</v>
      </c>
      <c r="D173" t="str">
        <f t="shared" si="12"/>
        <v>08838B</v>
      </c>
      <c r="E173" t="str">
        <f t="shared" si="13"/>
        <v>8-131-139</v>
      </c>
      <c r="F173" t="str">
        <f t="shared" si="14"/>
        <v>8131139</v>
      </c>
      <c r="G173">
        <f t="shared" si="15"/>
        <v>8</v>
      </c>
      <c r="H173">
        <f t="shared" si="16"/>
        <v>131</v>
      </c>
      <c r="I173">
        <f t="shared" si="17"/>
        <v>139</v>
      </c>
      <c r="J173" s="319" t="str" cm="1">
        <f t="array" ref="J173">myRGB(G173,H173,I173)</f>
        <v/>
      </c>
    </row>
    <row r="174" spans="1:10" ht="17" x14ac:dyDescent="0.25">
      <c r="A174" s="1" t="s">
        <v>176</v>
      </c>
      <c r="B174" s="1" t="s">
        <v>2828</v>
      </c>
      <c r="C174" s="1" t="s">
        <v>1503</v>
      </c>
      <c r="D174" t="str">
        <f t="shared" si="12"/>
        <v>09848B</v>
      </c>
      <c r="E174" t="str">
        <f t="shared" si="13"/>
        <v>9-132-139</v>
      </c>
      <c r="F174" t="str">
        <f t="shared" si="14"/>
        <v>9132139</v>
      </c>
      <c r="G174">
        <f t="shared" si="15"/>
        <v>9</v>
      </c>
      <c r="H174">
        <f t="shared" si="16"/>
        <v>132</v>
      </c>
      <c r="I174">
        <f t="shared" si="17"/>
        <v>139</v>
      </c>
      <c r="J174" s="207" t="str" cm="1">
        <f t="array" ref="J174">myRGB(G174,H174,I174)</f>
        <v/>
      </c>
    </row>
    <row r="175" spans="1:10" ht="17" x14ac:dyDescent="0.25">
      <c r="A175" s="1" t="s">
        <v>177</v>
      </c>
      <c r="B175" s="1" t="s">
        <v>2829</v>
      </c>
      <c r="C175" s="1" t="s">
        <v>1504</v>
      </c>
      <c r="D175" t="str">
        <f t="shared" si="12"/>
        <v>0B848A</v>
      </c>
      <c r="E175" t="str">
        <f t="shared" si="13"/>
        <v>11-132-138</v>
      </c>
      <c r="F175" t="str">
        <f t="shared" si="14"/>
        <v>11132138</v>
      </c>
      <c r="G175">
        <f t="shared" si="15"/>
        <v>11</v>
      </c>
      <c r="H175">
        <f t="shared" si="16"/>
        <v>132</v>
      </c>
      <c r="I175">
        <f t="shared" si="17"/>
        <v>138</v>
      </c>
      <c r="J175" s="247" t="str" cm="1">
        <f t="array" ref="J175">myRGB(G175,H175,I175)</f>
        <v/>
      </c>
    </row>
    <row r="176" spans="1:10" ht="17" x14ac:dyDescent="0.25">
      <c r="A176" s="1" t="s">
        <v>178</v>
      </c>
      <c r="B176" s="1" t="s">
        <v>2830</v>
      </c>
      <c r="C176" s="1" t="s">
        <v>1505</v>
      </c>
      <c r="D176" t="str">
        <f t="shared" si="12"/>
        <v>09858A</v>
      </c>
      <c r="E176" t="str">
        <f t="shared" si="13"/>
        <v>9-133-138</v>
      </c>
      <c r="F176" t="str">
        <f t="shared" si="14"/>
        <v>9133138</v>
      </c>
      <c r="G176">
        <f t="shared" si="15"/>
        <v>9</v>
      </c>
      <c r="H176">
        <f t="shared" si="16"/>
        <v>133</v>
      </c>
      <c r="I176">
        <f t="shared" si="17"/>
        <v>138</v>
      </c>
      <c r="J176" s="181" t="str" cm="1">
        <f t="array" ref="J176">myRGB(G176,H176,I176)</f>
        <v/>
      </c>
    </row>
    <row r="177" spans="1:10" ht="17" x14ac:dyDescent="0.25">
      <c r="A177" s="1" t="s">
        <v>179</v>
      </c>
      <c r="B177" s="1" t="s">
        <v>2831</v>
      </c>
      <c r="C177" s="1" t="s">
        <v>1506</v>
      </c>
      <c r="D177" t="str">
        <f t="shared" si="12"/>
        <v>0A848B</v>
      </c>
      <c r="E177" t="str">
        <f t="shared" si="13"/>
        <v>10-132-139</v>
      </c>
      <c r="F177" t="str">
        <f t="shared" si="14"/>
        <v>10132139</v>
      </c>
      <c r="G177">
        <f t="shared" si="15"/>
        <v>10</v>
      </c>
      <c r="H177">
        <f t="shared" si="16"/>
        <v>132</v>
      </c>
      <c r="I177">
        <f t="shared" si="17"/>
        <v>139</v>
      </c>
      <c r="J177" s="44" t="str" cm="1">
        <f t="array" ref="J177">myRGB(G177,H177,I177)</f>
        <v/>
      </c>
    </row>
    <row r="178" spans="1:10" ht="17" x14ac:dyDescent="0.25">
      <c r="A178" s="1" t="s">
        <v>180</v>
      </c>
      <c r="B178" s="1" t="s">
        <v>2832</v>
      </c>
      <c r="C178" s="1" t="s">
        <v>1507</v>
      </c>
      <c r="D178" t="str">
        <f t="shared" si="12"/>
        <v>0A828B</v>
      </c>
      <c r="E178" t="str">
        <f t="shared" si="13"/>
        <v>10-130-139</v>
      </c>
      <c r="F178" t="str">
        <f t="shared" si="14"/>
        <v>10130139</v>
      </c>
      <c r="G178">
        <f t="shared" si="15"/>
        <v>10</v>
      </c>
      <c r="H178">
        <f t="shared" si="16"/>
        <v>130</v>
      </c>
      <c r="I178">
        <f t="shared" si="17"/>
        <v>139</v>
      </c>
      <c r="J178" s="45" t="str" cm="1">
        <f t="array" ref="J178">myRGB(G178,H178,I178)</f>
        <v/>
      </c>
    </row>
    <row r="179" spans="1:10" ht="17" x14ac:dyDescent="0.25">
      <c r="A179" s="1" t="s">
        <v>181</v>
      </c>
      <c r="B179" s="1" t="s">
        <v>2833</v>
      </c>
      <c r="C179" s="1" t="s">
        <v>1508</v>
      </c>
      <c r="D179" t="str">
        <f t="shared" si="12"/>
        <v>08838A</v>
      </c>
      <c r="E179" t="str">
        <f t="shared" si="13"/>
        <v>8-131-138</v>
      </c>
      <c r="F179" t="str">
        <f t="shared" si="14"/>
        <v>8131138</v>
      </c>
      <c r="G179">
        <f t="shared" si="15"/>
        <v>8</v>
      </c>
      <c r="H179">
        <f t="shared" si="16"/>
        <v>131</v>
      </c>
      <c r="I179">
        <f t="shared" si="17"/>
        <v>138</v>
      </c>
      <c r="J179" s="122" t="str" cm="1">
        <f t="array" ref="J179">myRGB(G179,H179,I179)</f>
        <v/>
      </c>
    </row>
    <row r="180" spans="1:10" ht="17" x14ac:dyDescent="0.25">
      <c r="A180" s="1" t="s">
        <v>182</v>
      </c>
      <c r="B180" s="1" t="s">
        <v>2834</v>
      </c>
      <c r="C180" s="1" t="s">
        <v>1509</v>
      </c>
      <c r="D180" t="str">
        <f t="shared" si="12"/>
        <v>0A848C</v>
      </c>
      <c r="E180" t="str">
        <f t="shared" si="13"/>
        <v>10-132-140</v>
      </c>
      <c r="F180" t="str">
        <f t="shared" si="14"/>
        <v>10132140</v>
      </c>
      <c r="G180">
        <f t="shared" si="15"/>
        <v>10</v>
      </c>
      <c r="H180">
        <f t="shared" si="16"/>
        <v>132</v>
      </c>
      <c r="I180">
        <f t="shared" si="17"/>
        <v>140</v>
      </c>
      <c r="J180" s="121" t="str" cm="1">
        <f t="array" ref="J180">myRGB(G180,H180,I180)</f>
        <v/>
      </c>
    </row>
    <row r="181" spans="1:10" ht="17" x14ac:dyDescent="0.25">
      <c r="A181" s="1" t="s">
        <v>183</v>
      </c>
      <c r="B181" s="1" t="s">
        <v>2835</v>
      </c>
      <c r="C181" s="1" t="s">
        <v>1510</v>
      </c>
      <c r="D181" t="str">
        <f t="shared" si="12"/>
        <v>09848A</v>
      </c>
      <c r="E181" t="str">
        <f t="shared" si="13"/>
        <v>9-132-138</v>
      </c>
      <c r="F181" t="str">
        <f t="shared" si="14"/>
        <v>9132138</v>
      </c>
      <c r="G181">
        <f t="shared" si="15"/>
        <v>9</v>
      </c>
      <c r="H181">
        <f t="shared" si="16"/>
        <v>132</v>
      </c>
      <c r="I181">
        <f t="shared" si="17"/>
        <v>138</v>
      </c>
      <c r="J181" s="317" t="str" cm="1">
        <f t="array" ref="J181">myRGB(G181,H181,I181)</f>
        <v/>
      </c>
    </row>
    <row r="182" spans="1:10" ht="17" x14ac:dyDescent="0.25">
      <c r="A182" s="1" t="s">
        <v>184</v>
      </c>
      <c r="B182" s="1" t="s">
        <v>2836</v>
      </c>
      <c r="C182" s="1" t="s">
        <v>1511</v>
      </c>
      <c r="D182" t="str">
        <f t="shared" si="12"/>
        <v>0A8489</v>
      </c>
      <c r="E182" t="str">
        <f t="shared" si="13"/>
        <v>10-132-137</v>
      </c>
      <c r="F182" t="str">
        <f t="shared" si="14"/>
        <v>10132137</v>
      </c>
      <c r="G182">
        <f t="shared" si="15"/>
        <v>10</v>
      </c>
      <c r="H182">
        <f t="shared" si="16"/>
        <v>132</v>
      </c>
      <c r="I182">
        <f t="shared" si="17"/>
        <v>137</v>
      </c>
      <c r="J182" s="179" t="str" cm="1">
        <f t="array" ref="J182">myRGB(G182,H182,I182)</f>
        <v/>
      </c>
    </row>
    <row r="183" spans="1:10" ht="17" x14ac:dyDescent="0.25">
      <c r="A183" s="1" t="s">
        <v>185</v>
      </c>
      <c r="B183" s="1" t="s">
        <v>2837</v>
      </c>
      <c r="C183" s="1" t="s">
        <v>1512</v>
      </c>
      <c r="D183" t="str">
        <f t="shared" si="12"/>
        <v>08828B</v>
      </c>
      <c r="E183" t="str">
        <f t="shared" si="13"/>
        <v>8-130-139</v>
      </c>
      <c r="F183" t="str">
        <f t="shared" si="14"/>
        <v>8130139</v>
      </c>
      <c r="G183">
        <f t="shared" si="15"/>
        <v>8</v>
      </c>
      <c r="H183">
        <f t="shared" si="16"/>
        <v>130</v>
      </c>
      <c r="I183">
        <f t="shared" si="17"/>
        <v>139</v>
      </c>
      <c r="J183" s="41" t="str" cm="1">
        <f t="array" ref="J183">myRGB(G183,H183,I183)</f>
        <v/>
      </c>
    </row>
    <row r="184" spans="1:10" ht="17" x14ac:dyDescent="0.25">
      <c r="A184" s="1" t="s">
        <v>186</v>
      </c>
      <c r="B184" s="1" t="s">
        <v>2838</v>
      </c>
      <c r="C184" s="1" t="s">
        <v>1513</v>
      </c>
      <c r="D184" t="str">
        <f t="shared" si="12"/>
        <v>0B858B</v>
      </c>
      <c r="E184" t="str">
        <f t="shared" si="13"/>
        <v>11-133-139</v>
      </c>
      <c r="F184" t="str">
        <f t="shared" si="14"/>
        <v>11133139</v>
      </c>
      <c r="G184">
        <f t="shared" si="15"/>
        <v>11</v>
      </c>
      <c r="H184">
        <f t="shared" si="16"/>
        <v>133</v>
      </c>
      <c r="I184">
        <f t="shared" si="17"/>
        <v>139</v>
      </c>
      <c r="J184" s="245" t="str" cm="1">
        <f t="array" ref="J184">myRGB(G184,H184,I184)</f>
        <v/>
      </c>
    </row>
    <row r="185" spans="1:10" ht="17" x14ac:dyDescent="0.25">
      <c r="A185" s="1" t="s">
        <v>187</v>
      </c>
      <c r="B185" s="1" t="s">
        <v>2839</v>
      </c>
      <c r="C185" s="1" t="s">
        <v>1514</v>
      </c>
      <c r="D185" t="str">
        <f t="shared" si="12"/>
        <v>08848C</v>
      </c>
      <c r="E185" t="str">
        <f t="shared" si="13"/>
        <v>8-132-140</v>
      </c>
      <c r="F185" t="str">
        <f t="shared" si="14"/>
        <v>8132140</v>
      </c>
      <c r="G185">
        <f t="shared" si="15"/>
        <v>8</v>
      </c>
      <c r="H185">
        <f t="shared" si="16"/>
        <v>132</v>
      </c>
      <c r="I185">
        <f t="shared" si="17"/>
        <v>140</v>
      </c>
      <c r="J185" s="205" t="str" cm="1">
        <f t="array" ref="J185">myRGB(G185,H185,I185)</f>
        <v/>
      </c>
    </row>
    <row r="186" spans="1:10" ht="17" x14ac:dyDescent="0.25">
      <c r="A186" s="1" t="s">
        <v>188</v>
      </c>
      <c r="B186" s="1" t="s">
        <v>2840</v>
      </c>
      <c r="C186" s="1" t="s">
        <v>1515</v>
      </c>
      <c r="D186" t="str">
        <f t="shared" si="12"/>
        <v>09858C</v>
      </c>
      <c r="E186" t="str">
        <f t="shared" si="13"/>
        <v>9-133-140</v>
      </c>
      <c r="F186" t="str">
        <f t="shared" si="14"/>
        <v>9133140</v>
      </c>
      <c r="G186">
        <f t="shared" si="15"/>
        <v>9</v>
      </c>
      <c r="H186">
        <f t="shared" si="16"/>
        <v>133</v>
      </c>
      <c r="I186">
        <f t="shared" si="17"/>
        <v>140</v>
      </c>
      <c r="J186" s="343" t="str" cm="1">
        <f t="array" ref="J186">myRGB(G186,H186,I186)</f>
        <v/>
      </c>
    </row>
    <row r="187" spans="1:10" ht="17" x14ac:dyDescent="0.25">
      <c r="A187" s="1" t="s">
        <v>189</v>
      </c>
      <c r="B187" s="1" t="s">
        <v>2841</v>
      </c>
      <c r="C187" s="1" t="s">
        <v>1516</v>
      </c>
      <c r="D187" t="str">
        <f t="shared" si="12"/>
        <v>0A858C</v>
      </c>
      <c r="E187" t="str">
        <f t="shared" si="13"/>
        <v>10-133-140</v>
      </c>
      <c r="F187" t="str">
        <f t="shared" si="14"/>
        <v>10133140</v>
      </c>
      <c r="G187">
        <f t="shared" si="15"/>
        <v>10</v>
      </c>
      <c r="H187">
        <f t="shared" si="16"/>
        <v>133</v>
      </c>
      <c r="I187">
        <f t="shared" si="17"/>
        <v>140</v>
      </c>
      <c r="J187" s="47" t="str" cm="1">
        <f t="array" ref="J187">myRGB(G187,H187,I187)</f>
        <v/>
      </c>
    </row>
    <row r="188" spans="1:10" ht="17" x14ac:dyDescent="0.25">
      <c r="A188" s="1" t="s">
        <v>190</v>
      </c>
      <c r="B188" s="1" t="s">
        <v>2842</v>
      </c>
      <c r="C188" s="1" t="s">
        <v>1517</v>
      </c>
      <c r="D188" t="str">
        <f t="shared" si="12"/>
        <v>098589</v>
      </c>
      <c r="E188" t="str">
        <f t="shared" si="13"/>
        <v>9-133-137</v>
      </c>
      <c r="F188" t="str">
        <f t="shared" si="14"/>
        <v>9133137</v>
      </c>
      <c r="G188">
        <f t="shared" si="15"/>
        <v>9</v>
      </c>
      <c r="H188">
        <f t="shared" si="16"/>
        <v>133</v>
      </c>
      <c r="I188">
        <f t="shared" si="17"/>
        <v>137</v>
      </c>
      <c r="J188" s="182" t="str" cm="1">
        <f t="array" ref="J188">myRGB(G188,H188,I188)</f>
        <v/>
      </c>
    </row>
    <row r="189" spans="1:10" ht="17" x14ac:dyDescent="0.25">
      <c r="A189" s="1" t="s">
        <v>191</v>
      </c>
      <c r="B189" s="1" t="s">
        <v>2843</v>
      </c>
      <c r="C189" s="1" t="s">
        <v>1518</v>
      </c>
      <c r="D189" t="str">
        <f t="shared" si="12"/>
        <v>0A828C</v>
      </c>
      <c r="E189" t="str">
        <f t="shared" si="13"/>
        <v>10-130-140</v>
      </c>
      <c r="F189" t="str">
        <f t="shared" si="14"/>
        <v>10130140</v>
      </c>
      <c r="G189">
        <f t="shared" si="15"/>
        <v>10</v>
      </c>
      <c r="H189">
        <f t="shared" si="16"/>
        <v>130</v>
      </c>
      <c r="I189">
        <f t="shared" si="17"/>
        <v>140</v>
      </c>
      <c r="J189" s="345" t="str" cm="1">
        <f t="array" ref="J189">myRGB(G189,H189,I189)</f>
        <v/>
      </c>
    </row>
    <row r="190" spans="1:10" ht="17" x14ac:dyDescent="0.25">
      <c r="A190" s="1" t="s">
        <v>192</v>
      </c>
      <c r="B190" s="1" t="s">
        <v>2844</v>
      </c>
      <c r="C190" s="1" t="s">
        <v>1519</v>
      </c>
      <c r="D190" t="str">
        <f t="shared" si="12"/>
        <v>0B848B</v>
      </c>
      <c r="E190" t="str">
        <f t="shared" si="13"/>
        <v>11-132-139</v>
      </c>
      <c r="F190" t="str">
        <f t="shared" si="14"/>
        <v>11132139</v>
      </c>
      <c r="G190">
        <f t="shared" si="15"/>
        <v>11</v>
      </c>
      <c r="H190">
        <f t="shared" si="16"/>
        <v>132</v>
      </c>
      <c r="I190">
        <f t="shared" si="17"/>
        <v>139</v>
      </c>
      <c r="J190" s="46" t="str" cm="1">
        <f t="array" ref="J190">myRGB(G190,H190,I190)</f>
        <v/>
      </c>
    </row>
    <row r="191" spans="1:10" ht="17" x14ac:dyDescent="0.25">
      <c r="A191" s="1" t="s">
        <v>193</v>
      </c>
      <c r="B191" s="1" t="s">
        <v>2845</v>
      </c>
      <c r="C191" s="1" t="s">
        <v>1520</v>
      </c>
      <c r="D191" t="str">
        <f t="shared" si="12"/>
        <v>088389</v>
      </c>
      <c r="E191" t="str">
        <f t="shared" si="13"/>
        <v>8-131-137</v>
      </c>
      <c r="F191" t="str">
        <f t="shared" si="14"/>
        <v>8131137</v>
      </c>
      <c r="G191">
        <f t="shared" si="15"/>
        <v>8</v>
      </c>
      <c r="H191">
        <f t="shared" si="16"/>
        <v>131</v>
      </c>
      <c r="I191">
        <f t="shared" si="17"/>
        <v>137</v>
      </c>
      <c r="J191" s="123" t="str" cm="1">
        <f t="array" ref="J191">myRGB(G191,H191,I191)</f>
        <v/>
      </c>
    </row>
    <row r="192" spans="1:10" ht="17" x14ac:dyDescent="0.25">
      <c r="A192" s="1" t="s">
        <v>194</v>
      </c>
      <c r="B192" s="1" t="s">
        <v>2846</v>
      </c>
      <c r="C192" s="1" t="s">
        <v>1521</v>
      </c>
      <c r="D192" t="str">
        <f t="shared" si="12"/>
        <v>08858C</v>
      </c>
      <c r="E192" t="str">
        <f t="shared" si="13"/>
        <v>8-133-140</v>
      </c>
      <c r="F192" t="str">
        <f t="shared" si="14"/>
        <v>8133140</v>
      </c>
      <c r="G192">
        <f t="shared" si="15"/>
        <v>8</v>
      </c>
      <c r="H192">
        <f t="shared" si="16"/>
        <v>133</v>
      </c>
      <c r="I192">
        <f t="shared" si="17"/>
        <v>140</v>
      </c>
      <c r="J192" s="208" t="str" cm="1">
        <f t="array" ref="J192">myRGB(G192,H192,I192)</f>
        <v/>
      </c>
    </row>
    <row r="193" spans="1:10" ht="17" x14ac:dyDescent="0.25">
      <c r="A193" s="1" t="s">
        <v>195</v>
      </c>
      <c r="B193" s="1" t="s">
        <v>2847</v>
      </c>
      <c r="C193" s="1" t="s">
        <v>1522</v>
      </c>
      <c r="D193" t="str">
        <f t="shared" si="12"/>
        <v>08858A</v>
      </c>
      <c r="E193" t="str">
        <f t="shared" si="13"/>
        <v>8-133-138</v>
      </c>
      <c r="F193" t="str">
        <f t="shared" si="14"/>
        <v>8133138</v>
      </c>
      <c r="G193">
        <f t="shared" si="15"/>
        <v>8</v>
      </c>
      <c r="H193">
        <f t="shared" si="16"/>
        <v>133</v>
      </c>
      <c r="I193">
        <f t="shared" si="17"/>
        <v>138</v>
      </c>
      <c r="J193" s="248" t="str" cm="1">
        <f t="array" ref="J193">myRGB(G193,H193,I193)</f>
        <v/>
      </c>
    </row>
    <row r="194" spans="1:10" ht="17" x14ac:dyDescent="0.25">
      <c r="A194" s="1" t="s">
        <v>196</v>
      </c>
      <c r="B194" s="1" t="s">
        <v>2848</v>
      </c>
      <c r="C194" s="1" t="s">
        <v>1523</v>
      </c>
      <c r="D194" t="str">
        <f t="shared" si="12"/>
        <v>09838B</v>
      </c>
      <c r="E194" t="str">
        <f t="shared" si="13"/>
        <v>9-131-139</v>
      </c>
      <c r="F194" t="str">
        <f t="shared" si="14"/>
        <v>9131139</v>
      </c>
      <c r="G194">
        <f t="shared" si="15"/>
        <v>9</v>
      </c>
      <c r="H194">
        <f t="shared" si="16"/>
        <v>131</v>
      </c>
      <c r="I194">
        <f t="shared" si="17"/>
        <v>139</v>
      </c>
      <c r="J194" s="40" t="str" cm="1">
        <f t="array" ref="J194">myRGB(G194,H194,I194)</f>
        <v/>
      </c>
    </row>
    <row r="195" spans="1:10" ht="17" x14ac:dyDescent="0.25">
      <c r="A195" s="1" t="s">
        <v>197</v>
      </c>
      <c r="B195" s="1" t="s">
        <v>2849</v>
      </c>
      <c r="C195" s="1" t="s">
        <v>1524</v>
      </c>
      <c r="D195" t="str">
        <f t="shared" si="12"/>
        <v>0A838A</v>
      </c>
      <c r="E195" t="str">
        <f t="shared" si="13"/>
        <v>10-131-138</v>
      </c>
      <c r="F195" t="str">
        <f t="shared" si="14"/>
        <v>10131138</v>
      </c>
      <c r="G195">
        <f t="shared" si="15"/>
        <v>10</v>
      </c>
      <c r="H195">
        <f t="shared" si="16"/>
        <v>131</v>
      </c>
      <c r="I195">
        <f t="shared" si="17"/>
        <v>138</v>
      </c>
      <c r="J195" s="39" t="str" cm="1">
        <f t="array" ref="J195">myRGB(G195,H195,I195)</f>
        <v/>
      </c>
    </row>
    <row r="196" spans="1:10" ht="17" x14ac:dyDescent="0.25">
      <c r="A196" s="1" t="s">
        <v>198</v>
      </c>
      <c r="B196" s="1" t="s">
        <v>2850</v>
      </c>
      <c r="C196" s="1" t="s">
        <v>1525</v>
      </c>
      <c r="D196" t="str">
        <f t="shared" ref="D196:D259" si="18">RIGHT(LEFT(C196,9),6)</f>
        <v>09848C</v>
      </c>
      <c r="E196" t="str">
        <f t="shared" ref="E196:E259" si="19">HEX2DEC(LEFT(D196,2))&amp;"-"&amp;HEX2DEC(MID(D196,3,2))&amp;"-"&amp;HEX2DEC(RIGHT(D196,2))</f>
        <v>9-132-140</v>
      </c>
      <c r="F196" t="str">
        <f t="shared" ref="F196:F259" si="20">HEX2DEC(LEFT(D196,2))&amp;HEX2DEC(MID(D196,3,2))&amp;HEX2DEC(RIGHT(D196,2))</f>
        <v>9132140</v>
      </c>
      <c r="G196">
        <f t="shared" ref="G196:G259" si="21">HEX2DEC(LEFT(D196,2))</f>
        <v>9</v>
      </c>
      <c r="H196">
        <f t="shared" ref="H196:H259" si="22">HEX2DEC(MID(D196,3,2))</f>
        <v>132</v>
      </c>
      <c r="I196">
        <f t="shared" ref="I196:I259" si="23">HEX2DEC(RIGHT(D196,2))</f>
        <v>140</v>
      </c>
      <c r="J196" s="120" t="str" cm="1">
        <f t="array" ref="J196">myRGB(G196,H196,I196)</f>
        <v/>
      </c>
    </row>
    <row r="197" spans="1:10" ht="17" x14ac:dyDescent="0.25">
      <c r="A197" s="1" t="s">
        <v>199</v>
      </c>
      <c r="B197" s="1" t="s">
        <v>2851</v>
      </c>
      <c r="C197" s="1" t="s">
        <v>1526</v>
      </c>
      <c r="D197" t="str">
        <f t="shared" si="18"/>
        <v>0B858A</v>
      </c>
      <c r="E197" t="str">
        <f t="shared" si="19"/>
        <v>11-133-138</v>
      </c>
      <c r="F197" t="str">
        <f t="shared" si="20"/>
        <v>11133138</v>
      </c>
      <c r="G197">
        <f t="shared" si="21"/>
        <v>11</v>
      </c>
      <c r="H197">
        <f t="shared" si="22"/>
        <v>133</v>
      </c>
      <c r="I197">
        <f t="shared" si="23"/>
        <v>138</v>
      </c>
      <c r="J197" s="244" t="str" cm="1">
        <f t="array" ref="J197">myRGB(G197,H197,I197)</f>
        <v/>
      </c>
    </row>
    <row r="198" spans="1:10" ht="17" x14ac:dyDescent="0.25">
      <c r="A198" s="1" t="s">
        <v>200</v>
      </c>
      <c r="B198" s="1" t="s">
        <v>2852</v>
      </c>
      <c r="C198" s="1" t="s">
        <v>1527</v>
      </c>
      <c r="D198" t="str">
        <f t="shared" si="18"/>
        <v>0B838C</v>
      </c>
      <c r="E198" t="str">
        <f t="shared" si="19"/>
        <v>11-131-140</v>
      </c>
      <c r="F198" t="str">
        <f t="shared" si="20"/>
        <v>11131140</v>
      </c>
      <c r="G198">
        <f t="shared" si="21"/>
        <v>11</v>
      </c>
      <c r="H198">
        <f t="shared" si="22"/>
        <v>131</v>
      </c>
      <c r="I198">
        <f t="shared" si="23"/>
        <v>140</v>
      </c>
      <c r="J198" s="204" t="str" cm="1">
        <f t="array" ref="J198">myRGB(G198,H198,I198)</f>
        <v/>
      </c>
    </row>
    <row r="199" spans="1:10" ht="17" x14ac:dyDescent="0.25">
      <c r="A199" s="1" t="s">
        <v>201</v>
      </c>
      <c r="B199" s="1" t="s">
        <v>2853</v>
      </c>
      <c r="C199" s="1" t="s">
        <v>1528</v>
      </c>
      <c r="D199" t="str">
        <f t="shared" si="18"/>
        <v>08838C</v>
      </c>
      <c r="E199" t="str">
        <f t="shared" si="19"/>
        <v>8-131-140</v>
      </c>
      <c r="F199" t="str">
        <f t="shared" si="20"/>
        <v>8131140</v>
      </c>
      <c r="G199">
        <f t="shared" si="21"/>
        <v>8</v>
      </c>
      <c r="H199">
        <f t="shared" si="22"/>
        <v>131</v>
      </c>
      <c r="I199">
        <f t="shared" si="23"/>
        <v>140</v>
      </c>
      <c r="J199" s="342" t="str" cm="1">
        <f t="array" ref="J199">myRGB(G199,H199,I199)</f>
        <v/>
      </c>
    </row>
    <row r="200" spans="1:10" ht="17" x14ac:dyDescent="0.25">
      <c r="A200" s="1" t="s">
        <v>202</v>
      </c>
      <c r="B200" s="1" t="s">
        <v>2854</v>
      </c>
      <c r="C200" s="1" t="s">
        <v>1529</v>
      </c>
      <c r="D200" t="str">
        <f t="shared" si="18"/>
        <v>08848A</v>
      </c>
      <c r="E200" t="str">
        <f t="shared" si="19"/>
        <v>8-132-138</v>
      </c>
      <c r="F200" t="str">
        <f t="shared" si="20"/>
        <v>8132138</v>
      </c>
      <c r="G200">
        <f t="shared" si="21"/>
        <v>8</v>
      </c>
      <c r="H200">
        <f t="shared" si="22"/>
        <v>132</v>
      </c>
      <c r="I200">
        <f t="shared" si="23"/>
        <v>138</v>
      </c>
      <c r="J200" s="316" t="str" cm="1">
        <f t="array" ref="J200">myRGB(G200,H200,I200)</f>
        <v/>
      </c>
    </row>
    <row r="201" spans="1:10" ht="17" x14ac:dyDescent="0.25">
      <c r="A201" s="1" t="s">
        <v>203</v>
      </c>
      <c r="B201" s="1" t="s">
        <v>2855</v>
      </c>
      <c r="C201" s="1" t="s">
        <v>1530</v>
      </c>
      <c r="D201" t="str">
        <f t="shared" si="18"/>
        <v>0A838B</v>
      </c>
      <c r="E201" t="str">
        <f t="shared" si="19"/>
        <v>10-131-139</v>
      </c>
      <c r="F201" t="str">
        <f t="shared" si="20"/>
        <v>10131139</v>
      </c>
      <c r="G201">
        <f t="shared" si="21"/>
        <v>10</v>
      </c>
      <c r="H201">
        <f t="shared" si="22"/>
        <v>131</v>
      </c>
      <c r="I201">
        <f t="shared" si="23"/>
        <v>139</v>
      </c>
      <c r="J201" s="178" t="str" cm="1">
        <f t="array" ref="J201">myRGB(G201,H201,I201)</f>
        <v/>
      </c>
    </row>
    <row r="202" spans="1:10" ht="17" x14ac:dyDescent="0.25">
      <c r="A202" s="1" t="s">
        <v>204</v>
      </c>
      <c r="B202" s="1" t="s">
        <v>2856</v>
      </c>
      <c r="C202" s="1" t="s">
        <v>1531</v>
      </c>
      <c r="D202" t="str">
        <f t="shared" si="18"/>
        <v>0A8589</v>
      </c>
      <c r="E202" t="str">
        <f t="shared" si="19"/>
        <v>10-133-137</v>
      </c>
      <c r="F202" t="str">
        <f t="shared" si="20"/>
        <v>10133137</v>
      </c>
      <c r="G202">
        <f t="shared" si="21"/>
        <v>10</v>
      </c>
      <c r="H202">
        <f t="shared" si="22"/>
        <v>133</v>
      </c>
      <c r="I202">
        <f t="shared" si="23"/>
        <v>137</v>
      </c>
      <c r="J202" s="243" t="str" cm="1">
        <f t="array" ref="J202">myRGB(G202,H202,I202)</f>
        <v/>
      </c>
    </row>
    <row r="203" spans="1:10" ht="17" x14ac:dyDescent="0.25">
      <c r="A203" s="1" t="s">
        <v>205</v>
      </c>
      <c r="B203" s="1" t="s">
        <v>2857</v>
      </c>
      <c r="C203" s="1" t="s">
        <v>1532</v>
      </c>
      <c r="D203" t="str">
        <f t="shared" si="18"/>
        <v>08858B</v>
      </c>
      <c r="E203" t="str">
        <f t="shared" si="19"/>
        <v>8-133-139</v>
      </c>
      <c r="F203" t="str">
        <f t="shared" si="20"/>
        <v>8133139</v>
      </c>
      <c r="G203">
        <f t="shared" si="21"/>
        <v>8</v>
      </c>
      <c r="H203">
        <f t="shared" si="22"/>
        <v>133</v>
      </c>
      <c r="I203">
        <f t="shared" si="23"/>
        <v>139</v>
      </c>
      <c r="J203" s="119" t="str" cm="1">
        <f t="array" ref="J203">myRGB(G203,H203,I203)</f>
        <v/>
      </c>
    </row>
    <row r="204" spans="1:10" ht="17" x14ac:dyDescent="0.25">
      <c r="A204" s="1" t="s">
        <v>206</v>
      </c>
      <c r="B204" s="1" t="s">
        <v>2858</v>
      </c>
      <c r="C204" s="1" t="s">
        <v>1533</v>
      </c>
      <c r="D204" t="str">
        <f t="shared" si="18"/>
        <v>09828B</v>
      </c>
      <c r="E204" t="str">
        <f t="shared" si="19"/>
        <v>9-130-139</v>
      </c>
      <c r="F204" t="str">
        <f t="shared" si="20"/>
        <v>9130139</v>
      </c>
      <c r="G204">
        <f t="shared" si="21"/>
        <v>9</v>
      </c>
      <c r="H204">
        <f t="shared" si="22"/>
        <v>130</v>
      </c>
      <c r="I204">
        <f t="shared" si="23"/>
        <v>139</v>
      </c>
      <c r="J204" s="315" t="str" cm="1">
        <f t="array" ref="J204">myRGB(G204,H204,I204)</f>
        <v/>
      </c>
    </row>
    <row r="205" spans="1:10" ht="17" x14ac:dyDescent="0.25">
      <c r="A205" s="1" t="s">
        <v>207</v>
      </c>
      <c r="B205" s="1" t="s">
        <v>2859</v>
      </c>
      <c r="C205" s="1" t="s">
        <v>1534</v>
      </c>
      <c r="D205" t="str">
        <f t="shared" si="18"/>
        <v>088489</v>
      </c>
      <c r="E205" t="str">
        <f t="shared" si="19"/>
        <v>8-132-137</v>
      </c>
      <c r="F205" t="str">
        <f t="shared" si="20"/>
        <v>8132137</v>
      </c>
      <c r="G205">
        <f t="shared" si="21"/>
        <v>8</v>
      </c>
      <c r="H205">
        <f t="shared" si="22"/>
        <v>132</v>
      </c>
      <c r="I205">
        <f t="shared" si="23"/>
        <v>137</v>
      </c>
      <c r="J205" s="37" t="str" cm="1">
        <f t="array" ref="J205">myRGB(G205,H205,I205)</f>
        <v/>
      </c>
    </row>
    <row r="206" spans="1:10" ht="17" x14ac:dyDescent="0.25">
      <c r="A206" s="1" t="s">
        <v>208</v>
      </c>
      <c r="B206" s="1" t="s">
        <v>2860</v>
      </c>
      <c r="C206" s="1" t="s">
        <v>1535</v>
      </c>
      <c r="D206" t="str">
        <f t="shared" si="18"/>
        <v>09858B</v>
      </c>
      <c r="E206" t="str">
        <f t="shared" si="19"/>
        <v>9-133-139</v>
      </c>
      <c r="F206" t="str">
        <f t="shared" si="20"/>
        <v>9133139</v>
      </c>
      <c r="G206">
        <f t="shared" si="21"/>
        <v>9</v>
      </c>
      <c r="H206">
        <f t="shared" si="22"/>
        <v>133</v>
      </c>
      <c r="I206">
        <f t="shared" si="23"/>
        <v>139</v>
      </c>
      <c r="J206" s="38" t="str" cm="1">
        <f t="array" ref="J206">myRGB(G206,H206,I206)</f>
        <v/>
      </c>
    </row>
    <row r="207" spans="1:10" ht="17" x14ac:dyDescent="0.25">
      <c r="A207" s="1" t="s">
        <v>209</v>
      </c>
      <c r="B207" s="1" t="s">
        <v>2861</v>
      </c>
      <c r="C207" s="1" t="s">
        <v>1536</v>
      </c>
      <c r="D207" t="str">
        <f t="shared" si="18"/>
        <v>088589</v>
      </c>
      <c r="E207" t="str">
        <f t="shared" si="19"/>
        <v>8-133-137</v>
      </c>
      <c r="F207" t="str">
        <f t="shared" si="20"/>
        <v>8133137</v>
      </c>
      <c r="G207">
        <f t="shared" si="21"/>
        <v>8</v>
      </c>
      <c r="H207">
        <f t="shared" si="22"/>
        <v>133</v>
      </c>
      <c r="I207">
        <f t="shared" si="23"/>
        <v>137</v>
      </c>
      <c r="J207" s="341" t="str" cm="1">
        <f t="array" ref="J207">myRGB(G207,H207,I207)</f>
        <v/>
      </c>
    </row>
    <row r="208" spans="1:10" ht="17" x14ac:dyDescent="0.25">
      <c r="A208" s="1" t="s">
        <v>210</v>
      </c>
      <c r="B208" s="1" t="s">
        <v>2862</v>
      </c>
      <c r="C208" s="1" t="s">
        <v>1537</v>
      </c>
      <c r="D208" t="str">
        <f t="shared" si="18"/>
        <v>0A858B</v>
      </c>
      <c r="E208" t="str">
        <f t="shared" si="19"/>
        <v>10-133-139</v>
      </c>
      <c r="F208" t="str">
        <f t="shared" si="20"/>
        <v>10133139</v>
      </c>
      <c r="G208">
        <f t="shared" si="21"/>
        <v>10</v>
      </c>
      <c r="H208">
        <f t="shared" si="22"/>
        <v>133</v>
      </c>
      <c r="I208">
        <f t="shared" si="23"/>
        <v>139</v>
      </c>
      <c r="J208" s="210" t="str" cm="1">
        <f t="array" ref="J208">myRGB(G208,H208,I208)</f>
        <v/>
      </c>
    </row>
    <row r="209" spans="1:10" ht="17" x14ac:dyDescent="0.25">
      <c r="A209" s="1" t="s">
        <v>211</v>
      </c>
      <c r="B209" s="1" t="s">
        <v>2863</v>
      </c>
      <c r="C209" s="1" t="s">
        <v>1538</v>
      </c>
      <c r="D209" t="str">
        <f t="shared" si="18"/>
        <v>0C858C</v>
      </c>
      <c r="E209" t="str">
        <f t="shared" si="19"/>
        <v>12-133-140</v>
      </c>
      <c r="F209" t="str">
        <f t="shared" si="20"/>
        <v>12133140</v>
      </c>
      <c r="G209">
        <f t="shared" si="21"/>
        <v>12</v>
      </c>
      <c r="H209">
        <f t="shared" si="22"/>
        <v>133</v>
      </c>
      <c r="I209">
        <f t="shared" si="23"/>
        <v>140</v>
      </c>
      <c r="J209" s="184" t="str" cm="1">
        <f t="array" ref="J209">myRGB(G209,H209,I209)</f>
        <v/>
      </c>
    </row>
    <row r="210" spans="1:10" ht="17" x14ac:dyDescent="0.25">
      <c r="A210" s="1" t="s">
        <v>212</v>
      </c>
      <c r="B210" s="1" t="s">
        <v>2864</v>
      </c>
      <c r="C210" s="1" t="s">
        <v>1539</v>
      </c>
      <c r="D210" t="str">
        <f t="shared" si="18"/>
        <v>0A858A</v>
      </c>
      <c r="E210" t="str">
        <f t="shared" si="19"/>
        <v>10-133-138</v>
      </c>
      <c r="F210" t="str">
        <f t="shared" si="20"/>
        <v>10133138</v>
      </c>
      <c r="G210">
        <f t="shared" si="21"/>
        <v>10</v>
      </c>
      <c r="H210">
        <f t="shared" si="22"/>
        <v>133</v>
      </c>
      <c r="I210">
        <f t="shared" si="23"/>
        <v>138</v>
      </c>
      <c r="J210" s="50" t="str" cm="1">
        <f t="array" ref="J210">myRGB(G210,H210,I210)</f>
        <v/>
      </c>
    </row>
    <row r="211" spans="1:10" ht="17" x14ac:dyDescent="0.25">
      <c r="A211" s="1" t="s">
        <v>213</v>
      </c>
      <c r="B211" s="1" t="s">
        <v>2865</v>
      </c>
      <c r="C211" s="1" t="s">
        <v>1540</v>
      </c>
      <c r="D211" t="str">
        <f t="shared" si="18"/>
        <v>08828C</v>
      </c>
      <c r="E211" t="str">
        <f t="shared" si="19"/>
        <v>8-130-140</v>
      </c>
      <c r="F211" t="str">
        <f t="shared" si="20"/>
        <v>8130140</v>
      </c>
      <c r="G211">
        <f t="shared" si="21"/>
        <v>8</v>
      </c>
      <c r="H211">
        <f t="shared" si="22"/>
        <v>130</v>
      </c>
      <c r="I211">
        <f t="shared" si="23"/>
        <v>140</v>
      </c>
      <c r="J211" s="125" t="str" cm="1">
        <f t="array" ref="J211">myRGB(G211,H211,I211)</f>
        <v/>
      </c>
    </row>
    <row r="212" spans="1:10" ht="17" x14ac:dyDescent="0.25">
      <c r="A212" s="1" t="s">
        <v>214</v>
      </c>
      <c r="B212" s="1" t="s">
        <v>2866</v>
      </c>
      <c r="C212" s="1" t="s">
        <v>1541</v>
      </c>
      <c r="D212" t="str">
        <f t="shared" si="18"/>
        <v>0A848A</v>
      </c>
      <c r="E212" t="str">
        <f t="shared" si="19"/>
        <v>10-132-138</v>
      </c>
      <c r="F212" t="str">
        <f t="shared" si="20"/>
        <v>10132138</v>
      </c>
      <c r="G212">
        <f t="shared" si="21"/>
        <v>10</v>
      </c>
      <c r="H212">
        <f t="shared" si="22"/>
        <v>132</v>
      </c>
      <c r="I212">
        <f t="shared" si="23"/>
        <v>138</v>
      </c>
      <c r="J212" s="347" t="str" cm="1">
        <f t="array" ref="J212">myRGB(G212,H212,I212)</f>
        <v/>
      </c>
    </row>
    <row r="213" spans="1:10" ht="17" x14ac:dyDescent="0.25">
      <c r="A213" s="1" t="s">
        <v>215</v>
      </c>
      <c r="B213" s="1" t="s">
        <v>2867</v>
      </c>
      <c r="C213" s="1" t="s">
        <v>1542</v>
      </c>
      <c r="D213" t="str">
        <f t="shared" si="18"/>
        <v>088488</v>
      </c>
      <c r="E213" t="str">
        <f t="shared" si="19"/>
        <v>8-132-136</v>
      </c>
      <c r="F213" t="str">
        <f t="shared" si="20"/>
        <v>8132136</v>
      </c>
      <c r="G213">
        <f t="shared" si="21"/>
        <v>8</v>
      </c>
      <c r="H213">
        <f t="shared" si="22"/>
        <v>132</v>
      </c>
      <c r="I213">
        <f t="shared" si="23"/>
        <v>136</v>
      </c>
      <c r="J213" s="321" t="str" cm="1">
        <f t="array" ref="J213">myRGB(G213,H213,I213)</f>
        <v/>
      </c>
    </row>
    <row r="214" spans="1:10" ht="17" x14ac:dyDescent="0.25">
      <c r="A214" s="1" t="s">
        <v>216</v>
      </c>
      <c r="B214" s="1" t="s">
        <v>2868</v>
      </c>
      <c r="C214" s="1" t="s">
        <v>1543</v>
      </c>
      <c r="D214" t="str">
        <f t="shared" si="18"/>
        <v>08818B</v>
      </c>
      <c r="E214" t="str">
        <f t="shared" si="19"/>
        <v>8-129-139</v>
      </c>
      <c r="F214" t="str">
        <f t="shared" si="20"/>
        <v>8129139</v>
      </c>
      <c r="G214">
        <f t="shared" si="21"/>
        <v>8</v>
      </c>
      <c r="H214">
        <f t="shared" si="22"/>
        <v>129</v>
      </c>
      <c r="I214">
        <f t="shared" si="23"/>
        <v>139</v>
      </c>
      <c r="J214" s="49" t="str" cm="1">
        <f t="array" ref="J214">myRGB(G214,H214,I214)</f>
        <v/>
      </c>
    </row>
    <row r="215" spans="1:10" ht="17" x14ac:dyDescent="0.25">
      <c r="A215" s="1" t="s">
        <v>217</v>
      </c>
      <c r="B215" s="1" t="s">
        <v>2869</v>
      </c>
      <c r="C215" s="1" t="s">
        <v>1544</v>
      </c>
      <c r="D215" t="str">
        <f t="shared" si="18"/>
        <v>098588</v>
      </c>
      <c r="E215" t="str">
        <f t="shared" si="19"/>
        <v>9-133-136</v>
      </c>
      <c r="F215" t="str">
        <f t="shared" si="20"/>
        <v>9133136</v>
      </c>
      <c r="G215">
        <f t="shared" si="21"/>
        <v>9</v>
      </c>
      <c r="H215">
        <f t="shared" si="22"/>
        <v>133</v>
      </c>
      <c r="I215">
        <f t="shared" si="23"/>
        <v>136</v>
      </c>
      <c r="J215" s="249" t="str" cm="1">
        <f t="array" ref="J215">myRGB(G215,H215,I215)</f>
        <v/>
      </c>
    </row>
    <row r="216" spans="1:10" ht="17" x14ac:dyDescent="0.25">
      <c r="A216" s="1" t="s">
        <v>218</v>
      </c>
      <c r="B216" s="1" t="s">
        <v>2870</v>
      </c>
      <c r="C216" s="1" t="s">
        <v>1545</v>
      </c>
      <c r="D216" t="str">
        <f t="shared" si="18"/>
        <v>09818C</v>
      </c>
      <c r="E216" t="str">
        <f t="shared" si="19"/>
        <v>9-129-140</v>
      </c>
      <c r="F216" t="str">
        <f t="shared" si="20"/>
        <v>9129140</v>
      </c>
      <c r="G216">
        <f t="shared" si="21"/>
        <v>9</v>
      </c>
      <c r="H216">
        <f t="shared" si="22"/>
        <v>129</v>
      </c>
      <c r="I216">
        <f t="shared" si="23"/>
        <v>140</v>
      </c>
      <c r="J216" s="209" t="str" cm="1">
        <f t="array" ref="J216">myRGB(G216,H216,I216)</f>
        <v/>
      </c>
    </row>
    <row r="217" spans="1:10" ht="17" x14ac:dyDescent="0.25">
      <c r="A217" s="1" t="s">
        <v>219</v>
      </c>
      <c r="B217" s="1" t="s">
        <v>2871</v>
      </c>
      <c r="C217" s="1" t="s">
        <v>1546</v>
      </c>
      <c r="D217" t="str">
        <f t="shared" si="18"/>
        <v>0A8389</v>
      </c>
      <c r="E217" t="str">
        <f t="shared" si="19"/>
        <v>10-131-137</v>
      </c>
      <c r="F217" t="str">
        <f t="shared" si="20"/>
        <v>10131137</v>
      </c>
      <c r="G217">
        <f t="shared" si="21"/>
        <v>10</v>
      </c>
      <c r="H217">
        <f t="shared" si="22"/>
        <v>131</v>
      </c>
      <c r="I217">
        <f t="shared" si="23"/>
        <v>137</v>
      </c>
      <c r="J217" s="183" t="str" cm="1">
        <f t="array" ref="J217">myRGB(G217,H217,I217)</f>
        <v/>
      </c>
    </row>
    <row r="218" spans="1:10" ht="17" x14ac:dyDescent="0.25">
      <c r="A218" s="1" t="s">
        <v>220</v>
      </c>
      <c r="B218" s="1" t="s">
        <v>2872</v>
      </c>
      <c r="C218" s="1" t="s">
        <v>1547</v>
      </c>
      <c r="D218" t="str">
        <f t="shared" si="18"/>
        <v>0A828A</v>
      </c>
      <c r="E218" t="str">
        <f t="shared" si="19"/>
        <v>10-130-138</v>
      </c>
      <c r="F218" t="str">
        <f t="shared" si="20"/>
        <v>10130138</v>
      </c>
      <c r="G218">
        <f t="shared" si="21"/>
        <v>10</v>
      </c>
      <c r="H218">
        <f t="shared" si="22"/>
        <v>130</v>
      </c>
      <c r="I218">
        <f t="shared" si="23"/>
        <v>138</v>
      </c>
      <c r="J218" s="48" t="str" cm="1">
        <f t="array" ref="J218">myRGB(G218,H218,I218)</f>
        <v/>
      </c>
    </row>
    <row r="219" spans="1:10" ht="17" x14ac:dyDescent="0.25">
      <c r="A219" s="1" t="s">
        <v>221</v>
      </c>
      <c r="B219" s="1" t="s">
        <v>2873</v>
      </c>
      <c r="C219" s="1" t="s">
        <v>1548</v>
      </c>
      <c r="D219" t="str">
        <f t="shared" si="18"/>
        <v>0B838A</v>
      </c>
      <c r="E219" t="str">
        <f t="shared" si="19"/>
        <v>11-131-138</v>
      </c>
      <c r="F219" t="str">
        <f t="shared" si="20"/>
        <v>11131138</v>
      </c>
      <c r="G219">
        <f t="shared" si="21"/>
        <v>11</v>
      </c>
      <c r="H219">
        <f t="shared" si="22"/>
        <v>131</v>
      </c>
      <c r="I219">
        <f t="shared" si="23"/>
        <v>138</v>
      </c>
      <c r="J219" s="124" t="str" cm="1">
        <f t="array" ref="J219">myRGB(G219,H219,I219)</f>
        <v/>
      </c>
    </row>
    <row r="220" spans="1:10" ht="17" x14ac:dyDescent="0.25">
      <c r="A220" s="1" t="s">
        <v>222</v>
      </c>
      <c r="B220" s="1" t="s">
        <v>2874</v>
      </c>
      <c r="C220" s="1" t="s">
        <v>1549</v>
      </c>
      <c r="D220" t="str">
        <f t="shared" si="18"/>
        <v>0C858B</v>
      </c>
      <c r="E220" t="str">
        <f t="shared" si="19"/>
        <v>12-133-139</v>
      </c>
      <c r="F220" t="str">
        <f t="shared" si="20"/>
        <v>12133139</v>
      </c>
      <c r="G220">
        <f t="shared" si="21"/>
        <v>12</v>
      </c>
      <c r="H220">
        <f t="shared" si="22"/>
        <v>133</v>
      </c>
      <c r="I220">
        <f t="shared" si="23"/>
        <v>139</v>
      </c>
      <c r="J220" s="346" t="str" cm="1">
        <f t="array" ref="J220">myRGB(G220,H220,I220)</f>
        <v/>
      </c>
    </row>
    <row r="221" spans="1:10" ht="17" x14ac:dyDescent="0.25">
      <c r="A221" s="1" t="s">
        <v>223</v>
      </c>
      <c r="B221" s="1" t="s">
        <v>2875</v>
      </c>
      <c r="C221" s="1" t="s">
        <v>1550</v>
      </c>
      <c r="D221" t="str">
        <f t="shared" si="18"/>
        <v>0C848C</v>
      </c>
      <c r="E221" t="str">
        <f t="shared" si="19"/>
        <v>12-132-140</v>
      </c>
      <c r="F221" t="str">
        <f t="shared" si="20"/>
        <v>12132140</v>
      </c>
      <c r="G221">
        <f t="shared" si="21"/>
        <v>12</v>
      </c>
      <c r="H221">
        <f t="shared" si="22"/>
        <v>132</v>
      </c>
      <c r="I221">
        <f t="shared" si="23"/>
        <v>140</v>
      </c>
      <c r="J221" s="320" t="str" cm="1">
        <f t="array" ref="J221">myRGB(G221,H221,I221)</f>
        <v/>
      </c>
    </row>
    <row r="222" spans="1:10" ht="17" x14ac:dyDescent="0.25">
      <c r="A222" s="1" t="s">
        <v>224</v>
      </c>
      <c r="B222" s="1" t="s">
        <v>2876</v>
      </c>
      <c r="C222" s="1" t="s">
        <v>1551</v>
      </c>
      <c r="D222" t="str">
        <f t="shared" si="18"/>
        <v>40A666</v>
      </c>
      <c r="E222" t="str">
        <f t="shared" si="19"/>
        <v>64-166-102</v>
      </c>
      <c r="F222" t="str">
        <f t="shared" si="20"/>
        <v>64166102</v>
      </c>
      <c r="G222">
        <f t="shared" si="21"/>
        <v>64</v>
      </c>
      <c r="H222">
        <f t="shared" si="22"/>
        <v>166</v>
      </c>
      <c r="I222">
        <f t="shared" si="23"/>
        <v>102</v>
      </c>
      <c r="J222" s="360" t="str" cm="1">
        <f t="array" ref="J222">myRGB(G222,H222,I222)</f>
        <v/>
      </c>
    </row>
    <row r="223" spans="1:10" ht="17" x14ac:dyDescent="0.25">
      <c r="A223" s="1" t="s">
        <v>225</v>
      </c>
      <c r="B223" s="1" t="s">
        <v>2877</v>
      </c>
      <c r="C223" s="1" t="s">
        <v>1552</v>
      </c>
      <c r="D223" t="str">
        <f t="shared" si="18"/>
        <v>3FA565</v>
      </c>
      <c r="E223" t="str">
        <f t="shared" si="19"/>
        <v>63-165-101</v>
      </c>
      <c r="F223" t="str">
        <f t="shared" si="20"/>
        <v>63165101</v>
      </c>
      <c r="G223">
        <f t="shared" si="21"/>
        <v>63</v>
      </c>
      <c r="H223">
        <f t="shared" si="22"/>
        <v>165</v>
      </c>
      <c r="I223">
        <f t="shared" si="23"/>
        <v>101</v>
      </c>
      <c r="J223" s="891" t="str" cm="1">
        <f t="array" ref="J223">myRGB(G223,H223,I223)</f>
        <v/>
      </c>
    </row>
    <row r="224" spans="1:10" ht="17" x14ac:dyDescent="0.25">
      <c r="A224" s="1" t="s">
        <v>226</v>
      </c>
      <c r="B224" s="1" t="s">
        <v>2878</v>
      </c>
      <c r="C224" s="1" t="s">
        <v>1553</v>
      </c>
      <c r="D224" t="str">
        <f t="shared" si="18"/>
        <v>3FA564</v>
      </c>
      <c r="E224" t="str">
        <f t="shared" si="19"/>
        <v>63-165-100</v>
      </c>
      <c r="F224" t="str">
        <f t="shared" si="20"/>
        <v>63165100</v>
      </c>
      <c r="G224">
        <f t="shared" si="21"/>
        <v>63</v>
      </c>
      <c r="H224">
        <f t="shared" si="22"/>
        <v>165</v>
      </c>
      <c r="I224">
        <f t="shared" si="23"/>
        <v>100</v>
      </c>
      <c r="J224" s="865" t="str" cm="1">
        <f t="array" ref="J224">myRGB(G224,H224,I224)</f>
        <v/>
      </c>
    </row>
    <row r="225" spans="1:10" ht="17" x14ac:dyDescent="0.25">
      <c r="A225" s="1" t="s">
        <v>227</v>
      </c>
      <c r="B225" s="1" t="s">
        <v>2879</v>
      </c>
      <c r="C225" s="1" t="s">
        <v>1554</v>
      </c>
      <c r="D225" t="str">
        <f t="shared" si="18"/>
        <v>40A466</v>
      </c>
      <c r="E225" t="str">
        <f t="shared" si="19"/>
        <v>64-164-102</v>
      </c>
      <c r="F225" t="str">
        <f t="shared" si="20"/>
        <v>64164102</v>
      </c>
      <c r="G225">
        <f t="shared" si="21"/>
        <v>64</v>
      </c>
      <c r="H225">
        <f t="shared" si="22"/>
        <v>164</v>
      </c>
      <c r="I225">
        <f t="shared" si="23"/>
        <v>102</v>
      </c>
      <c r="J225" s="899" t="str" cm="1">
        <f t="array" ref="J225">myRGB(G225,H225,I225)</f>
        <v/>
      </c>
    </row>
    <row r="226" spans="1:10" ht="17" x14ac:dyDescent="0.25">
      <c r="A226" s="1" t="s">
        <v>228</v>
      </c>
      <c r="B226" s="1" t="s">
        <v>2880</v>
      </c>
      <c r="C226" s="1" t="s">
        <v>1555</v>
      </c>
      <c r="D226" t="str">
        <f t="shared" si="18"/>
        <v>3FA666</v>
      </c>
      <c r="E226" t="str">
        <f t="shared" si="19"/>
        <v>63-166-102</v>
      </c>
      <c r="F226" t="str">
        <f t="shared" si="20"/>
        <v>63166102</v>
      </c>
      <c r="G226">
        <f t="shared" si="21"/>
        <v>63</v>
      </c>
      <c r="H226">
        <f t="shared" si="22"/>
        <v>166</v>
      </c>
      <c r="I226">
        <f t="shared" si="23"/>
        <v>102</v>
      </c>
      <c r="J226" s="947" t="str" cm="1">
        <f t="array" ref="J226">myRGB(G226,H226,I226)</f>
        <v/>
      </c>
    </row>
    <row r="227" spans="1:10" ht="17" x14ac:dyDescent="0.25">
      <c r="A227" s="1" t="s">
        <v>229</v>
      </c>
      <c r="B227" s="1" t="s">
        <v>2881</v>
      </c>
      <c r="C227" s="1" t="s">
        <v>1556</v>
      </c>
      <c r="D227" t="str">
        <f t="shared" si="18"/>
        <v>3FA665</v>
      </c>
      <c r="E227" t="str">
        <f t="shared" si="19"/>
        <v>63-166-101</v>
      </c>
      <c r="F227" t="str">
        <f t="shared" si="20"/>
        <v>63166101</v>
      </c>
      <c r="G227">
        <f t="shared" si="21"/>
        <v>63</v>
      </c>
      <c r="H227">
        <f t="shared" si="22"/>
        <v>166</v>
      </c>
      <c r="I227">
        <f t="shared" si="23"/>
        <v>101</v>
      </c>
      <c r="J227" s="971" t="str" cm="1">
        <f t="array" ref="J227">myRGB(G227,H227,I227)</f>
        <v/>
      </c>
    </row>
    <row r="228" spans="1:10" ht="17" x14ac:dyDescent="0.25">
      <c r="A228" s="1" t="s">
        <v>230</v>
      </c>
      <c r="B228" s="1" t="s">
        <v>2882</v>
      </c>
      <c r="C228" s="1" t="s">
        <v>1557</v>
      </c>
      <c r="D228" t="str">
        <f t="shared" si="18"/>
        <v>40A665</v>
      </c>
      <c r="E228" t="str">
        <f t="shared" si="19"/>
        <v>64-166-101</v>
      </c>
      <c r="F228" t="str">
        <f t="shared" si="20"/>
        <v>64166101</v>
      </c>
      <c r="G228">
        <f t="shared" si="21"/>
        <v>64</v>
      </c>
      <c r="H228">
        <f t="shared" si="22"/>
        <v>166</v>
      </c>
      <c r="I228">
        <f t="shared" si="23"/>
        <v>101</v>
      </c>
      <c r="J228" s="273" t="str" cm="1">
        <f t="array" ref="J228">myRGB(G228,H228,I228)</f>
        <v/>
      </c>
    </row>
    <row r="229" spans="1:10" ht="17" x14ac:dyDescent="0.25">
      <c r="A229" s="1" t="s">
        <v>231</v>
      </c>
      <c r="B229" s="1" t="s">
        <v>2883</v>
      </c>
      <c r="C229" s="1" t="s">
        <v>1558</v>
      </c>
      <c r="D229" t="str">
        <f t="shared" si="18"/>
        <v>3EA665</v>
      </c>
      <c r="E229" t="str">
        <f t="shared" si="19"/>
        <v>62-166-101</v>
      </c>
      <c r="F229" t="str">
        <f t="shared" si="20"/>
        <v>62166101</v>
      </c>
      <c r="G229">
        <f t="shared" si="21"/>
        <v>62</v>
      </c>
      <c r="H229">
        <f t="shared" si="22"/>
        <v>166</v>
      </c>
      <c r="I229">
        <f t="shared" si="23"/>
        <v>101</v>
      </c>
      <c r="J229" s="359" t="str" cm="1">
        <f t="array" ref="J229">myRGB(G229,H229,I229)</f>
        <v/>
      </c>
    </row>
    <row r="230" spans="1:10" ht="17" x14ac:dyDescent="0.25">
      <c r="A230" s="1" t="s">
        <v>232</v>
      </c>
      <c r="B230" s="1" t="s">
        <v>2884</v>
      </c>
      <c r="C230" s="1" t="s">
        <v>1559</v>
      </c>
      <c r="D230" t="str">
        <f t="shared" si="18"/>
        <v>40A565</v>
      </c>
      <c r="E230" t="str">
        <f t="shared" si="19"/>
        <v>64-165-101</v>
      </c>
      <c r="F230" t="str">
        <f t="shared" si="20"/>
        <v>64165101</v>
      </c>
      <c r="G230">
        <f t="shared" si="21"/>
        <v>64</v>
      </c>
      <c r="H230">
        <f t="shared" si="22"/>
        <v>165</v>
      </c>
      <c r="I230">
        <f t="shared" si="23"/>
        <v>101</v>
      </c>
      <c r="J230" s="222" t="str" cm="1">
        <f t="array" ref="J230">myRGB(G230,H230,I230)</f>
        <v/>
      </c>
    </row>
    <row r="231" spans="1:10" ht="17" x14ac:dyDescent="0.25">
      <c r="A231" s="1" t="s">
        <v>233</v>
      </c>
      <c r="B231" s="1" t="s">
        <v>2885</v>
      </c>
      <c r="C231" s="1" t="s">
        <v>1560</v>
      </c>
      <c r="D231" t="str">
        <f t="shared" si="18"/>
        <v>3EA566</v>
      </c>
      <c r="E231" t="str">
        <f t="shared" si="19"/>
        <v>62-165-102</v>
      </c>
      <c r="F231" t="str">
        <f t="shared" si="20"/>
        <v>62165102</v>
      </c>
      <c r="G231">
        <f t="shared" si="21"/>
        <v>62</v>
      </c>
      <c r="H231">
        <f t="shared" si="22"/>
        <v>165</v>
      </c>
      <c r="I231">
        <f t="shared" si="23"/>
        <v>102</v>
      </c>
      <c r="J231" s="262" t="str" cm="1">
        <f t="array" ref="J231">myRGB(G231,H231,I231)</f>
        <v/>
      </c>
    </row>
    <row r="232" spans="1:10" ht="17" x14ac:dyDescent="0.25">
      <c r="A232" s="1" t="s">
        <v>234</v>
      </c>
      <c r="B232" s="1" t="s">
        <v>2886</v>
      </c>
      <c r="C232" s="1" t="s">
        <v>1561</v>
      </c>
      <c r="D232" t="str">
        <f t="shared" si="18"/>
        <v>3FA664</v>
      </c>
      <c r="E232" t="str">
        <f t="shared" si="19"/>
        <v>63-166-100</v>
      </c>
      <c r="F232" t="str">
        <f t="shared" si="20"/>
        <v>63166100</v>
      </c>
      <c r="G232">
        <f t="shared" si="21"/>
        <v>63</v>
      </c>
      <c r="H232">
        <f t="shared" si="22"/>
        <v>166</v>
      </c>
      <c r="I232">
        <f t="shared" si="23"/>
        <v>100</v>
      </c>
      <c r="J232" s="196" t="str" cm="1">
        <f t="array" ref="J232">myRGB(G232,H232,I232)</f>
        <v/>
      </c>
    </row>
    <row r="233" spans="1:10" ht="17" x14ac:dyDescent="0.25">
      <c r="A233" s="1" t="s">
        <v>235</v>
      </c>
      <c r="B233" s="1" t="s">
        <v>2887</v>
      </c>
      <c r="C233" s="1" t="s">
        <v>1562</v>
      </c>
      <c r="D233" t="str">
        <f t="shared" si="18"/>
        <v>3FA466</v>
      </c>
      <c r="E233" t="str">
        <f t="shared" si="19"/>
        <v>63-164-102</v>
      </c>
      <c r="F233" t="str">
        <f t="shared" si="20"/>
        <v>63164102</v>
      </c>
      <c r="G233">
        <f t="shared" si="21"/>
        <v>63</v>
      </c>
      <c r="H233">
        <f t="shared" si="22"/>
        <v>164</v>
      </c>
      <c r="I233">
        <f t="shared" si="23"/>
        <v>102</v>
      </c>
      <c r="J233" s="137" t="str" cm="1">
        <f t="array" ref="J233">myRGB(G233,H233,I233)</f>
        <v/>
      </c>
    </row>
    <row r="234" spans="1:10" ht="17" x14ac:dyDescent="0.25">
      <c r="A234" s="1" t="s">
        <v>236</v>
      </c>
      <c r="B234" s="1" t="s">
        <v>2888</v>
      </c>
      <c r="C234" s="1" t="s">
        <v>1563</v>
      </c>
      <c r="D234" t="str">
        <f t="shared" si="18"/>
        <v>40A566</v>
      </c>
      <c r="E234" t="str">
        <f t="shared" si="19"/>
        <v>64-165-102</v>
      </c>
      <c r="F234" t="str">
        <f t="shared" si="20"/>
        <v>64165102</v>
      </c>
      <c r="G234">
        <f t="shared" si="21"/>
        <v>64</v>
      </c>
      <c r="H234">
        <f t="shared" si="22"/>
        <v>165</v>
      </c>
      <c r="I234">
        <f t="shared" si="23"/>
        <v>102</v>
      </c>
      <c r="J234" s="333" t="str" cm="1">
        <f t="array" ref="J234">myRGB(G234,H234,I234)</f>
        <v/>
      </c>
    </row>
    <row r="235" spans="1:10" ht="17" x14ac:dyDescent="0.25">
      <c r="A235" s="1" t="s">
        <v>237</v>
      </c>
      <c r="B235" s="1" t="s">
        <v>2889</v>
      </c>
      <c r="C235" s="1" t="s">
        <v>1564</v>
      </c>
      <c r="D235" t="str">
        <f t="shared" si="18"/>
        <v>40A664</v>
      </c>
      <c r="E235" t="str">
        <f t="shared" si="19"/>
        <v>64-166-100</v>
      </c>
      <c r="F235" t="str">
        <f t="shared" si="20"/>
        <v>64166100</v>
      </c>
      <c r="G235">
        <f t="shared" si="21"/>
        <v>64</v>
      </c>
      <c r="H235">
        <f t="shared" si="22"/>
        <v>166</v>
      </c>
      <c r="I235">
        <f t="shared" si="23"/>
        <v>100</v>
      </c>
      <c r="J235" s="221" t="str" cm="1">
        <f t="array" ref="J235">myRGB(G235,H235,I235)</f>
        <v/>
      </c>
    </row>
    <row r="236" spans="1:10" ht="17" x14ac:dyDescent="0.25">
      <c r="A236" s="1" t="s">
        <v>238</v>
      </c>
      <c r="B236" s="1" t="s">
        <v>2890</v>
      </c>
      <c r="C236" s="1" t="s">
        <v>1565</v>
      </c>
      <c r="D236" t="str">
        <f t="shared" si="18"/>
        <v>3FA566</v>
      </c>
      <c r="E236" t="str">
        <f t="shared" si="19"/>
        <v>63-165-102</v>
      </c>
      <c r="F236" t="str">
        <f t="shared" si="20"/>
        <v>63165102</v>
      </c>
      <c r="G236">
        <f t="shared" si="21"/>
        <v>63</v>
      </c>
      <c r="H236">
        <f t="shared" si="22"/>
        <v>165</v>
      </c>
      <c r="I236">
        <f t="shared" si="23"/>
        <v>102</v>
      </c>
      <c r="J236" s="272" t="str" cm="1">
        <f t="array" ref="J236">myRGB(G236,H236,I236)</f>
        <v/>
      </c>
    </row>
    <row r="237" spans="1:10" ht="17" x14ac:dyDescent="0.25">
      <c r="A237" s="1" t="s">
        <v>239</v>
      </c>
      <c r="B237" s="1" t="s">
        <v>2891</v>
      </c>
      <c r="C237" s="1" t="s">
        <v>1566</v>
      </c>
      <c r="D237" t="str">
        <f t="shared" si="18"/>
        <v>3EA666</v>
      </c>
      <c r="E237" t="str">
        <f t="shared" si="19"/>
        <v>62-166-102</v>
      </c>
      <c r="F237" t="str">
        <f t="shared" si="20"/>
        <v>62166102</v>
      </c>
      <c r="G237">
        <f t="shared" si="21"/>
        <v>62</v>
      </c>
      <c r="H237">
        <f t="shared" si="22"/>
        <v>166</v>
      </c>
      <c r="I237">
        <f t="shared" si="23"/>
        <v>102</v>
      </c>
      <c r="J237" s="195" t="str" cm="1">
        <f t="array" ref="J237">myRGB(G237,H237,I237)</f>
        <v/>
      </c>
    </row>
    <row r="238" spans="1:10" ht="17" x14ac:dyDescent="0.25">
      <c r="A238" s="1" t="s">
        <v>240</v>
      </c>
      <c r="B238" s="1" t="s">
        <v>2892</v>
      </c>
      <c r="C238" s="1" t="s">
        <v>1567</v>
      </c>
      <c r="D238" t="str">
        <f t="shared" si="18"/>
        <v>40A564</v>
      </c>
      <c r="E238" t="str">
        <f t="shared" si="19"/>
        <v>64-165-100</v>
      </c>
      <c r="F238" t="str">
        <f t="shared" si="20"/>
        <v>64165100</v>
      </c>
      <c r="G238">
        <f t="shared" si="21"/>
        <v>64</v>
      </c>
      <c r="H238">
        <f t="shared" si="22"/>
        <v>165</v>
      </c>
      <c r="I238">
        <f t="shared" si="23"/>
        <v>100</v>
      </c>
      <c r="J238" s="147" t="str" cm="1">
        <f t="array" ref="J238">myRGB(G238,H238,I238)</f>
        <v/>
      </c>
    </row>
    <row r="239" spans="1:10" ht="17" x14ac:dyDescent="0.25">
      <c r="A239" s="1" t="s">
        <v>241</v>
      </c>
      <c r="B239" s="1" t="s">
        <v>2893</v>
      </c>
      <c r="C239" s="1" t="s">
        <v>1568</v>
      </c>
      <c r="D239" t="str">
        <f t="shared" si="18"/>
        <v>40A465</v>
      </c>
      <c r="E239" t="str">
        <f t="shared" si="19"/>
        <v>64-164-101</v>
      </c>
      <c r="F239" t="str">
        <f t="shared" si="20"/>
        <v>64164101</v>
      </c>
      <c r="G239">
        <f t="shared" si="21"/>
        <v>64</v>
      </c>
      <c r="H239">
        <f t="shared" si="22"/>
        <v>164</v>
      </c>
      <c r="I239">
        <f t="shared" si="23"/>
        <v>101</v>
      </c>
      <c r="J239" s="136" t="str" cm="1">
        <f t="array" ref="J239">myRGB(G239,H239,I239)</f>
        <v/>
      </c>
    </row>
    <row r="240" spans="1:10" ht="17" x14ac:dyDescent="0.25">
      <c r="A240" s="1" t="s">
        <v>242</v>
      </c>
      <c r="B240" s="1" t="s">
        <v>2894</v>
      </c>
      <c r="C240" s="1" t="s">
        <v>1569</v>
      </c>
      <c r="D240" t="str">
        <f t="shared" si="18"/>
        <v>2EA750</v>
      </c>
      <c r="E240" t="str">
        <f t="shared" si="19"/>
        <v>46-167-80</v>
      </c>
      <c r="F240" t="str">
        <f t="shared" si="20"/>
        <v>4616780</v>
      </c>
      <c r="G240">
        <f t="shared" si="21"/>
        <v>46</v>
      </c>
      <c r="H240">
        <f t="shared" si="22"/>
        <v>167</v>
      </c>
      <c r="I240">
        <f t="shared" si="23"/>
        <v>80</v>
      </c>
      <c r="J240" s="76" t="str" cm="1">
        <f t="array" ref="J240">myRGB(G240,H240,I240)</f>
        <v/>
      </c>
    </row>
    <row r="241" spans="1:10" ht="17" x14ac:dyDescent="0.25">
      <c r="A241" s="1" t="s">
        <v>243</v>
      </c>
      <c r="B241" s="1" t="s">
        <v>2895</v>
      </c>
      <c r="C241" s="1" t="s">
        <v>1570</v>
      </c>
      <c r="D241" t="str">
        <f t="shared" si="18"/>
        <v>2FA750</v>
      </c>
      <c r="E241" t="str">
        <f t="shared" si="19"/>
        <v>47-167-80</v>
      </c>
      <c r="F241" t="str">
        <f t="shared" si="20"/>
        <v>4716780</v>
      </c>
      <c r="G241">
        <f t="shared" si="21"/>
        <v>47</v>
      </c>
      <c r="H241">
        <f t="shared" si="22"/>
        <v>167</v>
      </c>
      <c r="I241">
        <f t="shared" si="23"/>
        <v>80</v>
      </c>
      <c r="J241" s="173" t="str" cm="1">
        <f t="array" ref="J241">myRGB(G241,H241,I241)</f>
        <v/>
      </c>
    </row>
    <row r="242" spans="1:10" ht="17" x14ac:dyDescent="0.25">
      <c r="A242" s="1" t="s">
        <v>244</v>
      </c>
      <c r="B242" s="1" t="s">
        <v>2896</v>
      </c>
      <c r="C242" s="1" t="s">
        <v>1571</v>
      </c>
      <c r="D242" t="str">
        <f t="shared" si="18"/>
        <v>2EA850</v>
      </c>
      <c r="E242" t="str">
        <f t="shared" si="19"/>
        <v>46-168-80</v>
      </c>
      <c r="F242" t="str">
        <f t="shared" si="20"/>
        <v>4616880</v>
      </c>
      <c r="G242">
        <f t="shared" si="21"/>
        <v>46</v>
      </c>
      <c r="H242">
        <f t="shared" si="22"/>
        <v>168</v>
      </c>
      <c r="I242">
        <f t="shared" si="23"/>
        <v>80</v>
      </c>
      <c r="J242" s="948" t="str" cm="1">
        <f t="array" ref="J242">myRGB(G242,H242,I242)</f>
        <v/>
      </c>
    </row>
    <row r="243" spans="1:10" ht="17" x14ac:dyDescent="0.25">
      <c r="A243" s="1" t="s">
        <v>245</v>
      </c>
      <c r="B243" s="1" t="s">
        <v>2897</v>
      </c>
      <c r="C243" s="1" t="s">
        <v>1572</v>
      </c>
      <c r="D243" t="str">
        <f t="shared" si="18"/>
        <v>2FA74F</v>
      </c>
      <c r="E243" t="str">
        <f t="shared" si="19"/>
        <v>47-167-79</v>
      </c>
      <c r="F243" t="str">
        <f t="shared" si="20"/>
        <v>4716779</v>
      </c>
      <c r="G243">
        <f t="shared" si="21"/>
        <v>47</v>
      </c>
      <c r="H243">
        <f t="shared" si="22"/>
        <v>167</v>
      </c>
      <c r="I243">
        <f t="shared" si="23"/>
        <v>79</v>
      </c>
      <c r="J243" s="98" t="str" cm="1">
        <f t="array" ref="J243">myRGB(G243,H243,I243)</f>
        <v/>
      </c>
    </row>
    <row r="244" spans="1:10" ht="17" x14ac:dyDescent="0.25">
      <c r="A244" s="1" t="s">
        <v>246</v>
      </c>
      <c r="B244" s="1" t="s">
        <v>2898</v>
      </c>
      <c r="C244" s="1" t="s">
        <v>1573</v>
      </c>
      <c r="D244" t="str">
        <f t="shared" si="18"/>
        <v>2EA84F</v>
      </c>
      <c r="E244" t="str">
        <f t="shared" si="19"/>
        <v>46-168-79</v>
      </c>
      <c r="F244" t="str">
        <f t="shared" si="20"/>
        <v>4616879</v>
      </c>
      <c r="G244">
        <f t="shared" si="21"/>
        <v>46</v>
      </c>
      <c r="H244">
        <f t="shared" si="22"/>
        <v>168</v>
      </c>
      <c r="I244">
        <f t="shared" si="23"/>
        <v>79</v>
      </c>
      <c r="J244" s="75" t="str" cm="1">
        <f t="array" ref="J244">myRGB(G244,H244,I244)</f>
        <v/>
      </c>
    </row>
    <row r="245" spans="1:10" ht="17" x14ac:dyDescent="0.25">
      <c r="A245" s="1" t="s">
        <v>247</v>
      </c>
      <c r="B245" s="1" t="s">
        <v>2899</v>
      </c>
      <c r="C245" s="1" t="s">
        <v>1574</v>
      </c>
      <c r="D245" t="str">
        <f t="shared" si="18"/>
        <v>2FA850</v>
      </c>
      <c r="E245" t="str">
        <f t="shared" si="19"/>
        <v>47-168-80</v>
      </c>
      <c r="F245" t="str">
        <f t="shared" si="20"/>
        <v>4716880</v>
      </c>
      <c r="G245">
        <f t="shared" si="21"/>
        <v>47</v>
      </c>
      <c r="H245">
        <f t="shared" si="22"/>
        <v>168</v>
      </c>
      <c r="I245">
        <f t="shared" si="23"/>
        <v>80</v>
      </c>
      <c r="J245" s="21" t="str" cm="1">
        <f t="array" ref="J245">myRGB(G245,H245,I245)</f>
        <v/>
      </c>
    </row>
    <row r="246" spans="1:10" ht="17" x14ac:dyDescent="0.25">
      <c r="A246" s="1" t="s">
        <v>248</v>
      </c>
      <c r="B246" s="1" t="s">
        <v>2900</v>
      </c>
      <c r="C246" s="1" t="s">
        <v>1575</v>
      </c>
      <c r="D246" t="str">
        <f t="shared" si="18"/>
        <v>2FA84F</v>
      </c>
      <c r="E246" t="str">
        <f t="shared" si="19"/>
        <v>47-168-79</v>
      </c>
      <c r="F246" t="str">
        <f t="shared" si="20"/>
        <v>4716879</v>
      </c>
      <c r="G246">
        <f t="shared" si="21"/>
        <v>47</v>
      </c>
      <c r="H246">
        <f t="shared" si="22"/>
        <v>168</v>
      </c>
      <c r="I246">
        <f t="shared" si="23"/>
        <v>79</v>
      </c>
      <c r="J246" s="22" t="str" cm="1">
        <f t="array" ref="J246">myRGB(G246,H246,I246)</f>
        <v/>
      </c>
    </row>
    <row r="247" spans="1:10" ht="17" x14ac:dyDescent="0.25">
      <c r="A247" s="1" t="s">
        <v>249</v>
      </c>
      <c r="B247" s="1" t="s">
        <v>2901</v>
      </c>
      <c r="C247" s="1" t="s">
        <v>1576</v>
      </c>
      <c r="D247" t="str">
        <f t="shared" si="18"/>
        <v>59B363</v>
      </c>
      <c r="E247" t="str">
        <f t="shared" si="19"/>
        <v>89-179-99</v>
      </c>
      <c r="F247" t="str">
        <f t="shared" si="20"/>
        <v>8917999</v>
      </c>
      <c r="G247">
        <f t="shared" si="21"/>
        <v>89</v>
      </c>
      <c r="H247">
        <f t="shared" si="22"/>
        <v>179</v>
      </c>
      <c r="I247">
        <f t="shared" si="23"/>
        <v>99</v>
      </c>
      <c r="J247" s="332" t="str" cm="1">
        <f t="array" ref="J247">myRGB(G247,H247,I247)</f>
        <v/>
      </c>
    </row>
    <row r="248" spans="1:10" ht="17" x14ac:dyDescent="0.25">
      <c r="A248" s="1" t="s">
        <v>250</v>
      </c>
      <c r="B248" s="1" t="s">
        <v>2902</v>
      </c>
      <c r="C248" s="1" t="s">
        <v>1577</v>
      </c>
      <c r="D248" t="str">
        <f t="shared" si="18"/>
        <v>59B263</v>
      </c>
      <c r="E248" t="str">
        <f t="shared" si="19"/>
        <v>89-178-99</v>
      </c>
      <c r="F248" t="str">
        <f t="shared" si="20"/>
        <v>8917899</v>
      </c>
      <c r="G248">
        <f t="shared" si="21"/>
        <v>89</v>
      </c>
      <c r="H248">
        <f t="shared" si="22"/>
        <v>178</v>
      </c>
      <c r="I248">
        <f t="shared" si="23"/>
        <v>99</v>
      </c>
      <c r="J248" s="146" t="str" cm="1">
        <f t="array" ref="J248">myRGB(G248,H248,I248)</f>
        <v/>
      </c>
    </row>
    <row r="249" spans="1:10" ht="17" x14ac:dyDescent="0.25">
      <c r="A249" s="1" t="s">
        <v>251</v>
      </c>
      <c r="B249" s="1" t="s">
        <v>2903</v>
      </c>
      <c r="C249" s="1" t="s">
        <v>1578</v>
      </c>
      <c r="D249" t="str">
        <f t="shared" si="18"/>
        <v>58B363</v>
      </c>
      <c r="E249" t="str">
        <f t="shared" si="19"/>
        <v>88-179-99</v>
      </c>
      <c r="F249" t="str">
        <f t="shared" si="20"/>
        <v>8817999</v>
      </c>
      <c r="G249">
        <f t="shared" si="21"/>
        <v>88</v>
      </c>
      <c r="H249">
        <f t="shared" si="22"/>
        <v>179</v>
      </c>
      <c r="I249">
        <f t="shared" si="23"/>
        <v>99</v>
      </c>
      <c r="J249" s="972" t="str" cm="1">
        <f t="array" ref="J249">myRGB(G249,H249,I249)</f>
        <v/>
      </c>
    </row>
    <row r="250" spans="1:10" ht="17" x14ac:dyDescent="0.25">
      <c r="A250" s="1" t="s">
        <v>252</v>
      </c>
      <c r="B250" s="1" t="s">
        <v>2904</v>
      </c>
      <c r="C250" s="1" t="s">
        <v>1579</v>
      </c>
      <c r="D250" t="str">
        <f t="shared" si="18"/>
        <v>59B362</v>
      </c>
      <c r="E250" t="str">
        <f t="shared" si="19"/>
        <v>89-179-98</v>
      </c>
      <c r="F250" t="str">
        <f t="shared" si="20"/>
        <v>8917998</v>
      </c>
      <c r="G250">
        <f t="shared" si="21"/>
        <v>89</v>
      </c>
      <c r="H250">
        <f t="shared" si="22"/>
        <v>179</v>
      </c>
      <c r="I250">
        <f t="shared" si="23"/>
        <v>98</v>
      </c>
      <c r="J250" s="220" t="str" cm="1">
        <f t="array" ref="J250">myRGB(G250,H250,I250)</f>
        <v/>
      </c>
    </row>
    <row r="251" spans="1:10" ht="17" x14ac:dyDescent="0.25">
      <c r="A251" s="1" t="s">
        <v>253</v>
      </c>
      <c r="B251" s="1" t="s">
        <v>2905</v>
      </c>
      <c r="C251" s="1" t="s">
        <v>1580</v>
      </c>
      <c r="D251" t="str">
        <f t="shared" si="18"/>
        <v>59B262</v>
      </c>
      <c r="E251" t="str">
        <f t="shared" si="19"/>
        <v>89-178-98</v>
      </c>
      <c r="F251" t="str">
        <f t="shared" si="20"/>
        <v>8917898</v>
      </c>
      <c r="G251">
        <f t="shared" si="21"/>
        <v>89</v>
      </c>
      <c r="H251">
        <f t="shared" si="22"/>
        <v>178</v>
      </c>
      <c r="I251">
        <f t="shared" si="23"/>
        <v>98</v>
      </c>
      <c r="J251" s="135" t="str" cm="1">
        <f t="array" ref="J251">myRGB(G251,H251,I251)</f>
        <v/>
      </c>
    </row>
    <row r="252" spans="1:10" ht="17" x14ac:dyDescent="0.25">
      <c r="A252" s="1" t="s">
        <v>254</v>
      </c>
      <c r="B252" s="1" t="s">
        <v>2906</v>
      </c>
      <c r="C252" s="1" t="s">
        <v>1581</v>
      </c>
      <c r="D252" t="str">
        <f t="shared" si="18"/>
        <v>58B362</v>
      </c>
      <c r="E252" t="str">
        <f t="shared" si="19"/>
        <v>88-179-98</v>
      </c>
      <c r="F252" t="str">
        <f t="shared" si="20"/>
        <v>8817998</v>
      </c>
      <c r="G252">
        <f t="shared" si="21"/>
        <v>88</v>
      </c>
      <c r="H252">
        <f t="shared" si="22"/>
        <v>179</v>
      </c>
      <c r="I252">
        <f t="shared" si="23"/>
        <v>98</v>
      </c>
      <c r="J252" s="271" t="str" cm="1">
        <f t="array" ref="J252">myRGB(G252,H252,I252)</f>
        <v/>
      </c>
    </row>
    <row r="253" spans="1:10" ht="17" x14ac:dyDescent="0.25">
      <c r="A253" s="1" t="s">
        <v>255</v>
      </c>
      <c r="B253" s="1" t="s">
        <v>2907</v>
      </c>
      <c r="C253" s="1" t="s">
        <v>1582</v>
      </c>
      <c r="D253" t="str">
        <f t="shared" si="18"/>
        <v>58B263</v>
      </c>
      <c r="E253" t="str">
        <f t="shared" si="19"/>
        <v>88-178-99</v>
      </c>
      <c r="F253" t="str">
        <f t="shared" si="20"/>
        <v>8817899</v>
      </c>
      <c r="G253">
        <f t="shared" si="21"/>
        <v>88</v>
      </c>
      <c r="H253">
        <f t="shared" si="22"/>
        <v>178</v>
      </c>
      <c r="I253">
        <f t="shared" si="23"/>
        <v>99</v>
      </c>
      <c r="J253" s="261" t="str" cm="1">
        <f t="array" ref="J253">myRGB(G253,H253,I253)</f>
        <v/>
      </c>
    </row>
    <row r="254" spans="1:10" ht="17" x14ac:dyDescent="0.25">
      <c r="A254" s="1" t="s">
        <v>256</v>
      </c>
      <c r="B254" s="1" t="s">
        <v>2908</v>
      </c>
      <c r="C254" s="1" t="s">
        <v>1583</v>
      </c>
      <c r="D254" t="str">
        <f t="shared" si="18"/>
        <v>23895C</v>
      </c>
      <c r="E254" t="str">
        <f t="shared" si="19"/>
        <v>35-137-92</v>
      </c>
      <c r="F254" t="str">
        <f t="shared" si="20"/>
        <v>3513792</v>
      </c>
      <c r="G254">
        <f t="shared" si="21"/>
        <v>35</v>
      </c>
      <c r="H254">
        <f t="shared" si="22"/>
        <v>137</v>
      </c>
      <c r="I254">
        <f t="shared" si="23"/>
        <v>92</v>
      </c>
      <c r="J254" s="242" t="str" cm="1">
        <f t="array" ref="J254">myRGB(G254,H254,I254)</f>
        <v/>
      </c>
    </row>
    <row r="255" spans="1:10" ht="17" x14ac:dyDescent="0.25">
      <c r="A255" s="1" t="s">
        <v>257</v>
      </c>
      <c r="B255" s="1" t="s">
        <v>2909</v>
      </c>
      <c r="C255" s="1" t="s">
        <v>1584</v>
      </c>
      <c r="D255" t="str">
        <f t="shared" si="18"/>
        <v>248A5E</v>
      </c>
      <c r="E255" t="str">
        <f t="shared" si="19"/>
        <v>36-138-94</v>
      </c>
      <c r="F255" t="str">
        <f t="shared" si="20"/>
        <v>3613894</v>
      </c>
      <c r="G255">
        <f t="shared" si="21"/>
        <v>36</v>
      </c>
      <c r="H255">
        <f t="shared" si="22"/>
        <v>138</v>
      </c>
      <c r="I255">
        <f t="shared" si="23"/>
        <v>94</v>
      </c>
      <c r="J255" s="874" t="str" cm="1">
        <f t="array" ref="J255">myRGB(G255,H255,I255)</f>
        <v/>
      </c>
    </row>
    <row r="256" spans="1:10" ht="17" x14ac:dyDescent="0.25">
      <c r="A256" s="1" t="s">
        <v>258</v>
      </c>
      <c r="B256" s="1" t="s">
        <v>2910</v>
      </c>
      <c r="C256" s="1" t="s">
        <v>1585</v>
      </c>
      <c r="D256" t="str">
        <f t="shared" si="18"/>
        <v>24885E</v>
      </c>
      <c r="E256" t="str">
        <f t="shared" si="19"/>
        <v>36-136-94</v>
      </c>
      <c r="F256" t="str">
        <f t="shared" si="20"/>
        <v>3613694</v>
      </c>
      <c r="G256">
        <f t="shared" si="21"/>
        <v>36</v>
      </c>
      <c r="H256">
        <f t="shared" si="22"/>
        <v>136</v>
      </c>
      <c r="I256">
        <f t="shared" si="23"/>
        <v>94</v>
      </c>
      <c r="J256" s="900" t="str" cm="1">
        <f t="array" ref="J256">myRGB(G256,H256,I256)</f>
        <v/>
      </c>
    </row>
    <row r="257" spans="1:10" ht="17" x14ac:dyDescent="0.25">
      <c r="A257" s="1" t="s">
        <v>259</v>
      </c>
      <c r="B257" s="1" t="s">
        <v>2911</v>
      </c>
      <c r="C257" s="1" t="s">
        <v>1586</v>
      </c>
      <c r="D257" t="str">
        <f t="shared" si="18"/>
        <v>24895E</v>
      </c>
      <c r="E257" t="str">
        <f t="shared" si="19"/>
        <v>36-137-94</v>
      </c>
      <c r="F257" t="str">
        <f t="shared" si="20"/>
        <v>3613794</v>
      </c>
      <c r="G257">
        <f t="shared" si="21"/>
        <v>36</v>
      </c>
      <c r="H257">
        <f t="shared" si="22"/>
        <v>137</v>
      </c>
      <c r="I257">
        <f t="shared" si="23"/>
        <v>94</v>
      </c>
      <c r="J257" s="949" t="str" cm="1">
        <f t="array" ref="J257">myRGB(G257,H257,I257)</f>
        <v/>
      </c>
    </row>
    <row r="258" spans="1:10" ht="17" x14ac:dyDescent="0.25">
      <c r="A258" s="1" t="s">
        <v>260</v>
      </c>
      <c r="B258" s="1" t="s">
        <v>2912</v>
      </c>
      <c r="C258" s="1" t="s">
        <v>1587</v>
      </c>
      <c r="D258" t="str">
        <f t="shared" si="18"/>
        <v>23895E</v>
      </c>
      <c r="E258" t="str">
        <f t="shared" si="19"/>
        <v>35-137-94</v>
      </c>
      <c r="F258" t="str">
        <f t="shared" si="20"/>
        <v>3513794</v>
      </c>
      <c r="G258">
        <f t="shared" si="21"/>
        <v>35</v>
      </c>
      <c r="H258">
        <f t="shared" si="22"/>
        <v>137</v>
      </c>
      <c r="I258">
        <f t="shared" si="23"/>
        <v>94</v>
      </c>
      <c r="J258" s="973" t="str" cm="1">
        <f t="array" ref="J258">myRGB(G258,H258,I258)</f>
        <v/>
      </c>
    </row>
    <row r="259" spans="1:10" ht="17" x14ac:dyDescent="0.25">
      <c r="A259" s="1" t="s">
        <v>261</v>
      </c>
      <c r="B259" s="1" t="s">
        <v>2913</v>
      </c>
      <c r="C259" s="1" t="s">
        <v>1588</v>
      </c>
      <c r="D259" t="str">
        <f t="shared" si="18"/>
        <v>228A5E</v>
      </c>
      <c r="E259" t="str">
        <f t="shared" si="19"/>
        <v>34-138-94</v>
      </c>
      <c r="F259" t="str">
        <f t="shared" si="20"/>
        <v>3413894</v>
      </c>
      <c r="G259">
        <f t="shared" si="21"/>
        <v>34</v>
      </c>
      <c r="H259">
        <f t="shared" si="22"/>
        <v>138</v>
      </c>
      <c r="I259">
        <f t="shared" si="23"/>
        <v>94</v>
      </c>
      <c r="J259" s="1049" t="str" cm="1">
        <f t="array" ref="J259">myRGB(G259,H259,I259)</f>
        <v/>
      </c>
    </row>
    <row r="260" spans="1:10" ht="17" x14ac:dyDescent="0.25">
      <c r="A260" s="1" t="s">
        <v>262</v>
      </c>
      <c r="B260" s="1" t="s">
        <v>2914</v>
      </c>
      <c r="C260" s="1" t="s">
        <v>1589</v>
      </c>
      <c r="D260" t="str">
        <f t="shared" ref="D260:D323" si="24">RIGHT(LEFT(C260,9),6)</f>
        <v>23885D</v>
      </c>
      <c r="E260" t="str">
        <f t="shared" ref="E260:E323" si="25">HEX2DEC(LEFT(D260,2))&amp;"-"&amp;HEX2DEC(MID(D260,3,2))&amp;"-"&amp;HEX2DEC(RIGHT(D260,2))</f>
        <v>35-136-93</v>
      </c>
      <c r="F260" t="str">
        <f t="shared" ref="F260:F323" si="26">HEX2DEC(LEFT(D260,2))&amp;HEX2DEC(MID(D260,3,2))&amp;HEX2DEC(RIGHT(D260,2))</f>
        <v>3513693</v>
      </c>
      <c r="G260">
        <f t="shared" ref="G260:G323" si="27">HEX2DEC(LEFT(D260,2))</f>
        <v>35</v>
      </c>
      <c r="H260">
        <f t="shared" ref="H260:H323" si="28">HEX2DEC(MID(D260,3,2))</f>
        <v>136</v>
      </c>
      <c r="I260">
        <f t="shared" ref="I260:I323" si="29">HEX2DEC(RIGHT(D260,2))</f>
        <v>93</v>
      </c>
      <c r="J260" s="111" t="str" cm="1">
        <f t="array" ref="J260">myRGB(G260,H260,I260)</f>
        <v/>
      </c>
    </row>
    <row r="261" spans="1:10" ht="17" x14ac:dyDescent="0.25">
      <c r="A261" s="1" t="s">
        <v>263</v>
      </c>
      <c r="B261" s="1" t="s">
        <v>2915</v>
      </c>
      <c r="C261" s="1" t="s">
        <v>1590</v>
      </c>
      <c r="D261" t="str">
        <f t="shared" si="24"/>
        <v>238A5D</v>
      </c>
      <c r="E261" t="str">
        <f t="shared" si="25"/>
        <v>35-138-93</v>
      </c>
      <c r="F261" t="str">
        <f t="shared" si="26"/>
        <v>3513893</v>
      </c>
      <c r="G261">
        <f t="shared" si="27"/>
        <v>35</v>
      </c>
      <c r="H261">
        <f t="shared" si="28"/>
        <v>138</v>
      </c>
      <c r="I261">
        <f t="shared" si="29"/>
        <v>93</v>
      </c>
      <c r="J261" s="176" t="str" cm="1">
        <f t="array" ref="J261">myRGB(G261,H261,I261)</f>
        <v/>
      </c>
    </row>
    <row r="262" spans="1:10" ht="17" x14ac:dyDescent="0.25">
      <c r="A262" s="1" t="s">
        <v>264</v>
      </c>
      <c r="B262" s="1" t="s">
        <v>2916</v>
      </c>
      <c r="C262" s="1" t="s">
        <v>1591</v>
      </c>
      <c r="D262" t="str">
        <f t="shared" si="24"/>
        <v>238A5E</v>
      </c>
      <c r="E262" t="str">
        <f t="shared" si="25"/>
        <v>35-138-94</v>
      </c>
      <c r="F262" t="str">
        <f t="shared" si="26"/>
        <v>3513894</v>
      </c>
      <c r="G262">
        <f t="shared" si="27"/>
        <v>35</v>
      </c>
      <c r="H262">
        <f t="shared" si="28"/>
        <v>138</v>
      </c>
      <c r="I262">
        <f t="shared" si="29"/>
        <v>94</v>
      </c>
      <c r="J262" s="88" t="str" cm="1">
        <f t="array" ref="J262">myRGB(G262,H262,I262)</f>
        <v/>
      </c>
    </row>
    <row r="263" spans="1:10" ht="17" x14ac:dyDescent="0.25">
      <c r="A263" s="1" t="s">
        <v>265</v>
      </c>
      <c r="B263" s="1" t="s">
        <v>2917</v>
      </c>
      <c r="C263" s="1" t="s">
        <v>1592</v>
      </c>
      <c r="D263" t="str">
        <f t="shared" si="24"/>
        <v>228A5D</v>
      </c>
      <c r="E263" t="str">
        <f t="shared" si="25"/>
        <v>34-138-93</v>
      </c>
      <c r="F263" t="str">
        <f t="shared" si="26"/>
        <v>3413893</v>
      </c>
      <c r="G263">
        <f t="shared" si="27"/>
        <v>34</v>
      </c>
      <c r="H263">
        <f t="shared" si="28"/>
        <v>138</v>
      </c>
      <c r="I263">
        <f t="shared" si="29"/>
        <v>93</v>
      </c>
      <c r="J263" s="87" t="str" cm="1">
        <f t="array" ref="J263">myRGB(G263,H263,I263)</f>
        <v/>
      </c>
    </row>
    <row r="264" spans="1:10" ht="17" x14ac:dyDescent="0.25">
      <c r="A264" s="1" t="s">
        <v>266</v>
      </c>
      <c r="B264" s="1" t="s">
        <v>2918</v>
      </c>
      <c r="C264" s="1" t="s">
        <v>1593</v>
      </c>
      <c r="D264" t="str">
        <f t="shared" si="24"/>
        <v>24895D</v>
      </c>
      <c r="E264" t="str">
        <f t="shared" si="25"/>
        <v>36-137-93</v>
      </c>
      <c r="F264" t="str">
        <f t="shared" si="26"/>
        <v>3613793</v>
      </c>
      <c r="G264">
        <f t="shared" si="27"/>
        <v>36</v>
      </c>
      <c r="H264">
        <f t="shared" si="28"/>
        <v>137</v>
      </c>
      <c r="I264">
        <f t="shared" si="29"/>
        <v>93</v>
      </c>
      <c r="J264" s="34" t="str" cm="1">
        <f t="array" ref="J264">myRGB(G264,H264,I264)</f>
        <v/>
      </c>
    </row>
    <row r="265" spans="1:10" ht="17" x14ac:dyDescent="0.25">
      <c r="A265" s="1" t="s">
        <v>267</v>
      </c>
      <c r="B265" s="1" t="s">
        <v>2919</v>
      </c>
      <c r="C265" s="1" t="s">
        <v>1594</v>
      </c>
      <c r="D265" t="str">
        <f t="shared" si="24"/>
        <v>248A5C</v>
      </c>
      <c r="E265" t="str">
        <f t="shared" si="25"/>
        <v>36-138-92</v>
      </c>
      <c r="F265" t="str">
        <f t="shared" si="26"/>
        <v>3613892</v>
      </c>
      <c r="G265">
        <f t="shared" si="27"/>
        <v>36</v>
      </c>
      <c r="H265">
        <f t="shared" si="28"/>
        <v>138</v>
      </c>
      <c r="I265">
        <f t="shared" si="29"/>
        <v>92</v>
      </c>
      <c r="J265" s="110" t="str" cm="1">
        <f t="array" ref="J265">myRGB(G265,H265,I265)</f>
        <v/>
      </c>
    </row>
    <row r="266" spans="1:10" ht="17" x14ac:dyDescent="0.25">
      <c r="A266" s="1" t="s">
        <v>268</v>
      </c>
      <c r="B266" s="1" t="s">
        <v>2920</v>
      </c>
      <c r="C266" s="1" t="s">
        <v>1595</v>
      </c>
      <c r="D266" t="str">
        <f t="shared" si="24"/>
        <v>22895D</v>
      </c>
      <c r="E266" t="str">
        <f t="shared" si="25"/>
        <v>34-137-93</v>
      </c>
      <c r="F266" t="str">
        <f t="shared" si="26"/>
        <v>3413793</v>
      </c>
      <c r="G266">
        <f t="shared" si="27"/>
        <v>34</v>
      </c>
      <c r="H266">
        <f t="shared" si="28"/>
        <v>137</v>
      </c>
      <c r="I266">
        <f t="shared" si="29"/>
        <v>93</v>
      </c>
      <c r="J266" s="33" t="str" cm="1">
        <f t="array" ref="J266">myRGB(G266,H266,I266)</f>
        <v/>
      </c>
    </row>
    <row r="267" spans="1:10" ht="17" x14ac:dyDescent="0.25">
      <c r="A267" s="1" t="s">
        <v>269</v>
      </c>
      <c r="B267" s="1" t="s">
        <v>2921</v>
      </c>
      <c r="C267" s="1" t="s">
        <v>1596</v>
      </c>
      <c r="D267" t="str">
        <f t="shared" si="24"/>
        <v>23895D</v>
      </c>
      <c r="E267" t="str">
        <f t="shared" si="25"/>
        <v>35-137-93</v>
      </c>
      <c r="F267" t="str">
        <f t="shared" si="26"/>
        <v>3513793</v>
      </c>
      <c r="G267">
        <f t="shared" si="27"/>
        <v>35</v>
      </c>
      <c r="H267">
        <f t="shared" si="28"/>
        <v>137</v>
      </c>
      <c r="I267">
        <f t="shared" si="29"/>
        <v>93</v>
      </c>
      <c r="J267" s="117" t="str" cm="1">
        <f t="array" ref="J267">myRGB(G267,H267,I267)</f>
        <v/>
      </c>
    </row>
    <row r="268" spans="1:10" ht="17" x14ac:dyDescent="0.25">
      <c r="A268" s="1" t="s">
        <v>270</v>
      </c>
      <c r="B268" s="1" t="s">
        <v>2922</v>
      </c>
      <c r="C268" s="1" t="s">
        <v>1597</v>
      </c>
      <c r="D268" t="str">
        <f t="shared" si="24"/>
        <v>24895C</v>
      </c>
      <c r="E268" t="str">
        <f t="shared" si="25"/>
        <v>36-137-92</v>
      </c>
      <c r="F268" t="str">
        <f t="shared" si="26"/>
        <v>3613792</v>
      </c>
      <c r="G268">
        <f t="shared" si="27"/>
        <v>36</v>
      </c>
      <c r="H268">
        <f t="shared" si="28"/>
        <v>137</v>
      </c>
      <c r="I268">
        <f t="shared" si="29"/>
        <v>92</v>
      </c>
      <c r="J268" s="1003" t="str" cm="1">
        <f t="array" ref="J268">myRGB(G268,H268,I268)</f>
        <v/>
      </c>
    </row>
    <row r="269" spans="1:10" ht="17" x14ac:dyDescent="0.25">
      <c r="A269" s="1" t="s">
        <v>271</v>
      </c>
      <c r="B269" s="1" t="s">
        <v>2923</v>
      </c>
      <c r="C269" s="1" t="s">
        <v>1598</v>
      </c>
      <c r="D269" t="str">
        <f t="shared" si="24"/>
        <v>24885D</v>
      </c>
      <c r="E269" t="str">
        <f t="shared" si="25"/>
        <v>36-136-93</v>
      </c>
      <c r="F269" t="str">
        <f t="shared" si="26"/>
        <v>3613693</v>
      </c>
      <c r="G269">
        <f t="shared" si="27"/>
        <v>36</v>
      </c>
      <c r="H269">
        <f t="shared" si="28"/>
        <v>136</v>
      </c>
      <c r="I269">
        <f t="shared" si="29"/>
        <v>93</v>
      </c>
      <c r="J269" s="86" t="str" cm="1">
        <f t="array" ref="J269">myRGB(G269,H269,I269)</f>
        <v/>
      </c>
    </row>
    <row r="270" spans="1:10" ht="17" x14ac:dyDescent="0.25">
      <c r="A270" s="1" t="s">
        <v>272</v>
      </c>
      <c r="B270" s="1" t="s">
        <v>2924</v>
      </c>
      <c r="C270" s="1" t="s">
        <v>1599</v>
      </c>
      <c r="D270" t="str">
        <f t="shared" si="24"/>
        <v>23885E</v>
      </c>
      <c r="E270" t="str">
        <f t="shared" si="25"/>
        <v>35-136-94</v>
      </c>
      <c r="F270" t="str">
        <f t="shared" si="26"/>
        <v>3513694</v>
      </c>
      <c r="G270">
        <f t="shared" si="27"/>
        <v>35</v>
      </c>
      <c r="H270">
        <f t="shared" si="28"/>
        <v>136</v>
      </c>
      <c r="I270">
        <f t="shared" si="29"/>
        <v>94</v>
      </c>
      <c r="J270" s="32" t="str" cm="1">
        <f t="array" ref="J270">myRGB(G270,H270,I270)</f>
        <v/>
      </c>
    </row>
    <row r="271" spans="1:10" ht="17" x14ac:dyDescent="0.25">
      <c r="A271" s="1" t="s">
        <v>273</v>
      </c>
      <c r="B271" s="1" t="s">
        <v>2925</v>
      </c>
      <c r="C271" s="1" t="s">
        <v>1600</v>
      </c>
      <c r="D271" t="str">
        <f t="shared" si="24"/>
        <v>22885E</v>
      </c>
      <c r="E271" t="str">
        <f t="shared" si="25"/>
        <v>34-136-94</v>
      </c>
      <c r="F271" t="str">
        <f t="shared" si="26"/>
        <v>3413694</v>
      </c>
      <c r="G271">
        <f t="shared" si="27"/>
        <v>34</v>
      </c>
      <c r="H271">
        <f t="shared" si="28"/>
        <v>136</v>
      </c>
      <c r="I271">
        <f t="shared" si="29"/>
        <v>94</v>
      </c>
      <c r="J271" s="313" t="str" cm="1">
        <f t="array" ref="J271">myRGB(G271,H271,I271)</f>
        <v/>
      </c>
    </row>
    <row r="272" spans="1:10" ht="17" x14ac:dyDescent="0.25">
      <c r="A272" s="1" t="s">
        <v>274</v>
      </c>
      <c r="B272" s="1" t="s">
        <v>2926</v>
      </c>
      <c r="C272" s="1" t="s">
        <v>1601</v>
      </c>
      <c r="D272" t="str">
        <f t="shared" si="24"/>
        <v>24875E</v>
      </c>
      <c r="E272" t="str">
        <f t="shared" si="25"/>
        <v>36-135-94</v>
      </c>
      <c r="F272" t="str">
        <f t="shared" si="26"/>
        <v>3613594</v>
      </c>
      <c r="G272">
        <f t="shared" si="27"/>
        <v>36</v>
      </c>
      <c r="H272">
        <f t="shared" si="28"/>
        <v>135</v>
      </c>
      <c r="I272">
        <f t="shared" si="29"/>
        <v>94</v>
      </c>
      <c r="J272" s="109" t="str" cm="1">
        <f t="array" ref="J272">myRGB(G272,H272,I272)</f>
        <v/>
      </c>
    </row>
    <row r="273" spans="1:10" ht="17" x14ac:dyDescent="0.25">
      <c r="A273" s="1" t="s">
        <v>275</v>
      </c>
      <c r="B273" s="1" t="s">
        <v>2927</v>
      </c>
      <c r="C273" s="1" t="s">
        <v>1602</v>
      </c>
      <c r="D273" t="str">
        <f t="shared" si="24"/>
        <v>24885C</v>
      </c>
      <c r="E273" t="str">
        <f t="shared" si="25"/>
        <v>36-136-92</v>
      </c>
      <c r="F273" t="str">
        <f t="shared" si="26"/>
        <v>3613692</v>
      </c>
      <c r="G273">
        <f t="shared" si="27"/>
        <v>36</v>
      </c>
      <c r="H273">
        <f t="shared" si="28"/>
        <v>136</v>
      </c>
      <c r="I273">
        <f t="shared" si="29"/>
        <v>92</v>
      </c>
      <c r="J273" s="1036" t="str" cm="1">
        <f t="array" ref="J273">myRGB(G273,H273,I273)</f>
        <v/>
      </c>
    </row>
    <row r="274" spans="1:10" ht="17" x14ac:dyDescent="0.25">
      <c r="A274" s="1" t="s">
        <v>276</v>
      </c>
      <c r="B274" s="1" t="s">
        <v>2928</v>
      </c>
      <c r="C274" s="1" t="s">
        <v>1603</v>
      </c>
      <c r="D274" t="str">
        <f t="shared" si="24"/>
        <v>228A5C</v>
      </c>
      <c r="E274" t="str">
        <f t="shared" si="25"/>
        <v>34-138-92</v>
      </c>
      <c r="F274" t="str">
        <f t="shared" si="26"/>
        <v>3413892</v>
      </c>
      <c r="G274">
        <f t="shared" si="27"/>
        <v>34</v>
      </c>
      <c r="H274">
        <f t="shared" si="28"/>
        <v>138</v>
      </c>
      <c r="I274">
        <f t="shared" si="29"/>
        <v>92</v>
      </c>
      <c r="J274" s="108" t="str" cm="1">
        <f t="array" ref="J274">myRGB(G274,H274,I274)</f>
        <v/>
      </c>
    </row>
    <row r="275" spans="1:10" ht="17" x14ac:dyDescent="0.25">
      <c r="A275" s="1" t="s">
        <v>277</v>
      </c>
      <c r="B275" s="1" t="s">
        <v>2929</v>
      </c>
      <c r="C275" s="1" t="s">
        <v>1604</v>
      </c>
      <c r="D275" t="str">
        <f t="shared" si="24"/>
        <v>248A5B</v>
      </c>
      <c r="E275" t="str">
        <f t="shared" si="25"/>
        <v>36-138-91</v>
      </c>
      <c r="F275" t="str">
        <f t="shared" si="26"/>
        <v>3613891</v>
      </c>
      <c r="G275">
        <f t="shared" si="27"/>
        <v>36</v>
      </c>
      <c r="H275">
        <f t="shared" si="28"/>
        <v>138</v>
      </c>
      <c r="I275">
        <f t="shared" si="29"/>
        <v>91</v>
      </c>
      <c r="J275" s="84" t="str" cm="1">
        <f t="array" ref="J275">myRGB(G275,H275,I275)</f>
        <v/>
      </c>
    </row>
    <row r="276" spans="1:10" ht="17" x14ac:dyDescent="0.25">
      <c r="A276" s="1" t="s">
        <v>278</v>
      </c>
      <c r="B276" s="1" t="s">
        <v>2930</v>
      </c>
      <c r="C276" s="1" t="s">
        <v>1605</v>
      </c>
      <c r="D276" t="str">
        <f t="shared" si="24"/>
        <v>248A5D</v>
      </c>
      <c r="E276" t="str">
        <f t="shared" si="25"/>
        <v>36-138-93</v>
      </c>
      <c r="F276" t="str">
        <f t="shared" si="26"/>
        <v>3613893</v>
      </c>
      <c r="G276">
        <f t="shared" si="27"/>
        <v>36</v>
      </c>
      <c r="H276">
        <f t="shared" si="28"/>
        <v>138</v>
      </c>
      <c r="I276">
        <f t="shared" si="29"/>
        <v>93</v>
      </c>
      <c r="J276" s="31" t="str" cm="1">
        <f t="array" ref="J276">myRGB(G276,H276,I276)</f>
        <v/>
      </c>
    </row>
    <row r="277" spans="1:10" ht="17" x14ac:dyDescent="0.25">
      <c r="A277" s="1" t="s">
        <v>279</v>
      </c>
      <c r="B277" s="1" t="s">
        <v>2931</v>
      </c>
      <c r="C277" s="1" t="s">
        <v>1606</v>
      </c>
      <c r="D277" t="str">
        <f t="shared" si="24"/>
        <v>23885C</v>
      </c>
      <c r="E277" t="str">
        <f t="shared" si="25"/>
        <v>35-136-92</v>
      </c>
      <c r="F277" t="str">
        <f t="shared" si="26"/>
        <v>3513692</v>
      </c>
      <c r="G277">
        <f t="shared" si="27"/>
        <v>35</v>
      </c>
      <c r="H277">
        <f t="shared" si="28"/>
        <v>136</v>
      </c>
      <c r="I277">
        <f t="shared" si="29"/>
        <v>92</v>
      </c>
      <c r="J277" s="85" t="str" cm="1">
        <f t="array" ref="J277">myRGB(G277,H277,I277)</f>
        <v/>
      </c>
    </row>
    <row r="278" spans="1:10" ht="17" x14ac:dyDescent="0.25">
      <c r="A278" s="1" t="s">
        <v>280</v>
      </c>
      <c r="B278" s="1" t="s">
        <v>2932</v>
      </c>
      <c r="C278" s="1" t="s">
        <v>1607</v>
      </c>
      <c r="D278" t="str">
        <f t="shared" si="24"/>
        <v>238A5C</v>
      </c>
      <c r="E278" t="str">
        <f t="shared" si="25"/>
        <v>35-138-92</v>
      </c>
      <c r="F278" t="str">
        <f t="shared" si="26"/>
        <v>3513892</v>
      </c>
      <c r="G278">
        <f t="shared" si="27"/>
        <v>35</v>
      </c>
      <c r="H278">
        <f t="shared" si="28"/>
        <v>138</v>
      </c>
      <c r="I278">
        <f t="shared" si="29"/>
        <v>92</v>
      </c>
      <c r="J278" s="241" t="str" cm="1">
        <f t="array" ref="J278">myRGB(G278,H278,I278)</f>
        <v/>
      </c>
    </row>
    <row r="279" spans="1:10" ht="17" x14ac:dyDescent="0.25">
      <c r="A279" s="1" t="s">
        <v>281</v>
      </c>
      <c r="B279" s="1" t="s">
        <v>2933</v>
      </c>
      <c r="C279" s="1" t="s">
        <v>1608</v>
      </c>
      <c r="D279" t="str">
        <f t="shared" si="24"/>
        <v>22895E</v>
      </c>
      <c r="E279" t="str">
        <f t="shared" si="25"/>
        <v>34-137-94</v>
      </c>
      <c r="F279" t="str">
        <f t="shared" si="26"/>
        <v>3413794</v>
      </c>
      <c r="G279">
        <f t="shared" si="27"/>
        <v>34</v>
      </c>
      <c r="H279">
        <f t="shared" si="28"/>
        <v>137</v>
      </c>
      <c r="I279">
        <f t="shared" si="29"/>
        <v>94</v>
      </c>
      <c r="J279" s="107" t="str" cm="1">
        <f t="array" ref="J279">myRGB(G279,H279,I279)</f>
        <v/>
      </c>
    </row>
    <row r="280" spans="1:10" ht="17" x14ac:dyDescent="0.25">
      <c r="A280" s="1" t="s">
        <v>282</v>
      </c>
      <c r="B280" s="1" t="s">
        <v>2934</v>
      </c>
      <c r="C280" s="1" t="s">
        <v>1609</v>
      </c>
      <c r="D280" t="str">
        <f t="shared" si="24"/>
        <v>219866</v>
      </c>
      <c r="E280" t="str">
        <f t="shared" si="25"/>
        <v>33-152-102</v>
      </c>
      <c r="F280" t="str">
        <f t="shared" si="26"/>
        <v>33152102</v>
      </c>
      <c r="G280">
        <f t="shared" si="27"/>
        <v>33</v>
      </c>
      <c r="H280">
        <f t="shared" si="28"/>
        <v>152</v>
      </c>
      <c r="I280">
        <f t="shared" si="29"/>
        <v>102</v>
      </c>
      <c r="J280" s="27" t="str" cm="1">
        <f t="array" ref="J280">myRGB(G280,H280,I280)</f>
        <v/>
      </c>
    </row>
    <row r="281" spans="1:10" ht="17" x14ac:dyDescent="0.25">
      <c r="A281" s="1" t="s">
        <v>283</v>
      </c>
      <c r="B281" s="1" t="s">
        <v>2935</v>
      </c>
      <c r="C281" s="1" t="s">
        <v>1610</v>
      </c>
      <c r="D281" t="str">
        <f t="shared" si="24"/>
        <v>219865</v>
      </c>
      <c r="E281" t="str">
        <f t="shared" si="25"/>
        <v>33-152-101</v>
      </c>
      <c r="F281" t="str">
        <f t="shared" si="26"/>
        <v>33152101</v>
      </c>
      <c r="G281">
        <f t="shared" si="27"/>
        <v>33</v>
      </c>
      <c r="H281">
        <f t="shared" si="28"/>
        <v>152</v>
      </c>
      <c r="I281">
        <f t="shared" si="29"/>
        <v>101</v>
      </c>
      <c r="J281" s="240" t="str" cm="1">
        <f t="array" ref="J281">myRGB(G281,H281,I281)</f>
        <v/>
      </c>
    </row>
    <row r="282" spans="1:10" ht="17" x14ac:dyDescent="0.25">
      <c r="A282" s="1" t="s">
        <v>284</v>
      </c>
      <c r="B282" s="1" t="s">
        <v>2936</v>
      </c>
      <c r="C282" s="1" t="s">
        <v>1611</v>
      </c>
      <c r="D282" t="str">
        <f t="shared" si="24"/>
        <v>209764</v>
      </c>
      <c r="E282" t="str">
        <f t="shared" si="25"/>
        <v>32-151-100</v>
      </c>
      <c r="F282" t="str">
        <f t="shared" si="26"/>
        <v>32151100</v>
      </c>
      <c r="G282">
        <f t="shared" si="27"/>
        <v>32</v>
      </c>
      <c r="H282">
        <f t="shared" si="28"/>
        <v>151</v>
      </c>
      <c r="I282">
        <f t="shared" si="29"/>
        <v>100</v>
      </c>
      <c r="J282" s="102" t="str" cm="1">
        <f t="array" ref="J282">myRGB(G282,H282,I282)</f>
        <v/>
      </c>
    </row>
    <row r="283" spans="1:10" ht="17" x14ac:dyDescent="0.25">
      <c r="A283" s="1" t="s">
        <v>285</v>
      </c>
      <c r="B283" s="1" t="s">
        <v>2937</v>
      </c>
      <c r="C283" s="1" t="s">
        <v>1612</v>
      </c>
      <c r="D283" t="str">
        <f t="shared" si="24"/>
        <v>209765</v>
      </c>
      <c r="E283" t="str">
        <f t="shared" si="25"/>
        <v>32-151-101</v>
      </c>
      <c r="F283" t="str">
        <f t="shared" si="26"/>
        <v>32151101</v>
      </c>
      <c r="G283">
        <f t="shared" si="27"/>
        <v>32</v>
      </c>
      <c r="H283">
        <f t="shared" si="28"/>
        <v>151</v>
      </c>
      <c r="I283">
        <f t="shared" si="29"/>
        <v>101</v>
      </c>
      <c r="J283" s="80" t="str" cm="1">
        <f t="array" ref="J283">myRGB(G283,H283,I283)</f>
        <v/>
      </c>
    </row>
    <row r="284" spans="1:10" ht="17" x14ac:dyDescent="0.25">
      <c r="A284" s="1" t="s">
        <v>286</v>
      </c>
      <c r="B284" s="1" t="s">
        <v>2938</v>
      </c>
      <c r="C284" s="1" t="s">
        <v>1613</v>
      </c>
      <c r="D284" t="str">
        <f t="shared" si="24"/>
        <v>209665</v>
      </c>
      <c r="E284" t="str">
        <f t="shared" si="25"/>
        <v>32-150-101</v>
      </c>
      <c r="F284" t="str">
        <f t="shared" si="26"/>
        <v>32150101</v>
      </c>
      <c r="G284">
        <f t="shared" si="27"/>
        <v>32</v>
      </c>
      <c r="H284">
        <f t="shared" si="28"/>
        <v>150</v>
      </c>
      <c r="I284">
        <f t="shared" si="29"/>
        <v>101</v>
      </c>
      <c r="J284" s="103" t="str" cm="1">
        <f t="array" ref="J284">myRGB(G284,H284,I284)</f>
        <v/>
      </c>
    </row>
    <row r="285" spans="1:10" ht="17" x14ac:dyDescent="0.25">
      <c r="A285" s="1" t="s">
        <v>287</v>
      </c>
      <c r="B285" s="1" t="s">
        <v>2939</v>
      </c>
      <c r="C285" s="1" t="s">
        <v>1614</v>
      </c>
      <c r="D285" t="str">
        <f t="shared" si="24"/>
        <v>209666</v>
      </c>
      <c r="E285" t="str">
        <f t="shared" si="25"/>
        <v>32-150-102</v>
      </c>
      <c r="F285" t="str">
        <f t="shared" si="26"/>
        <v>32150102</v>
      </c>
      <c r="G285">
        <f t="shared" si="27"/>
        <v>32</v>
      </c>
      <c r="H285">
        <f t="shared" si="28"/>
        <v>150</v>
      </c>
      <c r="I285">
        <f t="shared" si="29"/>
        <v>102</v>
      </c>
      <c r="J285" s="26" t="str" cm="1">
        <f t="array" ref="J285">myRGB(G285,H285,I285)</f>
        <v/>
      </c>
    </row>
    <row r="286" spans="1:10" ht="17" x14ac:dyDescent="0.25">
      <c r="A286" s="1" t="s">
        <v>288</v>
      </c>
      <c r="B286" s="1" t="s">
        <v>2940</v>
      </c>
      <c r="C286" s="1" t="s">
        <v>1615</v>
      </c>
      <c r="D286" t="str">
        <f t="shared" si="24"/>
        <v>1F9766</v>
      </c>
      <c r="E286" t="str">
        <f t="shared" si="25"/>
        <v>31-151-102</v>
      </c>
      <c r="F286" t="str">
        <f t="shared" si="26"/>
        <v>31151102</v>
      </c>
      <c r="G286">
        <f t="shared" si="27"/>
        <v>31</v>
      </c>
      <c r="H286">
        <f t="shared" si="28"/>
        <v>151</v>
      </c>
      <c r="I286">
        <f t="shared" si="29"/>
        <v>102</v>
      </c>
      <c r="J286" s="174" t="str" cm="1">
        <f t="array" ref="J286">myRGB(G286,H286,I286)</f>
        <v/>
      </c>
    </row>
    <row r="287" spans="1:10" ht="17" x14ac:dyDescent="0.25">
      <c r="A287" s="1" t="s">
        <v>289</v>
      </c>
      <c r="B287" s="1" t="s">
        <v>2941</v>
      </c>
      <c r="C287" s="1" t="s">
        <v>1616</v>
      </c>
      <c r="D287" t="str">
        <f t="shared" si="24"/>
        <v>219766</v>
      </c>
      <c r="E287" t="str">
        <f t="shared" si="25"/>
        <v>33-151-102</v>
      </c>
      <c r="F287" t="str">
        <f t="shared" si="26"/>
        <v>33151102</v>
      </c>
      <c r="G287">
        <f t="shared" si="27"/>
        <v>33</v>
      </c>
      <c r="H287">
        <f t="shared" si="28"/>
        <v>151</v>
      </c>
      <c r="I287">
        <f t="shared" si="29"/>
        <v>102</v>
      </c>
      <c r="J287" s="79" t="str" cm="1">
        <f t="array" ref="J287">myRGB(G287,H287,I287)</f>
        <v/>
      </c>
    </row>
    <row r="288" spans="1:10" ht="17" x14ac:dyDescent="0.25">
      <c r="A288" s="1" t="s">
        <v>290</v>
      </c>
      <c r="B288" s="1" t="s">
        <v>2942</v>
      </c>
      <c r="C288" s="1" t="s">
        <v>1617</v>
      </c>
      <c r="D288" t="str">
        <f t="shared" si="24"/>
        <v>219765</v>
      </c>
      <c r="E288" t="str">
        <f t="shared" si="25"/>
        <v>33-151-101</v>
      </c>
      <c r="F288" t="str">
        <f t="shared" si="26"/>
        <v>33151101</v>
      </c>
      <c r="G288">
        <f t="shared" si="27"/>
        <v>33</v>
      </c>
      <c r="H288">
        <f t="shared" si="28"/>
        <v>151</v>
      </c>
      <c r="I288">
        <f t="shared" si="29"/>
        <v>101</v>
      </c>
      <c r="J288" s="25" t="str" cm="1">
        <f t="array" ref="J288">myRGB(G288,H288,I288)</f>
        <v/>
      </c>
    </row>
    <row r="289" spans="1:10" ht="17" x14ac:dyDescent="0.25">
      <c r="A289" s="1" t="s">
        <v>291</v>
      </c>
      <c r="B289" s="1" t="s">
        <v>2943</v>
      </c>
      <c r="C289" s="1" t="s">
        <v>1618</v>
      </c>
      <c r="D289" t="str">
        <f t="shared" si="24"/>
        <v>209865</v>
      </c>
      <c r="E289" t="str">
        <f t="shared" si="25"/>
        <v>32-152-101</v>
      </c>
      <c r="F289" t="str">
        <f t="shared" si="26"/>
        <v>32152101</v>
      </c>
      <c r="G289">
        <f t="shared" si="27"/>
        <v>32</v>
      </c>
      <c r="H289">
        <f t="shared" si="28"/>
        <v>152</v>
      </c>
      <c r="I289">
        <f t="shared" si="29"/>
        <v>101</v>
      </c>
      <c r="J289" s="115" t="str" cm="1">
        <f t="array" ref="J289">myRGB(G289,H289,I289)</f>
        <v/>
      </c>
    </row>
    <row r="290" spans="1:10" ht="17" x14ac:dyDescent="0.25">
      <c r="A290" s="1" t="s">
        <v>292</v>
      </c>
      <c r="B290" s="1" t="s">
        <v>2944</v>
      </c>
      <c r="C290" s="1" t="s">
        <v>1619</v>
      </c>
      <c r="D290" t="str">
        <f t="shared" si="24"/>
        <v>219864</v>
      </c>
      <c r="E290" t="str">
        <f t="shared" si="25"/>
        <v>33-152-100</v>
      </c>
      <c r="F290" t="str">
        <f t="shared" si="26"/>
        <v>33152100</v>
      </c>
      <c r="G290">
        <f t="shared" si="27"/>
        <v>33</v>
      </c>
      <c r="H290">
        <f t="shared" si="28"/>
        <v>152</v>
      </c>
      <c r="I290">
        <f t="shared" si="29"/>
        <v>100</v>
      </c>
      <c r="J290" s="78" t="str" cm="1">
        <f t="array" ref="J290">myRGB(G290,H290,I290)</f>
        <v/>
      </c>
    </row>
    <row r="291" spans="1:10" ht="17" x14ac:dyDescent="0.25">
      <c r="A291" s="1" t="s">
        <v>293</v>
      </c>
      <c r="B291" s="1" t="s">
        <v>2945</v>
      </c>
      <c r="C291" s="1" t="s">
        <v>1620</v>
      </c>
      <c r="D291" t="str">
        <f t="shared" si="24"/>
        <v>209766</v>
      </c>
      <c r="E291" t="str">
        <f t="shared" si="25"/>
        <v>32-151-102</v>
      </c>
      <c r="F291" t="str">
        <f t="shared" si="26"/>
        <v>32151102</v>
      </c>
      <c r="G291">
        <f t="shared" si="27"/>
        <v>32</v>
      </c>
      <c r="H291">
        <f t="shared" si="28"/>
        <v>151</v>
      </c>
      <c r="I291">
        <f t="shared" si="29"/>
        <v>102</v>
      </c>
      <c r="J291" s="101" t="str" cm="1">
        <f t="array" ref="J291">myRGB(G291,H291,I291)</f>
        <v/>
      </c>
    </row>
    <row r="292" spans="1:10" ht="17" x14ac:dyDescent="0.25">
      <c r="A292" s="1" t="s">
        <v>294</v>
      </c>
      <c r="B292" s="1" t="s">
        <v>2946</v>
      </c>
      <c r="C292" s="1" t="s">
        <v>1621</v>
      </c>
      <c r="D292" t="str">
        <f t="shared" si="24"/>
        <v>219666</v>
      </c>
      <c r="E292" t="str">
        <f t="shared" si="25"/>
        <v>33-150-102</v>
      </c>
      <c r="F292" t="str">
        <f t="shared" si="26"/>
        <v>33150102</v>
      </c>
      <c r="G292">
        <f t="shared" si="27"/>
        <v>33</v>
      </c>
      <c r="H292">
        <f t="shared" si="28"/>
        <v>150</v>
      </c>
      <c r="I292">
        <f t="shared" si="29"/>
        <v>102</v>
      </c>
      <c r="J292" s="24" t="str" cm="1">
        <f t="array" ref="J292">myRGB(G292,H292,I292)</f>
        <v/>
      </c>
    </row>
    <row r="293" spans="1:10" ht="17" x14ac:dyDescent="0.25">
      <c r="A293" s="1" t="s">
        <v>295</v>
      </c>
      <c r="B293" s="1" t="s">
        <v>2947</v>
      </c>
      <c r="C293" s="1" t="s">
        <v>1622</v>
      </c>
      <c r="D293" t="str">
        <f t="shared" si="24"/>
        <v>209866</v>
      </c>
      <c r="E293" t="str">
        <f t="shared" si="25"/>
        <v>32-152-102</v>
      </c>
      <c r="F293" t="str">
        <f t="shared" si="26"/>
        <v>32152102</v>
      </c>
      <c r="G293">
        <f t="shared" si="27"/>
        <v>32</v>
      </c>
      <c r="H293">
        <f t="shared" si="28"/>
        <v>152</v>
      </c>
      <c r="I293">
        <f t="shared" si="29"/>
        <v>102</v>
      </c>
      <c r="J293" s="311" t="str" cm="1">
        <f t="array" ref="J293">myRGB(G293,H293,I293)</f>
        <v/>
      </c>
    </row>
    <row r="294" spans="1:10" ht="17" x14ac:dyDescent="0.25">
      <c r="A294" s="1" t="s">
        <v>296</v>
      </c>
      <c r="B294" s="1" t="s">
        <v>2948</v>
      </c>
      <c r="C294" s="1" t="s">
        <v>1623</v>
      </c>
      <c r="D294" t="str">
        <f t="shared" si="24"/>
        <v>209864</v>
      </c>
      <c r="E294" t="str">
        <f t="shared" si="25"/>
        <v>32-152-100</v>
      </c>
      <c r="F294" t="str">
        <f t="shared" si="26"/>
        <v>32152100</v>
      </c>
      <c r="G294">
        <f t="shared" si="27"/>
        <v>32</v>
      </c>
      <c r="H294">
        <f t="shared" si="28"/>
        <v>152</v>
      </c>
      <c r="I294">
        <f t="shared" si="29"/>
        <v>100</v>
      </c>
      <c r="J294" s="239" t="str" cm="1">
        <f t="array" ref="J294">myRGB(G294,H294,I294)</f>
        <v/>
      </c>
    </row>
    <row r="295" spans="1:10" ht="17" x14ac:dyDescent="0.25">
      <c r="A295" s="1" t="s">
        <v>297</v>
      </c>
      <c r="B295" s="1" t="s">
        <v>2949</v>
      </c>
      <c r="C295" s="1" t="s">
        <v>1624</v>
      </c>
      <c r="D295" t="str">
        <f t="shared" si="24"/>
        <v>219764</v>
      </c>
      <c r="E295" t="str">
        <f t="shared" si="25"/>
        <v>33-151-100</v>
      </c>
      <c r="F295" t="str">
        <f t="shared" si="26"/>
        <v>33151100</v>
      </c>
      <c r="G295">
        <f t="shared" si="27"/>
        <v>33</v>
      </c>
      <c r="H295">
        <f t="shared" si="28"/>
        <v>151</v>
      </c>
      <c r="I295">
        <f t="shared" si="29"/>
        <v>100</v>
      </c>
      <c r="J295" s="77" t="str" cm="1">
        <f t="array" ref="J295">myRGB(G295,H295,I295)</f>
        <v/>
      </c>
    </row>
    <row r="296" spans="1:10" ht="17" x14ac:dyDescent="0.25">
      <c r="A296" s="1" t="s">
        <v>298</v>
      </c>
      <c r="B296" s="1" t="s">
        <v>2950</v>
      </c>
      <c r="C296" s="1" t="s">
        <v>1625</v>
      </c>
      <c r="D296" t="str">
        <f t="shared" si="24"/>
        <v>1F9865</v>
      </c>
      <c r="E296" t="str">
        <f t="shared" si="25"/>
        <v>31-152-101</v>
      </c>
      <c r="F296" t="str">
        <f t="shared" si="26"/>
        <v>31152101</v>
      </c>
      <c r="G296">
        <f t="shared" si="27"/>
        <v>31</v>
      </c>
      <c r="H296">
        <f t="shared" si="28"/>
        <v>152</v>
      </c>
      <c r="I296">
        <f t="shared" si="29"/>
        <v>101</v>
      </c>
      <c r="J296" s="99" t="str" cm="1">
        <f t="array" ref="J296">myRGB(G296,H296,I296)</f>
        <v/>
      </c>
    </row>
    <row r="297" spans="1:10" ht="17" x14ac:dyDescent="0.25">
      <c r="A297" s="1" t="s">
        <v>299</v>
      </c>
      <c r="B297" s="1" t="s">
        <v>2951</v>
      </c>
      <c r="C297" s="1" t="s">
        <v>1626</v>
      </c>
      <c r="D297" t="str">
        <f t="shared" si="24"/>
        <v>1F9866</v>
      </c>
      <c r="E297" t="str">
        <f t="shared" si="25"/>
        <v>31-152-102</v>
      </c>
      <c r="F297" t="str">
        <f t="shared" si="26"/>
        <v>31152102</v>
      </c>
      <c r="G297">
        <f t="shared" si="27"/>
        <v>31</v>
      </c>
      <c r="H297">
        <f t="shared" si="28"/>
        <v>152</v>
      </c>
      <c r="I297">
        <f t="shared" si="29"/>
        <v>102</v>
      </c>
      <c r="J297" s="100" t="str" cm="1">
        <f t="array" ref="J297">myRGB(G297,H297,I297)</f>
        <v/>
      </c>
    </row>
    <row r="298" spans="1:10" ht="17" x14ac:dyDescent="0.25">
      <c r="A298" s="1" t="s">
        <v>300</v>
      </c>
      <c r="B298" s="1" t="s">
        <v>2952</v>
      </c>
      <c r="C298" s="1" t="s">
        <v>1627</v>
      </c>
      <c r="D298" t="str">
        <f t="shared" si="24"/>
        <v>219665</v>
      </c>
      <c r="E298" t="str">
        <f t="shared" si="25"/>
        <v>33-150-101</v>
      </c>
      <c r="F298" t="str">
        <f t="shared" si="26"/>
        <v>33150101</v>
      </c>
      <c r="G298">
        <f t="shared" si="27"/>
        <v>33</v>
      </c>
      <c r="H298">
        <f t="shared" si="28"/>
        <v>150</v>
      </c>
      <c r="I298">
        <f t="shared" si="29"/>
        <v>101</v>
      </c>
      <c r="J298" s="23" t="str" cm="1">
        <f t="array" ref="J298">myRGB(G298,H298,I298)</f>
        <v/>
      </c>
    </row>
    <row r="299" spans="1:10" ht="17" x14ac:dyDescent="0.25">
      <c r="A299" s="1" t="s">
        <v>301</v>
      </c>
      <c r="B299" s="1" t="s">
        <v>2953</v>
      </c>
      <c r="C299" s="1" t="s">
        <v>1628</v>
      </c>
      <c r="D299" t="str">
        <f t="shared" si="24"/>
        <v>1AA698</v>
      </c>
      <c r="E299" t="str">
        <f t="shared" si="25"/>
        <v>26-166-152</v>
      </c>
      <c r="F299" t="str">
        <f t="shared" si="26"/>
        <v>26166152</v>
      </c>
      <c r="G299">
        <f t="shared" si="27"/>
        <v>26</v>
      </c>
      <c r="H299">
        <f t="shared" si="28"/>
        <v>166</v>
      </c>
      <c r="I299">
        <f t="shared" si="29"/>
        <v>152</v>
      </c>
      <c r="J299" s="151" t="str" cm="1">
        <f t="array" ref="J299">myRGB(G299,H299,I299)</f>
        <v/>
      </c>
    </row>
    <row r="300" spans="1:10" ht="17" x14ac:dyDescent="0.25">
      <c r="A300" s="1" t="s">
        <v>302</v>
      </c>
      <c r="B300" s="1" t="s">
        <v>2954</v>
      </c>
      <c r="C300" s="1" t="s">
        <v>1629</v>
      </c>
      <c r="D300" t="str">
        <f t="shared" si="24"/>
        <v>1BA497</v>
      </c>
      <c r="E300" t="str">
        <f t="shared" si="25"/>
        <v>27-164-151</v>
      </c>
      <c r="F300" t="str">
        <f t="shared" si="26"/>
        <v>27164151</v>
      </c>
      <c r="G300">
        <f t="shared" si="27"/>
        <v>27</v>
      </c>
      <c r="H300">
        <f t="shared" si="28"/>
        <v>164</v>
      </c>
      <c r="I300">
        <f t="shared" si="29"/>
        <v>151</v>
      </c>
      <c r="J300" s="334" t="str" cm="1">
        <f t="array" ref="J300">myRGB(G300,H300,I300)</f>
        <v/>
      </c>
    </row>
    <row r="301" spans="1:10" ht="17" x14ac:dyDescent="0.25">
      <c r="A301" s="1" t="s">
        <v>303</v>
      </c>
      <c r="B301" s="1" t="s">
        <v>2955</v>
      </c>
      <c r="C301" s="1" t="s">
        <v>1630</v>
      </c>
      <c r="D301" t="str">
        <f t="shared" si="24"/>
        <v>1BA696</v>
      </c>
      <c r="E301" t="str">
        <f t="shared" si="25"/>
        <v>27-166-150</v>
      </c>
      <c r="F301" t="str">
        <f t="shared" si="26"/>
        <v>27166150</v>
      </c>
      <c r="G301">
        <f t="shared" si="27"/>
        <v>27</v>
      </c>
      <c r="H301">
        <f t="shared" si="28"/>
        <v>166</v>
      </c>
      <c r="I301">
        <f t="shared" si="29"/>
        <v>150</v>
      </c>
      <c r="J301" s="263" t="str" cm="1">
        <f t="array" ref="J301">myRGB(G301,H301,I301)</f>
        <v/>
      </c>
    </row>
    <row r="302" spans="1:10" ht="17" x14ac:dyDescent="0.25">
      <c r="A302" s="1" t="s">
        <v>304</v>
      </c>
      <c r="B302" s="1" t="s">
        <v>2956</v>
      </c>
      <c r="C302" s="1" t="s">
        <v>1631</v>
      </c>
      <c r="D302" t="str">
        <f t="shared" si="24"/>
        <v>1AA496</v>
      </c>
      <c r="E302" t="str">
        <f t="shared" si="25"/>
        <v>26-164-150</v>
      </c>
      <c r="F302" t="str">
        <f t="shared" si="26"/>
        <v>26164150</v>
      </c>
      <c r="G302">
        <f t="shared" si="27"/>
        <v>26</v>
      </c>
      <c r="H302">
        <f t="shared" si="28"/>
        <v>164</v>
      </c>
      <c r="I302">
        <f t="shared" si="29"/>
        <v>150</v>
      </c>
      <c r="J302" s="138" t="str" cm="1">
        <f t="array" ref="J302">myRGB(G302,H302,I302)</f>
        <v/>
      </c>
    </row>
    <row r="303" spans="1:10" ht="17" x14ac:dyDescent="0.25">
      <c r="A303" s="1" t="s">
        <v>305</v>
      </c>
      <c r="B303" s="1" t="s">
        <v>2957</v>
      </c>
      <c r="C303" s="1" t="s">
        <v>1632</v>
      </c>
      <c r="D303" t="str">
        <f t="shared" si="24"/>
        <v>1CA697</v>
      </c>
      <c r="E303" t="str">
        <f t="shared" si="25"/>
        <v>28-166-151</v>
      </c>
      <c r="F303" t="str">
        <f t="shared" si="26"/>
        <v>28166151</v>
      </c>
      <c r="G303">
        <f t="shared" si="27"/>
        <v>28</v>
      </c>
      <c r="H303">
        <f t="shared" si="28"/>
        <v>166</v>
      </c>
      <c r="I303">
        <f t="shared" si="29"/>
        <v>151</v>
      </c>
      <c r="J303" s="197" t="str" cm="1">
        <f t="array" ref="J303">myRGB(G303,H303,I303)</f>
        <v/>
      </c>
    </row>
    <row r="304" spans="1:10" ht="17" x14ac:dyDescent="0.25">
      <c r="A304" s="1" t="s">
        <v>306</v>
      </c>
      <c r="B304" s="1" t="s">
        <v>2958</v>
      </c>
      <c r="C304" s="1" t="s">
        <v>1633</v>
      </c>
      <c r="D304" t="str">
        <f t="shared" si="24"/>
        <v>1CA597</v>
      </c>
      <c r="E304" t="str">
        <f t="shared" si="25"/>
        <v>28-165-151</v>
      </c>
      <c r="F304" t="str">
        <f t="shared" si="26"/>
        <v>28165151</v>
      </c>
      <c r="G304">
        <f t="shared" si="27"/>
        <v>28</v>
      </c>
      <c r="H304">
        <f t="shared" si="28"/>
        <v>165</v>
      </c>
      <c r="I304">
        <f t="shared" si="29"/>
        <v>151</v>
      </c>
      <c r="J304" s="148" t="str" cm="1">
        <f t="array" ref="J304">myRGB(G304,H304,I304)</f>
        <v/>
      </c>
    </row>
    <row r="305" spans="1:10" ht="17" x14ac:dyDescent="0.25">
      <c r="A305" s="1" t="s">
        <v>307</v>
      </c>
      <c r="B305" s="1" t="s">
        <v>2959</v>
      </c>
      <c r="C305" s="1" t="s">
        <v>1634</v>
      </c>
      <c r="D305" t="str">
        <f t="shared" si="24"/>
        <v>1AA598</v>
      </c>
      <c r="E305" t="str">
        <f t="shared" si="25"/>
        <v>26-165-152</v>
      </c>
      <c r="F305" t="str">
        <f t="shared" si="26"/>
        <v>26165152</v>
      </c>
      <c r="G305">
        <f t="shared" si="27"/>
        <v>26</v>
      </c>
      <c r="H305">
        <f t="shared" si="28"/>
        <v>165</v>
      </c>
      <c r="I305">
        <f t="shared" si="29"/>
        <v>152</v>
      </c>
      <c r="J305" s="274" t="str" cm="1">
        <f t="array" ref="J305">myRGB(G305,H305,I305)</f>
        <v/>
      </c>
    </row>
    <row r="306" spans="1:10" ht="17" x14ac:dyDescent="0.25">
      <c r="A306" s="1" t="s">
        <v>308</v>
      </c>
      <c r="B306" s="1" t="s">
        <v>2960</v>
      </c>
      <c r="C306" s="1" t="s">
        <v>1635</v>
      </c>
      <c r="D306" t="str">
        <f t="shared" si="24"/>
        <v>1CA696</v>
      </c>
      <c r="E306" t="str">
        <f t="shared" si="25"/>
        <v>28-166-150</v>
      </c>
      <c r="F306" t="str">
        <f t="shared" si="26"/>
        <v>28166150</v>
      </c>
      <c r="G306">
        <f t="shared" si="27"/>
        <v>28</v>
      </c>
      <c r="H306">
        <f t="shared" si="28"/>
        <v>166</v>
      </c>
      <c r="I306">
        <f t="shared" si="29"/>
        <v>150</v>
      </c>
      <c r="J306" s="892" t="str" cm="1">
        <f t="array" ref="J306">myRGB(G306,H306,I306)</f>
        <v/>
      </c>
    </row>
    <row r="307" spans="1:10" ht="17" x14ac:dyDescent="0.25">
      <c r="A307" s="1" t="s">
        <v>309</v>
      </c>
      <c r="B307" s="1" t="s">
        <v>2961</v>
      </c>
      <c r="C307" s="1" t="s">
        <v>1636</v>
      </c>
      <c r="D307" t="str">
        <f t="shared" si="24"/>
        <v>1CA498</v>
      </c>
      <c r="E307" t="str">
        <f t="shared" si="25"/>
        <v>28-164-152</v>
      </c>
      <c r="F307" t="str">
        <f t="shared" si="26"/>
        <v>28164152</v>
      </c>
      <c r="G307">
        <f t="shared" si="27"/>
        <v>28</v>
      </c>
      <c r="H307">
        <f t="shared" si="28"/>
        <v>164</v>
      </c>
      <c r="I307">
        <f t="shared" si="29"/>
        <v>152</v>
      </c>
      <c r="J307" s="950" t="str" cm="1">
        <f t="array" ref="J307">myRGB(G307,H307,I307)</f>
        <v/>
      </c>
    </row>
    <row r="308" spans="1:10" ht="17" x14ac:dyDescent="0.25">
      <c r="A308" s="1" t="s">
        <v>310</v>
      </c>
      <c r="B308" s="1" t="s">
        <v>2962</v>
      </c>
      <c r="C308" s="1" t="s">
        <v>1637</v>
      </c>
      <c r="D308" t="str">
        <f t="shared" si="24"/>
        <v>1AA695</v>
      </c>
      <c r="E308" t="str">
        <f t="shared" si="25"/>
        <v>26-166-149</v>
      </c>
      <c r="F308" t="str">
        <f t="shared" si="26"/>
        <v>26166149</v>
      </c>
      <c r="G308">
        <f t="shared" si="27"/>
        <v>26</v>
      </c>
      <c r="H308">
        <f t="shared" si="28"/>
        <v>166</v>
      </c>
      <c r="I308">
        <f t="shared" si="29"/>
        <v>149</v>
      </c>
      <c r="J308" s="974" t="str" cm="1">
        <f t="array" ref="J308">myRGB(G308,H308,I308)</f>
        <v/>
      </c>
    </row>
    <row r="309" spans="1:10" ht="17" x14ac:dyDescent="0.25">
      <c r="A309" s="1" t="s">
        <v>311</v>
      </c>
      <c r="B309" s="1" t="s">
        <v>2963</v>
      </c>
      <c r="C309" s="1" t="s">
        <v>1638</v>
      </c>
      <c r="D309" t="str">
        <f t="shared" si="24"/>
        <v>1AA398</v>
      </c>
      <c r="E309" t="str">
        <f t="shared" si="25"/>
        <v>26-163-152</v>
      </c>
      <c r="F309" t="str">
        <f t="shared" si="26"/>
        <v>26163152</v>
      </c>
      <c r="G309">
        <f t="shared" si="27"/>
        <v>26</v>
      </c>
      <c r="H309">
        <f t="shared" si="28"/>
        <v>163</v>
      </c>
      <c r="I309">
        <f t="shared" si="29"/>
        <v>152</v>
      </c>
      <c r="J309" s="1008" t="str" cm="1">
        <f t="array" ref="J309">myRGB(G309,H309,I309)</f>
        <v/>
      </c>
    </row>
    <row r="310" spans="1:10" ht="17" x14ac:dyDescent="0.25">
      <c r="A310" s="1" t="s">
        <v>312</v>
      </c>
      <c r="B310" s="1" t="s">
        <v>2964</v>
      </c>
      <c r="C310" s="1" t="s">
        <v>1639</v>
      </c>
      <c r="D310" t="str">
        <f t="shared" si="24"/>
        <v>1BA496</v>
      </c>
      <c r="E310" t="str">
        <f t="shared" si="25"/>
        <v>27-164-150</v>
      </c>
      <c r="F310" t="str">
        <f t="shared" si="26"/>
        <v>27164150</v>
      </c>
      <c r="G310">
        <f t="shared" si="27"/>
        <v>27</v>
      </c>
      <c r="H310">
        <f t="shared" si="28"/>
        <v>164</v>
      </c>
      <c r="I310">
        <f t="shared" si="29"/>
        <v>150</v>
      </c>
      <c r="J310" s="875" t="str" cm="1">
        <f t="array" ref="J310">myRGB(G310,H310,I310)</f>
        <v/>
      </c>
    </row>
    <row r="311" spans="1:10" ht="17" x14ac:dyDescent="0.25">
      <c r="A311" s="1" t="s">
        <v>313</v>
      </c>
      <c r="B311" s="1" t="s">
        <v>2965</v>
      </c>
      <c r="C311" s="1" t="s">
        <v>1640</v>
      </c>
      <c r="D311" t="str">
        <f t="shared" si="24"/>
        <v>1CA596</v>
      </c>
      <c r="E311" t="str">
        <f t="shared" si="25"/>
        <v>28-165-150</v>
      </c>
      <c r="F311" t="str">
        <f t="shared" si="26"/>
        <v>28165150</v>
      </c>
      <c r="G311">
        <f t="shared" si="27"/>
        <v>28</v>
      </c>
      <c r="H311">
        <f t="shared" si="28"/>
        <v>165</v>
      </c>
      <c r="I311">
        <f t="shared" si="29"/>
        <v>150</v>
      </c>
      <c r="J311" s="901" t="str" cm="1">
        <f t="array" ref="J311">myRGB(G311,H311,I311)</f>
        <v/>
      </c>
    </row>
    <row r="312" spans="1:10" ht="17" x14ac:dyDescent="0.25">
      <c r="A312" s="1" t="s">
        <v>314</v>
      </c>
      <c r="B312" s="1" t="s">
        <v>2966</v>
      </c>
      <c r="C312" s="1" t="s">
        <v>1641</v>
      </c>
      <c r="D312" t="str">
        <f t="shared" si="24"/>
        <v>1CA497</v>
      </c>
      <c r="E312" t="str">
        <f t="shared" si="25"/>
        <v>28-164-151</v>
      </c>
      <c r="F312" t="str">
        <f t="shared" si="26"/>
        <v>28164151</v>
      </c>
      <c r="G312">
        <f t="shared" si="27"/>
        <v>28</v>
      </c>
      <c r="H312">
        <f t="shared" si="28"/>
        <v>164</v>
      </c>
      <c r="I312">
        <f t="shared" si="29"/>
        <v>151</v>
      </c>
      <c r="J312" s="955" t="str" cm="1">
        <f t="array" ref="J312">myRGB(G312,H312,I312)</f>
        <v/>
      </c>
    </row>
    <row r="313" spans="1:10" ht="17" x14ac:dyDescent="0.25">
      <c r="A313" s="1" t="s">
        <v>315</v>
      </c>
      <c r="B313" s="1" t="s">
        <v>2967</v>
      </c>
      <c r="C313" s="1" t="s">
        <v>1642</v>
      </c>
      <c r="D313" t="str">
        <f t="shared" si="24"/>
        <v>1DA698</v>
      </c>
      <c r="E313" t="str">
        <f t="shared" si="25"/>
        <v>29-166-152</v>
      </c>
      <c r="F313" t="str">
        <f t="shared" si="26"/>
        <v>29166152</v>
      </c>
      <c r="G313">
        <f t="shared" si="27"/>
        <v>29</v>
      </c>
      <c r="H313">
        <f t="shared" si="28"/>
        <v>166</v>
      </c>
      <c r="I313">
        <f t="shared" si="29"/>
        <v>152</v>
      </c>
      <c r="J313" s="975" t="str" cm="1">
        <f t="array" ref="J313">myRGB(G313,H313,I313)</f>
        <v/>
      </c>
    </row>
    <row r="314" spans="1:10" ht="17" x14ac:dyDescent="0.25">
      <c r="A314" s="1" t="s">
        <v>316</v>
      </c>
      <c r="B314" s="1" t="s">
        <v>2968</v>
      </c>
      <c r="C314" s="1" t="s">
        <v>1643</v>
      </c>
      <c r="D314" t="str">
        <f t="shared" si="24"/>
        <v>1AA595</v>
      </c>
      <c r="E314" t="str">
        <f t="shared" si="25"/>
        <v>26-165-149</v>
      </c>
      <c r="F314" t="str">
        <f t="shared" si="26"/>
        <v>26165149</v>
      </c>
      <c r="G314">
        <f t="shared" si="27"/>
        <v>26</v>
      </c>
      <c r="H314">
        <f t="shared" si="28"/>
        <v>165</v>
      </c>
      <c r="I314">
        <f t="shared" si="29"/>
        <v>149</v>
      </c>
      <c r="J314" s="1050" t="str" cm="1">
        <f t="array" ref="J314">myRGB(G314,H314,I314)</f>
        <v/>
      </c>
    </row>
    <row r="315" spans="1:10" ht="17" x14ac:dyDescent="0.25">
      <c r="A315" s="1" t="s">
        <v>317</v>
      </c>
      <c r="B315" s="1" t="s">
        <v>2969</v>
      </c>
      <c r="C315" s="1" t="s">
        <v>1644</v>
      </c>
      <c r="D315" t="str">
        <f t="shared" si="24"/>
        <v>1AA397</v>
      </c>
      <c r="E315" t="str">
        <f t="shared" si="25"/>
        <v>26-163-151</v>
      </c>
      <c r="F315" t="str">
        <f t="shared" si="26"/>
        <v>26163151</v>
      </c>
      <c r="G315">
        <f t="shared" si="27"/>
        <v>26</v>
      </c>
      <c r="H315">
        <f t="shared" si="28"/>
        <v>163</v>
      </c>
      <c r="I315">
        <f t="shared" si="29"/>
        <v>151</v>
      </c>
      <c r="J315" s="893" t="str" cm="1">
        <f t="array" ref="J315">myRGB(G315,H315,I315)</f>
        <v/>
      </c>
    </row>
    <row r="316" spans="1:10" ht="17" x14ac:dyDescent="0.25">
      <c r="A316" s="1" t="s">
        <v>318</v>
      </c>
      <c r="B316" s="1" t="s">
        <v>2970</v>
      </c>
      <c r="C316" s="1" t="s">
        <v>1645</v>
      </c>
      <c r="D316" t="str">
        <f t="shared" si="24"/>
        <v>1BA695</v>
      </c>
      <c r="E316" t="str">
        <f t="shared" si="25"/>
        <v>27-166-149</v>
      </c>
      <c r="F316" t="str">
        <f t="shared" si="26"/>
        <v>27166149</v>
      </c>
      <c r="G316">
        <f t="shared" si="27"/>
        <v>27</v>
      </c>
      <c r="H316">
        <f t="shared" si="28"/>
        <v>166</v>
      </c>
      <c r="I316">
        <f t="shared" si="29"/>
        <v>149</v>
      </c>
      <c r="J316" s="951" t="str" cm="1">
        <f t="array" ref="J316">myRGB(G316,H316,I316)</f>
        <v/>
      </c>
    </row>
    <row r="317" spans="1:10" ht="17" x14ac:dyDescent="0.25">
      <c r="A317" s="1" t="s">
        <v>319</v>
      </c>
      <c r="B317" s="1" t="s">
        <v>2971</v>
      </c>
      <c r="C317" s="1" t="s">
        <v>1646</v>
      </c>
      <c r="D317" t="str">
        <f t="shared" si="24"/>
        <v>1BA398</v>
      </c>
      <c r="E317" t="str">
        <f t="shared" si="25"/>
        <v>27-163-152</v>
      </c>
      <c r="F317" t="str">
        <f t="shared" si="26"/>
        <v>27163152</v>
      </c>
      <c r="G317">
        <f t="shared" si="27"/>
        <v>27</v>
      </c>
      <c r="H317">
        <f t="shared" si="28"/>
        <v>163</v>
      </c>
      <c r="I317">
        <f t="shared" si="29"/>
        <v>152</v>
      </c>
      <c r="J317" s="956" t="str" cm="1">
        <f t="array" ref="J317">myRGB(G317,H317,I317)</f>
        <v/>
      </c>
    </row>
    <row r="318" spans="1:10" ht="17" x14ac:dyDescent="0.25">
      <c r="A318" s="1" t="s">
        <v>320</v>
      </c>
      <c r="B318" s="1" t="s">
        <v>2972</v>
      </c>
      <c r="C318" s="1" t="s">
        <v>1647</v>
      </c>
      <c r="D318" t="str">
        <f t="shared" si="24"/>
        <v>1DA697</v>
      </c>
      <c r="E318" t="str">
        <f t="shared" si="25"/>
        <v>29-166-151</v>
      </c>
      <c r="F318" t="str">
        <f t="shared" si="26"/>
        <v>29166151</v>
      </c>
      <c r="G318">
        <f t="shared" si="27"/>
        <v>29</v>
      </c>
      <c r="H318">
        <f t="shared" si="28"/>
        <v>166</v>
      </c>
      <c r="I318">
        <f t="shared" si="29"/>
        <v>151</v>
      </c>
      <c r="J318" s="1058" t="str" cm="1">
        <f t="array" ref="J318">myRGB(G318,H318,I318)</f>
        <v/>
      </c>
    </row>
    <row r="319" spans="1:10" ht="17" x14ac:dyDescent="0.25">
      <c r="A319" s="1" t="s">
        <v>321</v>
      </c>
      <c r="B319" s="1" t="s">
        <v>2973</v>
      </c>
      <c r="C319" s="1" t="s">
        <v>1648</v>
      </c>
      <c r="D319" t="str">
        <f t="shared" si="24"/>
        <v>1DA598</v>
      </c>
      <c r="E319" t="str">
        <f t="shared" si="25"/>
        <v>29-165-152</v>
      </c>
      <c r="F319" t="str">
        <f t="shared" si="26"/>
        <v>29165152</v>
      </c>
      <c r="G319">
        <f t="shared" si="27"/>
        <v>29</v>
      </c>
      <c r="H319">
        <f t="shared" si="28"/>
        <v>165</v>
      </c>
      <c r="I319">
        <f t="shared" si="29"/>
        <v>152</v>
      </c>
      <c r="J319" s="876" t="str" cm="1">
        <f t="array" ref="J319">myRGB(G319,H319,I319)</f>
        <v/>
      </c>
    </row>
    <row r="320" spans="1:10" ht="17" x14ac:dyDescent="0.25">
      <c r="A320" s="1" t="s">
        <v>322</v>
      </c>
      <c r="B320" s="1" t="s">
        <v>2974</v>
      </c>
      <c r="C320" s="1" t="s">
        <v>1649</v>
      </c>
      <c r="D320" t="str">
        <f t="shared" si="24"/>
        <v>1BA595</v>
      </c>
      <c r="E320" t="str">
        <f t="shared" si="25"/>
        <v>27-165-149</v>
      </c>
      <c r="F320" t="str">
        <f t="shared" si="26"/>
        <v>27165149</v>
      </c>
      <c r="G320">
        <f t="shared" si="27"/>
        <v>27</v>
      </c>
      <c r="H320">
        <f t="shared" si="28"/>
        <v>165</v>
      </c>
      <c r="I320">
        <f t="shared" si="29"/>
        <v>149</v>
      </c>
      <c r="J320" s="902" t="str" cm="1">
        <f t="array" ref="J320">myRGB(G320,H320,I320)</f>
        <v/>
      </c>
    </row>
    <row r="321" spans="1:10" ht="17" x14ac:dyDescent="0.25">
      <c r="A321" s="1" t="s">
        <v>323</v>
      </c>
      <c r="B321" s="1" t="s">
        <v>2975</v>
      </c>
      <c r="C321" s="1" t="s">
        <v>1650</v>
      </c>
      <c r="D321" t="str">
        <f t="shared" si="24"/>
        <v>1BA397</v>
      </c>
      <c r="E321" t="str">
        <f t="shared" si="25"/>
        <v>27-163-151</v>
      </c>
      <c r="F321" t="str">
        <f t="shared" si="26"/>
        <v>27163151</v>
      </c>
      <c r="G321">
        <f t="shared" si="27"/>
        <v>27</v>
      </c>
      <c r="H321">
        <f t="shared" si="28"/>
        <v>163</v>
      </c>
      <c r="I321">
        <f t="shared" si="29"/>
        <v>151</v>
      </c>
      <c r="J321" s="952" t="str" cm="1">
        <f t="array" ref="J321">myRGB(G321,H321,I321)</f>
        <v/>
      </c>
    </row>
    <row r="322" spans="1:10" ht="17" x14ac:dyDescent="0.25">
      <c r="A322" s="1" t="s">
        <v>324</v>
      </c>
      <c r="B322" s="1" t="s">
        <v>2976</v>
      </c>
      <c r="C322" s="1" t="s">
        <v>1651</v>
      </c>
      <c r="D322" t="str">
        <f t="shared" si="24"/>
        <v>1DA597</v>
      </c>
      <c r="E322" t="str">
        <f t="shared" si="25"/>
        <v>29-165-151</v>
      </c>
      <c r="F322" t="str">
        <f t="shared" si="26"/>
        <v>29165151</v>
      </c>
      <c r="G322">
        <f t="shared" si="27"/>
        <v>29</v>
      </c>
      <c r="H322">
        <f t="shared" si="28"/>
        <v>165</v>
      </c>
      <c r="I322">
        <f t="shared" si="29"/>
        <v>151</v>
      </c>
      <c r="J322" s="976" t="str" cm="1">
        <f t="array" ref="J322">myRGB(G322,H322,I322)</f>
        <v/>
      </c>
    </row>
    <row r="323" spans="1:10" ht="17" x14ac:dyDescent="0.25">
      <c r="A323" s="1" t="s">
        <v>325</v>
      </c>
      <c r="B323" s="1" t="s">
        <v>2977</v>
      </c>
      <c r="C323" s="1" t="s">
        <v>1652</v>
      </c>
      <c r="D323" t="str">
        <f t="shared" si="24"/>
        <v>1CA496</v>
      </c>
      <c r="E323" t="str">
        <f t="shared" si="25"/>
        <v>28-164-150</v>
      </c>
      <c r="F323" t="str">
        <f t="shared" si="26"/>
        <v>28164150</v>
      </c>
      <c r="G323">
        <f t="shared" si="27"/>
        <v>28</v>
      </c>
      <c r="H323">
        <f t="shared" si="28"/>
        <v>164</v>
      </c>
      <c r="I323">
        <f t="shared" si="29"/>
        <v>150</v>
      </c>
      <c r="J323" s="1004" t="str" cm="1">
        <f t="array" ref="J323">myRGB(G323,H323,I323)</f>
        <v/>
      </c>
    </row>
    <row r="324" spans="1:10" ht="17" x14ac:dyDescent="0.25">
      <c r="A324" s="1" t="s">
        <v>326</v>
      </c>
      <c r="B324" s="1" t="s">
        <v>2978</v>
      </c>
      <c r="C324" s="1" t="s">
        <v>1653</v>
      </c>
      <c r="D324" t="str">
        <f t="shared" ref="D324:D387" si="30">RIGHT(LEFT(C324,9),6)</f>
        <v>1AA495</v>
      </c>
      <c r="E324" t="str">
        <f t="shared" ref="E324:E387" si="31">HEX2DEC(LEFT(D324,2))&amp;"-"&amp;HEX2DEC(MID(D324,3,2))&amp;"-"&amp;HEX2DEC(RIGHT(D324,2))</f>
        <v>26-164-149</v>
      </c>
      <c r="F324" t="str">
        <f t="shared" ref="F324:F387" si="32">HEX2DEC(LEFT(D324,2))&amp;HEX2DEC(MID(D324,3,2))&amp;HEX2DEC(RIGHT(D324,2))</f>
        <v>26164149</v>
      </c>
      <c r="G324">
        <f t="shared" ref="G324:G387" si="33">HEX2DEC(LEFT(D324,2))</f>
        <v>26</v>
      </c>
      <c r="H324">
        <f t="shared" ref="H324:H387" si="34">HEX2DEC(MID(D324,3,2))</f>
        <v>164</v>
      </c>
      <c r="I324">
        <f t="shared" ref="I324:I387" si="35">HEX2DEC(RIGHT(D324,2))</f>
        <v>149</v>
      </c>
      <c r="J324" s="894" t="str" cm="1">
        <f t="array" ref="J324">myRGB(G324,H324,I324)</f>
        <v/>
      </c>
    </row>
    <row r="325" spans="1:10" ht="17" x14ac:dyDescent="0.25">
      <c r="A325" s="1" t="s">
        <v>327</v>
      </c>
      <c r="B325" s="1" t="s">
        <v>2979</v>
      </c>
      <c r="C325" s="1" t="s">
        <v>1654</v>
      </c>
      <c r="D325" t="str">
        <f t="shared" si="30"/>
        <v>1AA396</v>
      </c>
      <c r="E325" t="str">
        <f t="shared" si="31"/>
        <v>26-163-150</v>
      </c>
      <c r="F325" t="str">
        <f t="shared" si="32"/>
        <v>26163150</v>
      </c>
      <c r="G325">
        <f t="shared" si="33"/>
        <v>26</v>
      </c>
      <c r="H325">
        <f t="shared" si="34"/>
        <v>163</v>
      </c>
      <c r="I325">
        <f t="shared" si="35"/>
        <v>150</v>
      </c>
      <c r="J325" s="903" t="str" cm="1">
        <f t="array" ref="J325">myRGB(G325,H325,I325)</f>
        <v/>
      </c>
    </row>
    <row r="326" spans="1:10" ht="17" x14ac:dyDescent="0.25">
      <c r="A326" s="1" t="s">
        <v>328</v>
      </c>
      <c r="B326" s="1" t="s">
        <v>2980</v>
      </c>
      <c r="C326" s="1" t="s">
        <v>1655</v>
      </c>
      <c r="D326" t="str">
        <f t="shared" si="30"/>
        <v>1CA695</v>
      </c>
      <c r="E326" t="str">
        <f t="shared" si="31"/>
        <v>28-166-149</v>
      </c>
      <c r="F326" t="str">
        <f t="shared" si="32"/>
        <v>28166149</v>
      </c>
      <c r="G326">
        <f t="shared" si="33"/>
        <v>28</v>
      </c>
      <c r="H326">
        <f t="shared" si="34"/>
        <v>166</v>
      </c>
      <c r="I326">
        <f t="shared" si="35"/>
        <v>149</v>
      </c>
      <c r="J326" s="957" t="str" cm="1">
        <f t="array" ref="J326">myRGB(G326,H326,I326)</f>
        <v/>
      </c>
    </row>
    <row r="327" spans="1:10" ht="17" x14ac:dyDescent="0.25">
      <c r="A327" s="1" t="s">
        <v>329</v>
      </c>
      <c r="B327" s="1" t="s">
        <v>2981</v>
      </c>
      <c r="C327" s="1" t="s">
        <v>1656</v>
      </c>
      <c r="D327" t="str">
        <f t="shared" si="30"/>
        <v>1CA598</v>
      </c>
      <c r="E327" t="str">
        <f t="shared" si="31"/>
        <v>28-165-152</v>
      </c>
      <c r="F327" t="str">
        <f t="shared" si="32"/>
        <v>28165152</v>
      </c>
      <c r="G327">
        <f t="shared" si="33"/>
        <v>28</v>
      </c>
      <c r="H327">
        <f t="shared" si="34"/>
        <v>165</v>
      </c>
      <c r="I327">
        <f t="shared" si="35"/>
        <v>152</v>
      </c>
      <c r="J327" s="363" t="str" cm="1">
        <f t="array" ref="J327">myRGB(G327,H327,I327)</f>
        <v/>
      </c>
    </row>
    <row r="328" spans="1:10" ht="17" x14ac:dyDescent="0.25">
      <c r="A328" s="1" t="s">
        <v>330</v>
      </c>
      <c r="B328" s="1" t="s">
        <v>2982</v>
      </c>
      <c r="C328" s="1" t="s">
        <v>1657</v>
      </c>
      <c r="D328" t="str">
        <f t="shared" si="30"/>
        <v>1BA598</v>
      </c>
      <c r="E328" t="str">
        <f t="shared" si="31"/>
        <v>27-165-152</v>
      </c>
      <c r="F328" t="str">
        <f t="shared" si="32"/>
        <v>27165152</v>
      </c>
      <c r="G328">
        <f t="shared" si="33"/>
        <v>27</v>
      </c>
      <c r="H328">
        <f t="shared" si="34"/>
        <v>165</v>
      </c>
      <c r="I328">
        <f t="shared" si="35"/>
        <v>152</v>
      </c>
      <c r="J328" s="150" t="str" cm="1">
        <f t="array" ref="J328">myRGB(G328,H328,I328)</f>
        <v/>
      </c>
    </row>
    <row r="329" spans="1:10" ht="17" x14ac:dyDescent="0.25">
      <c r="A329" s="1" t="s">
        <v>331</v>
      </c>
      <c r="B329" s="1" t="s">
        <v>2983</v>
      </c>
      <c r="C329" s="1" t="s">
        <v>1658</v>
      </c>
      <c r="D329" t="str">
        <f t="shared" si="30"/>
        <v>1BA697</v>
      </c>
      <c r="E329" t="str">
        <f t="shared" si="31"/>
        <v>27-166-151</v>
      </c>
      <c r="F329" t="str">
        <f t="shared" si="32"/>
        <v>27166151</v>
      </c>
      <c r="G329">
        <f t="shared" si="33"/>
        <v>27</v>
      </c>
      <c r="H329">
        <f t="shared" si="34"/>
        <v>166</v>
      </c>
      <c r="I329">
        <f t="shared" si="35"/>
        <v>151</v>
      </c>
      <c r="J329" s="224" t="str" cm="1">
        <f t="array" ref="J329">myRGB(G329,H329,I329)</f>
        <v/>
      </c>
    </row>
    <row r="330" spans="1:10" ht="17" x14ac:dyDescent="0.25">
      <c r="A330" s="1" t="s">
        <v>332</v>
      </c>
      <c r="B330" s="1" t="s">
        <v>2984</v>
      </c>
      <c r="C330" s="1" t="s">
        <v>1659</v>
      </c>
      <c r="D330" t="str">
        <f t="shared" si="30"/>
        <v>1AA696</v>
      </c>
      <c r="E330" t="str">
        <f t="shared" si="31"/>
        <v>26-166-150</v>
      </c>
      <c r="F330" t="str">
        <f t="shared" si="32"/>
        <v>26166150</v>
      </c>
      <c r="G330">
        <f t="shared" si="33"/>
        <v>26</v>
      </c>
      <c r="H330">
        <f t="shared" si="34"/>
        <v>166</v>
      </c>
      <c r="I330">
        <f t="shared" si="35"/>
        <v>150</v>
      </c>
      <c r="J330" s="953" t="str" cm="1">
        <f t="array" ref="J330">myRGB(G330,H330,I330)</f>
        <v/>
      </c>
    </row>
    <row r="331" spans="1:10" ht="17" x14ac:dyDescent="0.25">
      <c r="A331" s="1" t="s">
        <v>333</v>
      </c>
      <c r="B331" s="1" t="s">
        <v>2985</v>
      </c>
      <c r="C331" s="1" t="s">
        <v>1660</v>
      </c>
      <c r="D331" t="str">
        <f t="shared" si="30"/>
        <v>1AA596</v>
      </c>
      <c r="E331" t="str">
        <f t="shared" si="31"/>
        <v>26-165-150</v>
      </c>
      <c r="F331" t="str">
        <f t="shared" si="32"/>
        <v>26165150</v>
      </c>
      <c r="G331">
        <f t="shared" si="33"/>
        <v>26</v>
      </c>
      <c r="H331">
        <f t="shared" si="34"/>
        <v>165</v>
      </c>
      <c r="I331">
        <f t="shared" si="35"/>
        <v>150</v>
      </c>
      <c r="J331" s="139" t="str" cm="1">
        <f t="array" ref="J331">myRGB(G331,H331,I331)</f>
        <v/>
      </c>
    </row>
    <row r="332" spans="1:10" ht="17" x14ac:dyDescent="0.25">
      <c r="A332" s="1" t="s">
        <v>334</v>
      </c>
      <c r="B332" s="1" t="s">
        <v>2986</v>
      </c>
      <c r="C332" s="1" t="s">
        <v>1661</v>
      </c>
      <c r="D332" t="str">
        <f t="shared" si="30"/>
        <v>1AA697</v>
      </c>
      <c r="E332" t="str">
        <f t="shared" si="31"/>
        <v>26-166-151</v>
      </c>
      <c r="F332" t="str">
        <f t="shared" si="32"/>
        <v>26166151</v>
      </c>
      <c r="G332">
        <f t="shared" si="33"/>
        <v>26</v>
      </c>
      <c r="H332">
        <f t="shared" si="34"/>
        <v>166</v>
      </c>
      <c r="I332">
        <f t="shared" si="35"/>
        <v>151</v>
      </c>
      <c r="J332" s="335" t="str" cm="1">
        <f t="array" ref="J332">myRGB(G332,H332,I332)</f>
        <v/>
      </c>
    </row>
    <row r="333" spans="1:10" ht="17" x14ac:dyDescent="0.25">
      <c r="A333" s="1" t="s">
        <v>335</v>
      </c>
      <c r="B333" s="1" t="s">
        <v>2987</v>
      </c>
      <c r="C333" s="1" t="s">
        <v>1662</v>
      </c>
      <c r="D333" t="str">
        <f t="shared" si="30"/>
        <v>1BA698</v>
      </c>
      <c r="E333" t="str">
        <f t="shared" si="31"/>
        <v>27-166-152</v>
      </c>
      <c r="F333" t="str">
        <f t="shared" si="32"/>
        <v>27166152</v>
      </c>
      <c r="G333">
        <f t="shared" si="33"/>
        <v>27</v>
      </c>
      <c r="H333">
        <f t="shared" si="34"/>
        <v>166</v>
      </c>
      <c r="I333">
        <f t="shared" si="35"/>
        <v>152</v>
      </c>
      <c r="J333" s="276" t="str" cm="1">
        <f t="array" ref="J333">myRGB(G333,H333,I333)</f>
        <v/>
      </c>
    </row>
    <row r="334" spans="1:10" ht="17" x14ac:dyDescent="0.25">
      <c r="A334" s="1" t="s">
        <v>336</v>
      </c>
      <c r="B334" s="1" t="s">
        <v>2988</v>
      </c>
      <c r="C334" s="1" t="s">
        <v>1663</v>
      </c>
      <c r="D334" t="str">
        <f t="shared" si="30"/>
        <v>1BA596</v>
      </c>
      <c r="E334" t="str">
        <f t="shared" si="31"/>
        <v>27-165-150</v>
      </c>
      <c r="F334" t="str">
        <f t="shared" si="32"/>
        <v>27165150</v>
      </c>
      <c r="G334">
        <f t="shared" si="33"/>
        <v>27</v>
      </c>
      <c r="H334">
        <f t="shared" si="34"/>
        <v>165</v>
      </c>
      <c r="I334">
        <f t="shared" si="35"/>
        <v>150</v>
      </c>
      <c r="J334" s="362" t="str" cm="1">
        <f t="array" ref="J334">myRGB(G334,H334,I334)</f>
        <v/>
      </c>
    </row>
    <row r="335" spans="1:10" ht="17" x14ac:dyDescent="0.25">
      <c r="A335" s="1" t="s">
        <v>337</v>
      </c>
      <c r="B335" s="1" t="s">
        <v>2989</v>
      </c>
      <c r="C335" s="1" t="s">
        <v>1664</v>
      </c>
      <c r="D335" t="str">
        <f t="shared" si="30"/>
        <v>1BA597</v>
      </c>
      <c r="E335" t="str">
        <f t="shared" si="31"/>
        <v>27-165-151</v>
      </c>
      <c r="F335" t="str">
        <f t="shared" si="32"/>
        <v>27165151</v>
      </c>
      <c r="G335">
        <f t="shared" si="33"/>
        <v>27</v>
      </c>
      <c r="H335">
        <f t="shared" si="34"/>
        <v>165</v>
      </c>
      <c r="I335">
        <f t="shared" si="35"/>
        <v>151</v>
      </c>
      <c r="J335" s="223" t="str" cm="1">
        <f t="array" ref="J335">myRGB(G335,H335,I335)</f>
        <v/>
      </c>
    </row>
    <row r="336" spans="1:10" ht="17" x14ac:dyDescent="0.25">
      <c r="A336" s="1" t="s">
        <v>338</v>
      </c>
      <c r="B336" s="1" t="s">
        <v>2990</v>
      </c>
      <c r="C336" s="1" t="s">
        <v>1665</v>
      </c>
      <c r="D336" t="str">
        <f t="shared" si="30"/>
        <v>1CA698</v>
      </c>
      <c r="E336" t="str">
        <f t="shared" si="31"/>
        <v>28-166-152</v>
      </c>
      <c r="F336" t="str">
        <f t="shared" si="32"/>
        <v>28166152</v>
      </c>
      <c r="G336">
        <f t="shared" si="33"/>
        <v>28</v>
      </c>
      <c r="H336">
        <f t="shared" si="34"/>
        <v>166</v>
      </c>
      <c r="I336">
        <f t="shared" si="35"/>
        <v>152</v>
      </c>
      <c r="J336" s="1059" t="str" cm="1">
        <f t="array" ref="J336">myRGB(G336,H336,I336)</f>
        <v/>
      </c>
    </row>
    <row r="337" spans="1:10" ht="17" x14ac:dyDescent="0.25">
      <c r="A337" s="1" t="s">
        <v>339</v>
      </c>
      <c r="B337" s="1" t="s">
        <v>2991</v>
      </c>
      <c r="C337" s="1" t="s">
        <v>1666</v>
      </c>
      <c r="D337" t="str">
        <f t="shared" si="30"/>
        <v>1AA597</v>
      </c>
      <c r="E337" t="str">
        <f t="shared" si="31"/>
        <v>26-165-151</v>
      </c>
      <c r="F337" t="str">
        <f t="shared" si="32"/>
        <v>26165151</v>
      </c>
      <c r="G337">
        <f t="shared" si="33"/>
        <v>26</v>
      </c>
      <c r="H337">
        <f t="shared" si="34"/>
        <v>165</v>
      </c>
      <c r="I337">
        <f t="shared" si="35"/>
        <v>151</v>
      </c>
      <c r="J337" s="275" t="str" cm="1">
        <f t="array" ref="J337">myRGB(G337,H337,I337)</f>
        <v/>
      </c>
    </row>
    <row r="338" spans="1:10" ht="17" x14ac:dyDescent="0.25">
      <c r="A338" s="1" t="s">
        <v>340</v>
      </c>
      <c r="B338" s="1" t="s">
        <v>2992</v>
      </c>
      <c r="C338" s="1" t="s">
        <v>1667</v>
      </c>
      <c r="D338" t="str">
        <f t="shared" si="30"/>
        <v>1BA498</v>
      </c>
      <c r="E338" t="str">
        <f t="shared" si="31"/>
        <v>27-164-152</v>
      </c>
      <c r="F338" t="str">
        <f t="shared" si="32"/>
        <v>27164152</v>
      </c>
      <c r="G338">
        <f t="shared" si="33"/>
        <v>27</v>
      </c>
      <c r="H338">
        <f t="shared" si="34"/>
        <v>164</v>
      </c>
      <c r="I338">
        <f t="shared" si="35"/>
        <v>152</v>
      </c>
      <c r="J338" s="361" t="str" cm="1">
        <f t="array" ref="J338">myRGB(G338,H338,I338)</f>
        <v/>
      </c>
    </row>
    <row r="339" spans="1:10" ht="17" x14ac:dyDescent="0.25">
      <c r="A339" s="1" t="s">
        <v>341</v>
      </c>
      <c r="B339" s="1" t="s">
        <v>2993</v>
      </c>
      <c r="C339" s="1" t="s">
        <v>1668</v>
      </c>
      <c r="D339" t="str">
        <f t="shared" si="30"/>
        <v>1AA498</v>
      </c>
      <c r="E339" t="str">
        <f t="shared" si="31"/>
        <v>26-164-152</v>
      </c>
      <c r="F339" t="str">
        <f t="shared" si="32"/>
        <v>26164152</v>
      </c>
      <c r="G339">
        <f t="shared" si="33"/>
        <v>26</v>
      </c>
      <c r="H339">
        <f t="shared" si="34"/>
        <v>164</v>
      </c>
      <c r="I339">
        <f t="shared" si="35"/>
        <v>152</v>
      </c>
      <c r="J339" s="198" t="str" cm="1">
        <f t="array" ref="J339">myRGB(G339,H339,I339)</f>
        <v/>
      </c>
    </row>
    <row r="340" spans="1:10" ht="17" x14ac:dyDescent="0.25">
      <c r="A340" s="1" t="s">
        <v>342</v>
      </c>
      <c r="B340" s="1" t="s">
        <v>2994</v>
      </c>
      <c r="C340" s="1" t="s">
        <v>1669</v>
      </c>
      <c r="D340" t="str">
        <f t="shared" si="30"/>
        <v>1AA497</v>
      </c>
      <c r="E340" t="str">
        <f t="shared" si="31"/>
        <v>26-164-151</v>
      </c>
      <c r="F340" t="str">
        <f t="shared" si="32"/>
        <v>26164151</v>
      </c>
      <c r="G340">
        <f t="shared" si="33"/>
        <v>26</v>
      </c>
      <c r="H340">
        <f t="shared" si="34"/>
        <v>164</v>
      </c>
      <c r="I340">
        <f t="shared" si="35"/>
        <v>151</v>
      </c>
      <c r="J340" s="149" t="str" cm="1">
        <f t="array" ref="J340">myRGB(G340,H340,I340)</f>
        <v/>
      </c>
    </row>
    <row r="341" spans="1:10" ht="17" x14ac:dyDescent="0.25">
      <c r="A341" s="1" t="s">
        <v>343</v>
      </c>
      <c r="B341" s="1" t="s">
        <v>2995</v>
      </c>
      <c r="C341" s="1" t="s">
        <v>1670</v>
      </c>
      <c r="D341" t="str">
        <f t="shared" si="30"/>
        <v>009FAC</v>
      </c>
      <c r="E341" t="str">
        <f t="shared" si="31"/>
        <v>0-159-172</v>
      </c>
      <c r="F341" t="str">
        <f t="shared" si="32"/>
        <v>0159172</v>
      </c>
      <c r="G341">
        <f t="shared" si="33"/>
        <v>0</v>
      </c>
      <c r="H341">
        <f t="shared" si="34"/>
        <v>159</v>
      </c>
      <c r="I341">
        <f t="shared" si="35"/>
        <v>172</v>
      </c>
      <c r="J341" s="233" t="str" cm="1">
        <f t="array" ref="J341">myRGB(G341,H341,I341)</f>
        <v/>
      </c>
    </row>
    <row r="342" spans="1:10" ht="17" x14ac:dyDescent="0.25">
      <c r="A342" s="1" t="s">
        <v>344</v>
      </c>
      <c r="B342" s="1" t="s">
        <v>2996</v>
      </c>
      <c r="C342" s="1" t="s">
        <v>1671</v>
      </c>
      <c r="D342" t="str">
        <f t="shared" si="30"/>
        <v>009DAB</v>
      </c>
      <c r="E342" t="str">
        <f t="shared" si="31"/>
        <v>0-157-171</v>
      </c>
      <c r="F342" t="str">
        <f t="shared" si="32"/>
        <v>0157171</v>
      </c>
      <c r="G342">
        <f t="shared" si="33"/>
        <v>0</v>
      </c>
      <c r="H342">
        <f t="shared" si="34"/>
        <v>157</v>
      </c>
      <c r="I342">
        <f t="shared" si="35"/>
        <v>171</v>
      </c>
      <c r="J342" s="877" t="str" cm="1">
        <f t="array" ref="J342">myRGB(G342,H342,I342)</f>
        <v/>
      </c>
    </row>
    <row r="343" spans="1:10" ht="17" x14ac:dyDescent="0.25">
      <c r="A343" s="1" t="s">
        <v>345</v>
      </c>
      <c r="B343" s="1" t="s">
        <v>2997</v>
      </c>
      <c r="C343" s="1" t="s">
        <v>1672</v>
      </c>
      <c r="D343" t="str">
        <f t="shared" si="30"/>
        <v>009EAC</v>
      </c>
      <c r="E343" t="str">
        <f t="shared" si="31"/>
        <v>0-158-172</v>
      </c>
      <c r="F343" t="str">
        <f t="shared" si="32"/>
        <v>0158172</v>
      </c>
      <c r="G343">
        <f t="shared" si="33"/>
        <v>0</v>
      </c>
      <c r="H343">
        <f t="shared" si="34"/>
        <v>158</v>
      </c>
      <c r="I343">
        <f t="shared" si="35"/>
        <v>172</v>
      </c>
      <c r="J343" s="904" t="str" cm="1">
        <f t="array" ref="J343">myRGB(G343,H343,I343)</f>
        <v/>
      </c>
    </row>
    <row r="344" spans="1:10" ht="17" x14ac:dyDescent="0.25">
      <c r="A344" s="1" t="s">
        <v>346</v>
      </c>
      <c r="B344" s="1" t="s">
        <v>2998</v>
      </c>
      <c r="C344" s="1" t="s">
        <v>1673</v>
      </c>
      <c r="D344" t="str">
        <f t="shared" si="30"/>
        <v>019FAA</v>
      </c>
      <c r="E344" t="str">
        <f t="shared" si="31"/>
        <v>1-159-170</v>
      </c>
      <c r="F344" t="str">
        <f t="shared" si="32"/>
        <v>1159170</v>
      </c>
      <c r="G344">
        <f t="shared" si="33"/>
        <v>1</v>
      </c>
      <c r="H344">
        <f t="shared" si="34"/>
        <v>159</v>
      </c>
      <c r="I344">
        <f t="shared" si="35"/>
        <v>170</v>
      </c>
      <c r="J344" s="958" t="str" cm="1">
        <f t="array" ref="J344">myRGB(G344,H344,I344)</f>
        <v/>
      </c>
    </row>
    <row r="345" spans="1:10" ht="17" x14ac:dyDescent="0.25">
      <c r="A345" s="1" t="s">
        <v>347</v>
      </c>
      <c r="B345" s="1" t="s">
        <v>2999</v>
      </c>
      <c r="C345" s="1" t="s">
        <v>1674</v>
      </c>
      <c r="D345" t="str">
        <f t="shared" si="30"/>
        <v>019DAC</v>
      </c>
      <c r="E345" t="str">
        <f t="shared" si="31"/>
        <v>1-157-172</v>
      </c>
      <c r="F345" t="str">
        <f t="shared" si="32"/>
        <v>1157172</v>
      </c>
      <c r="G345">
        <f t="shared" si="33"/>
        <v>1</v>
      </c>
      <c r="H345">
        <f t="shared" si="34"/>
        <v>157</v>
      </c>
      <c r="I345">
        <f t="shared" si="35"/>
        <v>172</v>
      </c>
      <c r="J345" s="1009" t="str" cm="1">
        <f t="array" ref="J345">myRGB(G345,H345,I345)</f>
        <v/>
      </c>
    </row>
    <row r="346" spans="1:10" ht="17" x14ac:dyDescent="0.25">
      <c r="A346" s="1" t="s">
        <v>348</v>
      </c>
      <c r="B346" s="1" t="s">
        <v>3000</v>
      </c>
      <c r="C346" s="1" t="s">
        <v>1675</v>
      </c>
      <c r="D346" t="str">
        <f t="shared" si="30"/>
        <v>019FAB</v>
      </c>
      <c r="E346" t="str">
        <f t="shared" si="31"/>
        <v>1-159-171</v>
      </c>
      <c r="F346" t="str">
        <f t="shared" si="32"/>
        <v>1159171</v>
      </c>
      <c r="G346">
        <f t="shared" si="33"/>
        <v>1</v>
      </c>
      <c r="H346">
        <f t="shared" si="34"/>
        <v>159</v>
      </c>
      <c r="I346">
        <f t="shared" si="35"/>
        <v>171</v>
      </c>
      <c r="J346" s="878" t="str" cm="1">
        <f t="array" ref="J346">myRGB(G346,H346,I346)</f>
        <v/>
      </c>
    </row>
    <row r="347" spans="1:10" ht="17" x14ac:dyDescent="0.25">
      <c r="A347" s="1" t="s">
        <v>349</v>
      </c>
      <c r="B347" s="1" t="s">
        <v>3001</v>
      </c>
      <c r="C347" s="1" t="s">
        <v>1676</v>
      </c>
      <c r="D347" t="str">
        <f t="shared" si="30"/>
        <v>009FAA</v>
      </c>
      <c r="E347" t="str">
        <f t="shared" si="31"/>
        <v>0-159-170</v>
      </c>
      <c r="F347" t="str">
        <f t="shared" si="32"/>
        <v>0159170</v>
      </c>
      <c r="G347">
        <f t="shared" si="33"/>
        <v>0</v>
      </c>
      <c r="H347">
        <f t="shared" si="34"/>
        <v>159</v>
      </c>
      <c r="I347">
        <f t="shared" si="35"/>
        <v>170</v>
      </c>
      <c r="J347" s="905" t="str" cm="1">
        <f t="array" ref="J347">myRGB(G347,H347,I347)</f>
        <v/>
      </c>
    </row>
    <row r="348" spans="1:10" ht="17" x14ac:dyDescent="0.25">
      <c r="A348" s="1" t="s">
        <v>350</v>
      </c>
      <c r="B348" s="1" t="s">
        <v>3002</v>
      </c>
      <c r="C348" s="1" t="s">
        <v>1677</v>
      </c>
      <c r="D348" t="str">
        <f t="shared" si="30"/>
        <v>009FAB</v>
      </c>
      <c r="E348" t="str">
        <f t="shared" si="31"/>
        <v>0-159-171</v>
      </c>
      <c r="F348" t="str">
        <f t="shared" si="32"/>
        <v>0159171</v>
      </c>
      <c r="G348">
        <f t="shared" si="33"/>
        <v>0</v>
      </c>
      <c r="H348">
        <f t="shared" si="34"/>
        <v>159</v>
      </c>
      <c r="I348">
        <f t="shared" si="35"/>
        <v>171</v>
      </c>
      <c r="J348" s="159" t="str" cm="1">
        <f t="array" ref="J348">myRGB(G348,H348,I348)</f>
        <v/>
      </c>
    </row>
    <row r="349" spans="1:10" ht="17" x14ac:dyDescent="0.25">
      <c r="A349" s="1" t="s">
        <v>351</v>
      </c>
      <c r="B349" s="1" t="s">
        <v>3003</v>
      </c>
      <c r="C349" s="1" t="s">
        <v>1678</v>
      </c>
      <c r="D349" t="str">
        <f t="shared" si="30"/>
        <v>019FAC</v>
      </c>
      <c r="E349" t="str">
        <f t="shared" si="31"/>
        <v>1-159-172</v>
      </c>
      <c r="F349" t="str">
        <f t="shared" si="32"/>
        <v>1159172</v>
      </c>
      <c r="G349">
        <f t="shared" si="33"/>
        <v>1</v>
      </c>
      <c r="H349">
        <f t="shared" si="34"/>
        <v>159</v>
      </c>
      <c r="I349">
        <f t="shared" si="35"/>
        <v>172</v>
      </c>
      <c r="J349" s="142" t="str" cm="1">
        <f t="array" ref="J349">myRGB(G349,H349,I349)</f>
        <v/>
      </c>
    </row>
    <row r="350" spans="1:10" ht="17" x14ac:dyDescent="0.25">
      <c r="A350" s="1" t="s">
        <v>352</v>
      </c>
      <c r="B350" s="1" t="s">
        <v>3004</v>
      </c>
      <c r="C350" s="1" t="s">
        <v>1679</v>
      </c>
      <c r="D350" t="str">
        <f t="shared" si="30"/>
        <v>009EAB</v>
      </c>
      <c r="E350" t="str">
        <f t="shared" si="31"/>
        <v>0-158-171</v>
      </c>
      <c r="F350" t="str">
        <f t="shared" si="32"/>
        <v>0158171</v>
      </c>
      <c r="G350">
        <f t="shared" si="33"/>
        <v>0</v>
      </c>
      <c r="H350">
        <f t="shared" si="34"/>
        <v>158</v>
      </c>
      <c r="I350">
        <f t="shared" si="35"/>
        <v>171</v>
      </c>
      <c r="J350" s="371" t="str" cm="1">
        <f t="array" ref="J350">myRGB(G350,H350,I350)</f>
        <v/>
      </c>
    </row>
    <row r="351" spans="1:10" ht="17" x14ac:dyDescent="0.25">
      <c r="A351" s="1" t="s">
        <v>353</v>
      </c>
      <c r="B351" s="1" t="s">
        <v>3005</v>
      </c>
      <c r="C351" s="1" t="s">
        <v>1680</v>
      </c>
      <c r="D351" t="str">
        <f t="shared" si="30"/>
        <v>019EAC</v>
      </c>
      <c r="E351" t="str">
        <f t="shared" si="31"/>
        <v>1-158-172</v>
      </c>
      <c r="F351" t="str">
        <f t="shared" si="32"/>
        <v>1158172</v>
      </c>
      <c r="G351">
        <f t="shared" si="33"/>
        <v>1</v>
      </c>
      <c r="H351">
        <f t="shared" si="34"/>
        <v>158</v>
      </c>
      <c r="I351">
        <f t="shared" si="35"/>
        <v>172</v>
      </c>
      <c r="J351" s="284" t="str" cm="1">
        <f t="array" ref="J351">myRGB(G351,H351,I351)</f>
        <v/>
      </c>
    </row>
    <row r="352" spans="1:10" ht="17" x14ac:dyDescent="0.25">
      <c r="A352" s="1" t="s">
        <v>354</v>
      </c>
      <c r="B352" s="1" t="s">
        <v>3006</v>
      </c>
      <c r="C352" s="1" t="s">
        <v>1681</v>
      </c>
      <c r="D352" t="str">
        <f t="shared" si="30"/>
        <v>019EAB</v>
      </c>
      <c r="E352" t="str">
        <f t="shared" si="31"/>
        <v>1-158-171</v>
      </c>
      <c r="F352" t="str">
        <f t="shared" si="32"/>
        <v>1158171</v>
      </c>
      <c r="G352">
        <f t="shared" si="33"/>
        <v>1</v>
      </c>
      <c r="H352">
        <f t="shared" si="34"/>
        <v>158</v>
      </c>
      <c r="I352">
        <f t="shared" si="35"/>
        <v>171</v>
      </c>
      <c r="J352" s="232" t="str" cm="1">
        <f t="array" ref="J352">myRGB(G352,H352,I352)</f>
        <v/>
      </c>
    </row>
    <row r="353" spans="1:10" ht="17" x14ac:dyDescent="0.25">
      <c r="A353" s="1" t="s">
        <v>355</v>
      </c>
      <c r="B353" s="1" t="s">
        <v>3007</v>
      </c>
      <c r="C353" s="1" t="s">
        <v>1682</v>
      </c>
      <c r="D353" t="str">
        <f t="shared" si="30"/>
        <v>009DAC</v>
      </c>
      <c r="E353" t="str">
        <f t="shared" si="31"/>
        <v>0-157-172</v>
      </c>
      <c r="F353" t="str">
        <f t="shared" si="32"/>
        <v>0157172</v>
      </c>
      <c r="G353">
        <f t="shared" si="33"/>
        <v>0</v>
      </c>
      <c r="H353">
        <f t="shared" si="34"/>
        <v>157</v>
      </c>
      <c r="I353">
        <f t="shared" si="35"/>
        <v>172</v>
      </c>
      <c r="J353" s="201" t="str" cm="1">
        <f t="array" ref="J353">myRGB(G353,H353,I353)</f>
        <v/>
      </c>
    </row>
    <row r="354" spans="1:10" ht="17" x14ac:dyDescent="0.25">
      <c r="A354" s="1" t="s">
        <v>356</v>
      </c>
      <c r="B354" s="1" t="s">
        <v>3008</v>
      </c>
      <c r="C354" s="1" t="s">
        <v>1683</v>
      </c>
      <c r="D354" t="str">
        <f t="shared" si="30"/>
        <v>029FAC</v>
      </c>
      <c r="E354" t="str">
        <f t="shared" si="31"/>
        <v>2-159-172</v>
      </c>
      <c r="F354" t="str">
        <f t="shared" si="32"/>
        <v>2159172</v>
      </c>
      <c r="G354">
        <f t="shared" si="33"/>
        <v>2</v>
      </c>
      <c r="H354">
        <f t="shared" si="34"/>
        <v>159</v>
      </c>
      <c r="I354">
        <f t="shared" si="35"/>
        <v>172</v>
      </c>
      <c r="J354" s="158" t="str" cm="1">
        <f t="array" ref="J354">myRGB(G354,H354,I354)</f>
        <v/>
      </c>
    </row>
    <row r="355" spans="1:10" ht="17" x14ac:dyDescent="0.25">
      <c r="A355" s="1" t="s">
        <v>357</v>
      </c>
      <c r="B355" s="1" t="s">
        <v>3009</v>
      </c>
      <c r="C355" s="1" t="s">
        <v>1684</v>
      </c>
      <c r="D355" t="str">
        <f t="shared" si="30"/>
        <v>009EAA</v>
      </c>
      <c r="E355" t="str">
        <f t="shared" si="31"/>
        <v>0-158-170</v>
      </c>
      <c r="F355" t="str">
        <f t="shared" si="32"/>
        <v>0158170</v>
      </c>
      <c r="G355">
        <f t="shared" si="33"/>
        <v>0</v>
      </c>
      <c r="H355">
        <f t="shared" si="34"/>
        <v>158</v>
      </c>
      <c r="I355">
        <f t="shared" si="35"/>
        <v>170</v>
      </c>
      <c r="J355" s="370" t="str" cm="1">
        <f t="array" ref="J355">myRGB(G355,H355,I355)</f>
        <v/>
      </c>
    </row>
    <row r="356" spans="1:10" ht="17" x14ac:dyDescent="0.25">
      <c r="A356" s="1" t="s">
        <v>358</v>
      </c>
      <c r="B356" s="1" t="s">
        <v>3010</v>
      </c>
      <c r="C356" s="1" t="s">
        <v>1685</v>
      </c>
      <c r="D356" t="str">
        <f t="shared" si="30"/>
        <v>029FAB</v>
      </c>
      <c r="E356" t="str">
        <f t="shared" si="31"/>
        <v>2-159-171</v>
      </c>
      <c r="F356" t="str">
        <f t="shared" si="32"/>
        <v>2159171</v>
      </c>
      <c r="G356">
        <f t="shared" si="33"/>
        <v>2</v>
      </c>
      <c r="H356">
        <f t="shared" si="34"/>
        <v>159</v>
      </c>
      <c r="I356">
        <f t="shared" si="35"/>
        <v>171</v>
      </c>
      <c r="J356" s="266" t="str" cm="1">
        <f t="array" ref="J356">myRGB(G356,H356,I356)</f>
        <v/>
      </c>
    </row>
    <row r="357" spans="1:10" ht="17" x14ac:dyDescent="0.25">
      <c r="A357" s="1" t="s">
        <v>359</v>
      </c>
      <c r="B357" s="1" t="s">
        <v>3011</v>
      </c>
      <c r="C357" s="1" t="s">
        <v>1686</v>
      </c>
      <c r="D357" t="str">
        <f t="shared" si="30"/>
        <v>029EAC</v>
      </c>
      <c r="E357" t="str">
        <f t="shared" si="31"/>
        <v>2-158-172</v>
      </c>
      <c r="F357" t="str">
        <f t="shared" si="32"/>
        <v>2158172</v>
      </c>
      <c r="G357">
        <f t="shared" si="33"/>
        <v>2</v>
      </c>
      <c r="H357">
        <f t="shared" si="34"/>
        <v>158</v>
      </c>
      <c r="I357">
        <f t="shared" si="35"/>
        <v>172</v>
      </c>
      <c r="J357" s="231" t="str" cm="1">
        <f t="array" ref="J357">myRGB(G357,H357,I357)</f>
        <v/>
      </c>
    </row>
    <row r="358" spans="1:10" ht="17" x14ac:dyDescent="0.25">
      <c r="A358" s="1" t="s">
        <v>360</v>
      </c>
      <c r="B358" s="1" t="s">
        <v>3012</v>
      </c>
      <c r="C358" s="1" t="s">
        <v>1687</v>
      </c>
      <c r="D358" t="str">
        <f t="shared" si="30"/>
        <v>019EAA</v>
      </c>
      <c r="E358" t="str">
        <f t="shared" si="31"/>
        <v>1-158-170</v>
      </c>
      <c r="F358" t="str">
        <f t="shared" si="32"/>
        <v>1158170</v>
      </c>
      <c r="G358">
        <f t="shared" si="33"/>
        <v>1</v>
      </c>
      <c r="H358">
        <f t="shared" si="34"/>
        <v>158</v>
      </c>
      <c r="I358">
        <f t="shared" si="35"/>
        <v>170</v>
      </c>
      <c r="J358" s="157" t="str" cm="1">
        <f t="array" ref="J358">myRGB(G358,H358,I358)</f>
        <v/>
      </c>
    </row>
    <row r="359" spans="1:10" ht="17" x14ac:dyDescent="0.25">
      <c r="A359" s="1" t="s">
        <v>361</v>
      </c>
      <c r="B359" s="1" t="s">
        <v>3013</v>
      </c>
      <c r="C359" s="1" t="s">
        <v>1688</v>
      </c>
      <c r="D359" t="str">
        <f t="shared" si="30"/>
        <v>019DAB</v>
      </c>
      <c r="E359" t="str">
        <f t="shared" si="31"/>
        <v>1-157-171</v>
      </c>
      <c r="F359" t="str">
        <f t="shared" si="32"/>
        <v>1157171</v>
      </c>
      <c r="G359">
        <f t="shared" si="33"/>
        <v>1</v>
      </c>
      <c r="H359">
        <f t="shared" si="34"/>
        <v>157</v>
      </c>
      <c r="I359">
        <f t="shared" si="35"/>
        <v>171</v>
      </c>
      <c r="J359" s="369" t="str" cm="1">
        <f t="array" ref="J359">myRGB(G359,H359,I359)</f>
        <v/>
      </c>
    </row>
    <row r="360" spans="1:10" ht="17" x14ac:dyDescent="0.25">
      <c r="A360" s="1" t="s">
        <v>362</v>
      </c>
      <c r="B360" s="1" t="s">
        <v>3014</v>
      </c>
      <c r="C360" s="1" t="s">
        <v>1689</v>
      </c>
      <c r="D360" t="str">
        <f t="shared" si="30"/>
        <v>029EAB</v>
      </c>
      <c r="E360" t="str">
        <f t="shared" si="31"/>
        <v>2-158-171</v>
      </c>
      <c r="F360" t="str">
        <f t="shared" si="32"/>
        <v>2158171</v>
      </c>
      <c r="G360">
        <f t="shared" si="33"/>
        <v>2</v>
      </c>
      <c r="H360">
        <f t="shared" si="34"/>
        <v>158</v>
      </c>
      <c r="I360">
        <f t="shared" si="35"/>
        <v>171</v>
      </c>
      <c r="J360" s="337" t="str" cm="1">
        <f t="array" ref="J360">myRGB(G360,H360,I360)</f>
        <v/>
      </c>
    </row>
    <row r="361" spans="1:10" ht="17" x14ac:dyDescent="0.25">
      <c r="A361" s="1" t="s">
        <v>363</v>
      </c>
      <c r="B361" s="1" t="s">
        <v>3015</v>
      </c>
      <c r="C361" s="1" t="s">
        <v>1690</v>
      </c>
      <c r="D361" t="str">
        <f t="shared" si="30"/>
        <v>009DAA</v>
      </c>
      <c r="E361" t="str">
        <f t="shared" si="31"/>
        <v>0-157-170</v>
      </c>
      <c r="F361" t="str">
        <f t="shared" si="32"/>
        <v>0157170</v>
      </c>
      <c r="G361">
        <f t="shared" si="33"/>
        <v>0</v>
      </c>
      <c r="H361">
        <f t="shared" si="34"/>
        <v>157</v>
      </c>
      <c r="I361">
        <f t="shared" si="35"/>
        <v>170</v>
      </c>
      <c r="J361" s="283" t="str" cm="1">
        <f t="array" ref="J361">myRGB(G361,H361,I361)</f>
        <v/>
      </c>
    </row>
    <row r="362" spans="1:10" ht="17" x14ac:dyDescent="0.25">
      <c r="A362" s="1" t="s">
        <v>364</v>
      </c>
      <c r="B362" s="1" t="s">
        <v>3016</v>
      </c>
      <c r="C362" s="1" t="s">
        <v>1691</v>
      </c>
      <c r="D362" t="str">
        <f t="shared" si="30"/>
        <v>16B0B3</v>
      </c>
      <c r="E362" t="str">
        <f t="shared" si="31"/>
        <v>22-176-179</v>
      </c>
      <c r="F362" t="str">
        <f t="shared" si="32"/>
        <v>22176179</v>
      </c>
      <c r="G362">
        <f t="shared" si="33"/>
        <v>22</v>
      </c>
      <c r="H362">
        <f t="shared" si="34"/>
        <v>176</v>
      </c>
      <c r="I362">
        <f t="shared" si="35"/>
        <v>179</v>
      </c>
      <c r="J362" s="211" t="str" cm="1">
        <f t="array" ref="J362">myRGB(G362,H362,I362)</f>
        <v/>
      </c>
    </row>
    <row r="363" spans="1:10" ht="17" x14ac:dyDescent="0.25">
      <c r="A363" s="1" t="s">
        <v>365</v>
      </c>
      <c r="B363" s="1" t="s">
        <v>3017</v>
      </c>
      <c r="C363" s="1" t="s">
        <v>1692</v>
      </c>
      <c r="D363" t="str">
        <f t="shared" si="30"/>
        <v>15B0B3</v>
      </c>
      <c r="E363" t="str">
        <f t="shared" si="31"/>
        <v>21-176-179</v>
      </c>
      <c r="F363" t="str">
        <f t="shared" si="32"/>
        <v>21176179</v>
      </c>
      <c r="G363">
        <f t="shared" si="33"/>
        <v>21</v>
      </c>
      <c r="H363">
        <f t="shared" si="34"/>
        <v>176</v>
      </c>
      <c r="I363">
        <f t="shared" si="35"/>
        <v>179</v>
      </c>
      <c r="J363" s="51" t="str" cm="1">
        <f t="array" ref="J363">myRGB(G363,H363,I363)</f>
        <v/>
      </c>
    </row>
    <row r="364" spans="1:10" ht="17" x14ac:dyDescent="0.25">
      <c r="A364" s="1" t="s">
        <v>366</v>
      </c>
      <c r="B364" s="1" t="s">
        <v>3018</v>
      </c>
      <c r="C364" s="1" t="s">
        <v>1693</v>
      </c>
      <c r="D364" t="str">
        <f t="shared" si="30"/>
        <v>16AFB3</v>
      </c>
      <c r="E364" t="str">
        <f t="shared" si="31"/>
        <v>22-175-179</v>
      </c>
      <c r="F364" t="str">
        <f t="shared" si="32"/>
        <v>22175179</v>
      </c>
      <c r="G364">
        <f t="shared" si="33"/>
        <v>22</v>
      </c>
      <c r="H364">
        <f t="shared" si="34"/>
        <v>175</v>
      </c>
      <c r="I364">
        <f t="shared" si="35"/>
        <v>179</v>
      </c>
      <c r="J364" s="185" t="str" cm="1">
        <f t="array" ref="J364">myRGB(G364,H364,I364)</f>
        <v/>
      </c>
    </row>
    <row r="365" spans="1:10" ht="17" x14ac:dyDescent="0.25">
      <c r="A365" s="1" t="s">
        <v>367</v>
      </c>
      <c r="B365" s="1" t="s">
        <v>3019</v>
      </c>
      <c r="C365" s="1" t="s">
        <v>1694</v>
      </c>
      <c r="D365" t="str">
        <f t="shared" si="30"/>
        <v>15B0B2</v>
      </c>
      <c r="E365" t="str">
        <f t="shared" si="31"/>
        <v>21-176-178</v>
      </c>
      <c r="F365" t="str">
        <f t="shared" si="32"/>
        <v>21176178</v>
      </c>
      <c r="G365">
        <f t="shared" si="33"/>
        <v>21</v>
      </c>
      <c r="H365">
        <f t="shared" si="34"/>
        <v>176</v>
      </c>
      <c r="I365">
        <f t="shared" si="35"/>
        <v>178</v>
      </c>
      <c r="J365" s="52" t="str" cm="1">
        <f t="array" ref="J365">myRGB(G365,H365,I365)</f>
        <v/>
      </c>
    </row>
    <row r="366" spans="1:10" ht="17" x14ac:dyDescent="0.25">
      <c r="A366" s="1" t="s">
        <v>368</v>
      </c>
      <c r="B366" s="1" t="s">
        <v>3020</v>
      </c>
      <c r="C366" s="1" t="s">
        <v>1695</v>
      </c>
      <c r="D366" t="str">
        <f t="shared" si="30"/>
        <v>15AFB3</v>
      </c>
      <c r="E366" t="str">
        <f t="shared" si="31"/>
        <v>21-175-179</v>
      </c>
      <c r="F366" t="str">
        <f t="shared" si="32"/>
        <v>21175179</v>
      </c>
      <c r="G366">
        <f t="shared" si="33"/>
        <v>21</v>
      </c>
      <c r="H366">
        <f t="shared" si="34"/>
        <v>175</v>
      </c>
      <c r="I366">
        <f t="shared" si="35"/>
        <v>179</v>
      </c>
      <c r="J366" s="126" t="str" cm="1">
        <f t="array" ref="J366">myRGB(G366,H366,I366)</f>
        <v/>
      </c>
    </row>
    <row r="367" spans="1:10" ht="17" x14ac:dyDescent="0.25">
      <c r="A367" s="1" t="s">
        <v>369</v>
      </c>
      <c r="B367" s="1" t="s">
        <v>3021</v>
      </c>
      <c r="C367" s="1" t="s">
        <v>1696</v>
      </c>
      <c r="D367" t="str">
        <f t="shared" si="30"/>
        <v>15AFB2</v>
      </c>
      <c r="E367" t="str">
        <f t="shared" si="31"/>
        <v>21-175-178</v>
      </c>
      <c r="F367" t="str">
        <f t="shared" si="32"/>
        <v>21175178</v>
      </c>
      <c r="G367">
        <f t="shared" si="33"/>
        <v>21</v>
      </c>
      <c r="H367">
        <f t="shared" si="34"/>
        <v>175</v>
      </c>
      <c r="I367">
        <f t="shared" si="35"/>
        <v>178</v>
      </c>
      <c r="J367" s="348" t="str" cm="1">
        <f t="array" ref="J367">myRGB(G367,H367,I367)</f>
        <v/>
      </c>
    </row>
    <row r="368" spans="1:10" ht="17" x14ac:dyDescent="0.25">
      <c r="A368" s="1" t="s">
        <v>370</v>
      </c>
      <c r="B368" s="1" t="s">
        <v>3022</v>
      </c>
      <c r="C368" s="1" t="s">
        <v>1697</v>
      </c>
      <c r="D368" t="str">
        <f t="shared" si="30"/>
        <v>16B0B2</v>
      </c>
      <c r="E368" t="str">
        <f t="shared" si="31"/>
        <v>22-176-178</v>
      </c>
      <c r="F368" t="str">
        <f t="shared" si="32"/>
        <v>22176178</v>
      </c>
      <c r="G368">
        <f t="shared" si="33"/>
        <v>22</v>
      </c>
      <c r="H368">
        <f t="shared" si="34"/>
        <v>176</v>
      </c>
      <c r="I368">
        <f t="shared" si="35"/>
        <v>178</v>
      </c>
      <c r="J368" s="322" t="str" cm="1">
        <f t="array" ref="J368">myRGB(G368,H368,I368)</f>
        <v/>
      </c>
    </row>
    <row r="369" spans="1:10" ht="17" x14ac:dyDescent="0.25">
      <c r="A369" s="1" t="s">
        <v>371</v>
      </c>
      <c r="B369" s="1" t="s">
        <v>3023</v>
      </c>
      <c r="C369" s="1" t="s">
        <v>1698</v>
      </c>
      <c r="D369" t="str">
        <f t="shared" si="30"/>
        <v>0F9683</v>
      </c>
      <c r="E369" t="str">
        <f t="shared" si="31"/>
        <v>15-150-131</v>
      </c>
      <c r="F369" t="str">
        <f t="shared" si="32"/>
        <v>15150131</v>
      </c>
      <c r="G369">
        <f t="shared" si="33"/>
        <v>15</v>
      </c>
      <c r="H369">
        <f t="shared" si="34"/>
        <v>150</v>
      </c>
      <c r="I369">
        <f t="shared" si="35"/>
        <v>131</v>
      </c>
      <c r="J369" s="105" t="str" cm="1">
        <f t="array" ref="J369">myRGB(G369,H369,I369)</f>
        <v/>
      </c>
    </row>
    <row r="370" spans="1:10" ht="17" x14ac:dyDescent="0.25">
      <c r="A370" s="1" t="s">
        <v>372</v>
      </c>
      <c r="B370" s="1" t="s">
        <v>3024</v>
      </c>
      <c r="C370" s="1" t="s">
        <v>1699</v>
      </c>
      <c r="D370" t="str">
        <f t="shared" si="30"/>
        <v>0E9584</v>
      </c>
      <c r="E370" t="str">
        <f t="shared" si="31"/>
        <v>14-149-132</v>
      </c>
      <c r="F370" t="str">
        <f t="shared" si="32"/>
        <v>14149132</v>
      </c>
      <c r="G370">
        <f t="shared" si="33"/>
        <v>14</v>
      </c>
      <c r="H370">
        <f t="shared" si="34"/>
        <v>149</v>
      </c>
      <c r="I370">
        <f t="shared" si="35"/>
        <v>132</v>
      </c>
      <c r="J370" s="312" t="str" cm="1">
        <f t="array" ref="J370">myRGB(G370,H370,I370)</f>
        <v/>
      </c>
    </row>
    <row r="371" spans="1:10" ht="17" x14ac:dyDescent="0.25">
      <c r="A371" s="1" t="s">
        <v>373</v>
      </c>
      <c r="B371" s="1" t="s">
        <v>3025</v>
      </c>
      <c r="C371" s="1" t="s">
        <v>1700</v>
      </c>
      <c r="D371" t="str">
        <f t="shared" si="30"/>
        <v>0E9583</v>
      </c>
      <c r="E371" t="str">
        <f t="shared" si="31"/>
        <v>14-149-131</v>
      </c>
      <c r="F371" t="str">
        <f t="shared" si="32"/>
        <v>14149131</v>
      </c>
      <c r="G371">
        <f t="shared" si="33"/>
        <v>14</v>
      </c>
      <c r="H371">
        <f t="shared" si="34"/>
        <v>149</v>
      </c>
      <c r="I371">
        <f t="shared" si="35"/>
        <v>131</v>
      </c>
      <c r="J371" s="81" t="str" cm="1">
        <f t="array" ref="J371">myRGB(G371,H371,I371)</f>
        <v/>
      </c>
    </row>
    <row r="372" spans="1:10" ht="17" x14ac:dyDescent="0.25">
      <c r="A372" s="1" t="s">
        <v>374</v>
      </c>
      <c r="B372" s="1" t="s">
        <v>3026</v>
      </c>
      <c r="C372" s="1" t="s">
        <v>1701</v>
      </c>
      <c r="D372" t="str">
        <f t="shared" si="30"/>
        <v>0F9684</v>
      </c>
      <c r="E372" t="str">
        <f t="shared" si="31"/>
        <v>15-150-132</v>
      </c>
      <c r="F372" t="str">
        <f t="shared" si="32"/>
        <v>15150132</v>
      </c>
      <c r="G372">
        <f t="shared" si="33"/>
        <v>15</v>
      </c>
      <c r="H372">
        <f t="shared" si="34"/>
        <v>150</v>
      </c>
      <c r="I372">
        <f t="shared" si="35"/>
        <v>132</v>
      </c>
      <c r="J372" s="104" t="str" cm="1">
        <f t="array" ref="J372">myRGB(G372,H372,I372)</f>
        <v/>
      </c>
    </row>
    <row r="373" spans="1:10" ht="17" x14ac:dyDescent="0.25">
      <c r="A373" s="1" t="s">
        <v>375</v>
      </c>
      <c r="B373" s="1" t="s">
        <v>3027</v>
      </c>
      <c r="C373" s="1" t="s">
        <v>1702</v>
      </c>
      <c r="D373" t="str">
        <f t="shared" si="30"/>
        <v>0E9684</v>
      </c>
      <c r="E373" t="str">
        <f t="shared" si="31"/>
        <v>14-150-132</v>
      </c>
      <c r="F373" t="str">
        <f t="shared" si="32"/>
        <v>14150132</v>
      </c>
      <c r="G373">
        <f t="shared" si="33"/>
        <v>14</v>
      </c>
      <c r="H373">
        <f t="shared" si="34"/>
        <v>150</v>
      </c>
      <c r="I373">
        <f t="shared" si="35"/>
        <v>132</v>
      </c>
      <c r="J373" s="82" t="str" cm="1">
        <f t="array" ref="J373">myRGB(G373,H373,I373)</f>
        <v/>
      </c>
    </row>
    <row r="374" spans="1:10" ht="17" x14ac:dyDescent="0.25">
      <c r="A374" s="1" t="s">
        <v>376</v>
      </c>
      <c r="B374" s="1" t="s">
        <v>3028</v>
      </c>
      <c r="C374" s="1" t="s">
        <v>1703</v>
      </c>
      <c r="D374" t="str">
        <f t="shared" si="30"/>
        <v>0E9683</v>
      </c>
      <c r="E374" t="str">
        <f t="shared" si="31"/>
        <v>14-150-131</v>
      </c>
      <c r="F374" t="str">
        <f t="shared" si="32"/>
        <v>14150131</v>
      </c>
      <c r="G374">
        <f t="shared" si="33"/>
        <v>14</v>
      </c>
      <c r="H374">
        <f t="shared" si="34"/>
        <v>150</v>
      </c>
      <c r="I374">
        <f t="shared" si="35"/>
        <v>131</v>
      </c>
      <c r="J374" s="28" t="str" cm="1">
        <f t="array" ref="J374">myRGB(G374,H374,I374)</f>
        <v/>
      </c>
    </row>
    <row r="375" spans="1:10" ht="17" x14ac:dyDescent="0.25">
      <c r="A375" s="1" t="s">
        <v>377</v>
      </c>
      <c r="B375" s="1" t="s">
        <v>3029</v>
      </c>
      <c r="C375" s="1" t="s">
        <v>1704</v>
      </c>
      <c r="D375" t="str">
        <f t="shared" si="30"/>
        <v>0D9E91</v>
      </c>
      <c r="E375" t="str">
        <f t="shared" si="31"/>
        <v>13-158-145</v>
      </c>
      <c r="F375" t="str">
        <f t="shared" si="32"/>
        <v>13158145</v>
      </c>
      <c r="G375">
        <f t="shared" si="33"/>
        <v>13</v>
      </c>
      <c r="H375">
        <f t="shared" si="34"/>
        <v>158</v>
      </c>
      <c r="I375">
        <f t="shared" si="35"/>
        <v>145</v>
      </c>
      <c r="J375" s="30" t="str" cm="1">
        <f t="array" ref="J375">myRGB(G375,H375,I375)</f>
        <v/>
      </c>
    </row>
    <row r="376" spans="1:10" ht="17" x14ac:dyDescent="0.25">
      <c r="A376" s="1" t="s">
        <v>378</v>
      </c>
      <c r="B376" s="1" t="s">
        <v>3030</v>
      </c>
      <c r="C376" s="1" t="s">
        <v>1705</v>
      </c>
      <c r="D376" t="str">
        <f t="shared" si="30"/>
        <v>0D9F90</v>
      </c>
      <c r="E376" t="str">
        <f t="shared" si="31"/>
        <v>13-159-144</v>
      </c>
      <c r="F376" t="str">
        <f t="shared" si="32"/>
        <v>13159144</v>
      </c>
      <c r="G376">
        <f t="shared" si="33"/>
        <v>13</v>
      </c>
      <c r="H376">
        <f t="shared" si="34"/>
        <v>159</v>
      </c>
      <c r="I376">
        <f t="shared" si="35"/>
        <v>144</v>
      </c>
      <c r="J376" s="83" t="str" cm="1">
        <f t="array" ref="J376">myRGB(G376,H376,I376)</f>
        <v/>
      </c>
    </row>
    <row r="377" spans="1:10" ht="17" x14ac:dyDescent="0.25">
      <c r="A377" s="1" t="s">
        <v>379</v>
      </c>
      <c r="B377" s="1" t="s">
        <v>3031</v>
      </c>
      <c r="C377" s="1" t="s">
        <v>1706</v>
      </c>
      <c r="D377" t="str">
        <f t="shared" si="30"/>
        <v>0D9F91</v>
      </c>
      <c r="E377" t="str">
        <f t="shared" si="31"/>
        <v>13-159-145</v>
      </c>
      <c r="F377" t="str">
        <f t="shared" si="32"/>
        <v>13159145</v>
      </c>
      <c r="G377">
        <f t="shared" si="33"/>
        <v>13</v>
      </c>
      <c r="H377">
        <f t="shared" si="34"/>
        <v>159</v>
      </c>
      <c r="I377">
        <f t="shared" si="35"/>
        <v>145</v>
      </c>
      <c r="J377" s="106" t="str" cm="1">
        <f t="array" ref="J377">myRGB(G377,H377,I377)</f>
        <v/>
      </c>
    </row>
    <row r="378" spans="1:10" ht="17" x14ac:dyDescent="0.25">
      <c r="A378" s="1" t="s">
        <v>380</v>
      </c>
      <c r="B378" s="1" t="s">
        <v>3032</v>
      </c>
      <c r="C378" s="1" t="s">
        <v>1707</v>
      </c>
      <c r="D378" t="str">
        <f t="shared" si="30"/>
        <v>0D9E90</v>
      </c>
      <c r="E378" t="str">
        <f t="shared" si="31"/>
        <v>13-158-144</v>
      </c>
      <c r="F378" t="str">
        <f t="shared" si="32"/>
        <v>13158144</v>
      </c>
      <c r="G378">
        <f t="shared" si="33"/>
        <v>13</v>
      </c>
      <c r="H378">
        <f t="shared" si="34"/>
        <v>158</v>
      </c>
      <c r="I378">
        <f t="shared" si="35"/>
        <v>144</v>
      </c>
      <c r="J378" s="116" t="str" cm="1">
        <f t="array" ref="J378">myRGB(G378,H378,I378)</f>
        <v/>
      </c>
    </row>
    <row r="379" spans="1:10" ht="17" x14ac:dyDescent="0.25">
      <c r="A379" s="1" t="s">
        <v>381</v>
      </c>
      <c r="B379" s="1" t="s">
        <v>3033</v>
      </c>
      <c r="C379" s="1" t="s">
        <v>1708</v>
      </c>
      <c r="D379" t="str">
        <f t="shared" si="30"/>
        <v>0E9F91</v>
      </c>
      <c r="E379" t="str">
        <f t="shared" si="31"/>
        <v>14-159-145</v>
      </c>
      <c r="F379" t="str">
        <f t="shared" si="32"/>
        <v>14159145</v>
      </c>
      <c r="G379">
        <f t="shared" si="33"/>
        <v>14</v>
      </c>
      <c r="H379">
        <f t="shared" si="34"/>
        <v>159</v>
      </c>
      <c r="I379">
        <f t="shared" si="35"/>
        <v>145</v>
      </c>
      <c r="J379" s="29" t="str" cm="1">
        <f t="array" ref="J379">myRGB(G379,H379,I379)</f>
        <v/>
      </c>
    </row>
    <row r="380" spans="1:10" ht="17" x14ac:dyDescent="0.25">
      <c r="A380" s="1" t="s">
        <v>382</v>
      </c>
      <c r="B380" s="1" t="s">
        <v>3034</v>
      </c>
      <c r="C380" s="1" t="s">
        <v>1709</v>
      </c>
      <c r="D380" t="str">
        <f t="shared" si="30"/>
        <v>0E9F90</v>
      </c>
      <c r="E380" t="str">
        <f t="shared" si="31"/>
        <v>14-159-144</v>
      </c>
      <c r="F380" t="str">
        <f t="shared" si="32"/>
        <v>14159144</v>
      </c>
      <c r="G380">
        <f t="shared" si="33"/>
        <v>14</v>
      </c>
      <c r="H380">
        <f t="shared" si="34"/>
        <v>159</v>
      </c>
      <c r="I380">
        <f t="shared" si="35"/>
        <v>144</v>
      </c>
      <c r="J380" s="175" t="str" cm="1">
        <f t="array" ref="J380">myRGB(G380,H380,I380)</f>
        <v/>
      </c>
    </row>
    <row r="381" spans="1:10" ht="17" x14ac:dyDescent="0.25">
      <c r="A381" s="1" t="s">
        <v>383</v>
      </c>
      <c r="B381" s="1" t="s">
        <v>3035</v>
      </c>
      <c r="C381" s="1" t="s">
        <v>1710</v>
      </c>
      <c r="D381" t="str">
        <f t="shared" si="30"/>
        <v>99D2BD</v>
      </c>
      <c r="E381" t="str">
        <f t="shared" si="31"/>
        <v>153-210-189</v>
      </c>
      <c r="F381" t="str">
        <f t="shared" si="32"/>
        <v>153210189</v>
      </c>
      <c r="G381">
        <f t="shared" si="33"/>
        <v>153</v>
      </c>
      <c r="H381">
        <f t="shared" si="34"/>
        <v>210</v>
      </c>
      <c r="I381">
        <f t="shared" si="35"/>
        <v>189</v>
      </c>
      <c r="J381" s="114" t="str" cm="1">
        <f t="array" ref="J381">myRGB(G381,H381,I381)</f>
        <v/>
      </c>
    </row>
    <row r="382" spans="1:10" ht="17" x14ac:dyDescent="0.25">
      <c r="A382" s="1" t="s">
        <v>384</v>
      </c>
      <c r="B382" s="1" t="s">
        <v>3036</v>
      </c>
      <c r="C382" s="1" t="s">
        <v>1711</v>
      </c>
      <c r="D382" t="str">
        <f t="shared" si="30"/>
        <v>9AD1BD</v>
      </c>
      <c r="E382" t="str">
        <f t="shared" si="31"/>
        <v>154-209-189</v>
      </c>
      <c r="F382" t="str">
        <f t="shared" si="32"/>
        <v>154209189</v>
      </c>
      <c r="G382">
        <f t="shared" si="33"/>
        <v>154</v>
      </c>
      <c r="H382">
        <f t="shared" si="34"/>
        <v>209</v>
      </c>
      <c r="I382">
        <f t="shared" si="35"/>
        <v>189</v>
      </c>
      <c r="J382" s="73" t="str" cm="1">
        <f t="array" ref="J382">myRGB(G382,H382,I382)</f>
        <v/>
      </c>
    </row>
    <row r="383" spans="1:10" ht="17" x14ac:dyDescent="0.25">
      <c r="A383" s="1" t="s">
        <v>385</v>
      </c>
      <c r="B383" s="1" t="s">
        <v>3037</v>
      </c>
      <c r="C383" s="1" t="s">
        <v>1712</v>
      </c>
      <c r="D383" t="str">
        <f t="shared" si="30"/>
        <v>82C7AE</v>
      </c>
      <c r="E383" t="str">
        <f t="shared" si="31"/>
        <v>130-199-174</v>
      </c>
      <c r="F383" t="str">
        <f t="shared" si="32"/>
        <v>130199174</v>
      </c>
      <c r="G383">
        <f t="shared" si="33"/>
        <v>130</v>
      </c>
      <c r="H383">
        <f t="shared" si="34"/>
        <v>199</v>
      </c>
      <c r="I383">
        <f t="shared" si="35"/>
        <v>174</v>
      </c>
      <c r="J383" s="906" t="str" cm="1">
        <f t="array" ref="J383">myRGB(G383,H383,I383)</f>
        <v/>
      </c>
    </row>
    <row r="384" spans="1:10" ht="17" x14ac:dyDescent="0.25">
      <c r="A384" s="1" t="s">
        <v>386</v>
      </c>
      <c r="B384" s="1" t="s">
        <v>3038</v>
      </c>
      <c r="C384" s="1" t="s">
        <v>1713</v>
      </c>
      <c r="D384" t="str">
        <f t="shared" si="30"/>
        <v>82C7AD</v>
      </c>
      <c r="E384" t="str">
        <f t="shared" si="31"/>
        <v>130-199-173</v>
      </c>
      <c r="F384" t="str">
        <f t="shared" si="32"/>
        <v>130199173</v>
      </c>
      <c r="G384">
        <f t="shared" si="33"/>
        <v>130</v>
      </c>
      <c r="H384">
        <f t="shared" si="34"/>
        <v>199</v>
      </c>
      <c r="I384">
        <f t="shared" si="35"/>
        <v>173</v>
      </c>
      <c r="J384" s="959" t="str" cm="1">
        <f t="array" ref="J384">myRGB(G384,H384,I384)</f>
        <v/>
      </c>
    </row>
    <row r="385" spans="1:10" ht="17" x14ac:dyDescent="0.25">
      <c r="A385" s="1" t="s">
        <v>387</v>
      </c>
      <c r="B385" s="1" t="s">
        <v>3039</v>
      </c>
      <c r="C385" s="1" t="s">
        <v>1714</v>
      </c>
      <c r="D385" t="str">
        <f t="shared" si="30"/>
        <v>9AD2BD</v>
      </c>
      <c r="E385" t="str">
        <f t="shared" si="31"/>
        <v>154-210-189</v>
      </c>
      <c r="F385" t="str">
        <f t="shared" si="32"/>
        <v>154210189</v>
      </c>
      <c r="G385">
        <f t="shared" si="33"/>
        <v>154</v>
      </c>
      <c r="H385">
        <f t="shared" si="34"/>
        <v>210</v>
      </c>
      <c r="I385">
        <f t="shared" si="35"/>
        <v>189</v>
      </c>
      <c r="J385" s="1060" t="str" cm="1">
        <f t="array" ref="J385">myRGB(G385,H385,I385)</f>
        <v/>
      </c>
    </row>
    <row r="386" spans="1:10" ht="17" x14ac:dyDescent="0.25">
      <c r="A386" s="1" t="s">
        <v>388</v>
      </c>
      <c r="B386" s="1" t="s">
        <v>3040</v>
      </c>
      <c r="C386" s="1" t="s">
        <v>1715</v>
      </c>
      <c r="D386" t="str">
        <f t="shared" si="30"/>
        <v>82C6AE</v>
      </c>
      <c r="E386" t="str">
        <f t="shared" si="31"/>
        <v>130-198-174</v>
      </c>
      <c r="F386" t="str">
        <f t="shared" si="32"/>
        <v>130198174</v>
      </c>
      <c r="G386">
        <f t="shared" si="33"/>
        <v>130</v>
      </c>
      <c r="H386">
        <f t="shared" si="34"/>
        <v>198</v>
      </c>
      <c r="I386">
        <f t="shared" si="35"/>
        <v>174</v>
      </c>
      <c r="J386" s="879" t="str" cm="1">
        <f t="array" ref="J386">myRGB(G386,H386,I386)</f>
        <v/>
      </c>
    </row>
    <row r="387" spans="1:10" ht="17" x14ac:dyDescent="0.25">
      <c r="A387" s="1" t="s">
        <v>389</v>
      </c>
      <c r="B387" s="1" t="s">
        <v>3041</v>
      </c>
      <c r="C387" s="1" t="s">
        <v>1716</v>
      </c>
      <c r="D387" t="str">
        <f t="shared" si="30"/>
        <v>9AD2BC</v>
      </c>
      <c r="E387" t="str">
        <f t="shared" si="31"/>
        <v>154-210-188</v>
      </c>
      <c r="F387" t="str">
        <f t="shared" si="32"/>
        <v>154210188</v>
      </c>
      <c r="G387">
        <f t="shared" si="33"/>
        <v>154</v>
      </c>
      <c r="H387">
        <f t="shared" si="34"/>
        <v>210</v>
      </c>
      <c r="I387">
        <f t="shared" si="35"/>
        <v>188</v>
      </c>
      <c r="J387" s="907" t="str" cm="1">
        <f t="array" ref="J387">myRGB(G387,H387,I387)</f>
        <v/>
      </c>
    </row>
    <row r="388" spans="1:10" ht="17" x14ac:dyDescent="0.25">
      <c r="A388" s="1" t="s">
        <v>390</v>
      </c>
      <c r="B388" s="1" t="s">
        <v>3042</v>
      </c>
      <c r="C388" s="1" t="s">
        <v>1717</v>
      </c>
      <c r="D388" t="str">
        <f t="shared" ref="D388:D451" si="36">RIGHT(LEFT(C388,9),6)</f>
        <v>9DF0D2</v>
      </c>
      <c r="E388" t="str">
        <f t="shared" ref="E388:E451" si="37">HEX2DEC(LEFT(D388,2))&amp;"-"&amp;HEX2DEC(MID(D388,3,2))&amp;"-"&amp;HEX2DEC(RIGHT(D388,2))</f>
        <v>157-240-210</v>
      </c>
      <c r="F388" t="str">
        <f t="shared" ref="F388:F451" si="38">HEX2DEC(LEFT(D388,2))&amp;HEX2DEC(MID(D388,3,2))&amp;HEX2DEC(RIGHT(D388,2))</f>
        <v>157240210</v>
      </c>
      <c r="G388">
        <f t="shared" ref="G388:G451" si="39">HEX2DEC(LEFT(D388,2))</f>
        <v>157</v>
      </c>
      <c r="H388">
        <f t="shared" ref="H388:H451" si="40">HEX2DEC(MID(D388,3,2))</f>
        <v>240</v>
      </c>
      <c r="I388">
        <f t="shared" ref="I388:I451" si="41">HEX2DEC(RIGHT(D388,2))</f>
        <v>210</v>
      </c>
      <c r="J388" s="97" t="str" cm="1">
        <f t="array" ref="J388">myRGB(G388,H388,I388)</f>
        <v/>
      </c>
    </row>
    <row r="389" spans="1:10" ht="17" x14ac:dyDescent="0.25">
      <c r="A389" s="1" t="s">
        <v>391</v>
      </c>
      <c r="B389" s="1" t="s">
        <v>3043</v>
      </c>
      <c r="C389" s="1" t="s">
        <v>1718</v>
      </c>
      <c r="D389" t="str">
        <f t="shared" si="36"/>
        <v>9DF0D1</v>
      </c>
      <c r="E389" t="str">
        <f t="shared" si="37"/>
        <v>157-240-209</v>
      </c>
      <c r="F389" t="str">
        <f t="shared" si="38"/>
        <v>157240209</v>
      </c>
      <c r="G389">
        <f t="shared" si="39"/>
        <v>157</v>
      </c>
      <c r="H389">
        <f t="shared" si="40"/>
        <v>240</v>
      </c>
      <c r="I389">
        <f t="shared" si="41"/>
        <v>209</v>
      </c>
      <c r="J389" s="74" t="str" cm="1">
        <f t="array" ref="J389">myRGB(G389,H389,I389)</f>
        <v/>
      </c>
    </row>
    <row r="390" spans="1:10" ht="17" x14ac:dyDescent="0.25">
      <c r="A390" s="1" t="s">
        <v>392</v>
      </c>
      <c r="B390" s="1" t="s">
        <v>3044</v>
      </c>
      <c r="C390" s="1" t="s">
        <v>1719</v>
      </c>
      <c r="D390" t="str">
        <f t="shared" si="36"/>
        <v>95E4C8</v>
      </c>
      <c r="E390" t="str">
        <f t="shared" si="37"/>
        <v>149-228-200</v>
      </c>
      <c r="F390" t="str">
        <f t="shared" si="38"/>
        <v>149228200</v>
      </c>
      <c r="G390">
        <f t="shared" si="39"/>
        <v>149</v>
      </c>
      <c r="H390">
        <f t="shared" si="40"/>
        <v>228</v>
      </c>
      <c r="I390">
        <f t="shared" si="41"/>
        <v>200</v>
      </c>
      <c r="J390" s="20" t="str" cm="1">
        <f t="array" ref="J390">myRGB(G390,H390,I390)</f>
        <v/>
      </c>
    </row>
    <row r="391" spans="1:10" ht="17" x14ac:dyDescent="0.25">
      <c r="A391" s="1" t="s">
        <v>393</v>
      </c>
      <c r="B391" s="1" t="s">
        <v>3045</v>
      </c>
      <c r="C391" s="1" t="s">
        <v>1720</v>
      </c>
      <c r="D391" t="str">
        <f t="shared" si="36"/>
        <v>9DEFD2</v>
      </c>
      <c r="E391" t="str">
        <f t="shared" si="37"/>
        <v>157-239-210</v>
      </c>
      <c r="F391" t="str">
        <f t="shared" si="38"/>
        <v>157239210</v>
      </c>
      <c r="G391">
        <f t="shared" si="39"/>
        <v>157</v>
      </c>
      <c r="H391">
        <f t="shared" si="40"/>
        <v>239</v>
      </c>
      <c r="I391">
        <f t="shared" si="41"/>
        <v>210</v>
      </c>
      <c r="J391" s="310" t="str" cm="1">
        <f t="array" ref="J391">myRGB(G391,H391,I391)</f>
        <v/>
      </c>
    </row>
    <row r="392" spans="1:10" ht="17" x14ac:dyDescent="0.25">
      <c r="A392" s="1" t="s">
        <v>394</v>
      </c>
      <c r="B392" s="1" t="s">
        <v>3046</v>
      </c>
      <c r="C392" s="1" t="s">
        <v>1721</v>
      </c>
      <c r="D392" t="str">
        <f t="shared" si="36"/>
        <v>54BF94</v>
      </c>
      <c r="E392" t="str">
        <f t="shared" si="37"/>
        <v>84-191-148</v>
      </c>
      <c r="F392" t="str">
        <f t="shared" si="38"/>
        <v>84191148</v>
      </c>
      <c r="G392">
        <f t="shared" si="39"/>
        <v>84</v>
      </c>
      <c r="H392">
        <f t="shared" si="40"/>
        <v>191</v>
      </c>
      <c r="I392">
        <f t="shared" si="41"/>
        <v>148</v>
      </c>
      <c r="J392" s="96" t="str" cm="1">
        <f t="array" ref="J392">myRGB(G392,H392,I392)</f>
        <v/>
      </c>
    </row>
    <row r="393" spans="1:10" ht="17" x14ac:dyDescent="0.25">
      <c r="A393" s="1" t="s">
        <v>395</v>
      </c>
      <c r="B393" s="1" t="s">
        <v>3047</v>
      </c>
      <c r="C393" s="1" t="s">
        <v>1722</v>
      </c>
      <c r="D393" t="str">
        <f t="shared" si="36"/>
        <v>54BE94</v>
      </c>
      <c r="E393" t="str">
        <f t="shared" si="37"/>
        <v>84-190-148</v>
      </c>
      <c r="F393" t="str">
        <f t="shared" si="38"/>
        <v>84190148</v>
      </c>
      <c r="G393">
        <f t="shared" si="39"/>
        <v>84</v>
      </c>
      <c r="H393">
        <f t="shared" si="40"/>
        <v>190</v>
      </c>
      <c r="I393">
        <f t="shared" si="41"/>
        <v>148</v>
      </c>
      <c r="J393" s="1010" t="str" cm="1">
        <f t="array" ref="J393">myRGB(G393,H393,I393)</f>
        <v/>
      </c>
    </row>
    <row r="394" spans="1:10" ht="17" x14ac:dyDescent="0.25">
      <c r="A394" s="1" t="s">
        <v>396</v>
      </c>
      <c r="B394" s="1" t="s">
        <v>3048</v>
      </c>
      <c r="C394" s="1" t="s">
        <v>1723</v>
      </c>
      <c r="D394" t="str">
        <f t="shared" si="36"/>
        <v>54BE93</v>
      </c>
      <c r="E394" t="str">
        <f t="shared" si="37"/>
        <v>84-190-147</v>
      </c>
      <c r="F394" t="str">
        <f t="shared" si="38"/>
        <v>84190147</v>
      </c>
      <c r="G394">
        <f t="shared" si="39"/>
        <v>84</v>
      </c>
      <c r="H394">
        <f t="shared" si="40"/>
        <v>190</v>
      </c>
      <c r="I394">
        <f t="shared" si="41"/>
        <v>147</v>
      </c>
      <c r="J394" s="880" t="str" cm="1">
        <f t="array" ref="J394">myRGB(G394,H394,I394)</f>
        <v/>
      </c>
    </row>
    <row r="395" spans="1:10" ht="17" x14ac:dyDescent="0.25">
      <c r="A395" s="1" t="s">
        <v>397</v>
      </c>
      <c r="B395" s="1" t="s">
        <v>3049</v>
      </c>
      <c r="C395" s="1" t="s">
        <v>1724</v>
      </c>
      <c r="D395" t="str">
        <f t="shared" si="36"/>
        <v>53BF93</v>
      </c>
      <c r="E395" t="str">
        <f t="shared" si="37"/>
        <v>83-191-147</v>
      </c>
      <c r="F395" t="str">
        <f t="shared" si="38"/>
        <v>83191147</v>
      </c>
      <c r="G395">
        <f t="shared" si="39"/>
        <v>83</v>
      </c>
      <c r="H395">
        <f t="shared" si="40"/>
        <v>191</v>
      </c>
      <c r="I395">
        <f t="shared" si="41"/>
        <v>147</v>
      </c>
      <c r="J395" s="908" t="str" cm="1">
        <f t="array" ref="J395">myRGB(G395,H395,I395)</f>
        <v/>
      </c>
    </row>
    <row r="396" spans="1:10" ht="17" x14ac:dyDescent="0.25">
      <c r="A396" s="1" t="s">
        <v>398</v>
      </c>
      <c r="B396" s="1" t="s">
        <v>3050</v>
      </c>
      <c r="C396" s="1" t="s">
        <v>1725</v>
      </c>
      <c r="D396" t="str">
        <f t="shared" si="36"/>
        <v>53BE94</v>
      </c>
      <c r="E396" t="str">
        <f t="shared" si="37"/>
        <v>83-190-148</v>
      </c>
      <c r="F396" t="str">
        <f t="shared" si="38"/>
        <v>83190148</v>
      </c>
      <c r="G396">
        <f t="shared" si="39"/>
        <v>83</v>
      </c>
      <c r="H396">
        <f t="shared" si="40"/>
        <v>190</v>
      </c>
      <c r="I396">
        <f t="shared" si="41"/>
        <v>148</v>
      </c>
      <c r="J396" s="960" t="str" cm="1">
        <f t="array" ref="J396">myRGB(G396,H396,I396)</f>
        <v/>
      </c>
    </row>
    <row r="397" spans="1:10" ht="17" x14ac:dyDescent="0.25">
      <c r="A397" s="1" t="s">
        <v>399</v>
      </c>
      <c r="B397" s="1" t="s">
        <v>3051</v>
      </c>
      <c r="C397" s="1" t="s">
        <v>1726</v>
      </c>
      <c r="D397" t="str">
        <f t="shared" si="36"/>
        <v>53BE93</v>
      </c>
      <c r="E397" t="str">
        <f t="shared" si="37"/>
        <v>83-190-147</v>
      </c>
      <c r="F397" t="str">
        <f t="shared" si="38"/>
        <v>83190147</v>
      </c>
      <c r="G397">
        <f t="shared" si="39"/>
        <v>83</v>
      </c>
      <c r="H397">
        <f t="shared" si="40"/>
        <v>190</v>
      </c>
      <c r="I397">
        <f t="shared" si="41"/>
        <v>147</v>
      </c>
      <c r="J397" s="1086" t="str" cm="1">
        <f t="array" ref="J397">myRGB(G397,H397,I397)</f>
        <v/>
      </c>
    </row>
    <row r="398" spans="1:10" ht="17" x14ac:dyDescent="0.25">
      <c r="A398" s="1" t="s">
        <v>400</v>
      </c>
      <c r="B398" s="1" t="s">
        <v>3052</v>
      </c>
      <c r="C398" s="1" t="s">
        <v>1727</v>
      </c>
      <c r="D398" t="str">
        <f t="shared" si="36"/>
        <v>54BF93</v>
      </c>
      <c r="E398" t="str">
        <f t="shared" si="37"/>
        <v>84-191-147</v>
      </c>
      <c r="F398" t="str">
        <f t="shared" si="38"/>
        <v>84191147</v>
      </c>
      <c r="G398">
        <f t="shared" si="39"/>
        <v>84</v>
      </c>
      <c r="H398">
        <f t="shared" si="40"/>
        <v>191</v>
      </c>
      <c r="I398">
        <f t="shared" si="41"/>
        <v>147</v>
      </c>
      <c r="J398" s="881" t="str" cm="1">
        <f t="array" ref="J398">myRGB(G398,H398,I398)</f>
        <v/>
      </c>
    </row>
    <row r="399" spans="1:10" ht="17" x14ac:dyDescent="0.25">
      <c r="A399" s="1" t="s">
        <v>401</v>
      </c>
      <c r="B399" s="1" t="s">
        <v>3053</v>
      </c>
      <c r="C399" s="1" t="s">
        <v>1728</v>
      </c>
      <c r="D399" t="str">
        <f t="shared" si="36"/>
        <v>53BF94</v>
      </c>
      <c r="E399" t="str">
        <f t="shared" si="37"/>
        <v>83-191-148</v>
      </c>
      <c r="F399" t="str">
        <f t="shared" si="38"/>
        <v>83191148</v>
      </c>
      <c r="G399">
        <f t="shared" si="39"/>
        <v>83</v>
      </c>
      <c r="H399">
        <f t="shared" si="40"/>
        <v>191</v>
      </c>
      <c r="I399">
        <f t="shared" si="41"/>
        <v>148</v>
      </c>
      <c r="J399" s="909" t="str" cm="1">
        <f t="array" ref="J399">myRGB(G399,H399,I399)</f>
        <v/>
      </c>
    </row>
    <row r="400" spans="1:10" ht="17" x14ac:dyDescent="0.25">
      <c r="A400" s="1" t="s">
        <v>402</v>
      </c>
      <c r="B400" s="1" t="s">
        <v>3054</v>
      </c>
      <c r="C400" s="1" t="s">
        <v>1729</v>
      </c>
      <c r="D400" t="str">
        <f t="shared" si="36"/>
        <v>62CF9F</v>
      </c>
      <c r="E400" t="str">
        <f t="shared" si="37"/>
        <v>98-207-159</v>
      </c>
      <c r="F400" t="str">
        <f t="shared" si="38"/>
        <v>98207159</v>
      </c>
      <c r="G400">
        <f t="shared" si="39"/>
        <v>98</v>
      </c>
      <c r="H400">
        <f t="shared" si="40"/>
        <v>207</v>
      </c>
      <c r="I400">
        <f t="shared" si="41"/>
        <v>159</v>
      </c>
      <c r="J400" s="238" t="str" cm="1">
        <f t="array" ref="J400">myRGB(G400,H400,I400)</f>
        <v/>
      </c>
    </row>
    <row r="401" spans="1:10" ht="17" x14ac:dyDescent="0.25">
      <c r="A401" s="1" t="s">
        <v>403</v>
      </c>
      <c r="B401" s="1" t="s">
        <v>3055</v>
      </c>
      <c r="C401" s="1" t="s">
        <v>1730</v>
      </c>
      <c r="D401" t="str">
        <f t="shared" si="36"/>
        <v>61D09F</v>
      </c>
      <c r="E401" t="str">
        <f t="shared" si="37"/>
        <v>97-208-159</v>
      </c>
      <c r="F401" t="str">
        <f t="shared" si="38"/>
        <v>97208159</v>
      </c>
      <c r="G401">
        <f t="shared" si="39"/>
        <v>97</v>
      </c>
      <c r="H401">
        <f t="shared" si="40"/>
        <v>208</v>
      </c>
      <c r="I401">
        <f t="shared" si="41"/>
        <v>159</v>
      </c>
      <c r="J401" s="95" t="str" cm="1">
        <f t="array" ref="J401">myRGB(G401,H401,I401)</f>
        <v/>
      </c>
    </row>
    <row r="402" spans="1:10" ht="17" x14ac:dyDescent="0.25">
      <c r="A402" s="1" t="s">
        <v>404</v>
      </c>
      <c r="B402" s="1" t="s">
        <v>3056</v>
      </c>
      <c r="C402" s="1" t="s">
        <v>1731</v>
      </c>
      <c r="D402" t="str">
        <f t="shared" si="36"/>
        <v>62D09F</v>
      </c>
      <c r="E402" t="str">
        <f t="shared" si="37"/>
        <v>98-208-159</v>
      </c>
      <c r="F402" t="str">
        <f t="shared" si="38"/>
        <v>98208159</v>
      </c>
      <c r="G402">
        <f t="shared" si="39"/>
        <v>98</v>
      </c>
      <c r="H402">
        <f t="shared" si="40"/>
        <v>208</v>
      </c>
      <c r="I402">
        <f t="shared" si="41"/>
        <v>159</v>
      </c>
      <c r="J402" s="882" t="str" cm="1">
        <f t="array" ref="J402">myRGB(G402,H402,I402)</f>
        <v/>
      </c>
    </row>
    <row r="403" spans="1:10" ht="17" x14ac:dyDescent="0.25">
      <c r="A403" s="1" t="s">
        <v>405</v>
      </c>
      <c r="B403" s="1" t="s">
        <v>3057</v>
      </c>
      <c r="C403" s="1" t="s">
        <v>1732</v>
      </c>
      <c r="D403" t="str">
        <f t="shared" si="36"/>
        <v>61D09E</v>
      </c>
      <c r="E403" t="str">
        <f t="shared" si="37"/>
        <v>97-208-158</v>
      </c>
      <c r="F403" t="str">
        <f t="shared" si="38"/>
        <v>97208158</v>
      </c>
      <c r="G403">
        <f t="shared" si="39"/>
        <v>97</v>
      </c>
      <c r="H403">
        <f t="shared" si="40"/>
        <v>208</v>
      </c>
      <c r="I403">
        <f t="shared" si="41"/>
        <v>158</v>
      </c>
      <c r="J403" s="910" t="str" cm="1">
        <f t="array" ref="J403">myRGB(G403,H403,I403)</f>
        <v/>
      </c>
    </row>
    <row r="404" spans="1:10" ht="17" x14ac:dyDescent="0.25">
      <c r="A404" s="1" t="s">
        <v>406</v>
      </c>
      <c r="B404" s="1" t="s">
        <v>3058</v>
      </c>
      <c r="C404" s="1" t="s">
        <v>1733</v>
      </c>
      <c r="D404" t="str">
        <f t="shared" si="36"/>
        <v>61CF9F</v>
      </c>
      <c r="E404" t="str">
        <f t="shared" si="37"/>
        <v>97-207-159</v>
      </c>
      <c r="F404" t="str">
        <f t="shared" si="38"/>
        <v>97207159</v>
      </c>
      <c r="G404">
        <f t="shared" si="39"/>
        <v>97</v>
      </c>
      <c r="H404">
        <f t="shared" si="40"/>
        <v>207</v>
      </c>
      <c r="I404">
        <f t="shared" si="41"/>
        <v>159</v>
      </c>
      <c r="J404" s="961" t="str" cm="1">
        <f t="array" ref="J404">myRGB(G404,H404,I404)</f>
        <v/>
      </c>
    </row>
    <row r="405" spans="1:10" ht="17" x14ac:dyDescent="0.25">
      <c r="A405" s="1" t="s">
        <v>407</v>
      </c>
      <c r="B405" s="1" t="s">
        <v>3059</v>
      </c>
      <c r="C405" s="1" t="s">
        <v>1734</v>
      </c>
      <c r="D405" t="str">
        <f t="shared" si="36"/>
        <v>61CF9E</v>
      </c>
      <c r="E405" t="str">
        <f t="shared" si="37"/>
        <v>97-207-158</v>
      </c>
      <c r="F405" t="str">
        <f t="shared" si="38"/>
        <v>97207158</v>
      </c>
      <c r="G405">
        <f t="shared" si="39"/>
        <v>97</v>
      </c>
      <c r="H405">
        <f t="shared" si="40"/>
        <v>207</v>
      </c>
      <c r="I405">
        <f t="shared" si="41"/>
        <v>158</v>
      </c>
      <c r="J405" s="982" t="str" cm="1">
        <f t="array" ref="J405">myRGB(G405,H405,I405)</f>
        <v/>
      </c>
    </row>
    <row r="406" spans="1:10" ht="17" x14ac:dyDescent="0.25">
      <c r="A406" s="1" t="s">
        <v>408</v>
      </c>
      <c r="B406" s="1" t="s">
        <v>3060</v>
      </c>
      <c r="C406" s="1" t="s">
        <v>1735</v>
      </c>
      <c r="D406" t="str">
        <f t="shared" si="36"/>
        <v>62D09D</v>
      </c>
      <c r="E406" t="str">
        <f t="shared" si="37"/>
        <v>98-208-157</v>
      </c>
      <c r="F406" t="str">
        <f t="shared" si="38"/>
        <v>98208157</v>
      </c>
      <c r="G406">
        <f t="shared" si="39"/>
        <v>98</v>
      </c>
      <c r="H406">
        <f t="shared" si="40"/>
        <v>208</v>
      </c>
      <c r="I406">
        <f t="shared" si="41"/>
        <v>157</v>
      </c>
      <c r="J406" s="883" t="str" cm="1">
        <f t="array" ref="J406">myRGB(G406,H406,I406)</f>
        <v/>
      </c>
    </row>
    <row r="407" spans="1:10" ht="17" x14ac:dyDescent="0.25">
      <c r="A407" s="1" t="s">
        <v>409</v>
      </c>
      <c r="B407" s="1" t="s">
        <v>3061</v>
      </c>
      <c r="C407" s="1" t="s">
        <v>1736</v>
      </c>
      <c r="D407" t="str">
        <f t="shared" si="36"/>
        <v>62CF9E</v>
      </c>
      <c r="E407" t="str">
        <f t="shared" si="37"/>
        <v>98-207-158</v>
      </c>
      <c r="F407" t="str">
        <f t="shared" si="38"/>
        <v>98207158</v>
      </c>
      <c r="G407">
        <f t="shared" si="39"/>
        <v>98</v>
      </c>
      <c r="H407">
        <f t="shared" si="40"/>
        <v>207</v>
      </c>
      <c r="I407">
        <f t="shared" si="41"/>
        <v>158</v>
      </c>
      <c r="J407" s="72" t="str" cm="1">
        <f t="array" ref="J407">myRGB(G407,H407,I407)</f>
        <v/>
      </c>
    </row>
    <row r="408" spans="1:10" ht="17" x14ac:dyDescent="0.25">
      <c r="A408" s="1" t="s">
        <v>410</v>
      </c>
      <c r="B408" s="1" t="s">
        <v>3062</v>
      </c>
      <c r="C408" s="1" t="s">
        <v>1737</v>
      </c>
      <c r="D408" t="str">
        <f t="shared" si="36"/>
        <v>62D09E</v>
      </c>
      <c r="E408" t="str">
        <f t="shared" si="37"/>
        <v>98-208-158</v>
      </c>
      <c r="F408" t="str">
        <f t="shared" si="38"/>
        <v>98208158</v>
      </c>
      <c r="G408">
        <f t="shared" si="39"/>
        <v>98</v>
      </c>
      <c r="H408">
        <f t="shared" si="40"/>
        <v>208</v>
      </c>
      <c r="I408">
        <f t="shared" si="41"/>
        <v>158</v>
      </c>
      <c r="J408" s="962" t="str" cm="1">
        <f t="array" ref="J408">myRGB(G408,H408,I408)</f>
        <v/>
      </c>
    </row>
    <row r="409" spans="1:10" ht="17" x14ac:dyDescent="0.25">
      <c r="A409" s="1" t="s">
        <v>411</v>
      </c>
      <c r="B409" s="1" t="s">
        <v>3063</v>
      </c>
      <c r="C409" s="1" t="s">
        <v>1738</v>
      </c>
      <c r="D409" t="str">
        <f t="shared" si="36"/>
        <v>62CE9F</v>
      </c>
      <c r="E409" t="str">
        <f t="shared" si="37"/>
        <v>98-206-159</v>
      </c>
      <c r="F409" t="str">
        <f t="shared" si="38"/>
        <v>98206159</v>
      </c>
      <c r="G409">
        <f t="shared" si="39"/>
        <v>98</v>
      </c>
      <c r="H409">
        <f t="shared" si="40"/>
        <v>206</v>
      </c>
      <c r="I409">
        <f t="shared" si="41"/>
        <v>159</v>
      </c>
      <c r="J409" s="1037" t="str" cm="1">
        <f t="array" ref="J409">myRGB(G409,H409,I409)</f>
        <v/>
      </c>
    </row>
    <row r="410" spans="1:10" ht="17" x14ac:dyDescent="0.25">
      <c r="A410" s="1" t="s">
        <v>412</v>
      </c>
      <c r="B410" s="1" t="s">
        <v>3064</v>
      </c>
      <c r="C410" s="1" t="s">
        <v>1739</v>
      </c>
      <c r="D410" t="str">
        <f t="shared" si="36"/>
        <v>60D09F</v>
      </c>
      <c r="E410" t="str">
        <f t="shared" si="37"/>
        <v>96-208-159</v>
      </c>
      <c r="F410" t="str">
        <f t="shared" si="38"/>
        <v>96208159</v>
      </c>
      <c r="G410">
        <f t="shared" si="39"/>
        <v>96</v>
      </c>
      <c r="H410">
        <f t="shared" si="40"/>
        <v>208</v>
      </c>
      <c r="I410">
        <f t="shared" si="41"/>
        <v>159</v>
      </c>
      <c r="J410" s="884" t="str" cm="1">
        <f t="array" ref="J410">myRGB(G410,H410,I410)</f>
        <v/>
      </c>
    </row>
    <row r="411" spans="1:10" ht="17" x14ac:dyDescent="0.25">
      <c r="A411" s="1" t="s">
        <v>413</v>
      </c>
      <c r="B411" s="1" t="s">
        <v>3065</v>
      </c>
      <c r="C411" s="1" t="s">
        <v>1740</v>
      </c>
      <c r="D411" t="str">
        <f t="shared" si="36"/>
        <v>62CF9D</v>
      </c>
      <c r="E411" t="str">
        <f t="shared" si="37"/>
        <v>98-207-157</v>
      </c>
      <c r="F411" t="str">
        <f t="shared" si="38"/>
        <v>98207157</v>
      </c>
      <c r="G411">
        <f t="shared" si="39"/>
        <v>98</v>
      </c>
      <c r="H411">
        <f t="shared" si="40"/>
        <v>207</v>
      </c>
      <c r="I411">
        <f t="shared" si="41"/>
        <v>157</v>
      </c>
      <c r="J411" s="911" t="str" cm="1">
        <f t="array" ref="J411">myRGB(G411,H411,I411)</f>
        <v/>
      </c>
    </row>
    <row r="412" spans="1:10" ht="17" x14ac:dyDescent="0.25">
      <c r="A412" s="1" t="s">
        <v>414</v>
      </c>
      <c r="B412" s="1" t="s">
        <v>3066</v>
      </c>
      <c r="C412" s="1" t="s">
        <v>1741</v>
      </c>
      <c r="D412" t="str">
        <f t="shared" si="36"/>
        <v>A3DAA3</v>
      </c>
      <c r="E412" t="str">
        <f t="shared" si="37"/>
        <v>163-218-163</v>
      </c>
      <c r="F412" t="str">
        <f t="shared" si="38"/>
        <v>163218163</v>
      </c>
      <c r="G412">
        <f t="shared" si="39"/>
        <v>163</v>
      </c>
      <c r="H412">
        <f t="shared" si="40"/>
        <v>218</v>
      </c>
      <c r="I412">
        <f t="shared" si="41"/>
        <v>163</v>
      </c>
      <c r="J412" s="92" t="str" cm="1">
        <f t="array" ref="J412">myRGB(G412,H412,I412)</f>
        <v/>
      </c>
    </row>
    <row r="413" spans="1:10" ht="17" x14ac:dyDescent="0.25">
      <c r="A413" s="1" t="s">
        <v>415</v>
      </c>
      <c r="B413" s="1" t="s">
        <v>3067</v>
      </c>
      <c r="C413" s="1" t="s">
        <v>1742</v>
      </c>
      <c r="D413" t="str">
        <f t="shared" si="36"/>
        <v>A4D9A4</v>
      </c>
      <c r="E413" t="str">
        <f t="shared" si="37"/>
        <v>164-217-164</v>
      </c>
      <c r="F413" t="str">
        <f t="shared" si="38"/>
        <v>164217164</v>
      </c>
      <c r="G413">
        <f t="shared" si="39"/>
        <v>164</v>
      </c>
      <c r="H413">
        <f t="shared" si="40"/>
        <v>217</v>
      </c>
      <c r="I413">
        <f t="shared" si="41"/>
        <v>164</v>
      </c>
      <c r="J413" s="1177" t="str" cm="1">
        <f t="array" ref="J413">myRGB(G413,H413,I413)</f>
        <v/>
      </c>
    </row>
    <row r="414" spans="1:10" ht="17" x14ac:dyDescent="0.25">
      <c r="A414" s="1" t="s">
        <v>416</v>
      </c>
      <c r="B414" s="1" t="s">
        <v>3068</v>
      </c>
      <c r="C414" s="1" t="s">
        <v>1743</v>
      </c>
      <c r="D414" t="str">
        <f t="shared" si="36"/>
        <v>A3DAA4</v>
      </c>
      <c r="E414" t="str">
        <f t="shared" si="37"/>
        <v>163-218-164</v>
      </c>
      <c r="F414" t="str">
        <f t="shared" si="38"/>
        <v>163218164</v>
      </c>
      <c r="G414">
        <f t="shared" si="39"/>
        <v>163</v>
      </c>
      <c r="H414">
        <f t="shared" si="40"/>
        <v>218</v>
      </c>
      <c r="I414">
        <f t="shared" si="41"/>
        <v>164</v>
      </c>
      <c r="J414" s="885" t="str" cm="1">
        <f t="array" ref="J414">myRGB(G414,H414,I414)</f>
        <v/>
      </c>
    </row>
    <row r="415" spans="1:10" ht="17" x14ac:dyDescent="0.25">
      <c r="A415" s="1" t="s">
        <v>417</v>
      </c>
      <c r="B415" s="1" t="s">
        <v>3069</v>
      </c>
      <c r="C415" s="1" t="s">
        <v>1744</v>
      </c>
      <c r="D415" t="str">
        <f t="shared" si="36"/>
        <v>A4DAA3</v>
      </c>
      <c r="E415" t="str">
        <f t="shared" si="37"/>
        <v>164-218-163</v>
      </c>
      <c r="F415" t="str">
        <f t="shared" si="38"/>
        <v>164218163</v>
      </c>
      <c r="G415">
        <f t="shared" si="39"/>
        <v>164</v>
      </c>
      <c r="H415">
        <f t="shared" si="40"/>
        <v>218</v>
      </c>
      <c r="I415">
        <f t="shared" si="41"/>
        <v>163</v>
      </c>
      <c r="J415" s="912" t="str" cm="1">
        <f t="array" ref="J415">myRGB(G415,H415,I415)</f>
        <v/>
      </c>
    </row>
    <row r="416" spans="1:10" ht="17" x14ac:dyDescent="0.25">
      <c r="A416" s="1" t="s">
        <v>418</v>
      </c>
      <c r="B416" s="1" t="s">
        <v>3070</v>
      </c>
      <c r="C416" s="1" t="s">
        <v>1745</v>
      </c>
      <c r="D416" t="str">
        <f t="shared" si="36"/>
        <v>A4D9A3</v>
      </c>
      <c r="E416" t="str">
        <f t="shared" si="37"/>
        <v>164-217-163</v>
      </c>
      <c r="F416" t="str">
        <f t="shared" si="38"/>
        <v>164217163</v>
      </c>
      <c r="G416">
        <f t="shared" si="39"/>
        <v>164</v>
      </c>
      <c r="H416">
        <f t="shared" si="40"/>
        <v>217</v>
      </c>
      <c r="I416">
        <f t="shared" si="41"/>
        <v>163</v>
      </c>
      <c r="J416" s="963" t="str" cm="1">
        <f t="array" ref="J416">myRGB(G416,H416,I416)</f>
        <v/>
      </c>
    </row>
    <row r="417" spans="1:10" ht="17" x14ac:dyDescent="0.25">
      <c r="A417" s="1" t="s">
        <v>419</v>
      </c>
      <c r="B417" s="1" t="s">
        <v>3071</v>
      </c>
      <c r="C417" s="1" t="s">
        <v>1746</v>
      </c>
      <c r="D417" t="str">
        <f t="shared" si="36"/>
        <v>A4DAA4</v>
      </c>
      <c r="E417" t="str">
        <f t="shared" si="37"/>
        <v>164-218-164</v>
      </c>
      <c r="F417" t="str">
        <f t="shared" si="38"/>
        <v>164218164</v>
      </c>
      <c r="G417">
        <f t="shared" si="39"/>
        <v>164</v>
      </c>
      <c r="H417">
        <f t="shared" si="40"/>
        <v>218</v>
      </c>
      <c r="I417">
        <f t="shared" si="41"/>
        <v>164</v>
      </c>
      <c r="J417" s="1038" t="str" cm="1">
        <f t="array" ref="J417">myRGB(G417,H417,I417)</f>
        <v/>
      </c>
    </row>
    <row r="418" spans="1:10" ht="17" x14ac:dyDescent="0.25">
      <c r="A418" s="1" t="s">
        <v>420</v>
      </c>
      <c r="B418" s="1" t="s">
        <v>3072</v>
      </c>
      <c r="C418" s="1" t="s">
        <v>1747</v>
      </c>
      <c r="D418" t="str">
        <f t="shared" si="36"/>
        <v>6ACAB9</v>
      </c>
      <c r="E418" t="str">
        <f t="shared" si="37"/>
        <v>106-202-185</v>
      </c>
      <c r="F418" t="str">
        <f t="shared" si="38"/>
        <v>106202185</v>
      </c>
      <c r="G418">
        <f t="shared" si="39"/>
        <v>106</v>
      </c>
      <c r="H418">
        <f t="shared" si="40"/>
        <v>202</v>
      </c>
      <c r="I418">
        <f t="shared" si="41"/>
        <v>185</v>
      </c>
      <c r="J418" s="69" t="str" cm="1">
        <f t="array" ref="J418">myRGB(G418,H418,I418)</f>
        <v/>
      </c>
    </row>
    <row r="419" spans="1:10" ht="17" x14ac:dyDescent="0.25">
      <c r="A419" s="1" t="s">
        <v>421</v>
      </c>
      <c r="B419" s="1" t="s">
        <v>3073</v>
      </c>
      <c r="C419" s="1" t="s">
        <v>1748</v>
      </c>
      <c r="D419" t="str">
        <f t="shared" si="36"/>
        <v>6ACBBA</v>
      </c>
      <c r="E419" t="str">
        <f t="shared" si="37"/>
        <v>106-203-186</v>
      </c>
      <c r="F419" t="str">
        <f t="shared" si="38"/>
        <v>106203186</v>
      </c>
      <c r="G419">
        <f t="shared" si="39"/>
        <v>106</v>
      </c>
      <c r="H419">
        <f t="shared" si="40"/>
        <v>203</v>
      </c>
      <c r="I419">
        <f t="shared" si="41"/>
        <v>186</v>
      </c>
      <c r="J419" s="913" t="str" cm="1">
        <f t="array" ref="J419">myRGB(G419,H419,I419)</f>
        <v/>
      </c>
    </row>
    <row r="420" spans="1:10" ht="17" x14ac:dyDescent="0.25">
      <c r="A420" s="1" t="s">
        <v>422</v>
      </c>
      <c r="B420" s="1" t="s">
        <v>3074</v>
      </c>
      <c r="C420" s="1" t="s">
        <v>1749</v>
      </c>
      <c r="D420" t="str">
        <f t="shared" si="36"/>
        <v>6ACBB9</v>
      </c>
      <c r="E420" t="str">
        <f t="shared" si="37"/>
        <v>106-203-185</v>
      </c>
      <c r="F420" t="str">
        <f t="shared" si="38"/>
        <v>106203185</v>
      </c>
      <c r="G420">
        <f t="shared" si="39"/>
        <v>106</v>
      </c>
      <c r="H420">
        <f t="shared" si="40"/>
        <v>203</v>
      </c>
      <c r="I420">
        <f t="shared" si="41"/>
        <v>185</v>
      </c>
      <c r="J420" s="964" t="str" cm="1">
        <f t="array" ref="J420">myRGB(G420,H420,I420)</f>
        <v/>
      </c>
    </row>
    <row r="421" spans="1:10" ht="17" x14ac:dyDescent="0.25">
      <c r="A421" s="1" t="s">
        <v>423</v>
      </c>
      <c r="B421" s="1" t="s">
        <v>3075</v>
      </c>
      <c r="C421" s="1" t="s">
        <v>1750</v>
      </c>
      <c r="D421" t="str">
        <f t="shared" si="36"/>
        <v>6ACABA</v>
      </c>
      <c r="E421" t="str">
        <f t="shared" si="37"/>
        <v>106-202-186</v>
      </c>
      <c r="F421" t="str">
        <f t="shared" si="38"/>
        <v>106202186</v>
      </c>
      <c r="G421">
        <f t="shared" si="39"/>
        <v>106</v>
      </c>
      <c r="H421">
        <f t="shared" si="40"/>
        <v>202</v>
      </c>
      <c r="I421">
        <f t="shared" si="41"/>
        <v>186</v>
      </c>
      <c r="J421" s="1100" t="str" cm="1">
        <f t="array" ref="J421">myRGB(G421,H421,I421)</f>
        <v/>
      </c>
    </row>
    <row r="422" spans="1:10" ht="17" x14ac:dyDescent="0.25">
      <c r="A422" s="1" t="s">
        <v>424</v>
      </c>
      <c r="B422" s="1" t="s">
        <v>3076</v>
      </c>
      <c r="C422" s="1" t="s">
        <v>1751</v>
      </c>
      <c r="D422" t="str">
        <f t="shared" si="36"/>
        <v>69CBBA</v>
      </c>
      <c r="E422" t="str">
        <f t="shared" si="37"/>
        <v>105-203-186</v>
      </c>
      <c r="F422" t="str">
        <f t="shared" si="38"/>
        <v>105203186</v>
      </c>
      <c r="G422">
        <f t="shared" si="39"/>
        <v>105</v>
      </c>
      <c r="H422">
        <f t="shared" si="40"/>
        <v>203</v>
      </c>
      <c r="I422">
        <f t="shared" si="41"/>
        <v>186</v>
      </c>
      <c r="J422" s="886" t="str" cm="1">
        <f t="array" ref="J422">myRGB(G422,H422,I422)</f>
        <v/>
      </c>
    </row>
    <row r="423" spans="1:10" ht="17" x14ac:dyDescent="0.25">
      <c r="A423" s="1" t="s">
        <v>425</v>
      </c>
      <c r="B423" s="1" t="s">
        <v>3077</v>
      </c>
      <c r="C423" s="1" t="s">
        <v>1752</v>
      </c>
      <c r="D423" t="str">
        <f t="shared" si="36"/>
        <v>95E3C7</v>
      </c>
      <c r="E423" t="str">
        <f t="shared" si="37"/>
        <v>149-227-199</v>
      </c>
      <c r="F423" t="str">
        <f t="shared" si="38"/>
        <v>149227199</v>
      </c>
      <c r="G423">
        <f t="shared" si="39"/>
        <v>149</v>
      </c>
      <c r="H423">
        <f t="shared" si="40"/>
        <v>227</v>
      </c>
      <c r="I423">
        <f t="shared" si="41"/>
        <v>199</v>
      </c>
      <c r="J423" s="18" t="str" cm="1">
        <f t="array" ref="J423">myRGB(G423,H423,I423)</f>
        <v/>
      </c>
    </row>
    <row r="424" spans="1:10" ht="17" x14ac:dyDescent="0.25">
      <c r="A424" s="1" t="s">
        <v>426</v>
      </c>
      <c r="B424" s="1" t="s">
        <v>3078</v>
      </c>
      <c r="C424" s="1" t="s">
        <v>1753</v>
      </c>
      <c r="D424" t="str">
        <f t="shared" si="36"/>
        <v>94E4C8</v>
      </c>
      <c r="E424" t="str">
        <f t="shared" si="37"/>
        <v>148-228-200</v>
      </c>
      <c r="F424" t="str">
        <f t="shared" si="38"/>
        <v>148228200</v>
      </c>
      <c r="G424">
        <f t="shared" si="39"/>
        <v>148</v>
      </c>
      <c r="H424">
        <f t="shared" si="40"/>
        <v>228</v>
      </c>
      <c r="I424">
        <f t="shared" si="41"/>
        <v>200</v>
      </c>
      <c r="J424" s="965" t="str" cm="1">
        <f t="array" ref="J424">myRGB(G424,H424,I424)</f>
        <v/>
      </c>
    </row>
    <row r="425" spans="1:10" ht="17" x14ac:dyDescent="0.25">
      <c r="A425" s="1" t="s">
        <v>427</v>
      </c>
      <c r="B425" s="1" t="s">
        <v>3079</v>
      </c>
      <c r="C425" s="1" t="s">
        <v>1754</v>
      </c>
      <c r="D425" t="str">
        <f t="shared" si="36"/>
        <v>95E4C7</v>
      </c>
      <c r="E425" t="str">
        <f t="shared" si="37"/>
        <v>149-228-199</v>
      </c>
      <c r="F425" t="str">
        <f t="shared" si="38"/>
        <v>149228199</v>
      </c>
      <c r="G425">
        <f t="shared" si="39"/>
        <v>149</v>
      </c>
      <c r="H425">
        <f t="shared" si="40"/>
        <v>228</v>
      </c>
      <c r="I425">
        <f t="shared" si="41"/>
        <v>199</v>
      </c>
      <c r="J425" s="94" t="str" cm="1">
        <f t="array" ref="J425">myRGB(G425,H425,I425)</f>
        <v/>
      </c>
    </row>
    <row r="426" spans="1:10" ht="17" x14ac:dyDescent="0.25">
      <c r="A426" s="1" t="s">
        <v>428</v>
      </c>
      <c r="B426" s="1" t="s">
        <v>3080</v>
      </c>
      <c r="C426" s="1" t="s">
        <v>1755</v>
      </c>
      <c r="D426" t="str">
        <f t="shared" si="36"/>
        <v>95E3C8</v>
      </c>
      <c r="E426" t="str">
        <f t="shared" si="37"/>
        <v>149-227-200</v>
      </c>
      <c r="F426" t="str">
        <f t="shared" si="38"/>
        <v>149227200</v>
      </c>
      <c r="G426">
        <f t="shared" si="39"/>
        <v>149</v>
      </c>
      <c r="H426">
        <f t="shared" si="40"/>
        <v>227</v>
      </c>
      <c r="I426">
        <f t="shared" si="41"/>
        <v>200</v>
      </c>
      <c r="J426" s="71" t="str" cm="1">
        <f t="array" ref="J426">myRGB(G426,H426,I426)</f>
        <v/>
      </c>
    </row>
    <row r="427" spans="1:10" ht="17" x14ac:dyDescent="0.25">
      <c r="A427" s="1" t="s">
        <v>429</v>
      </c>
      <c r="B427" s="1" t="s">
        <v>3081</v>
      </c>
      <c r="C427" s="1" t="s">
        <v>1756</v>
      </c>
      <c r="D427" t="str">
        <f t="shared" si="36"/>
        <v>94E4C7</v>
      </c>
      <c r="E427" t="str">
        <f t="shared" si="37"/>
        <v>148-228-199</v>
      </c>
      <c r="F427" t="str">
        <f t="shared" si="38"/>
        <v>148228199</v>
      </c>
      <c r="G427">
        <f t="shared" si="39"/>
        <v>148</v>
      </c>
      <c r="H427">
        <f t="shared" si="40"/>
        <v>228</v>
      </c>
      <c r="I427">
        <f t="shared" si="41"/>
        <v>199</v>
      </c>
      <c r="J427" s="172" t="str" cm="1">
        <f t="array" ref="J427">myRGB(G427,H427,I427)</f>
        <v/>
      </c>
    </row>
    <row r="428" spans="1:10" ht="17" x14ac:dyDescent="0.25">
      <c r="A428" s="1" t="s">
        <v>430</v>
      </c>
      <c r="B428" s="1" t="s">
        <v>3082</v>
      </c>
      <c r="C428" s="1" t="s">
        <v>1757</v>
      </c>
      <c r="D428" t="str">
        <f t="shared" si="36"/>
        <v>60E7B5</v>
      </c>
      <c r="E428" t="str">
        <f t="shared" si="37"/>
        <v>96-231-181</v>
      </c>
      <c r="F428" t="str">
        <f t="shared" si="38"/>
        <v>96231181</v>
      </c>
      <c r="G428">
        <f t="shared" si="39"/>
        <v>96</v>
      </c>
      <c r="H428">
        <f t="shared" si="40"/>
        <v>231</v>
      </c>
      <c r="I428">
        <f t="shared" si="41"/>
        <v>181</v>
      </c>
      <c r="J428" s="17" t="str" cm="1">
        <f t="array" ref="J428">myRGB(G428,H428,I428)</f>
        <v/>
      </c>
    </row>
    <row r="429" spans="1:10" ht="17" x14ac:dyDescent="0.25">
      <c r="A429" s="1" t="s">
        <v>431</v>
      </c>
      <c r="B429" s="1" t="s">
        <v>3083</v>
      </c>
      <c r="C429" s="1" t="s">
        <v>1758</v>
      </c>
      <c r="D429" t="str">
        <f t="shared" si="36"/>
        <v>60E5B7</v>
      </c>
      <c r="E429" t="str">
        <f t="shared" si="37"/>
        <v>96-229-183</v>
      </c>
      <c r="F429" t="str">
        <f t="shared" si="38"/>
        <v>96229183</v>
      </c>
      <c r="G429">
        <f t="shared" si="39"/>
        <v>96</v>
      </c>
      <c r="H429">
        <f t="shared" si="40"/>
        <v>229</v>
      </c>
      <c r="I429">
        <f t="shared" si="41"/>
        <v>183</v>
      </c>
      <c r="J429" s="113" t="str" cm="1">
        <f t="array" ref="J429">myRGB(G429,H429,I429)</f>
        <v/>
      </c>
    </row>
    <row r="430" spans="1:10" ht="17" x14ac:dyDescent="0.25">
      <c r="A430" s="1" t="s">
        <v>432</v>
      </c>
      <c r="B430" s="1" t="s">
        <v>3084</v>
      </c>
      <c r="C430" s="1" t="s">
        <v>1759</v>
      </c>
      <c r="D430" t="str">
        <f t="shared" si="36"/>
        <v>61E7B7</v>
      </c>
      <c r="E430" t="str">
        <f t="shared" si="37"/>
        <v>97-231-183</v>
      </c>
      <c r="F430" t="str">
        <f t="shared" si="38"/>
        <v>97231183</v>
      </c>
      <c r="G430">
        <f t="shared" si="39"/>
        <v>97</v>
      </c>
      <c r="H430">
        <f t="shared" si="40"/>
        <v>231</v>
      </c>
      <c r="I430">
        <f t="shared" si="41"/>
        <v>183</v>
      </c>
      <c r="J430" s="887" t="str" cm="1">
        <f t="array" ref="J430">myRGB(G430,H430,I430)</f>
        <v/>
      </c>
    </row>
    <row r="431" spans="1:10" ht="17" x14ac:dyDescent="0.25">
      <c r="A431" s="1" t="s">
        <v>433</v>
      </c>
      <c r="B431" s="1" t="s">
        <v>3085</v>
      </c>
      <c r="C431" s="1" t="s">
        <v>1760</v>
      </c>
      <c r="D431" t="str">
        <f t="shared" si="36"/>
        <v>61E7B6</v>
      </c>
      <c r="E431" t="str">
        <f t="shared" si="37"/>
        <v>97-231-182</v>
      </c>
      <c r="F431" t="str">
        <f t="shared" si="38"/>
        <v>97231182</v>
      </c>
      <c r="G431">
        <f t="shared" si="39"/>
        <v>97</v>
      </c>
      <c r="H431">
        <f t="shared" si="40"/>
        <v>231</v>
      </c>
      <c r="I431">
        <f t="shared" si="41"/>
        <v>182</v>
      </c>
      <c r="J431" s="914" t="str" cm="1">
        <f t="array" ref="J431">myRGB(G431,H431,I431)</f>
        <v/>
      </c>
    </row>
    <row r="432" spans="1:10" ht="17" x14ac:dyDescent="0.25">
      <c r="A432" s="1" t="s">
        <v>434</v>
      </c>
      <c r="B432" s="1" t="s">
        <v>3086</v>
      </c>
      <c r="C432" s="1" t="s">
        <v>1761</v>
      </c>
      <c r="D432" t="str">
        <f t="shared" si="36"/>
        <v>61E6B7</v>
      </c>
      <c r="E432" t="str">
        <f t="shared" si="37"/>
        <v>97-230-183</v>
      </c>
      <c r="F432" t="str">
        <f t="shared" si="38"/>
        <v>97230183</v>
      </c>
      <c r="G432">
        <f t="shared" si="39"/>
        <v>97</v>
      </c>
      <c r="H432">
        <f t="shared" si="40"/>
        <v>230</v>
      </c>
      <c r="I432">
        <f t="shared" si="41"/>
        <v>183</v>
      </c>
      <c r="J432" s="966" t="str" cm="1">
        <f t="array" ref="J432">myRGB(G432,H432,I432)</f>
        <v/>
      </c>
    </row>
    <row r="433" spans="1:10" ht="17" x14ac:dyDescent="0.25">
      <c r="A433" s="1" t="s">
        <v>435</v>
      </c>
      <c r="B433" s="1" t="s">
        <v>3087</v>
      </c>
      <c r="C433" s="1" t="s">
        <v>1762</v>
      </c>
      <c r="D433" t="str">
        <f t="shared" si="36"/>
        <v>5FE7B6</v>
      </c>
      <c r="E433" t="str">
        <f t="shared" si="37"/>
        <v>95-231-182</v>
      </c>
      <c r="F433" t="str">
        <f t="shared" si="38"/>
        <v>95231182</v>
      </c>
      <c r="G433">
        <f t="shared" si="39"/>
        <v>95</v>
      </c>
      <c r="H433">
        <f t="shared" si="40"/>
        <v>231</v>
      </c>
      <c r="I433">
        <f t="shared" si="41"/>
        <v>182</v>
      </c>
      <c r="J433" s="93" t="str" cm="1">
        <f t="array" ref="J433">myRGB(G433,H433,I433)</f>
        <v/>
      </c>
    </row>
    <row r="434" spans="1:10" ht="17" x14ac:dyDescent="0.25">
      <c r="A434" s="1" t="s">
        <v>436</v>
      </c>
      <c r="B434" s="1" t="s">
        <v>3088</v>
      </c>
      <c r="C434" s="1" t="s">
        <v>1763</v>
      </c>
      <c r="D434" t="str">
        <f t="shared" si="36"/>
        <v>5FE6B7</v>
      </c>
      <c r="E434" t="str">
        <f t="shared" si="37"/>
        <v>95-230-183</v>
      </c>
      <c r="F434" t="str">
        <f t="shared" si="38"/>
        <v>95230183</v>
      </c>
      <c r="G434">
        <f t="shared" si="39"/>
        <v>95</v>
      </c>
      <c r="H434">
        <f t="shared" si="40"/>
        <v>230</v>
      </c>
      <c r="I434">
        <f t="shared" si="41"/>
        <v>183</v>
      </c>
      <c r="J434" s="70" t="str" cm="1">
        <f t="array" ref="J434">myRGB(G434,H434,I434)</f>
        <v/>
      </c>
    </row>
    <row r="435" spans="1:10" ht="17" x14ac:dyDescent="0.25">
      <c r="A435" s="1" t="s">
        <v>437</v>
      </c>
      <c r="B435" s="1" t="s">
        <v>3089</v>
      </c>
      <c r="C435" s="1" t="s">
        <v>1764</v>
      </c>
      <c r="D435" t="str">
        <f t="shared" si="36"/>
        <v>61E6B5</v>
      </c>
      <c r="E435" t="str">
        <f t="shared" si="37"/>
        <v>97-230-181</v>
      </c>
      <c r="F435" t="str">
        <f t="shared" si="38"/>
        <v>97230181</v>
      </c>
      <c r="G435">
        <f t="shared" si="39"/>
        <v>97</v>
      </c>
      <c r="H435">
        <f t="shared" si="40"/>
        <v>230</v>
      </c>
      <c r="I435">
        <f t="shared" si="41"/>
        <v>181</v>
      </c>
      <c r="J435" s="915" t="str" cm="1">
        <f t="array" ref="J435">myRGB(G435,H435,I435)</f>
        <v/>
      </c>
    </row>
    <row r="436" spans="1:10" ht="17" x14ac:dyDescent="0.25">
      <c r="A436" s="1" t="s">
        <v>438</v>
      </c>
      <c r="B436" s="1" t="s">
        <v>3090</v>
      </c>
      <c r="C436" s="1" t="s">
        <v>1765</v>
      </c>
      <c r="D436" t="str">
        <f t="shared" si="36"/>
        <v>61E5B7</v>
      </c>
      <c r="E436" t="str">
        <f t="shared" si="37"/>
        <v>97-229-183</v>
      </c>
      <c r="F436" t="str">
        <f t="shared" si="38"/>
        <v>97229183</v>
      </c>
      <c r="G436">
        <f t="shared" si="39"/>
        <v>97</v>
      </c>
      <c r="H436">
        <f t="shared" si="40"/>
        <v>229</v>
      </c>
      <c r="I436">
        <f t="shared" si="41"/>
        <v>183</v>
      </c>
      <c r="J436" s="967" t="str" cm="1">
        <f t="array" ref="J436">myRGB(G436,H436,I436)</f>
        <v/>
      </c>
    </row>
    <row r="437" spans="1:10" ht="17" x14ac:dyDescent="0.25">
      <c r="A437" s="1" t="s">
        <v>439</v>
      </c>
      <c r="B437" s="1" t="s">
        <v>3091</v>
      </c>
      <c r="C437" s="1" t="s">
        <v>1766</v>
      </c>
      <c r="D437" t="str">
        <f t="shared" si="36"/>
        <v>60E7B7</v>
      </c>
      <c r="E437" t="str">
        <f t="shared" si="37"/>
        <v>96-231-183</v>
      </c>
      <c r="F437" t="str">
        <f t="shared" si="38"/>
        <v>96231183</v>
      </c>
      <c r="G437">
        <f t="shared" si="39"/>
        <v>96</v>
      </c>
      <c r="H437">
        <f t="shared" si="40"/>
        <v>231</v>
      </c>
      <c r="I437">
        <f t="shared" si="41"/>
        <v>183</v>
      </c>
      <c r="J437" s="1093" t="str" cm="1">
        <f t="array" ref="J437">myRGB(G437,H437,I437)</f>
        <v/>
      </c>
    </row>
    <row r="438" spans="1:10" ht="17" x14ac:dyDescent="0.25">
      <c r="A438" s="1" t="s">
        <v>440</v>
      </c>
      <c r="B438" s="1" t="s">
        <v>3092</v>
      </c>
      <c r="C438" s="1" t="s">
        <v>1767</v>
      </c>
      <c r="D438" t="str">
        <f t="shared" si="36"/>
        <v>61E6B6</v>
      </c>
      <c r="E438" t="str">
        <f t="shared" si="37"/>
        <v>97-230-182</v>
      </c>
      <c r="F438" t="str">
        <f t="shared" si="38"/>
        <v>97230182</v>
      </c>
      <c r="G438">
        <f t="shared" si="39"/>
        <v>97</v>
      </c>
      <c r="H438">
        <f t="shared" si="40"/>
        <v>230</v>
      </c>
      <c r="I438">
        <f t="shared" si="41"/>
        <v>182</v>
      </c>
      <c r="J438" s="888" t="str" cm="1">
        <f t="array" ref="J438">myRGB(G438,H438,I438)</f>
        <v/>
      </c>
    </row>
    <row r="439" spans="1:10" ht="17" x14ac:dyDescent="0.25">
      <c r="A439" s="1" t="s">
        <v>441</v>
      </c>
      <c r="B439" s="1" t="s">
        <v>3093</v>
      </c>
      <c r="C439" s="1" t="s">
        <v>1768</v>
      </c>
      <c r="D439" t="str">
        <f t="shared" si="36"/>
        <v>60E7B6</v>
      </c>
      <c r="E439" t="str">
        <f t="shared" si="37"/>
        <v>96-231-182</v>
      </c>
      <c r="F439" t="str">
        <f t="shared" si="38"/>
        <v>96231182</v>
      </c>
      <c r="G439">
        <f t="shared" si="39"/>
        <v>96</v>
      </c>
      <c r="H439">
        <f t="shared" si="40"/>
        <v>231</v>
      </c>
      <c r="I439">
        <f t="shared" si="41"/>
        <v>182</v>
      </c>
      <c r="J439" s="916" t="str" cm="1">
        <f t="array" ref="J439">myRGB(G439,H439,I439)</f>
        <v/>
      </c>
    </row>
    <row r="440" spans="1:10" ht="17" x14ac:dyDescent="0.25">
      <c r="A440" s="1" t="s">
        <v>442</v>
      </c>
      <c r="B440" s="1" t="s">
        <v>3094</v>
      </c>
      <c r="C440" s="1" t="s">
        <v>1769</v>
      </c>
      <c r="D440" t="str">
        <f t="shared" si="36"/>
        <v>60E6B5</v>
      </c>
      <c r="E440" t="str">
        <f t="shared" si="37"/>
        <v>96-230-181</v>
      </c>
      <c r="F440" t="str">
        <f t="shared" si="38"/>
        <v>96230181</v>
      </c>
      <c r="G440">
        <f t="shared" si="39"/>
        <v>96</v>
      </c>
      <c r="H440">
        <f t="shared" si="40"/>
        <v>230</v>
      </c>
      <c r="I440">
        <f t="shared" si="41"/>
        <v>181</v>
      </c>
      <c r="J440" s="16" t="str" cm="1">
        <f t="array" ref="J440">myRGB(G440,H440,I440)</f>
        <v/>
      </c>
    </row>
    <row r="441" spans="1:10" ht="17" x14ac:dyDescent="0.25">
      <c r="A441" s="1" t="s">
        <v>443</v>
      </c>
      <c r="B441" s="1" t="s">
        <v>3095</v>
      </c>
      <c r="C441" s="1" t="s">
        <v>1770</v>
      </c>
      <c r="D441" t="str">
        <f t="shared" si="36"/>
        <v>61E5B6</v>
      </c>
      <c r="E441" t="str">
        <f t="shared" si="37"/>
        <v>97-229-182</v>
      </c>
      <c r="F441" t="str">
        <f t="shared" si="38"/>
        <v>97229182</v>
      </c>
      <c r="G441">
        <f t="shared" si="39"/>
        <v>97</v>
      </c>
      <c r="H441">
        <f t="shared" si="40"/>
        <v>229</v>
      </c>
      <c r="I441">
        <f t="shared" si="41"/>
        <v>182</v>
      </c>
      <c r="J441" s="1039" t="str" cm="1">
        <f t="array" ref="J441">myRGB(G441,H441,I441)</f>
        <v/>
      </c>
    </row>
    <row r="442" spans="1:10" ht="17" x14ac:dyDescent="0.25">
      <c r="A442" s="1" t="s">
        <v>444</v>
      </c>
      <c r="B442" s="1" t="s">
        <v>3096</v>
      </c>
      <c r="C442" s="1" t="s">
        <v>1771</v>
      </c>
      <c r="D442" t="str">
        <f t="shared" si="36"/>
        <v>5FE7B7</v>
      </c>
      <c r="E442" t="str">
        <f t="shared" si="37"/>
        <v>95-231-183</v>
      </c>
      <c r="F442" t="str">
        <f t="shared" si="38"/>
        <v>95231183</v>
      </c>
      <c r="G442">
        <f t="shared" si="39"/>
        <v>95</v>
      </c>
      <c r="H442">
        <f t="shared" si="40"/>
        <v>231</v>
      </c>
      <c r="I442">
        <f t="shared" si="41"/>
        <v>183</v>
      </c>
      <c r="J442" s="889" t="str" cm="1">
        <f t="array" ref="J442">myRGB(G442,H442,I442)</f>
        <v/>
      </c>
    </row>
    <row r="443" spans="1:10" ht="17" x14ac:dyDescent="0.25">
      <c r="A443" s="1" t="s">
        <v>445</v>
      </c>
      <c r="B443" s="1" t="s">
        <v>3097</v>
      </c>
      <c r="C443" s="1" t="s">
        <v>1772</v>
      </c>
      <c r="D443" t="str">
        <f t="shared" si="36"/>
        <v>60E6B7</v>
      </c>
      <c r="E443" t="str">
        <f t="shared" si="37"/>
        <v>96-230-183</v>
      </c>
      <c r="F443" t="str">
        <f t="shared" si="38"/>
        <v>96230183</v>
      </c>
      <c r="G443">
        <f t="shared" si="39"/>
        <v>96</v>
      </c>
      <c r="H443">
        <f t="shared" si="40"/>
        <v>230</v>
      </c>
      <c r="I443">
        <f t="shared" si="41"/>
        <v>183</v>
      </c>
      <c r="J443" s="917" t="str" cm="1">
        <f t="array" ref="J443">myRGB(G443,H443,I443)</f>
        <v/>
      </c>
    </row>
    <row r="444" spans="1:10" ht="17" x14ac:dyDescent="0.25">
      <c r="A444" s="1" t="s">
        <v>446</v>
      </c>
      <c r="B444" s="1" t="s">
        <v>3098</v>
      </c>
      <c r="C444" s="1" t="s">
        <v>1773</v>
      </c>
      <c r="D444" t="str">
        <f t="shared" si="36"/>
        <v>60E6B6</v>
      </c>
      <c r="E444" t="str">
        <f t="shared" si="37"/>
        <v>96-230-182</v>
      </c>
      <c r="F444" t="str">
        <f t="shared" si="38"/>
        <v>96230182</v>
      </c>
      <c r="G444">
        <f t="shared" si="39"/>
        <v>96</v>
      </c>
      <c r="H444">
        <f t="shared" si="40"/>
        <v>230</v>
      </c>
      <c r="I444">
        <f t="shared" si="41"/>
        <v>182</v>
      </c>
      <c r="J444" s="968" t="str" cm="1">
        <f t="array" ref="J444">myRGB(G444,H444,I444)</f>
        <v/>
      </c>
    </row>
    <row r="445" spans="1:10" ht="17" x14ac:dyDescent="0.25">
      <c r="A445" s="1" t="s">
        <v>447</v>
      </c>
      <c r="B445" s="1" t="s">
        <v>3099</v>
      </c>
      <c r="C445" s="1" t="s">
        <v>1774</v>
      </c>
      <c r="D445" t="str">
        <f t="shared" si="36"/>
        <v>61E7B5</v>
      </c>
      <c r="E445" t="str">
        <f t="shared" si="37"/>
        <v>97-231-181</v>
      </c>
      <c r="F445" t="str">
        <f t="shared" si="38"/>
        <v>97231181</v>
      </c>
      <c r="G445">
        <f t="shared" si="39"/>
        <v>97</v>
      </c>
      <c r="H445">
        <f t="shared" si="40"/>
        <v>231</v>
      </c>
      <c r="I445">
        <f t="shared" si="41"/>
        <v>181</v>
      </c>
      <c r="J445" s="1112" t="str" cm="1">
        <f t="array" ref="J445">myRGB(G445,H445,I445)</f>
        <v/>
      </c>
    </row>
    <row r="446" spans="1:10" ht="17" x14ac:dyDescent="0.25">
      <c r="A446" s="1" t="s">
        <v>448</v>
      </c>
      <c r="B446" s="1" t="s">
        <v>3100</v>
      </c>
      <c r="C446" s="1" t="s">
        <v>1775</v>
      </c>
      <c r="D446" t="str">
        <f t="shared" si="36"/>
        <v>59D9AA</v>
      </c>
      <c r="E446" t="str">
        <f t="shared" si="37"/>
        <v>89-217-170</v>
      </c>
      <c r="F446" t="str">
        <f t="shared" si="38"/>
        <v>89217170</v>
      </c>
      <c r="G446">
        <f t="shared" si="39"/>
        <v>89</v>
      </c>
      <c r="H446">
        <f t="shared" si="40"/>
        <v>217</v>
      </c>
      <c r="I446">
        <f t="shared" si="41"/>
        <v>170</v>
      </c>
      <c r="J446" s="309" t="str" cm="1">
        <f t="array" ref="J446">myRGB(G446,H446,I446)</f>
        <v/>
      </c>
    </row>
    <row r="447" spans="1:10" ht="17" x14ac:dyDescent="0.25">
      <c r="A447" s="1" t="s">
        <v>449</v>
      </c>
      <c r="B447" s="1" t="s">
        <v>3101</v>
      </c>
      <c r="C447" s="1" t="s">
        <v>1776</v>
      </c>
      <c r="D447" t="str">
        <f t="shared" si="36"/>
        <v>59DAAB</v>
      </c>
      <c r="E447" t="str">
        <f t="shared" si="37"/>
        <v>89-218-171</v>
      </c>
      <c r="F447" t="str">
        <f t="shared" si="38"/>
        <v>89218171</v>
      </c>
      <c r="G447">
        <f t="shared" si="39"/>
        <v>89</v>
      </c>
      <c r="H447">
        <f t="shared" si="40"/>
        <v>218</v>
      </c>
      <c r="I447">
        <f t="shared" si="41"/>
        <v>171</v>
      </c>
      <c r="J447" s="918" t="str" cm="1">
        <f t="array" ref="J447">myRGB(G447,H447,I447)</f>
        <v/>
      </c>
    </row>
    <row r="448" spans="1:10" ht="17" x14ac:dyDescent="0.25">
      <c r="A448" s="1" t="s">
        <v>450</v>
      </c>
      <c r="B448" s="1" t="s">
        <v>3102</v>
      </c>
      <c r="C448" s="1" t="s">
        <v>1777</v>
      </c>
      <c r="D448" t="str">
        <f t="shared" si="36"/>
        <v>59DAAA</v>
      </c>
      <c r="E448" t="str">
        <f t="shared" si="37"/>
        <v>89-218-170</v>
      </c>
      <c r="F448" t="str">
        <f t="shared" si="38"/>
        <v>89218170</v>
      </c>
      <c r="G448">
        <f t="shared" si="39"/>
        <v>89</v>
      </c>
      <c r="H448">
        <f t="shared" si="40"/>
        <v>218</v>
      </c>
      <c r="I448">
        <f t="shared" si="41"/>
        <v>170</v>
      </c>
      <c r="J448" s="1011" t="str" cm="1">
        <f t="array" ref="J448">myRGB(G448,H448,I448)</f>
        <v/>
      </c>
    </row>
    <row r="449" spans="1:10" ht="17" x14ac:dyDescent="0.25">
      <c r="A449" s="1" t="s">
        <v>451</v>
      </c>
      <c r="B449" s="1" t="s">
        <v>3103</v>
      </c>
      <c r="C449" s="1" t="s">
        <v>1778</v>
      </c>
      <c r="D449" t="str">
        <f t="shared" si="36"/>
        <v>59D9AB</v>
      </c>
      <c r="E449" t="str">
        <f t="shared" si="37"/>
        <v>89-217-171</v>
      </c>
      <c r="F449" t="str">
        <f t="shared" si="38"/>
        <v>89217171</v>
      </c>
      <c r="G449">
        <f t="shared" si="39"/>
        <v>89</v>
      </c>
      <c r="H449">
        <f t="shared" si="40"/>
        <v>217</v>
      </c>
      <c r="I449">
        <f t="shared" si="41"/>
        <v>171</v>
      </c>
      <c r="J449" s="1123" t="str" cm="1">
        <f t="array" ref="J449">myRGB(G449,H449,I449)</f>
        <v/>
      </c>
    </row>
    <row r="450" spans="1:10" ht="17" x14ac:dyDescent="0.25">
      <c r="A450" s="1" t="s">
        <v>452</v>
      </c>
      <c r="B450" s="1" t="s">
        <v>3104</v>
      </c>
      <c r="C450" s="1" t="s">
        <v>1779</v>
      </c>
      <c r="D450" t="str">
        <f t="shared" si="36"/>
        <v>58DAAB</v>
      </c>
      <c r="E450" t="str">
        <f t="shared" si="37"/>
        <v>88-218-171</v>
      </c>
      <c r="F450" t="str">
        <f t="shared" si="38"/>
        <v>88218171</v>
      </c>
      <c r="G450">
        <f t="shared" si="39"/>
        <v>88</v>
      </c>
      <c r="H450">
        <f t="shared" si="40"/>
        <v>218</v>
      </c>
      <c r="I450">
        <f t="shared" si="41"/>
        <v>171</v>
      </c>
      <c r="J450" s="1061" t="str" cm="1">
        <f t="array" ref="J450">myRGB(G450,H450,I450)</f>
        <v/>
      </c>
    </row>
    <row r="451" spans="1:10" ht="17" x14ac:dyDescent="0.25">
      <c r="A451" s="1" t="s">
        <v>453</v>
      </c>
      <c r="B451" s="1" t="s">
        <v>3105</v>
      </c>
      <c r="C451" s="1" t="s">
        <v>1780</v>
      </c>
      <c r="D451" t="str">
        <f t="shared" si="36"/>
        <v>A8ECD2</v>
      </c>
      <c r="E451" t="str">
        <f t="shared" si="37"/>
        <v>168-236-210</v>
      </c>
      <c r="F451" t="str">
        <f t="shared" si="38"/>
        <v>168236210</v>
      </c>
      <c r="G451">
        <f t="shared" si="39"/>
        <v>168</v>
      </c>
      <c r="H451">
        <f t="shared" si="40"/>
        <v>236</v>
      </c>
      <c r="I451">
        <f t="shared" si="41"/>
        <v>210</v>
      </c>
      <c r="J451" s="19" t="str" cm="1">
        <f t="array" ref="J451">myRGB(G451,H451,I451)</f>
        <v/>
      </c>
    </row>
    <row r="452" spans="1:10" ht="17" x14ac:dyDescent="0.25">
      <c r="A452" s="1" t="s">
        <v>454</v>
      </c>
      <c r="B452" s="1" t="s">
        <v>3106</v>
      </c>
      <c r="C452" s="1" t="s">
        <v>1781</v>
      </c>
      <c r="D452" t="str">
        <f t="shared" ref="D452:D515" si="42">RIGHT(LEFT(C452,9),6)</f>
        <v>A8ECD3</v>
      </c>
      <c r="E452" t="str">
        <f t="shared" ref="E452:E515" si="43">HEX2DEC(LEFT(D452,2))&amp;"-"&amp;HEX2DEC(MID(D452,3,2))&amp;"-"&amp;HEX2DEC(RIGHT(D452,2))</f>
        <v>168-236-211</v>
      </c>
      <c r="F452" t="str">
        <f t="shared" ref="F452:F515" si="44">HEX2DEC(LEFT(D452,2))&amp;HEX2DEC(MID(D452,3,2))&amp;HEX2DEC(RIGHT(D452,2))</f>
        <v>168236211</v>
      </c>
      <c r="G452">
        <f t="shared" ref="G452:G515" si="45">HEX2DEC(LEFT(D452,2))</f>
        <v>168</v>
      </c>
      <c r="H452">
        <f t="shared" ref="H452:H515" si="46">HEX2DEC(MID(D452,3,2))</f>
        <v>236</v>
      </c>
      <c r="I452">
        <f t="shared" ref="I452:I515" si="47">HEX2DEC(RIGHT(D452,2))</f>
        <v>211</v>
      </c>
      <c r="J452" s="983" t="str" cm="1">
        <f t="array" ref="J452">myRGB(G452,H452,I452)</f>
        <v/>
      </c>
    </row>
    <row r="453" spans="1:10" ht="17" x14ac:dyDescent="0.25">
      <c r="A453" s="1" t="s">
        <v>455</v>
      </c>
      <c r="B453" s="1" t="s">
        <v>3107</v>
      </c>
      <c r="C453" s="1" t="s">
        <v>1782</v>
      </c>
      <c r="D453" t="str">
        <f t="shared" si="42"/>
        <v>A8EBD3</v>
      </c>
      <c r="E453" t="str">
        <f t="shared" si="43"/>
        <v>168-235-211</v>
      </c>
      <c r="F453" t="str">
        <f t="shared" si="44"/>
        <v>168235211</v>
      </c>
      <c r="G453">
        <f t="shared" si="45"/>
        <v>168</v>
      </c>
      <c r="H453">
        <f t="shared" si="46"/>
        <v>235</v>
      </c>
      <c r="I453">
        <f t="shared" si="47"/>
        <v>211</v>
      </c>
      <c r="J453" s="1012" t="str" cm="1">
        <f t="array" ref="J453">myRGB(G453,H453,I453)</f>
        <v/>
      </c>
    </row>
    <row r="454" spans="1:10" ht="17" x14ac:dyDescent="0.25">
      <c r="A454" s="1" t="s">
        <v>456</v>
      </c>
      <c r="B454" s="1" t="s">
        <v>3108</v>
      </c>
      <c r="C454" s="1" t="s">
        <v>1783</v>
      </c>
      <c r="D454" t="str">
        <f t="shared" si="42"/>
        <v>A7ECD3</v>
      </c>
      <c r="E454" t="str">
        <f t="shared" si="43"/>
        <v>167-236-211</v>
      </c>
      <c r="F454" t="str">
        <f t="shared" si="44"/>
        <v>167236211</v>
      </c>
      <c r="G454">
        <f t="shared" si="45"/>
        <v>167</v>
      </c>
      <c r="H454">
        <f t="shared" si="46"/>
        <v>236</v>
      </c>
      <c r="I454">
        <f t="shared" si="47"/>
        <v>211</v>
      </c>
      <c r="J454" s="1080" t="str" cm="1">
        <f t="array" ref="J454">myRGB(G454,H454,I454)</f>
        <v/>
      </c>
    </row>
    <row r="455" spans="1:10" ht="17" x14ac:dyDescent="0.25">
      <c r="A455" s="1" t="s">
        <v>457</v>
      </c>
      <c r="B455" s="1" t="s">
        <v>3109</v>
      </c>
      <c r="C455" s="1" t="s">
        <v>1784</v>
      </c>
      <c r="D455" t="str">
        <f t="shared" si="42"/>
        <v>A8EBD2</v>
      </c>
      <c r="E455" t="str">
        <f t="shared" si="43"/>
        <v>168-235-210</v>
      </c>
      <c r="F455" t="str">
        <f t="shared" si="44"/>
        <v>168235210</v>
      </c>
      <c r="G455">
        <f t="shared" si="45"/>
        <v>168</v>
      </c>
      <c r="H455">
        <f t="shared" si="46"/>
        <v>235</v>
      </c>
      <c r="I455">
        <f t="shared" si="47"/>
        <v>210</v>
      </c>
      <c r="J455" s="919" t="str" cm="1">
        <f t="array" ref="J455">myRGB(G455,H455,I455)</f>
        <v/>
      </c>
    </row>
    <row r="456" spans="1:10" ht="17" x14ac:dyDescent="0.25">
      <c r="A456" s="1" t="s">
        <v>458</v>
      </c>
      <c r="B456" s="1" t="s">
        <v>3110</v>
      </c>
      <c r="C456" s="1" t="s">
        <v>1785</v>
      </c>
      <c r="D456" t="str">
        <f t="shared" si="42"/>
        <v>7DCD4B</v>
      </c>
      <c r="E456" t="str">
        <f t="shared" si="43"/>
        <v>125-205-75</v>
      </c>
      <c r="F456" t="str">
        <f t="shared" si="44"/>
        <v>12520575</v>
      </c>
      <c r="G456">
        <f t="shared" si="45"/>
        <v>125</v>
      </c>
      <c r="H456">
        <f t="shared" si="46"/>
        <v>205</v>
      </c>
      <c r="I456">
        <f t="shared" si="47"/>
        <v>75</v>
      </c>
      <c r="J456" s="295" t="str" cm="1">
        <f t="array" ref="J456">myRGB(G456,H456,I456)</f>
        <v/>
      </c>
    </row>
    <row r="457" spans="1:10" ht="17" x14ac:dyDescent="0.25">
      <c r="A457" s="1" t="s">
        <v>459</v>
      </c>
      <c r="B457" s="1" t="s">
        <v>3111</v>
      </c>
      <c r="C457" s="1" t="s">
        <v>1786</v>
      </c>
      <c r="D457" t="str">
        <f t="shared" si="42"/>
        <v>7DD048</v>
      </c>
      <c r="E457" t="str">
        <f t="shared" si="43"/>
        <v>125-208-72</v>
      </c>
      <c r="F457" t="str">
        <f t="shared" si="44"/>
        <v>12520872</v>
      </c>
      <c r="G457">
        <f t="shared" si="45"/>
        <v>125</v>
      </c>
      <c r="H457">
        <f t="shared" si="46"/>
        <v>208</v>
      </c>
      <c r="I457">
        <f t="shared" si="47"/>
        <v>72</v>
      </c>
      <c r="J457" s="478" t="str" cm="1">
        <f t="array" ref="J457">myRGB(G457,H457,I457)</f>
        <v/>
      </c>
    </row>
    <row r="458" spans="1:10" ht="17" x14ac:dyDescent="0.25">
      <c r="A458" s="1" t="s">
        <v>460</v>
      </c>
      <c r="B458" s="1" t="s">
        <v>3112</v>
      </c>
      <c r="C458" s="1" t="s">
        <v>1787</v>
      </c>
      <c r="D458" t="str">
        <f t="shared" si="42"/>
        <v>7ED04A</v>
      </c>
      <c r="E458" t="str">
        <f t="shared" si="43"/>
        <v>126-208-74</v>
      </c>
      <c r="F458" t="str">
        <f t="shared" si="44"/>
        <v>12620874</v>
      </c>
      <c r="G458">
        <f t="shared" si="45"/>
        <v>126</v>
      </c>
      <c r="H458">
        <f t="shared" si="46"/>
        <v>208</v>
      </c>
      <c r="I458">
        <f t="shared" si="47"/>
        <v>74</v>
      </c>
      <c r="J458" s="453" t="str" cm="1">
        <f t="array" ref="J458">myRGB(G458,H458,I458)</f>
        <v/>
      </c>
    </row>
    <row r="459" spans="1:10" ht="17" x14ac:dyDescent="0.25">
      <c r="A459" s="1" t="s">
        <v>461</v>
      </c>
      <c r="B459" s="1" t="s">
        <v>3113</v>
      </c>
      <c r="C459" s="1" t="s">
        <v>1788</v>
      </c>
      <c r="D459" t="str">
        <f t="shared" si="42"/>
        <v>7ECF4B</v>
      </c>
      <c r="E459" t="str">
        <f t="shared" si="43"/>
        <v>126-207-75</v>
      </c>
      <c r="F459" t="str">
        <f t="shared" si="44"/>
        <v>12620775</v>
      </c>
      <c r="G459">
        <f t="shared" si="45"/>
        <v>126</v>
      </c>
      <c r="H459">
        <f t="shared" si="46"/>
        <v>207</v>
      </c>
      <c r="I459">
        <f t="shared" si="47"/>
        <v>75</v>
      </c>
      <c r="J459" s="294" t="str" cm="1">
        <f t="array" ref="J459">myRGB(G459,H459,I459)</f>
        <v/>
      </c>
    </row>
    <row r="460" spans="1:10" ht="17" x14ac:dyDescent="0.25">
      <c r="A460" s="1" t="s">
        <v>462</v>
      </c>
      <c r="B460" s="1" t="s">
        <v>3114</v>
      </c>
      <c r="C460" s="1" t="s">
        <v>1789</v>
      </c>
      <c r="D460" t="str">
        <f t="shared" si="42"/>
        <v>7DD04B</v>
      </c>
      <c r="E460" t="str">
        <f t="shared" si="43"/>
        <v>125-208-75</v>
      </c>
      <c r="F460" t="str">
        <f t="shared" si="44"/>
        <v>12520875</v>
      </c>
      <c r="G460">
        <f t="shared" si="45"/>
        <v>125</v>
      </c>
      <c r="H460">
        <f t="shared" si="46"/>
        <v>208</v>
      </c>
      <c r="I460">
        <f t="shared" si="47"/>
        <v>75</v>
      </c>
      <c r="J460" s="1087" t="str" cm="1">
        <f t="array" ref="J460">myRGB(G460,H460,I460)</f>
        <v/>
      </c>
    </row>
    <row r="461" spans="1:10" ht="17" x14ac:dyDescent="0.25">
      <c r="A461" s="1" t="s">
        <v>463</v>
      </c>
      <c r="B461" s="1" t="s">
        <v>3115</v>
      </c>
      <c r="C461" s="1" t="s">
        <v>1790</v>
      </c>
      <c r="D461" t="str">
        <f t="shared" si="42"/>
        <v>7ECF4A</v>
      </c>
      <c r="E461" t="str">
        <f t="shared" si="43"/>
        <v>126-207-74</v>
      </c>
      <c r="F461" t="str">
        <f t="shared" si="44"/>
        <v>12620774</v>
      </c>
      <c r="G461">
        <f t="shared" si="45"/>
        <v>126</v>
      </c>
      <c r="H461">
        <f t="shared" si="46"/>
        <v>207</v>
      </c>
      <c r="I461">
        <f t="shared" si="47"/>
        <v>74</v>
      </c>
      <c r="J461" s="1062" t="str" cm="1">
        <f t="array" ref="J461">myRGB(G461,H461,I461)</f>
        <v/>
      </c>
    </row>
    <row r="462" spans="1:10" ht="17" x14ac:dyDescent="0.25">
      <c r="A462" s="1" t="s">
        <v>464</v>
      </c>
      <c r="B462" s="1" t="s">
        <v>3116</v>
      </c>
      <c r="C462" s="1" t="s">
        <v>1791</v>
      </c>
      <c r="D462" t="str">
        <f t="shared" si="42"/>
        <v>66A83D</v>
      </c>
      <c r="E462" t="str">
        <f t="shared" si="43"/>
        <v>102-168-61</v>
      </c>
      <c r="F462" t="str">
        <f t="shared" si="44"/>
        <v>10216861</v>
      </c>
      <c r="G462">
        <f t="shared" si="45"/>
        <v>102</v>
      </c>
      <c r="H462">
        <f t="shared" si="46"/>
        <v>168</v>
      </c>
      <c r="I462">
        <f t="shared" si="47"/>
        <v>61</v>
      </c>
      <c r="J462" s="984" t="str" cm="1">
        <f t="array" ref="J462">myRGB(G462,H462,I462)</f>
        <v/>
      </c>
    </row>
    <row r="463" spans="1:10" ht="17" x14ac:dyDescent="0.25">
      <c r="A463" s="1" t="s">
        <v>465</v>
      </c>
      <c r="B463" s="1" t="s">
        <v>3117</v>
      </c>
      <c r="C463" s="1" t="s">
        <v>1792</v>
      </c>
      <c r="D463" t="str">
        <f t="shared" si="42"/>
        <v>7DD04A</v>
      </c>
      <c r="E463" t="str">
        <f t="shared" si="43"/>
        <v>125-208-74</v>
      </c>
      <c r="F463" t="str">
        <f t="shared" si="44"/>
        <v>12520874</v>
      </c>
      <c r="G463">
        <f t="shared" si="45"/>
        <v>125</v>
      </c>
      <c r="H463">
        <f t="shared" si="46"/>
        <v>208</v>
      </c>
      <c r="I463">
        <f t="shared" si="47"/>
        <v>74</v>
      </c>
      <c r="J463" s="920" t="str" cm="1">
        <f t="array" ref="J463">myRGB(G463,H463,I463)</f>
        <v/>
      </c>
    </row>
    <row r="464" spans="1:10" ht="17" x14ac:dyDescent="0.25">
      <c r="A464" s="1" t="s">
        <v>466</v>
      </c>
      <c r="B464" s="1" t="s">
        <v>3118</v>
      </c>
      <c r="C464" s="1" t="s">
        <v>1793</v>
      </c>
      <c r="D464" t="str">
        <f t="shared" si="42"/>
        <v>7DCF4B</v>
      </c>
      <c r="E464" t="str">
        <f t="shared" si="43"/>
        <v>125-207-75</v>
      </c>
      <c r="F464" t="str">
        <f t="shared" si="44"/>
        <v>12520775</v>
      </c>
      <c r="G464">
        <f t="shared" si="45"/>
        <v>125</v>
      </c>
      <c r="H464">
        <f t="shared" si="46"/>
        <v>207</v>
      </c>
      <c r="I464">
        <f t="shared" si="47"/>
        <v>75</v>
      </c>
      <c r="J464" s="437" t="str" cm="1">
        <f t="array" ref="J464">myRGB(G464,H464,I464)</f>
        <v/>
      </c>
    </row>
    <row r="465" spans="1:10" ht="17" x14ac:dyDescent="0.25">
      <c r="A465" s="1" t="s">
        <v>467</v>
      </c>
      <c r="B465" s="1" t="s">
        <v>3119</v>
      </c>
      <c r="C465" s="1" t="s">
        <v>1794</v>
      </c>
      <c r="D465" t="str">
        <f t="shared" si="42"/>
        <v>7DCF4A</v>
      </c>
      <c r="E465" t="str">
        <f t="shared" si="43"/>
        <v>125-207-74</v>
      </c>
      <c r="F465" t="str">
        <f t="shared" si="44"/>
        <v>12520774</v>
      </c>
      <c r="G465">
        <f t="shared" si="45"/>
        <v>125</v>
      </c>
      <c r="H465">
        <f t="shared" si="46"/>
        <v>207</v>
      </c>
      <c r="I465">
        <f t="shared" si="47"/>
        <v>74</v>
      </c>
      <c r="J465" s="1095" t="str" cm="1">
        <f t="array" ref="J465">myRGB(G465,H465,I465)</f>
        <v/>
      </c>
    </row>
    <row r="466" spans="1:10" ht="17" x14ac:dyDescent="0.25">
      <c r="A466" s="1" t="s">
        <v>468</v>
      </c>
      <c r="B466" s="1" t="s">
        <v>3120</v>
      </c>
      <c r="C466" s="1" t="s">
        <v>1795</v>
      </c>
      <c r="D466" t="str">
        <f t="shared" si="42"/>
        <v>7ED049</v>
      </c>
      <c r="E466" t="str">
        <f t="shared" si="43"/>
        <v>126-208-73</v>
      </c>
      <c r="F466" t="str">
        <f t="shared" si="44"/>
        <v>12620873</v>
      </c>
      <c r="G466">
        <f t="shared" si="45"/>
        <v>126</v>
      </c>
      <c r="H466">
        <f t="shared" si="46"/>
        <v>208</v>
      </c>
      <c r="I466">
        <f t="shared" si="47"/>
        <v>73</v>
      </c>
      <c r="J466" s="1063" t="str" cm="1">
        <f t="array" ref="J466">myRGB(G466,H466,I466)</f>
        <v/>
      </c>
    </row>
    <row r="467" spans="1:10" ht="17" x14ac:dyDescent="0.25">
      <c r="A467" s="1" t="s">
        <v>469</v>
      </c>
      <c r="B467" s="1" t="s">
        <v>3121</v>
      </c>
      <c r="C467" s="1" t="s">
        <v>1796</v>
      </c>
      <c r="D467" t="str">
        <f t="shared" si="42"/>
        <v>66A83C</v>
      </c>
      <c r="E467" t="str">
        <f t="shared" si="43"/>
        <v>102-168-60</v>
      </c>
      <c r="F467" t="str">
        <f t="shared" si="44"/>
        <v>10216860</v>
      </c>
      <c r="G467">
        <f t="shared" si="45"/>
        <v>102</v>
      </c>
      <c r="H467">
        <f t="shared" si="46"/>
        <v>168</v>
      </c>
      <c r="I467">
        <f t="shared" si="47"/>
        <v>60</v>
      </c>
      <c r="J467" s="921" t="str" cm="1">
        <f t="array" ref="J467">myRGB(G467,H467,I467)</f>
        <v/>
      </c>
    </row>
    <row r="468" spans="1:10" ht="17" x14ac:dyDescent="0.25">
      <c r="A468" s="1" t="s">
        <v>470</v>
      </c>
      <c r="B468" s="1" t="s">
        <v>3122</v>
      </c>
      <c r="C468" s="1" t="s">
        <v>1797</v>
      </c>
      <c r="D468" t="str">
        <f t="shared" si="42"/>
        <v>7ECE4B</v>
      </c>
      <c r="E468" t="str">
        <f t="shared" si="43"/>
        <v>126-206-75</v>
      </c>
      <c r="F468" t="str">
        <f t="shared" si="44"/>
        <v>12620675</v>
      </c>
      <c r="G468">
        <f t="shared" si="45"/>
        <v>126</v>
      </c>
      <c r="H468">
        <f t="shared" si="46"/>
        <v>206</v>
      </c>
      <c r="I468">
        <f t="shared" si="47"/>
        <v>75</v>
      </c>
      <c r="J468" s="985" t="str" cm="1">
        <f t="array" ref="J468">myRGB(G468,H468,I468)</f>
        <v/>
      </c>
    </row>
    <row r="469" spans="1:10" ht="17" x14ac:dyDescent="0.25">
      <c r="A469" s="1" t="s">
        <v>471</v>
      </c>
      <c r="B469" s="1" t="s">
        <v>3123</v>
      </c>
      <c r="C469" s="1" t="s">
        <v>1798</v>
      </c>
      <c r="D469" t="str">
        <f t="shared" si="42"/>
        <v>7ECF49</v>
      </c>
      <c r="E469" t="str">
        <f t="shared" si="43"/>
        <v>126-207-73</v>
      </c>
      <c r="F469" t="str">
        <f t="shared" si="44"/>
        <v>12620773</v>
      </c>
      <c r="G469">
        <f t="shared" si="45"/>
        <v>126</v>
      </c>
      <c r="H469">
        <f t="shared" si="46"/>
        <v>207</v>
      </c>
      <c r="I469">
        <f t="shared" si="47"/>
        <v>73</v>
      </c>
      <c r="J469" s="168" t="str" cm="1">
        <f t="array" ref="J469">myRGB(G469,H469,I469)</f>
        <v/>
      </c>
    </row>
    <row r="470" spans="1:10" ht="17" x14ac:dyDescent="0.25">
      <c r="A470" s="1" t="s">
        <v>472</v>
      </c>
      <c r="B470" s="1" t="s">
        <v>3124</v>
      </c>
      <c r="C470" s="1" t="s">
        <v>1799</v>
      </c>
      <c r="D470" t="str">
        <f t="shared" si="42"/>
        <v>7DD049</v>
      </c>
      <c r="E470" t="str">
        <f t="shared" si="43"/>
        <v>125-208-73</v>
      </c>
      <c r="F470" t="str">
        <f t="shared" si="44"/>
        <v>12520873</v>
      </c>
      <c r="G470">
        <f t="shared" si="45"/>
        <v>125</v>
      </c>
      <c r="H470">
        <f t="shared" si="46"/>
        <v>208</v>
      </c>
      <c r="I470">
        <f t="shared" si="47"/>
        <v>73</v>
      </c>
      <c r="J470" s="1181" t="str" cm="1">
        <f t="array" ref="J470">myRGB(G470,H470,I470)</f>
        <v/>
      </c>
    </row>
    <row r="471" spans="1:10" ht="17" x14ac:dyDescent="0.25">
      <c r="A471" s="1" t="s">
        <v>473</v>
      </c>
      <c r="B471" s="1" t="s">
        <v>3125</v>
      </c>
      <c r="C471" s="1" t="s">
        <v>1800</v>
      </c>
      <c r="D471" t="str">
        <f t="shared" si="42"/>
        <v>7DCE4B</v>
      </c>
      <c r="E471" t="str">
        <f t="shared" si="43"/>
        <v>125-206-75</v>
      </c>
      <c r="F471" t="str">
        <f t="shared" si="44"/>
        <v>12520675</v>
      </c>
      <c r="G471">
        <f t="shared" si="45"/>
        <v>125</v>
      </c>
      <c r="H471">
        <f t="shared" si="46"/>
        <v>206</v>
      </c>
      <c r="I471">
        <f t="shared" si="47"/>
        <v>75</v>
      </c>
      <c r="J471" s="922" t="str" cm="1">
        <f t="array" ref="J471">myRGB(G471,H471,I471)</f>
        <v/>
      </c>
    </row>
    <row r="472" spans="1:10" ht="17" x14ac:dyDescent="0.25">
      <c r="A472" s="1" t="s">
        <v>474</v>
      </c>
      <c r="B472" s="1" t="s">
        <v>3126</v>
      </c>
      <c r="C472" s="1" t="s">
        <v>1801</v>
      </c>
      <c r="D472" t="str">
        <f t="shared" si="42"/>
        <v>7CD04A</v>
      </c>
      <c r="E472" t="str">
        <f t="shared" si="43"/>
        <v>124-208-74</v>
      </c>
      <c r="F472" t="str">
        <f t="shared" si="44"/>
        <v>12420874</v>
      </c>
      <c r="G472">
        <f t="shared" si="45"/>
        <v>124</v>
      </c>
      <c r="H472">
        <f t="shared" si="46"/>
        <v>208</v>
      </c>
      <c r="I472">
        <f t="shared" si="47"/>
        <v>74</v>
      </c>
      <c r="J472" s="1064" t="str" cm="1">
        <f t="array" ref="J472">myRGB(G472,H472,I472)</f>
        <v/>
      </c>
    </row>
    <row r="473" spans="1:10" ht="17" x14ac:dyDescent="0.25">
      <c r="A473" s="1" t="s">
        <v>475</v>
      </c>
      <c r="B473" s="1" t="s">
        <v>3127</v>
      </c>
      <c r="C473" s="1" t="s">
        <v>1802</v>
      </c>
      <c r="D473" t="str">
        <f t="shared" si="42"/>
        <v>66A73D</v>
      </c>
      <c r="E473" t="str">
        <f t="shared" si="43"/>
        <v>102-167-61</v>
      </c>
      <c r="F473" t="str">
        <f t="shared" si="44"/>
        <v>10216761</v>
      </c>
      <c r="G473">
        <f t="shared" si="45"/>
        <v>102</v>
      </c>
      <c r="H473">
        <f t="shared" si="46"/>
        <v>167</v>
      </c>
      <c r="I473">
        <f t="shared" si="47"/>
        <v>61</v>
      </c>
      <c r="J473" s="986" t="str" cm="1">
        <f t="array" ref="J473">myRGB(G473,H473,I473)</f>
        <v/>
      </c>
    </row>
    <row r="474" spans="1:10" ht="17" x14ac:dyDescent="0.25">
      <c r="A474" s="1" t="s">
        <v>476</v>
      </c>
      <c r="B474" s="1" t="s">
        <v>3128</v>
      </c>
      <c r="C474" s="1" t="s">
        <v>1803</v>
      </c>
      <c r="D474" t="str">
        <f t="shared" si="42"/>
        <v>7CCF4B</v>
      </c>
      <c r="E474" t="str">
        <f t="shared" si="43"/>
        <v>124-207-75</v>
      </c>
      <c r="F474" t="str">
        <f t="shared" si="44"/>
        <v>12420775</v>
      </c>
      <c r="G474">
        <f t="shared" si="45"/>
        <v>124</v>
      </c>
      <c r="H474">
        <f t="shared" si="46"/>
        <v>207</v>
      </c>
      <c r="I474">
        <f t="shared" si="47"/>
        <v>75</v>
      </c>
      <c r="J474" s="1013" t="str" cm="1">
        <f t="array" ref="J474">myRGB(G474,H474,I474)</f>
        <v/>
      </c>
    </row>
    <row r="475" spans="1:10" ht="17" x14ac:dyDescent="0.25">
      <c r="A475" s="1" t="s">
        <v>477</v>
      </c>
      <c r="B475" s="1" t="s">
        <v>3129</v>
      </c>
      <c r="C475" s="1" t="s">
        <v>1804</v>
      </c>
      <c r="D475" t="str">
        <f t="shared" si="42"/>
        <v>7DCF49</v>
      </c>
      <c r="E475" t="str">
        <f t="shared" si="43"/>
        <v>125-207-73</v>
      </c>
      <c r="F475" t="str">
        <f t="shared" si="44"/>
        <v>12520773</v>
      </c>
      <c r="G475">
        <f t="shared" si="45"/>
        <v>125</v>
      </c>
      <c r="H475">
        <f t="shared" si="46"/>
        <v>207</v>
      </c>
      <c r="I475">
        <f t="shared" si="47"/>
        <v>73</v>
      </c>
      <c r="J475" s="390" t="str" cm="1">
        <f t="array" ref="J475">myRGB(G475,H475,I475)</f>
        <v/>
      </c>
    </row>
    <row r="476" spans="1:10" ht="17" x14ac:dyDescent="0.25">
      <c r="A476" s="1" t="s">
        <v>478</v>
      </c>
      <c r="B476" s="1" t="s">
        <v>3130</v>
      </c>
      <c r="C476" s="1" t="s">
        <v>1805</v>
      </c>
      <c r="D476" t="str">
        <f t="shared" si="42"/>
        <v>7BD04A</v>
      </c>
      <c r="E476" t="str">
        <f t="shared" si="43"/>
        <v>123-208-74</v>
      </c>
      <c r="F476" t="str">
        <f t="shared" si="44"/>
        <v>12320874</v>
      </c>
      <c r="G476">
        <f t="shared" si="45"/>
        <v>123</v>
      </c>
      <c r="H476">
        <f t="shared" si="46"/>
        <v>208</v>
      </c>
      <c r="I476">
        <f t="shared" si="47"/>
        <v>74</v>
      </c>
      <c r="J476" s="293" t="str" cm="1">
        <f t="array" ref="J476">myRGB(G476,H476,I476)</f>
        <v/>
      </c>
    </row>
    <row r="477" spans="1:10" ht="17" x14ac:dyDescent="0.25">
      <c r="A477" s="1" t="s">
        <v>479</v>
      </c>
      <c r="B477" s="1" t="s">
        <v>3131</v>
      </c>
      <c r="C477" s="1" t="s">
        <v>1806</v>
      </c>
      <c r="D477" t="str">
        <f t="shared" si="42"/>
        <v>7ECE4A</v>
      </c>
      <c r="E477" t="str">
        <f t="shared" si="43"/>
        <v>126-206-74</v>
      </c>
      <c r="F477" t="str">
        <f t="shared" si="44"/>
        <v>12620674</v>
      </c>
      <c r="G477">
        <f t="shared" si="45"/>
        <v>126</v>
      </c>
      <c r="H477">
        <f t="shared" si="46"/>
        <v>206</v>
      </c>
      <c r="I477">
        <f t="shared" si="47"/>
        <v>74</v>
      </c>
      <c r="J477" s="377" t="str" cm="1">
        <f t="array" ref="J477">myRGB(G477,H477,I477)</f>
        <v/>
      </c>
    </row>
    <row r="478" spans="1:10" ht="17" x14ac:dyDescent="0.25">
      <c r="A478" s="1" t="s">
        <v>480</v>
      </c>
      <c r="B478" s="1" t="s">
        <v>3132</v>
      </c>
      <c r="C478" s="1" t="s">
        <v>1807</v>
      </c>
      <c r="D478" t="str">
        <f t="shared" si="42"/>
        <v>65A83D</v>
      </c>
      <c r="E478" t="str">
        <f t="shared" si="43"/>
        <v>101-168-61</v>
      </c>
      <c r="F478" t="str">
        <f t="shared" si="44"/>
        <v>10116861</v>
      </c>
      <c r="G478">
        <f t="shared" si="45"/>
        <v>101</v>
      </c>
      <c r="H478">
        <f t="shared" si="46"/>
        <v>168</v>
      </c>
      <c r="I478">
        <f t="shared" si="47"/>
        <v>61</v>
      </c>
      <c r="J478" s="167" t="str" cm="1">
        <f t="array" ref="J478">myRGB(G478,H478,I478)</f>
        <v/>
      </c>
    </row>
    <row r="479" spans="1:10" ht="17" x14ac:dyDescent="0.25">
      <c r="A479" s="1" t="s">
        <v>481</v>
      </c>
      <c r="B479" s="1" t="s">
        <v>3133</v>
      </c>
      <c r="C479" s="1" t="s">
        <v>1808</v>
      </c>
      <c r="D479" t="str">
        <f t="shared" si="42"/>
        <v>7CD04B</v>
      </c>
      <c r="E479" t="str">
        <f t="shared" si="43"/>
        <v>124-208-75</v>
      </c>
      <c r="F479" t="str">
        <f t="shared" si="44"/>
        <v>12420875</v>
      </c>
      <c r="G479">
        <f t="shared" si="45"/>
        <v>124</v>
      </c>
      <c r="H479">
        <f t="shared" si="46"/>
        <v>208</v>
      </c>
      <c r="I479">
        <f t="shared" si="47"/>
        <v>75</v>
      </c>
      <c r="J479" s="923" t="str" cm="1">
        <f t="array" ref="J479">myRGB(G479,H479,I479)</f>
        <v/>
      </c>
    </row>
    <row r="480" spans="1:10" ht="17" x14ac:dyDescent="0.25">
      <c r="A480" s="1" t="s">
        <v>482</v>
      </c>
      <c r="B480" s="1" t="s">
        <v>3134</v>
      </c>
      <c r="C480" s="1" t="s">
        <v>1809</v>
      </c>
      <c r="D480" t="str">
        <f t="shared" si="42"/>
        <v>7DCE4A</v>
      </c>
      <c r="E480" t="str">
        <f t="shared" si="43"/>
        <v>125-206-74</v>
      </c>
      <c r="F480" t="str">
        <f t="shared" si="44"/>
        <v>12520674</v>
      </c>
      <c r="G480">
        <f t="shared" si="45"/>
        <v>125</v>
      </c>
      <c r="H480">
        <f t="shared" si="46"/>
        <v>206</v>
      </c>
      <c r="I480">
        <f t="shared" si="47"/>
        <v>74</v>
      </c>
      <c r="J480" s="1014" t="str" cm="1">
        <f t="array" ref="J480">myRGB(G480,H480,I480)</f>
        <v/>
      </c>
    </row>
    <row r="481" spans="1:10" ht="17" x14ac:dyDescent="0.25">
      <c r="A481" s="1" t="s">
        <v>483</v>
      </c>
      <c r="B481" s="1" t="s">
        <v>3135</v>
      </c>
      <c r="C481" s="1" t="s">
        <v>1810</v>
      </c>
      <c r="D481" t="str">
        <f t="shared" si="42"/>
        <v>7CCF4A</v>
      </c>
      <c r="E481" t="str">
        <f t="shared" si="43"/>
        <v>124-207-74</v>
      </c>
      <c r="F481" t="str">
        <f t="shared" si="44"/>
        <v>12420774</v>
      </c>
      <c r="G481">
        <f t="shared" si="45"/>
        <v>124</v>
      </c>
      <c r="H481">
        <f t="shared" si="46"/>
        <v>207</v>
      </c>
      <c r="I481">
        <f t="shared" si="47"/>
        <v>74</v>
      </c>
      <c r="J481" s="1088" t="str" cm="1">
        <f t="array" ref="J481">myRGB(G481,H481,I481)</f>
        <v/>
      </c>
    </row>
    <row r="482" spans="1:10" ht="17" x14ac:dyDescent="0.25">
      <c r="A482" s="1" t="s">
        <v>484</v>
      </c>
      <c r="B482" s="1" t="s">
        <v>3136</v>
      </c>
      <c r="C482" s="1" t="s">
        <v>1811</v>
      </c>
      <c r="D482" t="str">
        <f t="shared" si="42"/>
        <v>7ECE49</v>
      </c>
      <c r="E482" t="str">
        <f t="shared" si="43"/>
        <v>126-206-73</v>
      </c>
      <c r="F482" t="str">
        <f t="shared" si="44"/>
        <v>12620673</v>
      </c>
      <c r="G482">
        <f t="shared" si="45"/>
        <v>126</v>
      </c>
      <c r="H482">
        <f t="shared" si="46"/>
        <v>206</v>
      </c>
      <c r="I482">
        <f t="shared" si="47"/>
        <v>73</v>
      </c>
      <c r="J482" s="1065" t="str" cm="1">
        <f t="array" ref="J482">myRGB(G482,H482,I482)</f>
        <v/>
      </c>
    </row>
    <row r="483" spans="1:10" ht="17" x14ac:dyDescent="0.25">
      <c r="A483" s="1" t="s">
        <v>485</v>
      </c>
      <c r="B483" s="1" t="s">
        <v>3137</v>
      </c>
      <c r="C483" s="1" t="s">
        <v>1812</v>
      </c>
      <c r="D483" t="str">
        <f t="shared" si="42"/>
        <v>7CD049</v>
      </c>
      <c r="E483" t="str">
        <f t="shared" si="43"/>
        <v>124-208-73</v>
      </c>
      <c r="F483" t="str">
        <f t="shared" si="44"/>
        <v>12420873</v>
      </c>
      <c r="G483">
        <f t="shared" si="45"/>
        <v>124</v>
      </c>
      <c r="H483">
        <f t="shared" si="46"/>
        <v>208</v>
      </c>
      <c r="I483">
        <f t="shared" si="47"/>
        <v>73</v>
      </c>
      <c r="J483" s="924" t="str" cm="1">
        <f t="array" ref="J483">myRGB(G483,H483,I483)</f>
        <v/>
      </c>
    </row>
    <row r="484" spans="1:10" ht="17" x14ac:dyDescent="0.25">
      <c r="A484" s="1" t="s">
        <v>486</v>
      </c>
      <c r="B484" s="1" t="s">
        <v>3138</v>
      </c>
      <c r="C484" s="1" t="s">
        <v>1813</v>
      </c>
      <c r="D484" t="str">
        <f t="shared" si="42"/>
        <v>7CCE4B</v>
      </c>
      <c r="E484" t="str">
        <f t="shared" si="43"/>
        <v>124-206-75</v>
      </c>
      <c r="F484" t="str">
        <f t="shared" si="44"/>
        <v>12420675</v>
      </c>
      <c r="G484">
        <f t="shared" si="45"/>
        <v>124</v>
      </c>
      <c r="H484">
        <f t="shared" si="46"/>
        <v>206</v>
      </c>
      <c r="I484">
        <f t="shared" si="47"/>
        <v>75</v>
      </c>
      <c r="J484" s="987" t="str" cm="1">
        <f t="array" ref="J484">myRGB(G484,H484,I484)</f>
        <v/>
      </c>
    </row>
    <row r="485" spans="1:10" ht="17" x14ac:dyDescent="0.25">
      <c r="A485" s="1" t="s">
        <v>487</v>
      </c>
      <c r="B485" s="1" t="s">
        <v>3139</v>
      </c>
      <c r="C485" s="1" t="s">
        <v>1814</v>
      </c>
      <c r="D485" t="str">
        <f t="shared" si="42"/>
        <v>7ED048</v>
      </c>
      <c r="E485" t="str">
        <f t="shared" si="43"/>
        <v>126-208-72</v>
      </c>
      <c r="F485" t="str">
        <f t="shared" si="44"/>
        <v>12620872</v>
      </c>
      <c r="G485">
        <f t="shared" si="45"/>
        <v>126</v>
      </c>
      <c r="H485">
        <f t="shared" si="46"/>
        <v>208</v>
      </c>
      <c r="I485">
        <f t="shared" si="47"/>
        <v>72</v>
      </c>
      <c r="J485" s="1015" t="str" cm="1">
        <f t="array" ref="J485">myRGB(G485,H485,I485)</f>
        <v/>
      </c>
    </row>
    <row r="486" spans="1:10" ht="17" x14ac:dyDescent="0.25">
      <c r="A486" s="1" t="s">
        <v>488</v>
      </c>
      <c r="B486" s="1" t="s">
        <v>3140</v>
      </c>
      <c r="C486" s="1" t="s">
        <v>1815</v>
      </c>
      <c r="D486" t="str">
        <f t="shared" si="42"/>
        <v>7ECD4B</v>
      </c>
      <c r="E486" t="str">
        <f t="shared" si="43"/>
        <v>126-205-75</v>
      </c>
      <c r="F486" t="str">
        <f t="shared" si="44"/>
        <v>12620575</v>
      </c>
      <c r="G486">
        <f t="shared" si="45"/>
        <v>126</v>
      </c>
      <c r="H486">
        <f t="shared" si="46"/>
        <v>205</v>
      </c>
      <c r="I486">
        <f t="shared" si="47"/>
        <v>75</v>
      </c>
      <c r="J486" s="1096" t="str" cm="1">
        <f t="array" ref="J486">myRGB(G486,H486,I486)</f>
        <v/>
      </c>
    </row>
    <row r="487" spans="1:10" ht="17" x14ac:dyDescent="0.25">
      <c r="A487" s="1" t="s">
        <v>489</v>
      </c>
      <c r="B487" s="1" t="s">
        <v>3141</v>
      </c>
      <c r="C487" s="1" t="s">
        <v>1816</v>
      </c>
      <c r="D487" t="str">
        <f t="shared" si="42"/>
        <v>7DCE49</v>
      </c>
      <c r="E487" t="str">
        <f t="shared" si="43"/>
        <v>125-206-73</v>
      </c>
      <c r="F487" t="str">
        <f t="shared" si="44"/>
        <v>12520673</v>
      </c>
      <c r="G487">
        <f t="shared" si="45"/>
        <v>125</v>
      </c>
      <c r="H487">
        <f t="shared" si="46"/>
        <v>206</v>
      </c>
      <c r="I487">
        <f t="shared" si="47"/>
        <v>73</v>
      </c>
      <c r="J487" s="925" t="str" cm="1">
        <f t="array" ref="J487">myRGB(G487,H487,I487)</f>
        <v/>
      </c>
    </row>
    <row r="488" spans="1:10" ht="17" x14ac:dyDescent="0.25">
      <c r="A488" s="1" t="s">
        <v>490</v>
      </c>
      <c r="B488" s="1" t="s">
        <v>3142</v>
      </c>
      <c r="C488" s="1" t="s">
        <v>1817</v>
      </c>
      <c r="D488" t="str">
        <f t="shared" si="42"/>
        <v>7CCF49</v>
      </c>
      <c r="E488" t="str">
        <f t="shared" si="43"/>
        <v>124-207-73</v>
      </c>
      <c r="F488" t="str">
        <f t="shared" si="44"/>
        <v>12420773</v>
      </c>
      <c r="G488">
        <f t="shared" si="45"/>
        <v>124</v>
      </c>
      <c r="H488">
        <f t="shared" si="46"/>
        <v>207</v>
      </c>
      <c r="I488">
        <f t="shared" si="47"/>
        <v>73</v>
      </c>
      <c r="J488" s="1066" t="str" cm="1">
        <f t="array" ref="J488">myRGB(G488,H488,I488)</f>
        <v/>
      </c>
    </row>
    <row r="489" spans="1:10" ht="17" x14ac:dyDescent="0.25">
      <c r="A489" s="1" t="s">
        <v>491</v>
      </c>
      <c r="B489" s="1" t="s">
        <v>3143</v>
      </c>
      <c r="C489" s="1" t="s">
        <v>1818</v>
      </c>
      <c r="D489" t="str">
        <f t="shared" si="42"/>
        <v>7CCE4A</v>
      </c>
      <c r="E489" t="str">
        <f t="shared" si="43"/>
        <v>124-206-74</v>
      </c>
      <c r="F489" t="str">
        <f t="shared" si="44"/>
        <v>12420674</v>
      </c>
      <c r="G489">
        <f t="shared" si="45"/>
        <v>124</v>
      </c>
      <c r="H489">
        <f t="shared" si="46"/>
        <v>206</v>
      </c>
      <c r="I489">
        <f t="shared" si="47"/>
        <v>74</v>
      </c>
      <c r="J489" s="988" t="str" cm="1">
        <f t="array" ref="J489">myRGB(G489,H489,I489)</f>
        <v/>
      </c>
    </row>
    <row r="490" spans="1:10" ht="17" x14ac:dyDescent="0.25">
      <c r="A490" s="1" t="s">
        <v>492</v>
      </c>
      <c r="B490" s="1" t="s">
        <v>3144</v>
      </c>
      <c r="C490" s="1" t="s">
        <v>1819</v>
      </c>
      <c r="D490" t="str">
        <f t="shared" si="42"/>
        <v>7BD04B</v>
      </c>
      <c r="E490" t="str">
        <f t="shared" si="43"/>
        <v>123-208-75</v>
      </c>
      <c r="F490" t="str">
        <f t="shared" si="44"/>
        <v>12320875</v>
      </c>
      <c r="G490">
        <f t="shared" si="45"/>
        <v>123</v>
      </c>
      <c r="H490">
        <f t="shared" si="46"/>
        <v>208</v>
      </c>
      <c r="I490">
        <f t="shared" si="47"/>
        <v>75</v>
      </c>
      <c r="J490" s="1016" t="str" cm="1">
        <f t="array" ref="J490">myRGB(G490,H490,I490)</f>
        <v/>
      </c>
    </row>
    <row r="491" spans="1:10" ht="17" x14ac:dyDescent="0.25">
      <c r="A491" s="1" t="s">
        <v>493</v>
      </c>
      <c r="B491" s="1" t="s">
        <v>3145</v>
      </c>
      <c r="C491" s="1" t="s">
        <v>1820</v>
      </c>
      <c r="D491" t="str">
        <f t="shared" si="42"/>
        <v>7ECF48</v>
      </c>
      <c r="E491" t="str">
        <f t="shared" si="43"/>
        <v>126-207-72</v>
      </c>
      <c r="F491" t="str">
        <f t="shared" si="44"/>
        <v>12620772</v>
      </c>
      <c r="G491">
        <f t="shared" si="45"/>
        <v>126</v>
      </c>
      <c r="H491">
        <f t="shared" si="46"/>
        <v>207</v>
      </c>
      <c r="I491">
        <f t="shared" si="47"/>
        <v>72</v>
      </c>
      <c r="J491" s="926" t="str" cm="1">
        <f t="array" ref="J491">myRGB(G491,H491,I491)</f>
        <v/>
      </c>
    </row>
    <row r="492" spans="1:10" ht="17" x14ac:dyDescent="0.25">
      <c r="A492" s="1" t="s">
        <v>494</v>
      </c>
      <c r="B492" s="1" t="s">
        <v>3146</v>
      </c>
      <c r="C492" s="1" t="s">
        <v>1821</v>
      </c>
      <c r="D492" t="str">
        <f t="shared" si="42"/>
        <v>7ECD4A</v>
      </c>
      <c r="E492" t="str">
        <f t="shared" si="43"/>
        <v>126-205-74</v>
      </c>
      <c r="F492" t="str">
        <f t="shared" si="44"/>
        <v>12620574</v>
      </c>
      <c r="G492">
        <f t="shared" si="45"/>
        <v>126</v>
      </c>
      <c r="H492">
        <f t="shared" si="46"/>
        <v>205</v>
      </c>
      <c r="I492">
        <f t="shared" si="47"/>
        <v>74</v>
      </c>
      <c r="J492" s="579" t="str" cm="1">
        <f t="array" ref="J492">myRGB(G492,H492,I492)</f>
        <v/>
      </c>
    </row>
    <row r="493" spans="1:10" ht="17" x14ac:dyDescent="0.25">
      <c r="A493" s="1" t="s">
        <v>495</v>
      </c>
      <c r="B493" s="1" t="s">
        <v>3147</v>
      </c>
      <c r="C493" s="1" t="s">
        <v>1822</v>
      </c>
      <c r="D493" t="str">
        <f t="shared" si="42"/>
        <v>7ED04B</v>
      </c>
      <c r="E493" t="str">
        <f t="shared" si="43"/>
        <v>126-208-75</v>
      </c>
      <c r="F493" t="str">
        <f t="shared" si="44"/>
        <v>12620875</v>
      </c>
      <c r="G493">
        <f t="shared" si="45"/>
        <v>126</v>
      </c>
      <c r="H493">
        <f t="shared" si="46"/>
        <v>208</v>
      </c>
      <c r="I493">
        <f t="shared" si="47"/>
        <v>75</v>
      </c>
      <c r="J493" s="169" t="str" cm="1">
        <f t="array" ref="J493">myRGB(G493,H493,I493)</f>
        <v/>
      </c>
    </row>
    <row r="494" spans="1:10" ht="17" x14ac:dyDescent="0.25">
      <c r="A494" s="1" t="s">
        <v>496</v>
      </c>
      <c r="B494" s="1" t="s">
        <v>3148</v>
      </c>
      <c r="C494" s="1" t="s">
        <v>1823</v>
      </c>
      <c r="D494" t="str">
        <f t="shared" si="42"/>
        <v>30B625</v>
      </c>
      <c r="E494" t="str">
        <f t="shared" si="43"/>
        <v>48-182-37</v>
      </c>
      <c r="F494" t="str">
        <f t="shared" si="44"/>
        <v>4818237</v>
      </c>
      <c r="G494">
        <f t="shared" si="45"/>
        <v>48</v>
      </c>
      <c r="H494">
        <f t="shared" si="46"/>
        <v>182</v>
      </c>
      <c r="I494">
        <f t="shared" si="47"/>
        <v>37</v>
      </c>
      <c r="J494" s="292" t="str" cm="1">
        <f t="array" ref="J494">myRGB(G494,H494,I494)</f>
        <v/>
      </c>
    </row>
    <row r="495" spans="1:10" ht="17" x14ac:dyDescent="0.25">
      <c r="A495" s="1" t="s">
        <v>497</v>
      </c>
      <c r="B495" s="1" t="s">
        <v>3149</v>
      </c>
      <c r="C495" s="1" t="s">
        <v>1824</v>
      </c>
      <c r="D495" t="str">
        <f t="shared" si="42"/>
        <v>32B822</v>
      </c>
      <c r="E495" t="str">
        <f t="shared" si="43"/>
        <v>50-184-34</v>
      </c>
      <c r="F495" t="str">
        <f t="shared" si="44"/>
        <v>5018434</v>
      </c>
      <c r="G495">
        <f t="shared" si="45"/>
        <v>50</v>
      </c>
      <c r="H495">
        <f t="shared" si="46"/>
        <v>184</v>
      </c>
      <c r="I495">
        <f t="shared" si="47"/>
        <v>34</v>
      </c>
      <c r="J495" s="290" t="str" cm="1">
        <f t="array" ref="J495">myRGB(G495,H495,I495)</f>
        <v/>
      </c>
    </row>
    <row r="496" spans="1:10" ht="17" x14ac:dyDescent="0.25">
      <c r="A496" s="1" t="s">
        <v>498</v>
      </c>
      <c r="B496" s="1" t="s">
        <v>3150</v>
      </c>
      <c r="C496" s="1" t="s">
        <v>1825</v>
      </c>
      <c r="D496" t="str">
        <f t="shared" si="42"/>
        <v>32B525</v>
      </c>
      <c r="E496" t="str">
        <f t="shared" si="43"/>
        <v>50-181-37</v>
      </c>
      <c r="F496" t="str">
        <f t="shared" si="44"/>
        <v>5018137</v>
      </c>
      <c r="G496">
        <f t="shared" si="45"/>
        <v>50</v>
      </c>
      <c r="H496">
        <f t="shared" si="46"/>
        <v>181</v>
      </c>
      <c r="I496">
        <f t="shared" si="47"/>
        <v>37</v>
      </c>
      <c r="J496" s="436" t="str" cm="1">
        <f t="array" ref="J496">myRGB(G496,H496,I496)</f>
        <v/>
      </c>
    </row>
    <row r="497" spans="1:10" ht="17" x14ac:dyDescent="0.25">
      <c r="A497" s="1" t="s">
        <v>499</v>
      </c>
      <c r="B497" s="1" t="s">
        <v>3151</v>
      </c>
      <c r="C497" s="1" t="s">
        <v>1826</v>
      </c>
      <c r="D497" t="str">
        <f t="shared" si="42"/>
        <v>32B722</v>
      </c>
      <c r="E497" t="str">
        <f t="shared" si="43"/>
        <v>50-183-34</v>
      </c>
      <c r="F497" t="str">
        <f t="shared" si="44"/>
        <v>5018334</v>
      </c>
      <c r="G497">
        <f t="shared" si="45"/>
        <v>50</v>
      </c>
      <c r="H497">
        <f t="shared" si="46"/>
        <v>183</v>
      </c>
      <c r="I497">
        <f t="shared" si="47"/>
        <v>34</v>
      </c>
      <c r="J497" s="164" t="str" cm="1">
        <f t="array" ref="J497">myRGB(G497,H497,I497)</f>
        <v/>
      </c>
    </row>
    <row r="498" spans="1:10" ht="17" x14ac:dyDescent="0.25">
      <c r="A498" s="1" t="s">
        <v>500</v>
      </c>
      <c r="B498" s="1" t="s">
        <v>3152</v>
      </c>
      <c r="C498" s="1" t="s">
        <v>1827</v>
      </c>
      <c r="D498" t="str">
        <f t="shared" si="42"/>
        <v>32B825</v>
      </c>
      <c r="E498" t="str">
        <f t="shared" si="43"/>
        <v>50-184-37</v>
      </c>
      <c r="F498" t="str">
        <f t="shared" si="44"/>
        <v>5018437</v>
      </c>
      <c r="G498">
        <f t="shared" si="45"/>
        <v>50</v>
      </c>
      <c r="H498">
        <f t="shared" si="46"/>
        <v>184</v>
      </c>
      <c r="I498">
        <f t="shared" si="47"/>
        <v>37</v>
      </c>
      <c r="J498" s="289" t="str" cm="1">
        <f t="array" ref="J498">myRGB(G498,H498,I498)</f>
        <v/>
      </c>
    </row>
    <row r="499" spans="1:10" ht="17" x14ac:dyDescent="0.25">
      <c r="A499" s="1" t="s">
        <v>501</v>
      </c>
      <c r="B499" s="1" t="s">
        <v>3153</v>
      </c>
      <c r="C499" s="1" t="s">
        <v>1828</v>
      </c>
      <c r="D499" t="str">
        <f t="shared" si="42"/>
        <v>2FB825</v>
      </c>
      <c r="E499" t="str">
        <f t="shared" si="43"/>
        <v>47-184-37</v>
      </c>
      <c r="F499" t="str">
        <f t="shared" si="44"/>
        <v>4718437</v>
      </c>
      <c r="G499">
        <f t="shared" si="45"/>
        <v>47</v>
      </c>
      <c r="H499">
        <f t="shared" si="46"/>
        <v>184</v>
      </c>
      <c r="I499">
        <f t="shared" si="47"/>
        <v>37</v>
      </c>
      <c r="J499" s="927" t="str" cm="1">
        <f t="array" ref="J499">myRGB(G499,H499,I499)</f>
        <v/>
      </c>
    </row>
    <row r="500" spans="1:10" ht="17" x14ac:dyDescent="0.25">
      <c r="A500" s="1" t="s">
        <v>502</v>
      </c>
      <c r="B500" s="1" t="s">
        <v>3154</v>
      </c>
      <c r="C500" s="1" t="s">
        <v>1829</v>
      </c>
      <c r="D500" t="str">
        <f t="shared" si="42"/>
        <v>30B624</v>
      </c>
      <c r="E500" t="str">
        <f t="shared" si="43"/>
        <v>48-182-36</v>
      </c>
      <c r="F500" t="str">
        <f t="shared" si="44"/>
        <v>4818236</v>
      </c>
      <c r="G500">
        <f t="shared" si="45"/>
        <v>48</v>
      </c>
      <c r="H500">
        <f t="shared" si="46"/>
        <v>182</v>
      </c>
      <c r="I500">
        <f t="shared" si="47"/>
        <v>36</v>
      </c>
      <c r="J500" s="989" t="str" cm="1">
        <f t="array" ref="J500">myRGB(G500,H500,I500)</f>
        <v/>
      </c>
    </row>
    <row r="501" spans="1:10" ht="17" x14ac:dyDescent="0.25">
      <c r="A501" s="1" t="s">
        <v>503</v>
      </c>
      <c r="B501" s="1" t="s">
        <v>3155</v>
      </c>
      <c r="C501" s="1" t="s">
        <v>1830</v>
      </c>
      <c r="D501" t="str">
        <f t="shared" si="42"/>
        <v>30B823</v>
      </c>
      <c r="E501" t="str">
        <f t="shared" si="43"/>
        <v>48-184-35</v>
      </c>
      <c r="F501" t="str">
        <f t="shared" si="44"/>
        <v>4818435</v>
      </c>
      <c r="G501">
        <f t="shared" si="45"/>
        <v>48</v>
      </c>
      <c r="H501">
        <f t="shared" si="46"/>
        <v>184</v>
      </c>
      <c r="I501">
        <f t="shared" si="47"/>
        <v>35</v>
      </c>
      <c r="J501" s="1017" t="str" cm="1">
        <f t="array" ref="J501">myRGB(G501,H501,I501)</f>
        <v/>
      </c>
    </row>
    <row r="502" spans="1:10" ht="17" x14ac:dyDescent="0.25">
      <c r="A502" s="1" t="s">
        <v>504</v>
      </c>
      <c r="B502" s="1" t="s">
        <v>3156</v>
      </c>
      <c r="C502" s="1" t="s">
        <v>1831</v>
      </c>
      <c r="D502" t="str">
        <f t="shared" si="42"/>
        <v>32B725</v>
      </c>
      <c r="E502" t="str">
        <f t="shared" si="43"/>
        <v>50-183-37</v>
      </c>
      <c r="F502" t="str">
        <f t="shared" si="44"/>
        <v>5018337</v>
      </c>
      <c r="G502">
        <f t="shared" si="45"/>
        <v>50</v>
      </c>
      <c r="H502">
        <f t="shared" si="46"/>
        <v>183</v>
      </c>
      <c r="I502">
        <f t="shared" si="47"/>
        <v>37</v>
      </c>
      <c r="J502" s="376" t="str" cm="1">
        <f t="array" ref="J502">myRGB(G502,H502,I502)</f>
        <v/>
      </c>
    </row>
    <row r="503" spans="1:10" ht="17" x14ac:dyDescent="0.25">
      <c r="A503" s="1" t="s">
        <v>505</v>
      </c>
      <c r="B503" s="1" t="s">
        <v>3157</v>
      </c>
      <c r="C503" s="1" t="s">
        <v>1832</v>
      </c>
      <c r="D503" t="str">
        <f t="shared" si="42"/>
        <v>32B724</v>
      </c>
      <c r="E503" t="str">
        <f t="shared" si="43"/>
        <v>50-183-36</v>
      </c>
      <c r="F503" t="str">
        <f t="shared" si="44"/>
        <v>5018336</v>
      </c>
      <c r="G503">
        <f t="shared" si="45"/>
        <v>50</v>
      </c>
      <c r="H503">
        <f t="shared" si="46"/>
        <v>183</v>
      </c>
      <c r="I503">
        <f t="shared" si="47"/>
        <v>36</v>
      </c>
      <c r="J503" s="928" t="str" cm="1">
        <f t="array" ref="J503">myRGB(G503,H503,I503)</f>
        <v/>
      </c>
    </row>
    <row r="504" spans="1:10" ht="17" x14ac:dyDescent="0.25">
      <c r="A504" s="1" t="s">
        <v>506</v>
      </c>
      <c r="B504" s="1" t="s">
        <v>3158</v>
      </c>
      <c r="C504" s="1" t="s">
        <v>1833</v>
      </c>
      <c r="D504" t="str">
        <f t="shared" si="42"/>
        <v>31B724</v>
      </c>
      <c r="E504" t="str">
        <f t="shared" si="43"/>
        <v>49-183-36</v>
      </c>
      <c r="F504" t="str">
        <f t="shared" si="44"/>
        <v>4918336</v>
      </c>
      <c r="G504">
        <f t="shared" si="45"/>
        <v>49</v>
      </c>
      <c r="H504">
        <f t="shared" si="46"/>
        <v>183</v>
      </c>
      <c r="I504">
        <f t="shared" si="47"/>
        <v>36</v>
      </c>
      <c r="J504" s="1067" t="str" cm="1">
        <f t="array" ref="J504">myRGB(G504,H504,I504)</f>
        <v/>
      </c>
    </row>
    <row r="505" spans="1:10" ht="17" x14ac:dyDescent="0.25">
      <c r="A505" s="1" t="s">
        <v>507</v>
      </c>
      <c r="B505" s="1" t="s">
        <v>3159</v>
      </c>
      <c r="C505" s="1" t="s">
        <v>1834</v>
      </c>
      <c r="D505" t="str">
        <f t="shared" si="42"/>
        <v>31B824</v>
      </c>
      <c r="E505" t="str">
        <f t="shared" si="43"/>
        <v>49-184-36</v>
      </c>
      <c r="F505" t="str">
        <f t="shared" si="44"/>
        <v>4918436</v>
      </c>
      <c r="G505">
        <f t="shared" si="45"/>
        <v>49</v>
      </c>
      <c r="H505">
        <f t="shared" si="46"/>
        <v>184</v>
      </c>
      <c r="I505">
        <f t="shared" si="47"/>
        <v>36</v>
      </c>
      <c r="J505" s="389" t="str" cm="1">
        <f t="array" ref="J505">myRGB(G505,H505,I505)</f>
        <v/>
      </c>
    </row>
    <row r="506" spans="1:10" ht="17" x14ac:dyDescent="0.25">
      <c r="A506" s="1" t="s">
        <v>508</v>
      </c>
      <c r="B506" s="1" t="s">
        <v>3160</v>
      </c>
      <c r="C506" s="1" t="s">
        <v>1835</v>
      </c>
      <c r="D506" t="str">
        <f t="shared" si="42"/>
        <v>30B825</v>
      </c>
      <c r="E506" t="str">
        <f t="shared" si="43"/>
        <v>48-184-37</v>
      </c>
      <c r="F506" t="str">
        <f t="shared" si="44"/>
        <v>4818437</v>
      </c>
      <c r="G506">
        <f t="shared" si="45"/>
        <v>48</v>
      </c>
      <c r="H506">
        <f t="shared" si="46"/>
        <v>184</v>
      </c>
      <c r="I506">
        <f t="shared" si="47"/>
        <v>37</v>
      </c>
      <c r="J506" s="1018" t="str" cm="1">
        <f t="array" ref="J506">myRGB(G506,H506,I506)</f>
        <v/>
      </c>
    </row>
    <row r="507" spans="1:10" ht="17" x14ac:dyDescent="0.25">
      <c r="A507" s="1" t="s">
        <v>509</v>
      </c>
      <c r="B507" s="1" t="s">
        <v>3161</v>
      </c>
      <c r="C507" s="1" t="s">
        <v>1836</v>
      </c>
      <c r="D507" t="str">
        <f t="shared" si="42"/>
        <v>32B824</v>
      </c>
      <c r="E507" t="str">
        <f t="shared" si="43"/>
        <v>50-184-36</v>
      </c>
      <c r="F507" t="str">
        <f t="shared" si="44"/>
        <v>5018436</v>
      </c>
      <c r="G507">
        <f t="shared" si="45"/>
        <v>50</v>
      </c>
      <c r="H507">
        <f t="shared" si="46"/>
        <v>184</v>
      </c>
      <c r="I507">
        <f t="shared" si="47"/>
        <v>36</v>
      </c>
      <c r="J507" s="268" t="str" cm="1">
        <f t="array" ref="J507">myRGB(G507,H507,I507)</f>
        <v/>
      </c>
    </row>
    <row r="508" spans="1:10" ht="17" x14ac:dyDescent="0.25">
      <c r="A508" s="1" t="s">
        <v>510</v>
      </c>
      <c r="B508" s="1" t="s">
        <v>3162</v>
      </c>
      <c r="C508" s="1" t="s">
        <v>1837</v>
      </c>
      <c r="D508" t="str">
        <f t="shared" si="42"/>
        <v>31B825</v>
      </c>
      <c r="E508" t="str">
        <f t="shared" si="43"/>
        <v>49-184-37</v>
      </c>
      <c r="F508" t="str">
        <f t="shared" si="44"/>
        <v>4918437</v>
      </c>
      <c r="G508">
        <f t="shared" si="45"/>
        <v>49</v>
      </c>
      <c r="H508">
        <f t="shared" si="46"/>
        <v>184</v>
      </c>
      <c r="I508">
        <f t="shared" si="47"/>
        <v>37</v>
      </c>
      <c r="J508" s="1097" t="str" cm="1">
        <f t="array" ref="J508">myRGB(G508,H508,I508)</f>
        <v/>
      </c>
    </row>
    <row r="509" spans="1:10" ht="17" x14ac:dyDescent="0.25">
      <c r="A509" s="1" t="s">
        <v>511</v>
      </c>
      <c r="B509" s="1" t="s">
        <v>3163</v>
      </c>
      <c r="C509" s="1" t="s">
        <v>1838</v>
      </c>
      <c r="D509" t="str">
        <f t="shared" si="42"/>
        <v>31B623</v>
      </c>
      <c r="E509" t="str">
        <f t="shared" si="43"/>
        <v>49-182-35</v>
      </c>
      <c r="F509" t="str">
        <f t="shared" si="44"/>
        <v>4918235</v>
      </c>
      <c r="G509">
        <f t="shared" si="45"/>
        <v>49</v>
      </c>
      <c r="H509">
        <f t="shared" si="46"/>
        <v>182</v>
      </c>
      <c r="I509">
        <f t="shared" si="47"/>
        <v>35</v>
      </c>
      <c r="J509" s="163" t="str" cm="1">
        <f t="array" ref="J509">myRGB(G509,H509,I509)</f>
        <v/>
      </c>
    </row>
    <row r="510" spans="1:10" ht="17" x14ac:dyDescent="0.25">
      <c r="A510" s="1" t="s">
        <v>512</v>
      </c>
      <c r="B510" s="1" t="s">
        <v>3164</v>
      </c>
      <c r="C510" s="1" t="s">
        <v>1839</v>
      </c>
      <c r="D510" t="str">
        <f t="shared" si="42"/>
        <v>31B625</v>
      </c>
      <c r="E510" t="str">
        <f t="shared" si="43"/>
        <v>49-182-37</v>
      </c>
      <c r="F510" t="str">
        <f t="shared" si="44"/>
        <v>4918237</v>
      </c>
      <c r="G510">
        <f t="shared" si="45"/>
        <v>49</v>
      </c>
      <c r="H510">
        <f t="shared" si="46"/>
        <v>182</v>
      </c>
      <c r="I510">
        <f t="shared" si="47"/>
        <v>37</v>
      </c>
      <c r="J510" s="375" t="str" cm="1">
        <f t="array" ref="J510">myRGB(G510,H510,I510)</f>
        <v/>
      </c>
    </row>
    <row r="511" spans="1:10" ht="17" x14ac:dyDescent="0.25">
      <c r="A511" s="1" t="s">
        <v>513</v>
      </c>
      <c r="B511" s="1" t="s">
        <v>3165</v>
      </c>
      <c r="C511" s="1" t="s">
        <v>1840</v>
      </c>
      <c r="D511" t="str">
        <f t="shared" si="42"/>
        <v>30B824</v>
      </c>
      <c r="E511" t="str">
        <f t="shared" si="43"/>
        <v>48-184-36</v>
      </c>
      <c r="F511" t="str">
        <f t="shared" si="44"/>
        <v>4818436</v>
      </c>
      <c r="G511">
        <f t="shared" si="45"/>
        <v>48</v>
      </c>
      <c r="H511">
        <f t="shared" si="46"/>
        <v>184</v>
      </c>
      <c r="I511">
        <f t="shared" si="47"/>
        <v>36</v>
      </c>
      <c r="J511" s="339" t="str" cm="1">
        <f t="array" ref="J511">myRGB(G511,H511,I511)</f>
        <v/>
      </c>
    </row>
    <row r="512" spans="1:10" ht="17" x14ac:dyDescent="0.25">
      <c r="A512" s="1" t="s">
        <v>514</v>
      </c>
      <c r="B512" s="1" t="s">
        <v>3166</v>
      </c>
      <c r="C512" s="1" t="s">
        <v>1841</v>
      </c>
      <c r="D512" t="str">
        <f t="shared" si="42"/>
        <v>32B624</v>
      </c>
      <c r="E512" t="str">
        <f t="shared" si="43"/>
        <v>50-182-36</v>
      </c>
      <c r="F512" t="str">
        <f t="shared" si="44"/>
        <v>5018236</v>
      </c>
      <c r="G512">
        <f t="shared" si="45"/>
        <v>50</v>
      </c>
      <c r="H512">
        <f t="shared" si="46"/>
        <v>182</v>
      </c>
      <c r="I512">
        <f t="shared" si="47"/>
        <v>36</v>
      </c>
      <c r="J512" s="1019" t="str" cm="1">
        <f t="array" ref="J512">myRGB(G512,H512,I512)</f>
        <v/>
      </c>
    </row>
    <row r="513" spans="1:10" ht="17" x14ac:dyDescent="0.25">
      <c r="A513" s="1" t="s">
        <v>515</v>
      </c>
      <c r="B513" s="1" t="s">
        <v>3167</v>
      </c>
      <c r="C513" s="1" t="s">
        <v>1842</v>
      </c>
      <c r="D513" t="str">
        <f t="shared" si="42"/>
        <v>31B823</v>
      </c>
      <c r="E513" t="str">
        <f t="shared" si="43"/>
        <v>49-184-35</v>
      </c>
      <c r="F513" t="str">
        <f t="shared" si="44"/>
        <v>4918435</v>
      </c>
      <c r="G513">
        <f t="shared" si="45"/>
        <v>49</v>
      </c>
      <c r="H513">
        <f t="shared" si="46"/>
        <v>184</v>
      </c>
      <c r="I513">
        <f t="shared" si="47"/>
        <v>35</v>
      </c>
      <c r="J513" s="1182" t="str" cm="1">
        <f t="array" ref="J513">myRGB(G513,H513,I513)</f>
        <v/>
      </c>
    </row>
    <row r="514" spans="1:10" ht="17" x14ac:dyDescent="0.25">
      <c r="A514" s="1" t="s">
        <v>516</v>
      </c>
      <c r="B514" s="1" t="s">
        <v>3168</v>
      </c>
      <c r="C514" s="1" t="s">
        <v>1843</v>
      </c>
      <c r="D514" t="str">
        <f t="shared" si="42"/>
        <v>31B723</v>
      </c>
      <c r="E514" t="str">
        <f t="shared" si="43"/>
        <v>49-183-35</v>
      </c>
      <c r="F514" t="str">
        <f t="shared" si="44"/>
        <v>4918335</v>
      </c>
      <c r="G514">
        <f t="shared" si="45"/>
        <v>49</v>
      </c>
      <c r="H514">
        <f t="shared" si="46"/>
        <v>183</v>
      </c>
      <c r="I514">
        <f t="shared" si="47"/>
        <v>35</v>
      </c>
      <c r="J514" s="288" t="str" cm="1">
        <f t="array" ref="J514">myRGB(G514,H514,I514)</f>
        <v/>
      </c>
    </row>
    <row r="515" spans="1:10" ht="17" x14ac:dyDescent="0.25">
      <c r="A515" s="1" t="s">
        <v>517</v>
      </c>
      <c r="B515" s="1" t="s">
        <v>3169</v>
      </c>
      <c r="C515" s="1" t="s">
        <v>1844</v>
      </c>
      <c r="D515" t="str">
        <f t="shared" si="42"/>
        <v>31B624</v>
      </c>
      <c r="E515" t="str">
        <f t="shared" si="43"/>
        <v>49-182-36</v>
      </c>
      <c r="F515" t="str">
        <f t="shared" si="44"/>
        <v>4918236</v>
      </c>
      <c r="G515">
        <f t="shared" si="45"/>
        <v>49</v>
      </c>
      <c r="H515">
        <f t="shared" si="46"/>
        <v>182</v>
      </c>
      <c r="I515">
        <f t="shared" si="47"/>
        <v>36</v>
      </c>
      <c r="J515" s="929" t="str" cm="1">
        <f t="array" ref="J515">myRGB(G515,H515,I515)</f>
        <v/>
      </c>
    </row>
    <row r="516" spans="1:10" ht="17" x14ac:dyDescent="0.25">
      <c r="A516" s="1" t="s">
        <v>518</v>
      </c>
      <c r="B516" s="1" t="s">
        <v>3170</v>
      </c>
      <c r="C516" s="1" t="s">
        <v>1845</v>
      </c>
      <c r="D516" t="str">
        <f t="shared" ref="D516:D579" si="48">RIGHT(LEFT(C516,9),6)</f>
        <v>30B724</v>
      </c>
      <c r="E516" t="str">
        <f t="shared" ref="E516:E579" si="49">HEX2DEC(LEFT(D516,2))&amp;"-"&amp;HEX2DEC(MID(D516,3,2))&amp;"-"&amp;HEX2DEC(RIGHT(D516,2))</f>
        <v>48-183-36</v>
      </c>
      <c r="F516" t="str">
        <f t="shared" ref="F516:F579" si="50">HEX2DEC(LEFT(D516,2))&amp;HEX2DEC(MID(D516,3,2))&amp;HEX2DEC(RIGHT(D516,2))</f>
        <v>4818336</v>
      </c>
      <c r="G516">
        <f t="shared" ref="G516:G579" si="51">HEX2DEC(LEFT(D516,2))</f>
        <v>48</v>
      </c>
      <c r="H516">
        <f t="shared" ref="H516:H579" si="52">HEX2DEC(MID(D516,3,2))</f>
        <v>183</v>
      </c>
      <c r="I516">
        <f t="shared" ref="I516:I579" si="53">HEX2DEC(RIGHT(D516,2))</f>
        <v>36</v>
      </c>
      <c r="J516" s="236" t="str" cm="1">
        <f t="array" ref="J516">myRGB(G516,H516,I516)</f>
        <v/>
      </c>
    </row>
    <row r="517" spans="1:10" ht="17" x14ac:dyDescent="0.25">
      <c r="A517" s="1" t="s">
        <v>519</v>
      </c>
      <c r="B517" s="1" t="s">
        <v>3171</v>
      </c>
      <c r="C517" s="1" t="s">
        <v>1846</v>
      </c>
      <c r="D517" t="str">
        <f t="shared" si="48"/>
        <v>30B725</v>
      </c>
      <c r="E517" t="str">
        <f t="shared" si="49"/>
        <v>48-183-37</v>
      </c>
      <c r="F517" t="str">
        <f t="shared" si="50"/>
        <v>4818337</v>
      </c>
      <c r="G517">
        <f t="shared" si="51"/>
        <v>48</v>
      </c>
      <c r="H517">
        <f t="shared" si="52"/>
        <v>183</v>
      </c>
      <c r="I517">
        <f t="shared" si="53"/>
        <v>37</v>
      </c>
      <c r="J517" s="1020" t="str" cm="1">
        <f t="array" ref="J517">myRGB(G517,H517,I517)</f>
        <v/>
      </c>
    </row>
    <row r="518" spans="1:10" ht="17" x14ac:dyDescent="0.25">
      <c r="A518" s="1" t="s">
        <v>520</v>
      </c>
      <c r="B518" s="1" t="s">
        <v>3172</v>
      </c>
      <c r="C518" s="1" t="s">
        <v>1847</v>
      </c>
      <c r="D518" t="str">
        <f t="shared" si="48"/>
        <v>32B623</v>
      </c>
      <c r="E518" t="str">
        <f t="shared" si="49"/>
        <v>50-182-35</v>
      </c>
      <c r="F518" t="str">
        <f t="shared" si="50"/>
        <v>5018235</v>
      </c>
      <c r="G518">
        <f t="shared" si="51"/>
        <v>50</v>
      </c>
      <c r="H518">
        <f t="shared" si="52"/>
        <v>182</v>
      </c>
      <c r="I518">
        <f t="shared" si="53"/>
        <v>35</v>
      </c>
      <c r="J518" s="162" t="str" cm="1">
        <f t="array" ref="J518">myRGB(G518,H518,I518)</f>
        <v/>
      </c>
    </row>
    <row r="519" spans="1:10" ht="17" x14ac:dyDescent="0.25">
      <c r="A519" s="1" t="s">
        <v>521</v>
      </c>
      <c r="B519" s="1" t="s">
        <v>3173</v>
      </c>
      <c r="C519" s="1" t="s">
        <v>1848</v>
      </c>
      <c r="D519" t="str">
        <f t="shared" si="48"/>
        <v>30B723</v>
      </c>
      <c r="E519" t="str">
        <f t="shared" si="49"/>
        <v>48-183-35</v>
      </c>
      <c r="F519" t="str">
        <f t="shared" si="50"/>
        <v>4818335</v>
      </c>
      <c r="G519">
        <f t="shared" si="51"/>
        <v>48</v>
      </c>
      <c r="H519">
        <f t="shared" si="52"/>
        <v>183</v>
      </c>
      <c r="I519">
        <f t="shared" si="53"/>
        <v>35</v>
      </c>
      <c r="J519" s="930" t="str" cm="1">
        <f t="array" ref="J519">myRGB(G519,H519,I519)</f>
        <v/>
      </c>
    </row>
    <row r="520" spans="1:10" ht="17" x14ac:dyDescent="0.25">
      <c r="A520" s="1" t="s">
        <v>522</v>
      </c>
      <c r="B520" s="1" t="s">
        <v>3174</v>
      </c>
      <c r="C520" s="1" t="s">
        <v>1849</v>
      </c>
      <c r="D520" t="str">
        <f t="shared" si="48"/>
        <v>31B725</v>
      </c>
      <c r="E520" t="str">
        <f t="shared" si="49"/>
        <v>49-183-37</v>
      </c>
      <c r="F520" t="str">
        <f t="shared" si="50"/>
        <v>4918337</v>
      </c>
      <c r="G520">
        <f t="shared" si="51"/>
        <v>49</v>
      </c>
      <c r="H520">
        <f t="shared" si="52"/>
        <v>183</v>
      </c>
      <c r="I520">
        <f t="shared" si="53"/>
        <v>37</v>
      </c>
      <c r="J520" s="1068" t="str" cm="1">
        <f t="array" ref="J520">myRGB(G520,H520,I520)</f>
        <v/>
      </c>
    </row>
    <row r="521" spans="1:10" ht="17" x14ac:dyDescent="0.25">
      <c r="A521" s="1" t="s">
        <v>523</v>
      </c>
      <c r="B521" s="1" t="s">
        <v>3175</v>
      </c>
      <c r="C521" s="1" t="s">
        <v>1850</v>
      </c>
      <c r="D521" t="str">
        <f t="shared" si="48"/>
        <v>32B823</v>
      </c>
      <c r="E521" t="str">
        <f t="shared" si="49"/>
        <v>50-184-35</v>
      </c>
      <c r="F521" t="str">
        <f t="shared" si="50"/>
        <v>5018435</v>
      </c>
      <c r="G521">
        <f t="shared" si="51"/>
        <v>50</v>
      </c>
      <c r="H521">
        <f t="shared" si="52"/>
        <v>184</v>
      </c>
      <c r="I521">
        <f t="shared" si="53"/>
        <v>35</v>
      </c>
      <c r="J521" s="990" t="str" cm="1">
        <f t="array" ref="J521">myRGB(G521,H521,I521)</f>
        <v/>
      </c>
    </row>
    <row r="522" spans="1:10" ht="17" x14ac:dyDescent="0.25">
      <c r="A522" s="1" t="s">
        <v>524</v>
      </c>
      <c r="B522" s="1" t="s">
        <v>3176</v>
      </c>
      <c r="C522" s="1" t="s">
        <v>1851</v>
      </c>
      <c r="D522" t="str">
        <f t="shared" si="48"/>
        <v>32B625</v>
      </c>
      <c r="E522" t="str">
        <f t="shared" si="49"/>
        <v>50-182-37</v>
      </c>
      <c r="F522" t="str">
        <f t="shared" si="50"/>
        <v>5018237</v>
      </c>
      <c r="G522">
        <f t="shared" si="51"/>
        <v>50</v>
      </c>
      <c r="H522">
        <f t="shared" si="52"/>
        <v>182</v>
      </c>
      <c r="I522">
        <f t="shared" si="53"/>
        <v>37</v>
      </c>
      <c r="J522" s="1021" t="str" cm="1">
        <f t="array" ref="J522">myRGB(G522,H522,I522)</f>
        <v/>
      </c>
    </row>
    <row r="523" spans="1:10" ht="17" x14ac:dyDescent="0.25">
      <c r="A523" s="1" t="s">
        <v>525</v>
      </c>
      <c r="B523" s="1" t="s">
        <v>3177</v>
      </c>
      <c r="C523" s="1" t="s">
        <v>1852</v>
      </c>
      <c r="D523" t="str">
        <f t="shared" si="48"/>
        <v>32B723</v>
      </c>
      <c r="E523" t="str">
        <f t="shared" si="49"/>
        <v>50-183-35</v>
      </c>
      <c r="F523" t="str">
        <f t="shared" si="50"/>
        <v>5018335</v>
      </c>
      <c r="G523">
        <f t="shared" si="51"/>
        <v>50</v>
      </c>
      <c r="H523">
        <f t="shared" si="52"/>
        <v>183</v>
      </c>
      <c r="I523">
        <f t="shared" si="53"/>
        <v>35</v>
      </c>
      <c r="J523" s="931" t="str" cm="1">
        <f t="array" ref="J523">myRGB(G523,H523,I523)</f>
        <v/>
      </c>
    </row>
    <row r="524" spans="1:10" ht="17" x14ac:dyDescent="0.25">
      <c r="A524" s="1" t="s">
        <v>526</v>
      </c>
      <c r="B524" s="1" t="s">
        <v>3178</v>
      </c>
      <c r="C524" s="1" t="s">
        <v>1853</v>
      </c>
      <c r="D524" t="str">
        <f t="shared" si="48"/>
        <v>32B524</v>
      </c>
      <c r="E524" t="str">
        <f t="shared" si="49"/>
        <v>50-181-36</v>
      </c>
      <c r="F524" t="str">
        <f t="shared" si="50"/>
        <v>5018136</v>
      </c>
      <c r="G524">
        <f t="shared" si="51"/>
        <v>50</v>
      </c>
      <c r="H524">
        <f t="shared" si="52"/>
        <v>181</v>
      </c>
      <c r="I524">
        <f t="shared" si="53"/>
        <v>36</v>
      </c>
      <c r="J524" s="1089" t="str" cm="1">
        <f t="array" ref="J524">myRGB(G524,H524,I524)</f>
        <v/>
      </c>
    </row>
    <row r="525" spans="1:10" ht="17" x14ac:dyDescent="0.25">
      <c r="A525" s="1" t="s">
        <v>527</v>
      </c>
      <c r="B525" s="1" t="s">
        <v>3179</v>
      </c>
      <c r="C525" s="1" t="s">
        <v>1854</v>
      </c>
      <c r="D525" t="str">
        <f t="shared" si="48"/>
        <v>72D568</v>
      </c>
      <c r="E525" t="str">
        <f t="shared" si="49"/>
        <v>114-213-104</v>
      </c>
      <c r="F525" t="str">
        <f t="shared" si="50"/>
        <v>114213104</v>
      </c>
      <c r="G525">
        <f t="shared" si="51"/>
        <v>114</v>
      </c>
      <c r="H525">
        <f t="shared" si="52"/>
        <v>213</v>
      </c>
      <c r="I525">
        <f t="shared" si="53"/>
        <v>104</v>
      </c>
      <c r="J525" s="452" t="str" cm="1">
        <f t="array" ref="J525">myRGB(G525,H525,I525)</f>
        <v/>
      </c>
    </row>
    <row r="526" spans="1:10" ht="17" x14ac:dyDescent="0.25">
      <c r="A526" s="1" t="s">
        <v>528</v>
      </c>
      <c r="B526" s="1" t="s">
        <v>3180</v>
      </c>
      <c r="C526" s="1" t="s">
        <v>1855</v>
      </c>
      <c r="D526" t="str">
        <f t="shared" si="48"/>
        <v>72D469</v>
      </c>
      <c r="E526" t="str">
        <f t="shared" si="49"/>
        <v>114-212-105</v>
      </c>
      <c r="F526" t="str">
        <f t="shared" si="50"/>
        <v>114212105</v>
      </c>
      <c r="G526">
        <f t="shared" si="51"/>
        <v>114</v>
      </c>
      <c r="H526">
        <f t="shared" si="52"/>
        <v>212</v>
      </c>
      <c r="I526">
        <f t="shared" si="53"/>
        <v>105</v>
      </c>
      <c r="J526" s="991" t="str" cm="1">
        <f t="array" ref="J526">myRGB(G526,H526,I526)</f>
        <v/>
      </c>
    </row>
    <row r="527" spans="1:10" ht="17" x14ac:dyDescent="0.25">
      <c r="A527" s="1" t="s">
        <v>529</v>
      </c>
      <c r="B527" s="1" t="s">
        <v>3181</v>
      </c>
      <c r="C527" s="1" t="s">
        <v>1856</v>
      </c>
      <c r="D527" t="str">
        <f t="shared" si="48"/>
        <v>71D569</v>
      </c>
      <c r="E527" t="str">
        <f t="shared" si="49"/>
        <v>113-213-105</v>
      </c>
      <c r="F527" t="str">
        <f t="shared" si="50"/>
        <v>113213105</v>
      </c>
      <c r="G527">
        <f t="shared" si="51"/>
        <v>113</v>
      </c>
      <c r="H527">
        <f t="shared" si="52"/>
        <v>213</v>
      </c>
      <c r="I527">
        <f t="shared" si="53"/>
        <v>105</v>
      </c>
      <c r="J527" s="932" t="str" cm="1">
        <f t="array" ref="J527">myRGB(G527,H527,I527)</f>
        <v/>
      </c>
    </row>
    <row r="528" spans="1:10" ht="17" x14ac:dyDescent="0.25">
      <c r="A528" s="1" t="s">
        <v>530</v>
      </c>
      <c r="B528" s="1" t="s">
        <v>3182</v>
      </c>
      <c r="C528" s="1" t="s">
        <v>1857</v>
      </c>
      <c r="D528" t="str">
        <f t="shared" si="48"/>
        <v>72D569</v>
      </c>
      <c r="E528" t="str">
        <f t="shared" si="49"/>
        <v>114-213-105</v>
      </c>
      <c r="F528" t="str">
        <f t="shared" si="50"/>
        <v>114213105</v>
      </c>
      <c r="G528">
        <f t="shared" si="51"/>
        <v>114</v>
      </c>
      <c r="H528">
        <f t="shared" si="52"/>
        <v>213</v>
      </c>
      <c r="I528">
        <f t="shared" si="53"/>
        <v>105</v>
      </c>
      <c r="J528" s="1022" t="str" cm="1">
        <f t="array" ref="J528">myRGB(G528,H528,I528)</f>
        <v/>
      </c>
    </row>
    <row r="529" spans="1:10" ht="17" x14ac:dyDescent="0.25">
      <c r="A529" s="1" t="s">
        <v>531</v>
      </c>
      <c r="B529" s="1" t="s">
        <v>3183</v>
      </c>
      <c r="C529" s="1" t="s">
        <v>1858</v>
      </c>
      <c r="D529" t="str">
        <f t="shared" si="48"/>
        <v>47C83C</v>
      </c>
      <c r="E529" t="str">
        <f t="shared" si="49"/>
        <v>71-200-60</v>
      </c>
      <c r="F529" t="str">
        <f t="shared" si="50"/>
        <v>7120060</v>
      </c>
      <c r="G529">
        <f t="shared" si="51"/>
        <v>71</v>
      </c>
      <c r="H529">
        <f t="shared" si="52"/>
        <v>200</v>
      </c>
      <c r="I529">
        <f t="shared" si="53"/>
        <v>60</v>
      </c>
      <c r="J529" s="515" t="str" cm="1">
        <f t="array" ref="J529">myRGB(G529,H529,I529)</f>
        <v/>
      </c>
    </row>
    <row r="530" spans="1:10" ht="17" x14ac:dyDescent="0.25">
      <c r="A530" s="1" t="s">
        <v>532</v>
      </c>
      <c r="B530" s="1" t="s">
        <v>3184</v>
      </c>
      <c r="C530" s="1" t="s">
        <v>1859</v>
      </c>
      <c r="D530" t="str">
        <f t="shared" si="48"/>
        <v>48C73C</v>
      </c>
      <c r="E530" t="str">
        <f t="shared" si="49"/>
        <v>72-199-60</v>
      </c>
      <c r="F530" t="str">
        <f t="shared" si="50"/>
        <v>7219960</v>
      </c>
      <c r="G530">
        <f t="shared" si="51"/>
        <v>72</v>
      </c>
      <c r="H530">
        <f t="shared" si="52"/>
        <v>199</v>
      </c>
      <c r="I530">
        <f t="shared" si="53"/>
        <v>60</v>
      </c>
      <c r="J530" s="1069" t="str" cm="1">
        <f t="array" ref="J530">myRGB(G530,H530,I530)</f>
        <v/>
      </c>
    </row>
    <row r="531" spans="1:10" ht="17" x14ac:dyDescent="0.25">
      <c r="A531" s="1" t="s">
        <v>533</v>
      </c>
      <c r="B531" s="1" t="s">
        <v>3185</v>
      </c>
      <c r="C531" s="1" t="s">
        <v>1860</v>
      </c>
      <c r="D531" t="str">
        <f t="shared" si="48"/>
        <v>48C83B</v>
      </c>
      <c r="E531" t="str">
        <f t="shared" si="49"/>
        <v>72-200-59</v>
      </c>
      <c r="F531" t="str">
        <f t="shared" si="50"/>
        <v>7220059</v>
      </c>
      <c r="G531">
        <f t="shared" si="51"/>
        <v>72</v>
      </c>
      <c r="H531">
        <f t="shared" si="52"/>
        <v>200</v>
      </c>
      <c r="I531">
        <f t="shared" si="53"/>
        <v>59</v>
      </c>
      <c r="J531" s="933" t="str" cm="1">
        <f t="array" ref="J531">myRGB(G531,H531,I531)</f>
        <v/>
      </c>
    </row>
    <row r="532" spans="1:10" ht="17" x14ac:dyDescent="0.25">
      <c r="A532" s="1" t="s">
        <v>534</v>
      </c>
      <c r="B532" s="1" t="s">
        <v>3186</v>
      </c>
      <c r="C532" s="1" t="s">
        <v>1861</v>
      </c>
      <c r="D532" t="str">
        <f t="shared" si="48"/>
        <v>48C83C</v>
      </c>
      <c r="E532" t="str">
        <f t="shared" si="49"/>
        <v>72-200-60</v>
      </c>
      <c r="F532" t="str">
        <f t="shared" si="50"/>
        <v>7220060</v>
      </c>
      <c r="G532">
        <f t="shared" si="51"/>
        <v>72</v>
      </c>
      <c r="H532">
        <f t="shared" si="52"/>
        <v>200</v>
      </c>
      <c r="I532">
        <f t="shared" si="53"/>
        <v>60</v>
      </c>
      <c r="J532" s="992" t="str" cm="1">
        <f t="array" ref="J532">myRGB(G532,H532,I532)</f>
        <v/>
      </c>
    </row>
    <row r="533" spans="1:10" ht="17" x14ac:dyDescent="0.25">
      <c r="A533" s="1" t="s">
        <v>535</v>
      </c>
      <c r="B533" s="1" t="s">
        <v>3187</v>
      </c>
      <c r="C533" s="1" t="s">
        <v>1862</v>
      </c>
      <c r="D533" t="str">
        <f t="shared" si="48"/>
        <v>59B847</v>
      </c>
      <c r="E533" t="str">
        <f t="shared" si="49"/>
        <v>89-184-71</v>
      </c>
      <c r="F533" t="str">
        <f t="shared" si="50"/>
        <v>8918471</v>
      </c>
      <c r="G533">
        <f t="shared" si="51"/>
        <v>89</v>
      </c>
      <c r="H533">
        <f t="shared" si="52"/>
        <v>184</v>
      </c>
      <c r="I533">
        <f t="shared" si="53"/>
        <v>71</v>
      </c>
      <c r="J533" s="166" t="str" cm="1">
        <f t="array" ref="J533">myRGB(G533,H533,I533)</f>
        <v/>
      </c>
    </row>
    <row r="534" spans="1:10" ht="17" x14ac:dyDescent="0.25">
      <c r="A534" s="1" t="s">
        <v>536</v>
      </c>
      <c r="B534" s="1" t="s">
        <v>3188</v>
      </c>
      <c r="C534" s="1" t="s">
        <v>1863</v>
      </c>
      <c r="D534" t="str">
        <f t="shared" si="48"/>
        <v>59B947</v>
      </c>
      <c r="E534" t="str">
        <f t="shared" si="49"/>
        <v>89-185-71</v>
      </c>
      <c r="F534" t="str">
        <f t="shared" si="50"/>
        <v>8918571</v>
      </c>
      <c r="G534">
        <f t="shared" si="51"/>
        <v>89</v>
      </c>
      <c r="H534">
        <f t="shared" si="52"/>
        <v>185</v>
      </c>
      <c r="I534">
        <f t="shared" si="53"/>
        <v>71</v>
      </c>
      <c r="J534" s="1124" t="str" cm="1">
        <f t="array" ref="J534">myRGB(G534,H534,I534)</f>
        <v/>
      </c>
    </row>
    <row r="535" spans="1:10" ht="17" x14ac:dyDescent="0.25">
      <c r="A535" s="1" t="s">
        <v>537</v>
      </c>
      <c r="B535" s="1" t="s">
        <v>3189</v>
      </c>
      <c r="C535" s="1" t="s">
        <v>1864</v>
      </c>
      <c r="D535" t="str">
        <f t="shared" si="48"/>
        <v>59B946</v>
      </c>
      <c r="E535" t="str">
        <f t="shared" si="49"/>
        <v>89-185-70</v>
      </c>
      <c r="F535" t="str">
        <f t="shared" si="50"/>
        <v>8918570</v>
      </c>
      <c r="G535">
        <f t="shared" si="51"/>
        <v>89</v>
      </c>
      <c r="H535">
        <f t="shared" si="52"/>
        <v>185</v>
      </c>
      <c r="I535">
        <f t="shared" si="53"/>
        <v>70</v>
      </c>
      <c r="J535" s="934" t="str" cm="1">
        <f t="array" ref="J535">myRGB(G535,H535,I535)</f>
        <v/>
      </c>
    </row>
    <row r="536" spans="1:10" ht="17" x14ac:dyDescent="0.25">
      <c r="A536" s="1" t="s">
        <v>538</v>
      </c>
      <c r="B536" s="1" t="s">
        <v>3190</v>
      </c>
      <c r="C536" s="1" t="s">
        <v>1865</v>
      </c>
      <c r="D536" t="str">
        <f t="shared" si="48"/>
        <v>58B947</v>
      </c>
      <c r="E536" t="str">
        <f t="shared" si="49"/>
        <v>88-185-71</v>
      </c>
      <c r="F536" t="str">
        <f t="shared" si="50"/>
        <v>8818571</v>
      </c>
      <c r="G536">
        <f t="shared" si="51"/>
        <v>88</v>
      </c>
      <c r="H536">
        <f t="shared" si="52"/>
        <v>185</v>
      </c>
      <c r="I536">
        <f t="shared" si="53"/>
        <v>71</v>
      </c>
      <c r="J536" s="1070" t="str" cm="1">
        <f t="array" ref="J536">myRGB(G536,H536,I536)</f>
        <v/>
      </c>
    </row>
    <row r="537" spans="1:10" ht="17" x14ac:dyDescent="0.25">
      <c r="A537" s="1" t="s">
        <v>539</v>
      </c>
      <c r="B537" s="1" t="s">
        <v>3191</v>
      </c>
      <c r="C537" s="1" t="s">
        <v>1866</v>
      </c>
      <c r="D537" t="str">
        <f t="shared" si="48"/>
        <v>4FC244</v>
      </c>
      <c r="E537" t="str">
        <f t="shared" si="49"/>
        <v>79-194-68</v>
      </c>
      <c r="F537" t="str">
        <f t="shared" si="50"/>
        <v>7919468</v>
      </c>
      <c r="G537">
        <f t="shared" si="51"/>
        <v>79</v>
      </c>
      <c r="H537">
        <f t="shared" si="52"/>
        <v>194</v>
      </c>
      <c r="I537">
        <f t="shared" si="53"/>
        <v>68</v>
      </c>
      <c r="J537" s="477" t="str" cm="1">
        <f t="array" ref="J537">myRGB(G537,H537,I537)</f>
        <v/>
      </c>
    </row>
    <row r="538" spans="1:10" ht="17" x14ac:dyDescent="0.25">
      <c r="A538" s="1" t="s">
        <v>540</v>
      </c>
      <c r="B538" s="1" t="s">
        <v>3192</v>
      </c>
      <c r="C538" s="1" t="s">
        <v>1867</v>
      </c>
      <c r="D538" t="str">
        <f t="shared" si="48"/>
        <v>4FC243</v>
      </c>
      <c r="E538" t="str">
        <f t="shared" si="49"/>
        <v>79-194-67</v>
      </c>
      <c r="F538" t="str">
        <f t="shared" si="50"/>
        <v>7919467</v>
      </c>
      <c r="G538">
        <f t="shared" si="51"/>
        <v>79</v>
      </c>
      <c r="H538">
        <f t="shared" si="52"/>
        <v>194</v>
      </c>
      <c r="I538">
        <f t="shared" si="53"/>
        <v>67</v>
      </c>
      <c r="J538" s="1023" t="str" cm="1">
        <f t="array" ref="J538">myRGB(G538,H538,I538)</f>
        <v/>
      </c>
    </row>
    <row r="539" spans="1:10" ht="17" x14ac:dyDescent="0.25">
      <c r="A539" s="1" t="s">
        <v>541</v>
      </c>
      <c r="B539" s="1" t="s">
        <v>3193</v>
      </c>
      <c r="C539" s="1" t="s">
        <v>1868</v>
      </c>
      <c r="D539" t="str">
        <f t="shared" si="48"/>
        <v>4EC244</v>
      </c>
      <c r="E539" t="str">
        <f t="shared" si="49"/>
        <v>78-194-68</v>
      </c>
      <c r="F539" t="str">
        <f t="shared" si="50"/>
        <v>7819468</v>
      </c>
      <c r="G539">
        <f t="shared" si="51"/>
        <v>78</v>
      </c>
      <c r="H539">
        <f t="shared" si="52"/>
        <v>194</v>
      </c>
      <c r="I539">
        <f t="shared" si="53"/>
        <v>68</v>
      </c>
      <c r="J539" s="935" t="str" cm="1">
        <f t="array" ref="J539">myRGB(G539,H539,I539)</f>
        <v/>
      </c>
    </row>
    <row r="540" spans="1:10" ht="17" x14ac:dyDescent="0.25">
      <c r="A540" s="1" t="s">
        <v>542</v>
      </c>
      <c r="B540" s="1" t="s">
        <v>3194</v>
      </c>
      <c r="C540" s="1" t="s">
        <v>1869</v>
      </c>
      <c r="D540" t="str">
        <f t="shared" si="48"/>
        <v>4BB547</v>
      </c>
      <c r="E540" t="str">
        <f t="shared" si="49"/>
        <v>75-181-71</v>
      </c>
      <c r="F540" t="str">
        <f t="shared" si="50"/>
        <v>7518171</v>
      </c>
      <c r="G540">
        <f t="shared" si="51"/>
        <v>75</v>
      </c>
      <c r="H540">
        <f t="shared" si="52"/>
        <v>181</v>
      </c>
      <c r="I540">
        <f t="shared" si="53"/>
        <v>71</v>
      </c>
      <c r="J540" s="1081" t="str" cm="1">
        <f t="array" ref="J540">myRGB(G540,H540,I540)</f>
        <v/>
      </c>
    </row>
    <row r="541" spans="1:10" ht="17" x14ac:dyDescent="0.25">
      <c r="A541" s="1" t="s">
        <v>543</v>
      </c>
      <c r="B541" s="1" t="s">
        <v>3195</v>
      </c>
      <c r="C541" s="1" t="s">
        <v>1870</v>
      </c>
      <c r="D541" t="str">
        <f t="shared" si="48"/>
        <v>4FC143</v>
      </c>
      <c r="E541" t="str">
        <f t="shared" si="49"/>
        <v>79-193-67</v>
      </c>
      <c r="F541" t="str">
        <f t="shared" si="50"/>
        <v>7919367</v>
      </c>
      <c r="G541">
        <f t="shared" si="51"/>
        <v>79</v>
      </c>
      <c r="H541">
        <f t="shared" si="52"/>
        <v>193</v>
      </c>
      <c r="I541">
        <f t="shared" si="53"/>
        <v>67</v>
      </c>
      <c r="J541" s="1071" t="str" cm="1">
        <f t="array" ref="J541">myRGB(G541,H541,I541)</f>
        <v/>
      </c>
    </row>
    <row r="542" spans="1:10" ht="17" x14ac:dyDescent="0.25">
      <c r="A542" s="1" t="s">
        <v>544</v>
      </c>
      <c r="B542" s="1" t="s">
        <v>3196</v>
      </c>
      <c r="C542" s="1" t="s">
        <v>1871</v>
      </c>
      <c r="D542" t="str">
        <f t="shared" si="48"/>
        <v>4FC144</v>
      </c>
      <c r="E542" t="str">
        <f t="shared" si="49"/>
        <v>79-193-68</v>
      </c>
      <c r="F542" t="str">
        <f t="shared" si="50"/>
        <v>7919368</v>
      </c>
      <c r="G542">
        <f t="shared" si="51"/>
        <v>79</v>
      </c>
      <c r="H542">
        <f t="shared" si="52"/>
        <v>193</v>
      </c>
      <c r="I542">
        <f t="shared" si="53"/>
        <v>68</v>
      </c>
      <c r="J542" s="993" t="str" cm="1">
        <f t="array" ref="J542">myRGB(G542,H542,I542)</f>
        <v/>
      </c>
    </row>
    <row r="543" spans="1:10" ht="17" x14ac:dyDescent="0.25">
      <c r="A543" s="1" t="s">
        <v>545</v>
      </c>
      <c r="B543" s="1" t="s">
        <v>3197</v>
      </c>
      <c r="C543" s="1" t="s">
        <v>1872</v>
      </c>
      <c r="D543" t="str">
        <f t="shared" si="48"/>
        <v>4EC243</v>
      </c>
      <c r="E543" t="str">
        <f t="shared" si="49"/>
        <v>78-194-67</v>
      </c>
      <c r="F543" t="str">
        <f t="shared" si="50"/>
        <v>7819467</v>
      </c>
      <c r="G543">
        <f t="shared" si="51"/>
        <v>78</v>
      </c>
      <c r="H543">
        <f t="shared" si="52"/>
        <v>194</v>
      </c>
      <c r="I543">
        <f t="shared" si="53"/>
        <v>67</v>
      </c>
      <c r="J543" s="936" t="str" cm="1">
        <f t="array" ref="J543">myRGB(G543,H543,I543)</f>
        <v/>
      </c>
    </row>
    <row r="544" spans="1:10" ht="17" x14ac:dyDescent="0.25">
      <c r="A544" s="1" t="s">
        <v>546</v>
      </c>
      <c r="B544" s="1" t="s">
        <v>3198</v>
      </c>
      <c r="C544" s="1" t="s">
        <v>1873</v>
      </c>
      <c r="D544" t="str">
        <f t="shared" si="48"/>
        <v>4BB546</v>
      </c>
      <c r="E544" t="str">
        <f t="shared" si="49"/>
        <v>75-181-70</v>
      </c>
      <c r="F544" t="str">
        <f t="shared" si="50"/>
        <v>7518170</v>
      </c>
      <c r="G544">
        <f t="shared" si="51"/>
        <v>75</v>
      </c>
      <c r="H544">
        <f t="shared" si="52"/>
        <v>181</v>
      </c>
      <c r="I544">
        <f t="shared" si="53"/>
        <v>70</v>
      </c>
      <c r="J544" s="1024" t="str" cm="1">
        <f t="array" ref="J544">myRGB(G544,H544,I544)</f>
        <v/>
      </c>
    </row>
    <row r="545" spans="1:10" ht="17" x14ac:dyDescent="0.25">
      <c r="A545" s="1" t="s">
        <v>547</v>
      </c>
      <c r="B545" s="1" t="s">
        <v>3199</v>
      </c>
      <c r="C545" s="1" t="s">
        <v>1874</v>
      </c>
      <c r="D545" t="str">
        <f t="shared" si="48"/>
        <v>4EC144</v>
      </c>
      <c r="E545" t="str">
        <f t="shared" si="49"/>
        <v>78-193-68</v>
      </c>
      <c r="F545" t="str">
        <f t="shared" si="50"/>
        <v>7819368</v>
      </c>
      <c r="G545">
        <f t="shared" si="51"/>
        <v>78</v>
      </c>
      <c r="H545">
        <f t="shared" si="52"/>
        <v>193</v>
      </c>
      <c r="I545">
        <f t="shared" si="53"/>
        <v>68</v>
      </c>
      <c r="J545" s="1090" t="str" cm="1">
        <f t="array" ref="J545">myRGB(G545,H545,I545)</f>
        <v/>
      </c>
    </row>
    <row r="546" spans="1:10" ht="17" x14ac:dyDescent="0.25">
      <c r="A546" s="1" t="s">
        <v>548</v>
      </c>
      <c r="B546" s="1" t="s">
        <v>3200</v>
      </c>
      <c r="C546" s="1" t="s">
        <v>1875</v>
      </c>
      <c r="D546" t="str">
        <f t="shared" si="48"/>
        <v>57B947</v>
      </c>
      <c r="E546" t="str">
        <f t="shared" si="49"/>
        <v>87-185-71</v>
      </c>
      <c r="F546" t="str">
        <f t="shared" si="50"/>
        <v>8718571</v>
      </c>
      <c r="G546">
        <f t="shared" si="51"/>
        <v>87</v>
      </c>
      <c r="H546">
        <f t="shared" si="52"/>
        <v>185</v>
      </c>
      <c r="I546">
        <f t="shared" si="53"/>
        <v>71</v>
      </c>
      <c r="J546" s="490" t="str" cm="1">
        <f t="array" ref="J546">myRGB(G546,H546,I546)</f>
        <v/>
      </c>
    </row>
    <row r="547" spans="1:10" ht="17" x14ac:dyDescent="0.25">
      <c r="A547" s="1" t="s">
        <v>549</v>
      </c>
      <c r="B547" s="1" t="s">
        <v>3201</v>
      </c>
      <c r="C547" s="1" t="s">
        <v>1876</v>
      </c>
      <c r="D547" t="str">
        <f t="shared" si="48"/>
        <v>57BA47</v>
      </c>
      <c r="E547" t="str">
        <f t="shared" si="49"/>
        <v>87-186-71</v>
      </c>
      <c r="F547" t="str">
        <f t="shared" si="50"/>
        <v>8718671</v>
      </c>
      <c r="G547">
        <f t="shared" si="51"/>
        <v>87</v>
      </c>
      <c r="H547">
        <f t="shared" si="52"/>
        <v>186</v>
      </c>
      <c r="I547">
        <f t="shared" si="53"/>
        <v>71</v>
      </c>
      <c r="J547" s="937" t="str" cm="1">
        <f t="array" ref="J547">myRGB(G547,H547,I547)</f>
        <v/>
      </c>
    </row>
    <row r="548" spans="1:10" ht="17" x14ac:dyDescent="0.25">
      <c r="A548" s="1" t="s">
        <v>550</v>
      </c>
      <c r="B548" s="1" t="s">
        <v>3202</v>
      </c>
      <c r="C548" s="1" t="s">
        <v>1877</v>
      </c>
      <c r="D548" t="str">
        <f t="shared" si="48"/>
        <v>58BA48</v>
      </c>
      <c r="E548" t="str">
        <f t="shared" si="49"/>
        <v>88-186-72</v>
      </c>
      <c r="F548" t="str">
        <f t="shared" si="50"/>
        <v>8818672</v>
      </c>
      <c r="G548">
        <f t="shared" si="51"/>
        <v>88</v>
      </c>
      <c r="H548">
        <f t="shared" si="52"/>
        <v>186</v>
      </c>
      <c r="I548">
        <f t="shared" si="53"/>
        <v>72</v>
      </c>
      <c r="J548" s="994" t="str" cm="1">
        <f t="array" ref="J548">myRGB(G548,H548,I548)</f>
        <v/>
      </c>
    </row>
    <row r="549" spans="1:10" ht="17" x14ac:dyDescent="0.25">
      <c r="A549" s="1" t="s">
        <v>551</v>
      </c>
      <c r="B549" s="1" t="s">
        <v>3203</v>
      </c>
      <c r="C549" s="1" t="s">
        <v>1878</v>
      </c>
      <c r="D549" t="str">
        <f t="shared" si="48"/>
        <v>56B84B</v>
      </c>
      <c r="E549" t="str">
        <f t="shared" si="49"/>
        <v>86-184-75</v>
      </c>
      <c r="F549" t="str">
        <f t="shared" si="50"/>
        <v>8618475</v>
      </c>
      <c r="G549">
        <f t="shared" si="51"/>
        <v>86</v>
      </c>
      <c r="H549">
        <f t="shared" si="52"/>
        <v>184</v>
      </c>
      <c r="I549">
        <f t="shared" si="53"/>
        <v>75</v>
      </c>
      <c r="J549" s="1025" t="str" cm="1">
        <f t="array" ref="J549">myRGB(G549,H549,I549)</f>
        <v/>
      </c>
    </row>
    <row r="550" spans="1:10" ht="17" x14ac:dyDescent="0.25">
      <c r="A550" s="1" t="s">
        <v>552</v>
      </c>
      <c r="B550" s="1" t="s">
        <v>3204</v>
      </c>
      <c r="C550" s="1" t="s">
        <v>1879</v>
      </c>
      <c r="D550" t="str">
        <f t="shared" si="48"/>
        <v>57B948</v>
      </c>
      <c r="E550" t="str">
        <f t="shared" si="49"/>
        <v>87-185-72</v>
      </c>
      <c r="F550" t="str">
        <f t="shared" si="50"/>
        <v>8718572</v>
      </c>
      <c r="G550">
        <f t="shared" si="51"/>
        <v>87</v>
      </c>
      <c r="H550">
        <f t="shared" si="52"/>
        <v>185</v>
      </c>
      <c r="I550">
        <f t="shared" si="53"/>
        <v>72</v>
      </c>
      <c r="J550" s="1098" t="str" cm="1">
        <f t="array" ref="J550">myRGB(G550,H550,I550)</f>
        <v/>
      </c>
    </row>
    <row r="551" spans="1:10" ht="17" x14ac:dyDescent="0.25">
      <c r="A551" s="1" t="s">
        <v>553</v>
      </c>
      <c r="B551" s="1" t="s">
        <v>3205</v>
      </c>
      <c r="C551" s="1" t="s">
        <v>1880</v>
      </c>
      <c r="D551" t="str">
        <f t="shared" si="48"/>
        <v>58BA47</v>
      </c>
      <c r="E551" t="str">
        <f t="shared" si="49"/>
        <v>88-186-71</v>
      </c>
      <c r="F551" t="str">
        <f t="shared" si="50"/>
        <v>8818671</v>
      </c>
      <c r="G551">
        <f t="shared" si="51"/>
        <v>88</v>
      </c>
      <c r="H551">
        <f t="shared" si="52"/>
        <v>186</v>
      </c>
      <c r="I551">
        <f t="shared" si="53"/>
        <v>71</v>
      </c>
      <c r="J551" s="938" t="str" cm="1">
        <f t="array" ref="J551">myRGB(G551,H551,I551)</f>
        <v/>
      </c>
    </row>
    <row r="552" spans="1:10" ht="17" x14ac:dyDescent="0.25">
      <c r="A552" s="1" t="s">
        <v>554</v>
      </c>
      <c r="B552" s="1" t="s">
        <v>3206</v>
      </c>
      <c r="C552" s="1" t="s">
        <v>1881</v>
      </c>
      <c r="D552" t="str">
        <f t="shared" si="48"/>
        <v>58B948</v>
      </c>
      <c r="E552" t="str">
        <f t="shared" si="49"/>
        <v>88-185-72</v>
      </c>
      <c r="F552" t="str">
        <f t="shared" si="50"/>
        <v>8818572</v>
      </c>
      <c r="G552">
        <f t="shared" si="51"/>
        <v>88</v>
      </c>
      <c r="H552">
        <f t="shared" si="52"/>
        <v>185</v>
      </c>
      <c r="I552">
        <f t="shared" si="53"/>
        <v>72</v>
      </c>
      <c r="J552" s="1072" t="str" cm="1">
        <f t="array" ref="J552">myRGB(G552,H552,I552)</f>
        <v/>
      </c>
    </row>
    <row r="553" spans="1:10" ht="17" x14ac:dyDescent="0.25">
      <c r="A553" s="1" t="s">
        <v>555</v>
      </c>
      <c r="B553" s="1" t="s">
        <v>3207</v>
      </c>
      <c r="C553" s="1" t="s">
        <v>1882</v>
      </c>
      <c r="D553" t="str">
        <f t="shared" si="48"/>
        <v>56B84A</v>
      </c>
      <c r="E553" t="str">
        <f t="shared" si="49"/>
        <v>86-184-74</v>
      </c>
      <c r="F553" t="str">
        <f t="shared" si="50"/>
        <v>8618474</v>
      </c>
      <c r="G553">
        <f t="shared" si="51"/>
        <v>86</v>
      </c>
      <c r="H553">
        <f t="shared" si="52"/>
        <v>184</v>
      </c>
      <c r="I553">
        <f t="shared" si="53"/>
        <v>74</v>
      </c>
      <c r="J553" s="995" t="str" cm="1">
        <f t="array" ref="J553">myRGB(G553,H553,I553)</f>
        <v/>
      </c>
    </row>
    <row r="554" spans="1:10" ht="17" x14ac:dyDescent="0.25">
      <c r="A554" s="1" t="s">
        <v>556</v>
      </c>
      <c r="B554" s="1" t="s">
        <v>3208</v>
      </c>
      <c r="C554" s="1" t="s">
        <v>1883</v>
      </c>
      <c r="D554" t="str">
        <f t="shared" si="48"/>
        <v>57BA48</v>
      </c>
      <c r="E554" t="str">
        <f t="shared" si="49"/>
        <v>87-186-72</v>
      </c>
      <c r="F554" t="str">
        <f t="shared" si="50"/>
        <v>8718672</v>
      </c>
      <c r="G554">
        <f t="shared" si="51"/>
        <v>87</v>
      </c>
      <c r="H554">
        <f t="shared" si="52"/>
        <v>186</v>
      </c>
      <c r="I554">
        <f t="shared" si="53"/>
        <v>72</v>
      </c>
      <c r="J554" s="1026" t="str" cm="1">
        <f t="array" ref="J554">myRGB(G554,H554,I554)</f>
        <v/>
      </c>
    </row>
    <row r="555" spans="1:10" ht="17" x14ac:dyDescent="0.25">
      <c r="A555" s="1" t="s">
        <v>557</v>
      </c>
      <c r="B555" s="1" t="s">
        <v>3209</v>
      </c>
      <c r="C555" s="1" t="s">
        <v>1884</v>
      </c>
      <c r="D555" t="str">
        <f t="shared" si="48"/>
        <v>33B931</v>
      </c>
      <c r="E555" t="str">
        <f t="shared" si="49"/>
        <v>51-185-49</v>
      </c>
      <c r="F555" t="str">
        <f t="shared" si="50"/>
        <v>5118549</v>
      </c>
      <c r="G555">
        <f t="shared" si="51"/>
        <v>51</v>
      </c>
      <c r="H555">
        <f t="shared" si="52"/>
        <v>185</v>
      </c>
      <c r="I555">
        <f t="shared" si="53"/>
        <v>49</v>
      </c>
      <c r="J555" s="165" t="str" cm="1">
        <f t="array" ref="J555">myRGB(G555,H555,I555)</f>
        <v/>
      </c>
    </row>
    <row r="556" spans="1:10" ht="17" x14ac:dyDescent="0.25">
      <c r="A556" s="1" t="s">
        <v>558</v>
      </c>
      <c r="B556" s="1" t="s">
        <v>3210</v>
      </c>
      <c r="C556" s="1" t="s">
        <v>1885</v>
      </c>
      <c r="D556" t="str">
        <f t="shared" si="48"/>
        <v>33B932</v>
      </c>
      <c r="E556" t="str">
        <f t="shared" si="49"/>
        <v>51-185-50</v>
      </c>
      <c r="F556" t="str">
        <f t="shared" si="50"/>
        <v>5118550</v>
      </c>
      <c r="G556">
        <f t="shared" si="51"/>
        <v>51</v>
      </c>
      <c r="H556">
        <f t="shared" si="52"/>
        <v>185</v>
      </c>
      <c r="I556">
        <f t="shared" si="53"/>
        <v>50</v>
      </c>
      <c r="J556" s="291" t="str" cm="1">
        <f t="array" ref="J556">myRGB(G556,H556,I556)</f>
        <v/>
      </c>
    </row>
    <row r="557" spans="1:10" ht="17" x14ac:dyDescent="0.25">
      <c r="A557" s="1" t="s">
        <v>559</v>
      </c>
      <c r="B557" s="1" t="s">
        <v>3211</v>
      </c>
      <c r="C557" s="1" t="s">
        <v>1886</v>
      </c>
      <c r="D557" t="str">
        <f t="shared" si="48"/>
        <v>8AD987</v>
      </c>
      <c r="E557" t="str">
        <f t="shared" si="49"/>
        <v>138-217-135</v>
      </c>
      <c r="F557" t="str">
        <f t="shared" si="50"/>
        <v>138217135</v>
      </c>
      <c r="G557">
        <f t="shared" si="51"/>
        <v>138</v>
      </c>
      <c r="H557">
        <f t="shared" si="52"/>
        <v>217</v>
      </c>
      <c r="I557">
        <f t="shared" si="53"/>
        <v>135</v>
      </c>
      <c r="J557" s="15" t="str" cm="1">
        <f t="array" ref="J557">myRGB(G557,H557,I557)</f>
        <v/>
      </c>
    </row>
    <row r="558" spans="1:10" ht="17" x14ac:dyDescent="0.25">
      <c r="A558" s="1" t="s">
        <v>560</v>
      </c>
      <c r="B558" s="1" t="s">
        <v>3212</v>
      </c>
      <c r="C558" s="1" t="s">
        <v>1887</v>
      </c>
      <c r="D558" t="str">
        <f t="shared" si="48"/>
        <v>8ADA87</v>
      </c>
      <c r="E558" t="str">
        <f t="shared" si="49"/>
        <v>138-218-135</v>
      </c>
      <c r="F558" t="str">
        <f t="shared" si="50"/>
        <v>138218135</v>
      </c>
      <c r="G558">
        <f t="shared" si="51"/>
        <v>138</v>
      </c>
      <c r="H558">
        <f t="shared" si="52"/>
        <v>218</v>
      </c>
      <c r="I558">
        <f t="shared" si="53"/>
        <v>135</v>
      </c>
      <c r="J558" s="996" t="str" cm="1">
        <f t="array" ref="J558">myRGB(G558,H558,I558)</f>
        <v/>
      </c>
    </row>
    <row r="559" spans="1:10" ht="17" x14ac:dyDescent="0.25">
      <c r="A559" s="1" t="s">
        <v>561</v>
      </c>
      <c r="B559" s="1" t="s">
        <v>3213</v>
      </c>
      <c r="C559" s="1" t="s">
        <v>1888</v>
      </c>
      <c r="D559" t="str">
        <f t="shared" si="48"/>
        <v>8ADA86</v>
      </c>
      <c r="E559" t="str">
        <f t="shared" si="49"/>
        <v>138-218-134</v>
      </c>
      <c r="F559" t="str">
        <f t="shared" si="50"/>
        <v>138218134</v>
      </c>
      <c r="G559">
        <f t="shared" si="51"/>
        <v>138</v>
      </c>
      <c r="H559">
        <f t="shared" si="52"/>
        <v>218</v>
      </c>
      <c r="I559">
        <f t="shared" si="53"/>
        <v>134</v>
      </c>
      <c r="J559" s="112" t="str" cm="1">
        <f t="array" ref="J559">myRGB(G559,H559,I559)</f>
        <v/>
      </c>
    </row>
    <row r="560" spans="1:10" ht="17" x14ac:dyDescent="0.25">
      <c r="A560" s="1" t="s">
        <v>562</v>
      </c>
      <c r="B560" s="1" t="s">
        <v>3214</v>
      </c>
      <c r="C560" s="1" t="s">
        <v>1889</v>
      </c>
      <c r="D560" t="str">
        <f t="shared" si="48"/>
        <v>A0EE9D</v>
      </c>
      <c r="E560" t="str">
        <f t="shared" si="49"/>
        <v>160-238-157</v>
      </c>
      <c r="F560" t="str">
        <f t="shared" si="50"/>
        <v>160238157</v>
      </c>
      <c r="G560">
        <f t="shared" si="51"/>
        <v>160</v>
      </c>
      <c r="H560">
        <f t="shared" si="52"/>
        <v>238</v>
      </c>
      <c r="I560">
        <f t="shared" si="53"/>
        <v>157</v>
      </c>
      <c r="J560" s="66" t="str" cm="1">
        <f t="array" ref="J560">myRGB(G560,H560,I560)</f>
        <v/>
      </c>
    </row>
    <row r="561" spans="1:10" ht="17" x14ac:dyDescent="0.25">
      <c r="A561" s="1" t="s">
        <v>563</v>
      </c>
      <c r="B561" s="1" t="s">
        <v>3215</v>
      </c>
      <c r="C561" s="1" t="s">
        <v>1890</v>
      </c>
      <c r="D561" t="str">
        <f t="shared" si="48"/>
        <v>A0EE9C</v>
      </c>
      <c r="E561" t="str">
        <f t="shared" si="49"/>
        <v>160-238-156</v>
      </c>
      <c r="F561" t="str">
        <f t="shared" si="50"/>
        <v>160238156</v>
      </c>
      <c r="G561">
        <f t="shared" si="51"/>
        <v>160</v>
      </c>
      <c r="H561">
        <f t="shared" si="52"/>
        <v>238</v>
      </c>
      <c r="I561">
        <f t="shared" si="53"/>
        <v>156</v>
      </c>
      <c r="J561" s="12" t="str" cm="1">
        <f t="array" ref="J561">myRGB(G561,H561,I561)</f>
        <v/>
      </c>
    </row>
    <row r="562" spans="1:10" ht="17" x14ac:dyDescent="0.25">
      <c r="A562" s="1" t="s">
        <v>564</v>
      </c>
      <c r="B562" s="1" t="s">
        <v>3216</v>
      </c>
      <c r="C562" s="1" t="s">
        <v>1891</v>
      </c>
      <c r="D562" t="str">
        <f t="shared" si="48"/>
        <v>A0ED9D</v>
      </c>
      <c r="E562" t="str">
        <f t="shared" si="49"/>
        <v>160-237-157</v>
      </c>
      <c r="F562" t="str">
        <f t="shared" si="50"/>
        <v>160237157</v>
      </c>
      <c r="G562">
        <f t="shared" si="51"/>
        <v>160</v>
      </c>
      <c r="H562">
        <f t="shared" si="52"/>
        <v>237</v>
      </c>
      <c r="I562">
        <f t="shared" si="53"/>
        <v>157</v>
      </c>
      <c r="J562" s="11" t="str" cm="1">
        <f t="array" ref="J562">myRGB(G562,H562,I562)</f>
        <v/>
      </c>
    </row>
    <row r="563" spans="1:10" ht="17" x14ac:dyDescent="0.25">
      <c r="A563" s="1" t="s">
        <v>565</v>
      </c>
      <c r="B563" s="1" t="s">
        <v>3217</v>
      </c>
      <c r="C563" s="1" t="s">
        <v>1892</v>
      </c>
      <c r="D563" t="str">
        <f t="shared" si="48"/>
        <v>90EB8D</v>
      </c>
      <c r="E563" t="str">
        <f t="shared" si="49"/>
        <v>144-235-141</v>
      </c>
      <c r="F563" t="str">
        <f t="shared" si="50"/>
        <v>144235141</v>
      </c>
      <c r="G563">
        <f t="shared" si="51"/>
        <v>144</v>
      </c>
      <c r="H563">
        <f t="shared" si="52"/>
        <v>235</v>
      </c>
      <c r="I563">
        <f t="shared" si="53"/>
        <v>141</v>
      </c>
      <c r="J563" s="237" t="str" cm="1">
        <f t="array" ref="J563">myRGB(G563,H563,I563)</f>
        <v/>
      </c>
    </row>
    <row r="564" spans="1:10" ht="17" x14ac:dyDescent="0.25">
      <c r="A564" s="1" t="s">
        <v>566</v>
      </c>
      <c r="B564" s="1" t="s">
        <v>3218</v>
      </c>
      <c r="C564" s="1" t="s">
        <v>1893</v>
      </c>
      <c r="D564" t="str">
        <f t="shared" si="48"/>
        <v>9DE79C</v>
      </c>
      <c r="E564" t="str">
        <f t="shared" si="49"/>
        <v>157-231-156</v>
      </c>
      <c r="F564" t="str">
        <f t="shared" si="50"/>
        <v>157231156</v>
      </c>
      <c r="G564">
        <f t="shared" si="51"/>
        <v>157</v>
      </c>
      <c r="H564">
        <f t="shared" si="52"/>
        <v>231</v>
      </c>
      <c r="I564">
        <f t="shared" si="53"/>
        <v>156</v>
      </c>
      <c r="J564" s="91" t="str" cm="1">
        <f t="array" ref="J564">myRGB(G564,H564,I564)</f>
        <v/>
      </c>
    </row>
    <row r="565" spans="1:10" ht="17" x14ac:dyDescent="0.25">
      <c r="A565" s="1" t="s">
        <v>567</v>
      </c>
      <c r="B565" s="1" t="s">
        <v>3219</v>
      </c>
      <c r="C565" s="1" t="s">
        <v>1894</v>
      </c>
      <c r="D565" t="str">
        <f t="shared" si="48"/>
        <v>9DE79B</v>
      </c>
      <c r="E565" t="str">
        <f t="shared" si="49"/>
        <v>157-231-155</v>
      </c>
      <c r="F565" t="str">
        <f t="shared" si="50"/>
        <v>157231155</v>
      </c>
      <c r="G565">
        <f t="shared" si="51"/>
        <v>157</v>
      </c>
      <c r="H565">
        <f t="shared" si="52"/>
        <v>231</v>
      </c>
      <c r="I565">
        <f t="shared" si="53"/>
        <v>155</v>
      </c>
      <c r="J565" s="68" t="str" cm="1">
        <f t="array" ref="J565">myRGB(G565,H565,I565)</f>
        <v/>
      </c>
    </row>
    <row r="566" spans="1:10" ht="17" x14ac:dyDescent="0.25">
      <c r="A566" s="1" t="s">
        <v>568</v>
      </c>
      <c r="B566" s="1" t="s">
        <v>3220</v>
      </c>
      <c r="C566" s="1" t="s">
        <v>1895</v>
      </c>
      <c r="D566" t="str">
        <f t="shared" si="48"/>
        <v>9DE69C</v>
      </c>
      <c r="E566" t="str">
        <f t="shared" si="49"/>
        <v>157-230-156</v>
      </c>
      <c r="F566" t="str">
        <f t="shared" si="50"/>
        <v>157230156</v>
      </c>
      <c r="G566">
        <f t="shared" si="51"/>
        <v>157</v>
      </c>
      <c r="H566">
        <f t="shared" si="52"/>
        <v>230</v>
      </c>
      <c r="I566">
        <f t="shared" si="53"/>
        <v>156</v>
      </c>
      <c r="J566" s="14" t="str" cm="1">
        <f t="array" ref="J566">myRGB(G566,H566,I566)</f>
        <v/>
      </c>
    </row>
    <row r="567" spans="1:10" ht="17" x14ac:dyDescent="0.25">
      <c r="A567" s="1" t="s">
        <v>569</v>
      </c>
      <c r="B567" s="1" t="s">
        <v>3221</v>
      </c>
      <c r="C567" s="1" t="s">
        <v>1896</v>
      </c>
      <c r="D567" t="str">
        <f t="shared" si="48"/>
        <v>9CE79C</v>
      </c>
      <c r="E567" t="str">
        <f t="shared" si="49"/>
        <v>156-231-156</v>
      </c>
      <c r="F567" t="str">
        <f t="shared" si="50"/>
        <v>156231156</v>
      </c>
      <c r="G567">
        <f t="shared" si="51"/>
        <v>156</v>
      </c>
      <c r="H567">
        <f t="shared" si="52"/>
        <v>231</v>
      </c>
      <c r="I567">
        <f t="shared" si="53"/>
        <v>156</v>
      </c>
      <c r="J567" s="171" t="str" cm="1">
        <f t="array" ref="J567">myRGB(G567,H567,I567)</f>
        <v/>
      </c>
    </row>
    <row r="568" spans="1:10" ht="17" x14ac:dyDescent="0.25">
      <c r="A568" s="1" t="s">
        <v>570</v>
      </c>
      <c r="B568" s="1" t="s">
        <v>3222</v>
      </c>
      <c r="C568" s="1" t="s">
        <v>1897</v>
      </c>
      <c r="D568" t="str">
        <f t="shared" si="48"/>
        <v>84EA81</v>
      </c>
      <c r="E568" t="str">
        <f t="shared" si="49"/>
        <v>132-234-129</v>
      </c>
      <c r="F568" t="str">
        <f t="shared" si="50"/>
        <v>132234129</v>
      </c>
      <c r="G568">
        <f t="shared" si="51"/>
        <v>132</v>
      </c>
      <c r="H568">
        <f t="shared" si="52"/>
        <v>234</v>
      </c>
      <c r="I568">
        <f t="shared" si="53"/>
        <v>129</v>
      </c>
      <c r="J568" s="90" t="str" cm="1">
        <f t="array" ref="J568">myRGB(G568,H568,I568)</f>
        <v/>
      </c>
    </row>
    <row r="569" spans="1:10" ht="17" x14ac:dyDescent="0.25">
      <c r="A569" s="1" t="s">
        <v>571</v>
      </c>
      <c r="B569" s="1" t="s">
        <v>3223</v>
      </c>
      <c r="C569" s="1" t="s">
        <v>1898</v>
      </c>
      <c r="D569" t="str">
        <f t="shared" si="48"/>
        <v>84EA80</v>
      </c>
      <c r="E569" t="str">
        <f t="shared" si="49"/>
        <v>132-234-128</v>
      </c>
      <c r="F569" t="str">
        <f t="shared" si="50"/>
        <v>132234128</v>
      </c>
      <c r="G569">
        <f t="shared" si="51"/>
        <v>132</v>
      </c>
      <c r="H569">
        <f t="shared" si="52"/>
        <v>234</v>
      </c>
      <c r="I569">
        <f t="shared" si="53"/>
        <v>128</v>
      </c>
      <c r="J569" s="67" t="str" cm="1">
        <f t="array" ref="J569">myRGB(G569,H569,I569)</f>
        <v/>
      </c>
    </row>
    <row r="570" spans="1:10" ht="17" x14ac:dyDescent="0.25">
      <c r="A570" s="1" t="s">
        <v>572</v>
      </c>
      <c r="B570" s="1" t="s">
        <v>3224</v>
      </c>
      <c r="C570" s="1" t="s">
        <v>1899</v>
      </c>
      <c r="D570" t="str">
        <f t="shared" si="48"/>
        <v>84E981</v>
      </c>
      <c r="E570" t="str">
        <f t="shared" si="49"/>
        <v>132-233-129</v>
      </c>
      <c r="F570" t="str">
        <f t="shared" si="50"/>
        <v>132233129</v>
      </c>
      <c r="G570">
        <f t="shared" si="51"/>
        <v>132</v>
      </c>
      <c r="H570">
        <f t="shared" si="52"/>
        <v>233</v>
      </c>
      <c r="I570">
        <f t="shared" si="53"/>
        <v>129</v>
      </c>
      <c r="J570" s="13" t="str" cm="1">
        <f t="array" ref="J570">myRGB(G570,H570,I570)</f>
        <v/>
      </c>
    </row>
    <row r="571" spans="1:10" ht="17" x14ac:dyDescent="0.25">
      <c r="A571" s="1" t="s">
        <v>573</v>
      </c>
      <c r="B571" s="1" t="s">
        <v>3225</v>
      </c>
      <c r="C571" s="1" t="s">
        <v>1900</v>
      </c>
      <c r="D571" t="str">
        <f t="shared" si="48"/>
        <v>97EC93</v>
      </c>
      <c r="E571" t="str">
        <f t="shared" si="49"/>
        <v>151-236-147</v>
      </c>
      <c r="F571" t="str">
        <f t="shared" si="50"/>
        <v>151236147</v>
      </c>
      <c r="G571">
        <f t="shared" si="51"/>
        <v>151</v>
      </c>
      <c r="H571">
        <f t="shared" si="52"/>
        <v>236</v>
      </c>
      <c r="I571">
        <f t="shared" si="53"/>
        <v>147</v>
      </c>
      <c r="J571" s="89" t="str" cm="1">
        <f t="array" ref="J571">myRGB(G571,H571,I571)</f>
        <v/>
      </c>
    </row>
    <row r="572" spans="1:10" ht="17" x14ac:dyDescent="0.25">
      <c r="A572" s="1" t="s">
        <v>574</v>
      </c>
      <c r="B572" s="1" t="s">
        <v>3226</v>
      </c>
      <c r="C572" s="1" t="s">
        <v>1901</v>
      </c>
      <c r="D572" t="str">
        <f t="shared" si="48"/>
        <v>98D6F8</v>
      </c>
      <c r="E572" t="str">
        <f t="shared" si="49"/>
        <v>152-214-248</v>
      </c>
      <c r="F572" t="str">
        <f t="shared" si="50"/>
        <v>152214248</v>
      </c>
      <c r="G572">
        <f t="shared" si="51"/>
        <v>152</v>
      </c>
      <c r="H572">
        <f t="shared" si="52"/>
        <v>214</v>
      </c>
      <c r="I572">
        <f t="shared" si="53"/>
        <v>248</v>
      </c>
      <c r="J572" s="442" t="str" cm="1">
        <f t="array" ref="J572">myRGB(G572,H572,I572)</f>
        <v/>
      </c>
    </row>
    <row r="573" spans="1:10" ht="17" x14ac:dyDescent="0.25">
      <c r="A573" s="1" t="s">
        <v>575</v>
      </c>
      <c r="B573" s="1" t="s">
        <v>3227</v>
      </c>
      <c r="C573" s="1" t="s">
        <v>1902</v>
      </c>
      <c r="D573" t="str">
        <f t="shared" si="48"/>
        <v>97D6F9</v>
      </c>
      <c r="E573" t="str">
        <f t="shared" si="49"/>
        <v>151-214-249</v>
      </c>
      <c r="F573" t="str">
        <f t="shared" si="50"/>
        <v>151214249</v>
      </c>
      <c r="G573">
        <f t="shared" si="51"/>
        <v>151</v>
      </c>
      <c r="H573">
        <f t="shared" si="52"/>
        <v>214</v>
      </c>
      <c r="I573">
        <f t="shared" si="53"/>
        <v>249</v>
      </c>
      <c r="J573" s="305" t="str" cm="1">
        <f t="array" ref="J573">myRGB(G573,H573,I573)</f>
        <v/>
      </c>
    </row>
    <row r="574" spans="1:10" ht="17" x14ac:dyDescent="0.25">
      <c r="A574" s="1" t="s">
        <v>576</v>
      </c>
      <c r="B574" s="1" t="s">
        <v>3228</v>
      </c>
      <c r="C574" s="1" t="s">
        <v>1903</v>
      </c>
      <c r="D574" t="str">
        <f t="shared" si="48"/>
        <v>98D6F9</v>
      </c>
      <c r="E574" t="str">
        <f t="shared" si="49"/>
        <v>152-214-249</v>
      </c>
      <c r="F574" t="str">
        <f t="shared" si="50"/>
        <v>152214249</v>
      </c>
      <c r="G574">
        <f t="shared" si="51"/>
        <v>152</v>
      </c>
      <c r="H574">
        <f t="shared" si="52"/>
        <v>214</v>
      </c>
      <c r="I574">
        <f t="shared" si="53"/>
        <v>249</v>
      </c>
      <c r="J574" s="833" t="str" cm="1">
        <f t="array" ref="J574">myRGB(G574,H574,I574)</f>
        <v/>
      </c>
    </row>
    <row r="575" spans="1:10" ht="17" x14ac:dyDescent="0.25">
      <c r="A575" s="1" t="s">
        <v>577</v>
      </c>
      <c r="B575" s="1" t="s">
        <v>3229</v>
      </c>
      <c r="C575" s="1" t="s">
        <v>1904</v>
      </c>
      <c r="D575" t="str">
        <f t="shared" si="48"/>
        <v>98D5F9</v>
      </c>
      <c r="E575" t="str">
        <f t="shared" si="49"/>
        <v>152-213-249</v>
      </c>
      <c r="F575" t="str">
        <f t="shared" si="50"/>
        <v>152213249</v>
      </c>
      <c r="G575">
        <f t="shared" si="51"/>
        <v>152</v>
      </c>
      <c r="H575">
        <f t="shared" si="52"/>
        <v>213</v>
      </c>
      <c r="I575">
        <f t="shared" si="53"/>
        <v>249</v>
      </c>
      <c r="J575" s="803" t="str" cm="1">
        <f t="array" ref="J575">myRGB(G575,H575,I575)</f>
        <v/>
      </c>
    </row>
    <row r="576" spans="1:10" ht="17" x14ac:dyDescent="0.25">
      <c r="A576" s="1" t="s">
        <v>578</v>
      </c>
      <c r="B576" s="1" t="s">
        <v>3230</v>
      </c>
      <c r="C576" s="1" t="s">
        <v>1905</v>
      </c>
      <c r="D576" t="str">
        <f t="shared" si="48"/>
        <v>7FCDF7</v>
      </c>
      <c r="E576" t="str">
        <f t="shared" si="49"/>
        <v>127-205-247</v>
      </c>
      <c r="F576" t="str">
        <f t="shared" si="50"/>
        <v>127205247</v>
      </c>
      <c r="G576">
        <f t="shared" si="51"/>
        <v>127</v>
      </c>
      <c r="H576">
        <f t="shared" si="52"/>
        <v>205</v>
      </c>
      <c r="I576">
        <f t="shared" si="53"/>
        <v>247</v>
      </c>
      <c r="J576" s="493" t="str" cm="1">
        <f t="array" ref="J576">myRGB(G576,H576,I576)</f>
        <v/>
      </c>
    </row>
    <row r="577" spans="1:10" ht="17" x14ac:dyDescent="0.25">
      <c r="A577" s="1" t="s">
        <v>579</v>
      </c>
      <c r="B577" s="1" t="s">
        <v>3231</v>
      </c>
      <c r="C577" s="1" t="s">
        <v>1906</v>
      </c>
      <c r="D577" t="str">
        <f t="shared" si="48"/>
        <v>80CDF8</v>
      </c>
      <c r="E577" t="str">
        <f t="shared" si="49"/>
        <v>128-205-248</v>
      </c>
      <c r="F577" t="str">
        <f t="shared" si="50"/>
        <v>128205248</v>
      </c>
      <c r="G577">
        <f t="shared" si="51"/>
        <v>128</v>
      </c>
      <c r="H577">
        <f t="shared" si="52"/>
        <v>205</v>
      </c>
      <c r="I577">
        <f t="shared" si="53"/>
        <v>248</v>
      </c>
      <c r="J577" s="300" t="str" cm="1">
        <f t="array" ref="J577">myRGB(G577,H577,I577)</f>
        <v/>
      </c>
    </row>
    <row r="578" spans="1:10" ht="17" x14ac:dyDescent="0.25">
      <c r="A578" s="1" t="s">
        <v>580</v>
      </c>
      <c r="B578" s="1" t="s">
        <v>3232</v>
      </c>
      <c r="C578" s="1" t="s">
        <v>1907</v>
      </c>
      <c r="D578" t="str">
        <f t="shared" si="48"/>
        <v>7ECDF8</v>
      </c>
      <c r="E578" t="str">
        <f t="shared" si="49"/>
        <v>126-205-248</v>
      </c>
      <c r="F578" t="str">
        <f t="shared" si="50"/>
        <v>126205248</v>
      </c>
      <c r="G578">
        <f t="shared" si="51"/>
        <v>126</v>
      </c>
      <c r="H578">
        <f t="shared" si="52"/>
        <v>205</v>
      </c>
      <c r="I578">
        <f t="shared" si="53"/>
        <v>248</v>
      </c>
      <c r="J578" s="439" t="str" cm="1">
        <f t="array" ref="J578">myRGB(G578,H578,I578)</f>
        <v/>
      </c>
    </row>
    <row r="579" spans="1:10" ht="17" x14ac:dyDescent="0.25">
      <c r="A579" s="1" t="s">
        <v>581</v>
      </c>
      <c r="B579" s="1" t="s">
        <v>3233</v>
      </c>
      <c r="C579" s="1" t="s">
        <v>1908</v>
      </c>
      <c r="D579" t="str">
        <f t="shared" si="48"/>
        <v>7FCCF7</v>
      </c>
      <c r="E579" t="str">
        <f t="shared" si="49"/>
        <v>127-204-247</v>
      </c>
      <c r="F579" t="str">
        <f t="shared" si="50"/>
        <v>127204247</v>
      </c>
      <c r="G579">
        <f t="shared" si="51"/>
        <v>127</v>
      </c>
      <c r="H579">
        <f t="shared" si="52"/>
        <v>204</v>
      </c>
      <c r="I579">
        <f t="shared" si="53"/>
        <v>247</v>
      </c>
      <c r="J579" s="455" t="str" cm="1">
        <f t="array" ref="J579">myRGB(G579,H579,I579)</f>
        <v/>
      </c>
    </row>
    <row r="580" spans="1:10" ht="17" x14ac:dyDescent="0.25">
      <c r="A580" s="1" t="s">
        <v>582</v>
      </c>
      <c r="B580" s="1" t="s">
        <v>3234</v>
      </c>
      <c r="C580" s="1" t="s">
        <v>1909</v>
      </c>
      <c r="D580" t="str">
        <f t="shared" ref="D580:D643" si="54">RIGHT(LEFT(C580,9),6)</f>
        <v>80CCF7</v>
      </c>
      <c r="E580" t="str">
        <f t="shared" ref="E580:E643" si="55">HEX2DEC(LEFT(D580,2))&amp;"-"&amp;HEX2DEC(MID(D580,3,2))&amp;"-"&amp;HEX2DEC(RIGHT(D580,2))</f>
        <v>128-204-247</v>
      </c>
      <c r="F580" t="str">
        <f t="shared" ref="F580:F643" si="56">HEX2DEC(LEFT(D580,2))&amp;HEX2DEC(MID(D580,3,2))&amp;HEX2DEC(RIGHT(D580,2))</f>
        <v>128204247</v>
      </c>
      <c r="G580">
        <f t="shared" ref="G580:G643" si="57">HEX2DEC(LEFT(D580,2))</f>
        <v>128</v>
      </c>
      <c r="H580">
        <f t="shared" ref="H580:H643" si="58">HEX2DEC(MID(D580,3,2))</f>
        <v>204</v>
      </c>
      <c r="I580">
        <f t="shared" ref="I580:I643" si="59">HEX2DEC(RIGHT(D580,2))</f>
        <v>247</v>
      </c>
      <c r="J580" s="997" t="str" cm="1">
        <f t="array" ref="J580">myRGB(G580,H580,I580)</f>
        <v/>
      </c>
    </row>
    <row r="581" spans="1:10" ht="17" x14ac:dyDescent="0.25">
      <c r="A581" s="1" t="s">
        <v>583</v>
      </c>
      <c r="B581" s="1" t="s">
        <v>3235</v>
      </c>
      <c r="C581" s="1" t="s">
        <v>1910</v>
      </c>
      <c r="D581" t="str">
        <f t="shared" si="54"/>
        <v>80CDF6</v>
      </c>
      <c r="E581" t="str">
        <f t="shared" si="55"/>
        <v>128-205-246</v>
      </c>
      <c r="F581" t="str">
        <f t="shared" si="56"/>
        <v>128205246</v>
      </c>
      <c r="G581">
        <f t="shared" si="57"/>
        <v>128</v>
      </c>
      <c r="H581">
        <f t="shared" si="58"/>
        <v>205</v>
      </c>
      <c r="I581">
        <f t="shared" si="59"/>
        <v>246</v>
      </c>
      <c r="J581" s="1027" t="str" cm="1">
        <f t="array" ref="J581">myRGB(G581,H581,I581)</f>
        <v/>
      </c>
    </row>
    <row r="582" spans="1:10" ht="17" x14ac:dyDescent="0.25">
      <c r="A582" s="1" t="s">
        <v>584</v>
      </c>
      <c r="B582" s="1" t="s">
        <v>3236</v>
      </c>
      <c r="C582" s="1" t="s">
        <v>1911</v>
      </c>
      <c r="D582" t="str">
        <f t="shared" si="54"/>
        <v>80CDF7</v>
      </c>
      <c r="E582" t="str">
        <f t="shared" si="55"/>
        <v>128-205-247</v>
      </c>
      <c r="F582" t="str">
        <f t="shared" si="56"/>
        <v>128205247</v>
      </c>
      <c r="G582">
        <f t="shared" si="57"/>
        <v>128</v>
      </c>
      <c r="H582">
        <f t="shared" si="58"/>
        <v>205</v>
      </c>
      <c r="I582">
        <f t="shared" si="59"/>
        <v>247</v>
      </c>
      <c r="J582" s="1082" t="str" cm="1">
        <f t="array" ref="J582">myRGB(G582,H582,I582)</f>
        <v/>
      </c>
    </row>
    <row r="583" spans="1:10" ht="17" x14ac:dyDescent="0.25">
      <c r="A583" s="1" t="s">
        <v>585</v>
      </c>
      <c r="B583" s="1" t="s">
        <v>3237</v>
      </c>
      <c r="C583" s="1" t="s">
        <v>1912</v>
      </c>
      <c r="D583" t="str">
        <f t="shared" si="54"/>
        <v>7FCCF8</v>
      </c>
      <c r="E583" t="str">
        <f t="shared" si="55"/>
        <v>127-204-248</v>
      </c>
      <c r="F583" t="str">
        <f t="shared" si="56"/>
        <v>127204248</v>
      </c>
      <c r="G583">
        <f t="shared" si="57"/>
        <v>127</v>
      </c>
      <c r="H583">
        <f t="shared" si="58"/>
        <v>204</v>
      </c>
      <c r="I583">
        <f t="shared" si="59"/>
        <v>248</v>
      </c>
      <c r="J583" s="939" t="str" cm="1">
        <f t="array" ref="J583">myRGB(G583,H583,I583)</f>
        <v/>
      </c>
    </row>
    <row r="584" spans="1:10" ht="17" x14ac:dyDescent="0.25">
      <c r="A584" s="1" t="s">
        <v>586</v>
      </c>
      <c r="B584" s="1" t="s">
        <v>3238</v>
      </c>
      <c r="C584" s="1" t="s">
        <v>1913</v>
      </c>
      <c r="D584" t="str">
        <f t="shared" si="54"/>
        <v>80CCF8</v>
      </c>
      <c r="E584" t="str">
        <f t="shared" si="55"/>
        <v>128-204-248</v>
      </c>
      <c r="F584" t="str">
        <f t="shared" si="56"/>
        <v>128204248</v>
      </c>
      <c r="G584">
        <f t="shared" si="57"/>
        <v>128</v>
      </c>
      <c r="H584">
        <f t="shared" si="58"/>
        <v>204</v>
      </c>
      <c r="I584">
        <f t="shared" si="59"/>
        <v>248</v>
      </c>
      <c r="J584" s="1073" t="str" cm="1">
        <f t="array" ref="J584">myRGB(G584,H584,I584)</f>
        <v/>
      </c>
    </row>
    <row r="585" spans="1:10" ht="17" x14ac:dyDescent="0.25">
      <c r="A585" s="1" t="s">
        <v>587</v>
      </c>
      <c r="B585" s="1" t="s">
        <v>3239</v>
      </c>
      <c r="C585" s="1" t="s">
        <v>1914</v>
      </c>
      <c r="D585" t="str">
        <f t="shared" si="54"/>
        <v>7FCDF8</v>
      </c>
      <c r="E585" t="str">
        <f t="shared" si="55"/>
        <v>127-205-248</v>
      </c>
      <c r="F585" t="str">
        <f t="shared" si="56"/>
        <v>127205248</v>
      </c>
      <c r="G585">
        <f t="shared" si="57"/>
        <v>127</v>
      </c>
      <c r="H585">
        <f t="shared" si="58"/>
        <v>205</v>
      </c>
      <c r="I585">
        <f t="shared" si="59"/>
        <v>248</v>
      </c>
      <c r="J585" s="998" t="str" cm="1">
        <f t="array" ref="J585">myRGB(G585,H585,I585)</f>
        <v/>
      </c>
    </row>
    <row r="586" spans="1:10" ht="17" x14ac:dyDescent="0.25">
      <c r="A586" s="1" t="s">
        <v>588</v>
      </c>
      <c r="B586" s="1" t="s">
        <v>3240</v>
      </c>
      <c r="C586" s="1" t="s">
        <v>1915</v>
      </c>
      <c r="D586" t="str">
        <f t="shared" si="54"/>
        <v>80CBF8</v>
      </c>
      <c r="E586" t="str">
        <f t="shared" si="55"/>
        <v>128-203-248</v>
      </c>
      <c r="F586" t="str">
        <f t="shared" si="56"/>
        <v>128203248</v>
      </c>
      <c r="G586">
        <f t="shared" si="57"/>
        <v>128</v>
      </c>
      <c r="H586">
        <f t="shared" si="58"/>
        <v>203</v>
      </c>
      <c r="I586">
        <f t="shared" si="59"/>
        <v>248</v>
      </c>
      <c r="J586" s="1028" t="str" cm="1">
        <f t="array" ref="J586">myRGB(G586,H586,I586)</f>
        <v/>
      </c>
    </row>
    <row r="587" spans="1:10" ht="17" x14ac:dyDescent="0.25">
      <c r="A587" s="1" t="s">
        <v>589</v>
      </c>
      <c r="B587" s="1" t="s">
        <v>3241</v>
      </c>
      <c r="C587" s="1" t="s">
        <v>1916</v>
      </c>
      <c r="D587" t="str">
        <f t="shared" si="54"/>
        <v>90CAEC</v>
      </c>
      <c r="E587" t="str">
        <f t="shared" si="55"/>
        <v>144-202-236</v>
      </c>
      <c r="F587" t="str">
        <f t="shared" si="56"/>
        <v>144202236</v>
      </c>
      <c r="G587">
        <f t="shared" si="57"/>
        <v>144</v>
      </c>
      <c r="H587">
        <f t="shared" si="58"/>
        <v>202</v>
      </c>
      <c r="I587">
        <f t="shared" si="59"/>
        <v>236</v>
      </c>
      <c r="J587" s="669" t="str" cm="1">
        <f t="array" ref="J587">myRGB(G587,H587,I587)</f>
        <v/>
      </c>
    </row>
    <row r="588" spans="1:10" ht="17" x14ac:dyDescent="0.25">
      <c r="A588" s="1" t="s">
        <v>590</v>
      </c>
      <c r="B588" s="1" t="s">
        <v>3242</v>
      </c>
      <c r="C588" s="1" t="s">
        <v>1917</v>
      </c>
      <c r="D588" t="str">
        <f t="shared" si="54"/>
        <v>90CBED</v>
      </c>
      <c r="E588" t="str">
        <f t="shared" si="55"/>
        <v>144-203-237</v>
      </c>
      <c r="F588" t="str">
        <f t="shared" si="56"/>
        <v>144203237</v>
      </c>
      <c r="G588">
        <f t="shared" si="57"/>
        <v>144</v>
      </c>
      <c r="H588">
        <f t="shared" si="58"/>
        <v>203</v>
      </c>
      <c r="I588">
        <f t="shared" si="59"/>
        <v>237</v>
      </c>
      <c r="J588" s="639" t="str" cm="1">
        <f t="array" ref="J588">myRGB(G588,H588,I588)</f>
        <v/>
      </c>
    </row>
    <row r="589" spans="1:10" ht="17" x14ac:dyDescent="0.25">
      <c r="A589" s="1" t="s">
        <v>591</v>
      </c>
      <c r="B589" s="1" t="s">
        <v>3243</v>
      </c>
      <c r="C589" s="1" t="s">
        <v>1918</v>
      </c>
      <c r="D589" t="str">
        <f t="shared" si="54"/>
        <v>90CBEC</v>
      </c>
      <c r="E589" t="str">
        <f t="shared" si="55"/>
        <v>144-203-236</v>
      </c>
      <c r="F589" t="str">
        <f t="shared" si="56"/>
        <v>144203236</v>
      </c>
      <c r="G589">
        <f t="shared" si="57"/>
        <v>144</v>
      </c>
      <c r="H589">
        <f t="shared" si="58"/>
        <v>203</v>
      </c>
      <c r="I589">
        <f t="shared" si="59"/>
        <v>236</v>
      </c>
      <c r="J589" s="495" t="str" cm="1">
        <f t="array" ref="J589">myRGB(G589,H589,I589)</f>
        <v/>
      </c>
    </row>
    <row r="590" spans="1:10" ht="17" x14ac:dyDescent="0.25">
      <c r="A590" s="1" t="s">
        <v>592</v>
      </c>
      <c r="B590" s="1" t="s">
        <v>3244</v>
      </c>
      <c r="C590" s="1" t="s">
        <v>1919</v>
      </c>
      <c r="D590" t="str">
        <f t="shared" si="54"/>
        <v>90CAED</v>
      </c>
      <c r="E590" t="str">
        <f t="shared" si="55"/>
        <v>144-202-237</v>
      </c>
      <c r="F590" t="str">
        <f t="shared" si="56"/>
        <v>144202237</v>
      </c>
      <c r="G590">
        <f t="shared" si="57"/>
        <v>144</v>
      </c>
      <c r="H590">
        <f t="shared" si="58"/>
        <v>202</v>
      </c>
      <c r="I590">
        <f t="shared" si="59"/>
        <v>237</v>
      </c>
      <c r="J590" s="304" t="str" cm="1">
        <f t="array" ref="J590">myRGB(G590,H590,I590)</f>
        <v/>
      </c>
    </row>
    <row r="591" spans="1:10" ht="17" x14ac:dyDescent="0.25">
      <c r="A591" s="1" t="s">
        <v>593</v>
      </c>
      <c r="B591" s="1" t="s">
        <v>3245</v>
      </c>
      <c r="C591" s="1" t="s">
        <v>1920</v>
      </c>
      <c r="D591" t="str">
        <f t="shared" si="54"/>
        <v>8FCBED</v>
      </c>
      <c r="E591" t="str">
        <f t="shared" si="55"/>
        <v>143-203-237</v>
      </c>
      <c r="F591" t="str">
        <f t="shared" si="56"/>
        <v>143203237</v>
      </c>
      <c r="G591">
        <f t="shared" si="57"/>
        <v>143</v>
      </c>
      <c r="H591">
        <f t="shared" si="58"/>
        <v>203</v>
      </c>
      <c r="I591">
        <f t="shared" si="59"/>
        <v>237</v>
      </c>
      <c r="J591" s="457" t="str" cm="1">
        <f t="array" ref="J591">myRGB(G591,H591,I591)</f>
        <v/>
      </c>
    </row>
    <row r="592" spans="1:10" ht="17" x14ac:dyDescent="0.25">
      <c r="A592" s="1" t="s">
        <v>594</v>
      </c>
      <c r="B592" s="1" t="s">
        <v>3246</v>
      </c>
      <c r="C592" s="1" t="s">
        <v>1921</v>
      </c>
      <c r="D592" t="str">
        <f t="shared" si="54"/>
        <v>8FCBEC</v>
      </c>
      <c r="E592" t="str">
        <f t="shared" si="55"/>
        <v>143-203-236</v>
      </c>
      <c r="F592" t="str">
        <f t="shared" si="56"/>
        <v>143203236</v>
      </c>
      <c r="G592">
        <f t="shared" si="57"/>
        <v>143</v>
      </c>
      <c r="H592">
        <f t="shared" si="58"/>
        <v>203</v>
      </c>
      <c r="I592">
        <f t="shared" si="59"/>
        <v>236</v>
      </c>
      <c r="J592" s="441" t="str" cm="1">
        <f t="array" ref="J592">myRGB(G592,H592,I592)</f>
        <v/>
      </c>
    </row>
    <row r="593" spans="1:10" ht="17" x14ac:dyDescent="0.25">
      <c r="A593" s="1" t="s">
        <v>595</v>
      </c>
      <c r="B593" s="1" t="s">
        <v>3247</v>
      </c>
      <c r="C593" s="1" t="s">
        <v>1922</v>
      </c>
      <c r="D593" t="str">
        <f t="shared" si="54"/>
        <v>8FCAED</v>
      </c>
      <c r="E593" t="str">
        <f t="shared" si="55"/>
        <v>143-202-237</v>
      </c>
      <c r="F593" t="str">
        <f t="shared" si="56"/>
        <v>143202237</v>
      </c>
      <c r="G593">
        <f t="shared" si="57"/>
        <v>143</v>
      </c>
      <c r="H593">
        <f t="shared" si="58"/>
        <v>202</v>
      </c>
      <c r="I593">
        <f t="shared" si="59"/>
        <v>237</v>
      </c>
      <c r="J593" s="394" t="str" cm="1">
        <f t="array" ref="J593">myRGB(G593,H593,I593)</f>
        <v/>
      </c>
    </row>
    <row r="594" spans="1:10" ht="17" x14ac:dyDescent="0.25">
      <c r="A594" s="1" t="s">
        <v>596</v>
      </c>
      <c r="B594" s="1" t="s">
        <v>3248</v>
      </c>
      <c r="C594" s="1" t="s">
        <v>1923</v>
      </c>
      <c r="D594" t="str">
        <f t="shared" si="54"/>
        <v>80C0E1</v>
      </c>
      <c r="E594" t="str">
        <f t="shared" si="55"/>
        <v>128-192-225</v>
      </c>
      <c r="F594" t="str">
        <f t="shared" si="56"/>
        <v>128192225</v>
      </c>
      <c r="G594">
        <f t="shared" si="57"/>
        <v>128</v>
      </c>
      <c r="H594">
        <f t="shared" si="58"/>
        <v>192</v>
      </c>
      <c r="I594">
        <f t="shared" si="59"/>
        <v>225</v>
      </c>
      <c r="J594" s="303" t="str" cm="1">
        <f t="array" ref="J594">myRGB(G594,H594,I594)</f>
        <v/>
      </c>
    </row>
    <row r="595" spans="1:10" ht="17" x14ac:dyDescent="0.25">
      <c r="A595" s="1" t="s">
        <v>597</v>
      </c>
      <c r="B595" s="1" t="s">
        <v>3249</v>
      </c>
      <c r="C595" s="1" t="s">
        <v>1924</v>
      </c>
      <c r="D595" t="str">
        <f t="shared" si="54"/>
        <v>80C0E2</v>
      </c>
      <c r="E595" t="str">
        <f t="shared" si="55"/>
        <v>128-192-226</v>
      </c>
      <c r="F595" t="str">
        <f t="shared" si="56"/>
        <v>128192226</v>
      </c>
      <c r="G595">
        <f t="shared" si="57"/>
        <v>128</v>
      </c>
      <c r="H595">
        <f t="shared" si="58"/>
        <v>192</v>
      </c>
      <c r="I595">
        <f t="shared" si="59"/>
        <v>226</v>
      </c>
      <c r="J595" s="516" t="str" cm="1">
        <f t="array" ref="J595">myRGB(G595,H595,I595)</f>
        <v/>
      </c>
    </row>
    <row r="596" spans="1:10" ht="17" x14ac:dyDescent="0.25">
      <c r="A596" s="1" t="s">
        <v>598</v>
      </c>
      <c r="B596" s="1" t="s">
        <v>3250</v>
      </c>
      <c r="C596" s="1" t="s">
        <v>1925</v>
      </c>
      <c r="D596" t="str">
        <f t="shared" si="54"/>
        <v>80BFE2</v>
      </c>
      <c r="E596" t="str">
        <f t="shared" si="55"/>
        <v>128-191-226</v>
      </c>
      <c r="F596" t="str">
        <f t="shared" si="56"/>
        <v>128191226</v>
      </c>
      <c r="G596">
        <f t="shared" si="57"/>
        <v>128</v>
      </c>
      <c r="H596">
        <f t="shared" si="58"/>
        <v>191</v>
      </c>
      <c r="I596">
        <f t="shared" si="59"/>
        <v>226</v>
      </c>
      <c r="J596" s="494" t="str" cm="1">
        <f t="array" ref="J596">myRGB(G596,H596,I596)</f>
        <v/>
      </c>
    </row>
    <row r="597" spans="1:10" ht="17" x14ac:dyDescent="0.25">
      <c r="A597" s="1" t="s">
        <v>599</v>
      </c>
      <c r="B597" s="1" t="s">
        <v>3251</v>
      </c>
      <c r="C597" s="1" t="s">
        <v>1926</v>
      </c>
      <c r="D597" t="str">
        <f t="shared" si="54"/>
        <v>7EC0E2</v>
      </c>
      <c r="E597" t="str">
        <f t="shared" si="55"/>
        <v>126-192-226</v>
      </c>
      <c r="F597" t="str">
        <f t="shared" si="56"/>
        <v>126192226</v>
      </c>
      <c r="G597">
        <f t="shared" si="57"/>
        <v>126</v>
      </c>
      <c r="H597">
        <f t="shared" si="58"/>
        <v>192</v>
      </c>
      <c r="I597">
        <f t="shared" si="59"/>
        <v>226</v>
      </c>
      <c r="J597" s="456" t="str" cm="1">
        <f t="array" ref="J597">myRGB(G597,H597,I597)</f>
        <v/>
      </c>
    </row>
    <row r="598" spans="1:10" ht="17" x14ac:dyDescent="0.25">
      <c r="A598" s="1" t="s">
        <v>600</v>
      </c>
      <c r="B598" s="1" t="s">
        <v>3252</v>
      </c>
      <c r="C598" s="1" t="s">
        <v>1927</v>
      </c>
      <c r="D598" t="str">
        <f t="shared" si="54"/>
        <v>80BFE0</v>
      </c>
      <c r="E598" t="str">
        <f t="shared" si="55"/>
        <v>128-191-224</v>
      </c>
      <c r="F598" t="str">
        <f t="shared" si="56"/>
        <v>128191224</v>
      </c>
      <c r="G598">
        <f t="shared" si="57"/>
        <v>128</v>
      </c>
      <c r="H598">
        <f t="shared" si="58"/>
        <v>191</v>
      </c>
      <c r="I598">
        <f t="shared" si="59"/>
        <v>224</v>
      </c>
      <c r="J598" s="440" t="str" cm="1">
        <f t="array" ref="J598">myRGB(G598,H598,I598)</f>
        <v/>
      </c>
    </row>
    <row r="599" spans="1:10" ht="17" x14ac:dyDescent="0.25">
      <c r="A599" s="1" t="s">
        <v>601</v>
      </c>
      <c r="B599" s="1" t="s">
        <v>3253</v>
      </c>
      <c r="C599" s="1" t="s">
        <v>1928</v>
      </c>
      <c r="D599" t="str">
        <f t="shared" si="54"/>
        <v>80BEE1</v>
      </c>
      <c r="E599" t="str">
        <f t="shared" si="55"/>
        <v>128-190-225</v>
      </c>
      <c r="F599" t="str">
        <f t="shared" si="56"/>
        <v>128190225</v>
      </c>
      <c r="G599">
        <f t="shared" si="57"/>
        <v>128</v>
      </c>
      <c r="H599">
        <f t="shared" si="58"/>
        <v>190</v>
      </c>
      <c r="I599">
        <f t="shared" si="59"/>
        <v>225</v>
      </c>
      <c r="J599" s="393" t="str" cm="1">
        <f t="array" ref="J599">myRGB(G599,H599,I599)</f>
        <v/>
      </c>
    </row>
    <row r="600" spans="1:10" ht="17" x14ac:dyDescent="0.25">
      <c r="A600" s="1" t="s">
        <v>602</v>
      </c>
      <c r="B600" s="1" t="s">
        <v>3254</v>
      </c>
      <c r="C600" s="1" t="s">
        <v>1929</v>
      </c>
      <c r="D600" t="str">
        <f t="shared" si="54"/>
        <v>7FC0E0</v>
      </c>
      <c r="E600" t="str">
        <f t="shared" si="55"/>
        <v>127-192-224</v>
      </c>
      <c r="F600" t="str">
        <f t="shared" si="56"/>
        <v>127192224</v>
      </c>
      <c r="G600">
        <f t="shared" si="57"/>
        <v>127</v>
      </c>
      <c r="H600">
        <f t="shared" si="58"/>
        <v>192</v>
      </c>
      <c r="I600">
        <f t="shared" si="59"/>
        <v>224</v>
      </c>
      <c r="J600" s="301" t="str" cm="1">
        <f t="array" ref="J600">myRGB(G600,H600,I600)</f>
        <v/>
      </c>
    </row>
    <row r="601" spans="1:10" ht="17" x14ac:dyDescent="0.25">
      <c r="A601" s="1" t="s">
        <v>603</v>
      </c>
      <c r="B601" s="1" t="s">
        <v>3255</v>
      </c>
      <c r="C601" s="1" t="s">
        <v>1930</v>
      </c>
      <c r="D601" t="str">
        <f t="shared" si="54"/>
        <v>80BEE2</v>
      </c>
      <c r="E601" t="str">
        <f t="shared" si="55"/>
        <v>128-190-226</v>
      </c>
      <c r="F601" t="str">
        <f t="shared" si="56"/>
        <v>128190226</v>
      </c>
      <c r="G601">
        <f t="shared" si="57"/>
        <v>128</v>
      </c>
      <c r="H601">
        <f t="shared" si="58"/>
        <v>190</v>
      </c>
      <c r="I601">
        <f t="shared" si="59"/>
        <v>226</v>
      </c>
      <c r="J601" s="580" t="str" cm="1">
        <f t="array" ref="J601">myRGB(G601,H601,I601)</f>
        <v/>
      </c>
    </row>
    <row r="602" spans="1:10" ht="17" x14ac:dyDescent="0.25">
      <c r="A602" s="1" t="s">
        <v>604</v>
      </c>
      <c r="B602" s="1" t="s">
        <v>3256</v>
      </c>
      <c r="C602" s="1" t="s">
        <v>1931</v>
      </c>
      <c r="D602" t="str">
        <f t="shared" si="54"/>
        <v>80BFE1</v>
      </c>
      <c r="E602" t="str">
        <f t="shared" si="55"/>
        <v>128-191-225</v>
      </c>
      <c r="F602" t="str">
        <f t="shared" si="56"/>
        <v>128191225</v>
      </c>
      <c r="G602">
        <f t="shared" si="57"/>
        <v>128</v>
      </c>
      <c r="H602">
        <f t="shared" si="58"/>
        <v>191</v>
      </c>
      <c r="I602">
        <f t="shared" si="59"/>
        <v>225</v>
      </c>
      <c r="J602" s="302" t="str" cm="1">
        <f t="array" ref="J602">myRGB(G602,H602,I602)</f>
        <v/>
      </c>
    </row>
    <row r="603" spans="1:10" ht="17" x14ac:dyDescent="0.25">
      <c r="A603" s="1" t="s">
        <v>605</v>
      </c>
      <c r="B603" s="1" t="s">
        <v>3257</v>
      </c>
      <c r="C603" s="1" t="s">
        <v>1932</v>
      </c>
      <c r="D603" t="str">
        <f t="shared" si="54"/>
        <v>7FC0E2</v>
      </c>
      <c r="E603" t="str">
        <f t="shared" si="55"/>
        <v>127-192-226</v>
      </c>
      <c r="F603" t="str">
        <f t="shared" si="56"/>
        <v>127192226</v>
      </c>
      <c r="G603">
        <f t="shared" si="57"/>
        <v>127</v>
      </c>
      <c r="H603">
        <f t="shared" si="58"/>
        <v>192</v>
      </c>
      <c r="I603">
        <f t="shared" si="59"/>
        <v>226</v>
      </c>
      <c r="J603" s="940" t="str" cm="1">
        <f t="array" ref="J603">myRGB(G603,H603,I603)</f>
        <v/>
      </c>
    </row>
    <row r="604" spans="1:10" ht="17" x14ac:dyDescent="0.25">
      <c r="A604" s="1" t="s">
        <v>606</v>
      </c>
      <c r="B604" s="1" t="s">
        <v>3258</v>
      </c>
      <c r="C604" s="1" t="s">
        <v>1933</v>
      </c>
      <c r="D604" t="str">
        <f t="shared" si="54"/>
        <v>7FC0E1</v>
      </c>
      <c r="E604" t="str">
        <f t="shared" si="55"/>
        <v>127-192-225</v>
      </c>
      <c r="F604" t="str">
        <f t="shared" si="56"/>
        <v>127192225</v>
      </c>
      <c r="G604">
        <f t="shared" si="57"/>
        <v>127</v>
      </c>
      <c r="H604">
        <f t="shared" si="58"/>
        <v>192</v>
      </c>
      <c r="I604">
        <f t="shared" si="59"/>
        <v>225</v>
      </c>
      <c r="J604" s="1083" t="str" cm="1">
        <f t="array" ref="J604">myRGB(G604,H604,I604)</f>
        <v/>
      </c>
    </row>
    <row r="605" spans="1:10" ht="17" x14ac:dyDescent="0.25">
      <c r="A605" s="1" t="s">
        <v>607</v>
      </c>
      <c r="B605" s="1" t="s">
        <v>3259</v>
      </c>
      <c r="C605" s="1" t="s">
        <v>1934</v>
      </c>
      <c r="D605" t="str">
        <f t="shared" si="54"/>
        <v>7FBFE2</v>
      </c>
      <c r="E605" t="str">
        <f t="shared" si="55"/>
        <v>127-191-226</v>
      </c>
      <c r="F605" t="str">
        <f t="shared" si="56"/>
        <v>127191226</v>
      </c>
      <c r="G605">
        <f t="shared" si="57"/>
        <v>127</v>
      </c>
      <c r="H605">
        <f t="shared" si="58"/>
        <v>191</v>
      </c>
      <c r="I605">
        <f t="shared" si="59"/>
        <v>226</v>
      </c>
      <c r="J605" s="1074" t="str" cm="1">
        <f t="array" ref="J605">myRGB(G605,H605,I605)</f>
        <v/>
      </c>
    </row>
    <row r="606" spans="1:10" ht="17" x14ac:dyDescent="0.25">
      <c r="A606" s="1" t="s">
        <v>608</v>
      </c>
      <c r="B606" s="1" t="s">
        <v>3260</v>
      </c>
      <c r="C606" s="1" t="s">
        <v>1935</v>
      </c>
      <c r="D606" t="str">
        <f t="shared" si="54"/>
        <v>7FBFE1</v>
      </c>
      <c r="E606" t="str">
        <f t="shared" si="55"/>
        <v>127-191-225</v>
      </c>
      <c r="F606" t="str">
        <f t="shared" si="56"/>
        <v>127191225</v>
      </c>
      <c r="G606">
        <f t="shared" si="57"/>
        <v>127</v>
      </c>
      <c r="H606">
        <f t="shared" si="58"/>
        <v>191</v>
      </c>
      <c r="I606">
        <f t="shared" si="59"/>
        <v>225</v>
      </c>
      <c r="J606" s="999" t="str" cm="1">
        <f t="array" ref="J606">myRGB(G606,H606,I606)</f>
        <v/>
      </c>
    </row>
    <row r="607" spans="1:10" ht="17" x14ac:dyDescent="0.25">
      <c r="A607" s="1" t="s">
        <v>609</v>
      </c>
      <c r="B607" s="1" t="s">
        <v>3261</v>
      </c>
      <c r="C607" s="1" t="s">
        <v>1936</v>
      </c>
      <c r="D607" t="str">
        <f t="shared" si="54"/>
        <v>80C0E0</v>
      </c>
      <c r="E607" t="str">
        <f t="shared" si="55"/>
        <v>128-192-224</v>
      </c>
      <c r="F607" t="str">
        <f t="shared" si="56"/>
        <v>128192224</v>
      </c>
      <c r="G607">
        <f t="shared" si="57"/>
        <v>128</v>
      </c>
      <c r="H607">
        <f t="shared" si="58"/>
        <v>192</v>
      </c>
      <c r="I607">
        <f t="shared" si="59"/>
        <v>224</v>
      </c>
      <c r="J607" s="941" t="str" cm="1">
        <f t="array" ref="J607">myRGB(G607,H607,I607)</f>
        <v/>
      </c>
    </row>
    <row r="608" spans="1:10" ht="17" x14ac:dyDescent="0.25">
      <c r="A608" s="1" t="s">
        <v>610</v>
      </c>
      <c r="B608" s="1" t="s">
        <v>3262</v>
      </c>
      <c r="C608" s="1" t="s">
        <v>1937</v>
      </c>
      <c r="D608" t="str">
        <f t="shared" si="54"/>
        <v>7EC0E1</v>
      </c>
      <c r="E608" t="str">
        <f t="shared" si="55"/>
        <v>126-192-225</v>
      </c>
      <c r="F608" t="str">
        <f t="shared" si="56"/>
        <v>126192225</v>
      </c>
      <c r="G608">
        <f t="shared" si="57"/>
        <v>126</v>
      </c>
      <c r="H608">
        <f t="shared" si="58"/>
        <v>192</v>
      </c>
      <c r="I608">
        <f t="shared" si="59"/>
        <v>225</v>
      </c>
      <c r="J608" s="1029" t="str" cm="1">
        <f t="array" ref="J608">myRGB(G608,H608,I608)</f>
        <v/>
      </c>
    </row>
    <row r="609" spans="1:10" ht="17" x14ac:dyDescent="0.25">
      <c r="A609" s="1" t="s">
        <v>611</v>
      </c>
      <c r="B609" s="1" t="s">
        <v>3263</v>
      </c>
      <c r="C609" s="1" t="s">
        <v>1938</v>
      </c>
      <c r="D609" t="str">
        <f t="shared" si="54"/>
        <v>7FBEE2</v>
      </c>
      <c r="E609" t="str">
        <f t="shared" si="55"/>
        <v>127-190-226</v>
      </c>
      <c r="F609" t="str">
        <f t="shared" si="56"/>
        <v>127190226</v>
      </c>
      <c r="G609">
        <f t="shared" si="57"/>
        <v>127</v>
      </c>
      <c r="H609">
        <f t="shared" si="58"/>
        <v>190</v>
      </c>
      <c r="I609">
        <f t="shared" si="59"/>
        <v>226</v>
      </c>
      <c r="J609" s="1091" t="str" cm="1">
        <f t="array" ref="J609">myRGB(G609,H609,I609)</f>
        <v/>
      </c>
    </row>
    <row r="610" spans="1:10" ht="17" x14ac:dyDescent="0.25">
      <c r="A610" s="1" t="s">
        <v>612</v>
      </c>
      <c r="B610" s="1" t="s">
        <v>3264</v>
      </c>
      <c r="C610" s="1" t="s">
        <v>1939</v>
      </c>
      <c r="D610" t="str">
        <f t="shared" si="54"/>
        <v>8599CC</v>
      </c>
      <c r="E610" t="str">
        <f t="shared" si="55"/>
        <v>133-153-204</v>
      </c>
      <c r="F610" t="str">
        <f t="shared" si="56"/>
        <v>133153204</v>
      </c>
      <c r="G610">
        <f t="shared" si="57"/>
        <v>133</v>
      </c>
      <c r="H610">
        <f t="shared" si="58"/>
        <v>153</v>
      </c>
      <c r="I610">
        <f t="shared" si="59"/>
        <v>204</v>
      </c>
      <c r="J610" s="392" t="str" cm="1">
        <f t="array" ref="J610">myRGB(G610,H610,I610)</f>
        <v/>
      </c>
    </row>
    <row r="611" spans="1:10" ht="17" x14ac:dyDescent="0.25">
      <c r="A611" s="1" t="s">
        <v>613</v>
      </c>
      <c r="B611" s="1" t="s">
        <v>3265</v>
      </c>
      <c r="C611" s="1" t="s">
        <v>1940</v>
      </c>
      <c r="D611" t="str">
        <f t="shared" si="54"/>
        <v>8599CB</v>
      </c>
      <c r="E611" t="str">
        <f t="shared" si="55"/>
        <v>133-153-203</v>
      </c>
      <c r="F611" t="str">
        <f t="shared" si="56"/>
        <v>133153203</v>
      </c>
      <c r="G611">
        <f t="shared" si="57"/>
        <v>133</v>
      </c>
      <c r="H611">
        <f t="shared" si="58"/>
        <v>153</v>
      </c>
      <c r="I611">
        <f t="shared" si="59"/>
        <v>203</v>
      </c>
      <c r="J611" s="492" t="str" cm="1">
        <f t="array" ref="J611">myRGB(G611,H611,I611)</f>
        <v/>
      </c>
    </row>
    <row r="612" spans="1:10" ht="17" x14ac:dyDescent="0.25">
      <c r="A612" s="1" t="s">
        <v>614</v>
      </c>
      <c r="B612" s="1" t="s">
        <v>3266</v>
      </c>
      <c r="C612" s="1" t="s">
        <v>1941</v>
      </c>
      <c r="D612" t="str">
        <f t="shared" si="54"/>
        <v>8598CC</v>
      </c>
      <c r="E612" t="str">
        <f t="shared" si="55"/>
        <v>133-152-204</v>
      </c>
      <c r="F612" t="str">
        <f t="shared" si="56"/>
        <v>133152204</v>
      </c>
      <c r="G612">
        <f t="shared" si="57"/>
        <v>133</v>
      </c>
      <c r="H612">
        <f t="shared" si="58"/>
        <v>152</v>
      </c>
      <c r="I612">
        <f t="shared" si="59"/>
        <v>204</v>
      </c>
      <c r="J612" s="298" t="str" cm="1">
        <f t="array" ref="J612">myRGB(G612,H612,I612)</f>
        <v/>
      </c>
    </row>
    <row r="613" spans="1:10" ht="17" x14ac:dyDescent="0.25">
      <c r="A613" s="1" t="s">
        <v>615</v>
      </c>
      <c r="B613" s="1" t="s">
        <v>3267</v>
      </c>
      <c r="C613" s="1" t="s">
        <v>1942</v>
      </c>
      <c r="D613" t="str">
        <f t="shared" si="54"/>
        <v>8499CC</v>
      </c>
      <c r="E613" t="str">
        <f t="shared" si="55"/>
        <v>132-153-204</v>
      </c>
      <c r="F613" t="str">
        <f t="shared" si="56"/>
        <v>132153204</v>
      </c>
      <c r="G613">
        <f t="shared" si="57"/>
        <v>132</v>
      </c>
      <c r="H613">
        <f t="shared" si="58"/>
        <v>153</v>
      </c>
      <c r="I613">
        <f t="shared" si="59"/>
        <v>204</v>
      </c>
      <c r="J613" s="479" t="str" cm="1">
        <f t="array" ref="J613">myRGB(G613,H613,I613)</f>
        <v/>
      </c>
    </row>
    <row r="614" spans="1:10" ht="17" x14ac:dyDescent="0.25">
      <c r="A614" s="1" t="s">
        <v>616</v>
      </c>
      <c r="B614" s="1" t="s">
        <v>3268</v>
      </c>
      <c r="C614" s="1" t="s">
        <v>1943</v>
      </c>
      <c r="D614" t="str">
        <f t="shared" si="54"/>
        <v>A2B0D8</v>
      </c>
      <c r="E614" t="str">
        <f t="shared" si="55"/>
        <v>162-176-216</v>
      </c>
      <c r="F614" t="str">
        <f t="shared" si="56"/>
        <v>162176216</v>
      </c>
      <c r="G614">
        <f t="shared" si="57"/>
        <v>162</v>
      </c>
      <c r="H614">
        <f t="shared" si="58"/>
        <v>176</v>
      </c>
      <c r="I614">
        <f t="shared" si="59"/>
        <v>216</v>
      </c>
      <c r="J614" s="563" t="str" cm="1">
        <f t="array" ref="J614">myRGB(G614,H614,I614)</f>
        <v/>
      </c>
    </row>
    <row r="615" spans="1:10" ht="17" x14ac:dyDescent="0.25">
      <c r="A615" s="1" t="s">
        <v>617</v>
      </c>
      <c r="B615" s="1" t="s">
        <v>3269</v>
      </c>
      <c r="C615" s="1" t="s">
        <v>1944</v>
      </c>
      <c r="D615" t="str">
        <f t="shared" si="54"/>
        <v>A2B1D7</v>
      </c>
      <c r="E615" t="str">
        <f t="shared" si="55"/>
        <v>162-177-215</v>
      </c>
      <c r="F615" t="str">
        <f t="shared" si="56"/>
        <v>162177215</v>
      </c>
      <c r="G615">
        <f t="shared" si="57"/>
        <v>162</v>
      </c>
      <c r="H615">
        <f t="shared" si="58"/>
        <v>177</v>
      </c>
      <c r="I615">
        <f t="shared" si="59"/>
        <v>215</v>
      </c>
      <c r="J615" s="638" t="str" cm="1">
        <f t="array" ref="J615">myRGB(G615,H615,I615)</f>
        <v/>
      </c>
    </row>
    <row r="616" spans="1:10" ht="17" x14ac:dyDescent="0.25">
      <c r="A616" s="1" t="s">
        <v>618</v>
      </c>
      <c r="B616" s="1" t="s">
        <v>3270</v>
      </c>
      <c r="C616" s="1" t="s">
        <v>1945</v>
      </c>
      <c r="D616" t="str">
        <f t="shared" si="54"/>
        <v>A2B1D8</v>
      </c>
      <c r="E616" t="str">
        <f t="shared" si="55"/>
        <v>162-177-216</v>
      </c>
      <c r="F616" t="str">
        <f t="shared" si="56"/>
        <v>162177216</v>
      </c>
      <c r="G616">
        <f t="shared" si="57"/>
        <v>162</v>
      </c>
      <c r="H616">
        <f t="shared" si="58"/>
        <v>177</v>
      </c>
      <c r="I616">
        <f t="shared" si="59"/>
        <v>216</v>
      </c>
      <c r="J616" s="296" t="str" cm="1">
        <f t="array" ref="J616">myRGB(G616,H616,I616)</f>
        <v/>
      </c>
    </row>
    <row r="617" spans="1:10" ht="17" x14ac:dyDescent="0.25">
      <c r="A617" s="1" t="s">
        <v>619</v>
      </c>
      <c r="B617" s="1" t="s">
        <v>3271</v>
      </c>
      <c r="C617" s="1" t="s">
        <v>1946</v>
      </c>
      <c r="D617" t="str">
        <f t="shared" si="54"/>
        <v>95A7D3</v>
      </c>
      <c r="E617" t="str">
        <f t="shared" si="55"/>
        <v>149-167-211</v>
      </c>
      <c r="F617" t="str">
        <f t="shared" si="56"/>
        <v>149167211</v>
      </c>
      <c r="G617">
        <f t="shared" si="57"/>
        <v>149</v>
      </c>
      <c r="H617">
        <f t="shared" si="58"/>
        <v>167</v>
      </c>
      <c r="I617">
        <f t="shared" si="59"/>
        <v>211</v>
      </c>
      <c r="J617" s="454" t="str" cm="1">
        <f t="array" ref="J617">myRGB(G617,H617,I617)</f>
        <v/>
      </c>
    </row>
    <row r="618" spans="1:10" ht="17" x14ac:dyDescent="0.25">
      <c r="A618" s="1" t="s">
        <v>620</v>
      </c>
      <c r="B618" s="1" t="s">
        <v>3272</v>
      </c>
      <c r="C618" s="1" t="s">
        <v>1947</v>
      </c>
      <c r="D618" t="str">
        <f t="shared" si="54"/>
        <v>96A6D2</v>
      </c>
      <c r="E618" t="str">
        <f t="shared" si="55"/>
        <v>150-166-210</v>
      </c>
      <c r="F618" t="str">
        <f t="shared" si="56"/>
        <v>150166210</v>
      </c>
      <c r="G618">
        <f t="shared" si="57"/>
        <v>150</v>
      </c>
      <c r="H618">
        <f t="shared" si="58"/>
        <v>166</v>
      </c>
      <c r="I618">
        <f t="shared" si="59"/>
        <v>210</v>
      </c>
      <c r="J618" s="297" t="str" cm="1">
        <f t="array" ref="J618">myRGB(G618,H618,I618)</f>
        <v/>
      </c>
    </row>
    <row r="619" spans="1:10" ht="17" x14ac:dyDescent="0.25">
      <c r="A619" s="1" t="s">
        <v>621</v>
      </c>
      <c r="B619" s="1" t="s">
        <v>3273</v>
      </c>
      <c r="C619" s="1" t="s">
        <v>1948</v>
      </c>
      <c r="D619" t="str">
        <f t="shared" si="54"/>
        <v>96A7D3</v>
      </c>
      <c r="E619" t="str">
        <f t="shared" si="55"/>
        <v>150-167-211</v>
      </c>
      <c r="F619" t="str">
        <f t="shared" si="56"/>
        <v>150167211</v>
      </c>
      <c r="G619">
        <f t="shared" si="57"/>
        <v>150</v>
      </c>
      <c r="H619">
        <f t="shared" si="58"/>
        <v>167</v>
      </c>
      <c r="I619">
        <f t="shared" si="59"/>
        <v>211</v>
      </c>
      <c r="J619" s="391" t="str" cm="1">
        <f t="array" ref="J619">myRGB(G619,H619,I619)</f>
        <v/>
      </c>
    </row>
    <row r="620" spans="1:10" ht="17" x14ac:dyDescent="0.25">
      <c r="A620" s="1" t="s">
        <v>622</v>
      </c>
      <c r="B620" s="1" t="s">
        <v>3274</v>
      </c>
      <c r="C620" s="1" t="s">
        <v>1949</v>
      </c>
      <c r="D620" t="str">
        <f t="shared" si="54"/>
        <v>96A6D3</v>
      </c>
      <c r="E620" t="str">
        <f t="shared" si="55"/>
        <v>150-166-211</v>
      </c>
      <c r="F620" t="str">
        <f t="shared" si="56"/>
        <v>150166211</v>
      </c>
      <c r="G620">
        <f t="shared" si="57"/>
        <v>150</v>
      </c>
      <c r="H620">
        <f t="shared" si="58"/>
        <v>166</v>
      </c>
      <c r="I620">
        <f t="shared" si="59"/>
        <v>211</v>
      </c>
      <c r="J620" s="378" t="str" cm="1">
        <f t="array" ref="J620">myRGB(G620,H620,I620)</f>
        <v/>
      </c>
    </row>
    <row r="621" spans="1:10" ht="17" x14ac:dyDescent="0.25">
      <c r="A621" s="1" t="s">
        <v>623</v>
      </c>
      <c r="B621" s="1" t="s">
        <v>3275</v>
      </c>
      <c r="C621" s="1" t="s">
        <v>1950</v>
      </c>
      <c r="D621" t="str">
        <f t="shared" si="54"/>
        <v>96A7D2</v>
      </c>
      <c r="E621" t="str">
        <f t="shared" si="55"/>
        <v>150-167-210</v>
      </c>
      <c r="F621" t="str">
        <f t="shared" si="56"/>
        <v>150167210</v>
      </c>
      <c r="G621">
        <f t="shared" si="57"/>
        <v>150</v>
      </c>
      <c r="H621">
        <f t="shared" si="58"/>
        <v>167</v>
      </c>
      <c r="I621">
        <f t="shared" si="59"/>
        <v>210</v>
      </c>
      <c r="J621" s="438" t="str" cm="1">
        <f t="array" ref="J621">myRGB(G621,H621,I621)</f>
        <v/>
      </c>
    </row>
    <row r="622" spans="1:10" ht="17" x14ac:dyDescent="0.25">
      <c r="A622" s="1" t="s">
        <v>624</v>
      </c>
      <c r="B622" s="1" t="s">
        <v>3276</v>
      </c>
      <c r="C622" s="1" t="s">
        <v>1951</v>
      </c>
      <c r="D622" t="str">
        <f t="shared" si="54"/>
        <v>B1BFDF</v>
      </c>
      <c r="E622" t="str">
        <f t="shared" si="55"/>
        <v>177-191-223</v>
      </c>
      <c r="F622" t="str">
        <f t="shared" si="56"/>
        <v>177191223</v>
      </c>
      <c r="G622">
        <f t="shared" si="57"/>
        <v>177</v>
      </c>
      <c r="H622">
        <f t="shared" si="58"/>
        <v>191</v>
      </c>
      <c r="I622">
        <f t="shared" si="59"/>
        <v>223</v>
      </c>
      <c r="J622" s="299" t="str" cm="1">
        <f t="array" ref="J622">myRGB(G622,H622,I622)</f>
        <v/>
      </c>
    </row>
    <row r="623" spans="1:10" ht="17" x14ac:dyDescent="0.25">
      <c r="A623" s="1" t="s">
        <v>625</v>
      </c>
      <c r="B623" s="1" t="s">
        <v>3277</v>
      </c>
      <c r="C623" s="1" t="s">
        <v>1952</v>
      </c>
      <c r="D623" t="str">
        <f t="shared" si="54"/>
        <v>B3C0DE</v>
      </c>
      <c r="E623" t="str">
        <f t="shared" si="55"/>
        <v>179-192-222</v>
      </c>
      <c r="F623" t="str">
        <f t="shared" si="56"/>
        <v>179192222</v>
      </c>
      <c r="G623">
        <f t="shared" si="57"/>
        <v>179</v>
      </c>
      <c r="H623">
        <f t="shared" si="58"/>
        <v>192</v>
      </c>
      <c r="I623">
        <f t="shared" si="59"/>
        <v>222</v>
      </c>
      <c r="J623" s="689" t="str" cm="1">
        <f t="array" ref="J623">myRGB(G623,H623,I623)</f>
        <v/>
      </c>
    </row>
    <row r="624" spans="1:10" ht="17" x14ac:dyDescent="0.25">
      <c r="A624" s="1" t="s">
        <v>626</v>
      </c>
      <c r="B624" s="1" t="s">
        <v>3278</v>
      </c>
      <c r="C624" s="1" t="s">
        <v>1953</v>
      </c>
      <c r="D624" t="str">
        <f t="shared" si="54"/>
        <v>B3BFDF</v>
      </c>
      <c r="E624" t="str">
        <f t="shared" si="55"/>
        <v>179-191-223</v>
      </c>
      <c r="F624" t="str">
        <f t="shared" si="56"/>
        <v>179191223</v>
      </c>
      <c r="G624">
        <f t="shared" si="57"/>
        <v>179</v>
      </c>
      <c r="H624">
        <f t="shared" si="58"/>
        <v>191</v>
      </c>
      <c r="I624">
        <f t="shared" si="59"/>
        <v>223</v>
      </c>
      <c r="J624" s="1030" t="str" cm="1">
        <f t="array" ref="J624">myRGB(G624,H624,I624)</f>
        <v/>
      </c>
    </row>
    <row r="625" spans="1:10" ht="17" x14ac:dyDescent="0.25">
      <c r="A625" s="1" t="s">
        <v>627</v>
      </c>
      <c r="B625" s="1" t="s">
        <v>3279</v>
      </c>
      <c r="C625" s="1" t="s">
        <v>1954</v>
      </c>
      <c r="D625" t="str">
        <f t="shared" si="54"/>
        <v>B2BFDD</v>
      </c>
      <c r="E625" t="str">
        <f t="shared" si="55"/>
        <v>178-191-221</v>
      </c>
      <c r="F625" t="str">
        <f t="shared" si="56"/>
        <v>178191221</v>
      </c>
      <c r="G625">
        <f t="shared" si="57"/>
        <v>178</v>
      </c>
      <c r="H625">
        <f t="shared" si="58"/>
        <v>191</v>
      </c>
      <c r="I625">
        <f t="shared" si="59"/>
        <v>221</v>
      </c>
      <c r="J625" s="1084" t="str" cm="1">
        <f t="array" ref="J625">myRGB(G625,H625,I625)</f>
        <v/>
      </c>
    </row>
    <row r="626" spans="1:10" ht="17" x14ac:dyDescent="0.25">
      <c r="A626" s="1" t="s">
        <v>628</v>
      </c>
      <c r="B626" s="1" t="s">
        <v>3280</v>
      </c>
      <c r="C626" s="1" t="s">
        <v>1955</v>
      </c>
      <c r="D626" t="str">
        <f t="shared" si="54"/>
        <v>B3BFDE</v>
      </c>
      <c r="E626" t="str">
        <f t="shared" si="55"/>
        <v>179-191-222</v>
      </c>
      <c r="F626" t="str">
        <f t="shared" si="56"/>
        <v>179191222</v>
      </c>
      <c r="G626">
        <f t="shared" si="57"/>
        <v>179</v>
      </c>
      <c r="H626">
        <f t="shared" si="58"/>
        <v>191</v>
      </c>
      <c r="I626">
        <f t="shared" si="59"/>
        <v>222</v>
      </c>
      <c r="J626" s="1075" t="str" cm="1">
        <f t="array" ref="J626">myRGB(G626,H626,I626)</f>
        <v/>
      </c>
    </row>
    <row r="627" spans="1:10" ht="17" x14ac:dyDescent="0.25">
      <c r="A627" s="1" t="s">
        <v>629</v>
      </c>
      <c r="B627" s="1" t="s">
        <v>3281</v>
      </c>
      <c r="C627" s="1" t="s">
        <v>1956</v>
      </c>
      <c r="D627" t="str">
        <f t="shared" si="54"/>
        <v>B2C0DE</v>
      </c>
      <c r="E627" t="str">
        <f t="shared" si="55"/>
        <v>178-192-222</v>
      </c>
      <c r="F627" t="str">
        <f t="shared" si="56"/>
        <v>178192222</v>
      </c>
      <c r="G627">
        <f t="shared" si="57"/>
        <v>178</v>
      </c>
      <c r="H627">
        <f t="shared" si="58"/>
        <v>192</v>
      </c>
      <c r="I627">
        <f t="shared" si="59"/>
        <v>222</v>
      </c>
      <c r="J627" s="942" t="str" cm="1">
        <f t="array" ref="J627">myRGB(G627,H627,I627)</f>
        <v/>
      </c>
    </row>
    <row r="628" spans="1:10" ht="17" x14ac:dyDescent="0.25">
      <c r="A628" s="1" t="s">
        <v>630</v>
      </c>
      <c r="B628" s="1" t="s">
        <v>3282</v>
      </c>
      <c r="C628" s="1" t="s">
        <v>1957</v>
      </c>
      <c r="D628" t="str">
        <f t="shared" si="54"/>
        <v>B2BFDF</v>
      </c>
      <c r="E628" t="str">
        <f t="shared" si="55"/>
        <v>178-191-223</v>
      </c>
      <c r="F628" t="str">
        <f t="shared" si="56"/>
        <v>178191223</v>
      </c>
      <c r="G628">
        <f t="shared" si="57"/>
        <v>178</v>
      </c>
      <c r="H628">
        <f t="shared" si="58"/>
        <v>191</v>
      </c>
      <c r="I628">
        <f t="shared" si="59"/>
        <v>223</v>
      </c>
      <c r="J628" s="1000" t="str" cm="1">
        <f t="array" ref="J628">myRGB(G628,H628,I628)</f>
        <v/>
      </c>
    </row>
    <row r="629" spans="1:10" ht="17" x14ac:dyDescent="0.25">
      <c r="A629" s="1" t="s">
        <v>631</v>
      </c>
      <c r="B629" s="1" t="s">
        <v>3283</v>
      </c>
      <c r="C629" s="1" t="s">
        <v>1958</v>
      </c>
      <c r="D629" t="str">
        <f t="shared" si="54"/>
        <v>B3BEDF</v>
      </c>
      <c r="E629" t="str">
        <f t="shared" si="55"/>
        <v>179-190-223</v>
      </c>
      <c r="F629" t="str">
        <f t="shared" si="56"/>
        <v>179190223</v>
      </c>
      <c r="G629">
        <f t="shared" si="57"/>
        <v>179</v>
      </c>
      <c r="H629">
        <f t="shared" si="58"/>
        <v>190</v>
      </c>
      <c r="I629">
        <f t="shared" si="59"/>
        <v>223</v>
      </c>
      <c r="J629" s="1031" t="str" cm="1">
        <f t="array" ref="J629">myRGB(G629,H629,I629)</f>
        <v/>
      </c>
    </row>
    <row r="630" spans="1:10" ht="17" x14ac:dyDescent="0.25">
      <c r="A630" s="1" t="s">
        <v>632</v>
      </c>
      <c r="B630" s="1" t="s">
        <v>3284</v>
      </c>
      <c r="C630" s="1" t="s">
        <v>1959</v>
      </c>
      <c r="D630" t="str">
        <f t="shared" si="54"/>
        <v>B2BFDE</v>
      </c>
      <c r="E630" t="str">
        <f t="shared" si="55"/>
        <v>178-191-222</v>
      </c>
      <c r="F630" t="str">
        <f t="shared" si="56"/>
        <v>178191222</v>
      </c>
      <c r="G630">
        <f t="shared" si="57"/>
        <v>178</v>
      </c>
      <c r="H630">
        <f t="shared" si="58"/>
        <v>191</v>
      </c>
      <c r="I630">
        <f t="shared" si="59"/>
        <v>222</v>
      </c>
      <c r="J630" s="1092" t="str" cm="1">
        <f t="array" ref="J630">myRGB(G630,H630,I630)</f>
        <v/>
      </c>
    </row>
    <row r="631" spans="1:10" ht="17" x14ac:dyDescent="0.25">
      <c r="A631" s="1" t="s">
        <v>633</v>
      </c>
      <c r="B631" s="1" t="s">
        <v>3285</v>
      </c>
      <c r="C631" s="1" t="s">
        <v>1960</v>
      </c>
      <c r="D631" t="str">
        <f t="shared" si="54"/>
        <v>B1C0DF</v>
      </c>
      <c r="E631" t="str">
        <f t="shared" si="55"/>
        <v>177-192-223</v>
      </c>
      <c r="F631" t="str">
        <f t="shared" si="56"/>
        <v>177192223</v>
      </c>
      <c r="G631">
        <f t="shared" si="57"/>
        <v>177</v>
      </c>
      <c r="H631">
        <f t="shared" si="58"/>
        <v>192</v>
      </c>
      <c r="I631">
        <f t="shared" si="59"/>
        <v>223</v>
      </c>
      <c r="J631" s="943" t="str" cm="1">
        <f t="array" ref="J631">myRGB(G631,H631,I631)</f>
        <v/>
      </c>
    </row>
    <row r="632" spans="1:10" ht="17" x14ac:dyDescent="0.25">
      <c r="A632" s="1" t="s">
        <v>634</v>
      </c>
      <c r="B632" s="1" t="s">
        <v>3286</v>
      </c>
      <c r="C632" s="1" t="s">
        <v>1961</v>
      </c>
      <c r="D632" t="str">
        <f t="shared" si="54"/>
        <v>B3BFDD</v>
      </c>
      <c r="E632" t="str">
        <f t="shared" si="55"/>
        <v>179-191-221</v>
      </c>
      <c r="F632" t="str">
        <f t="shared" si="56"/>
        <v>179191221</v>
      </c>
      <c r="G632">
        <f t="shared" si="57"/>
        <v>179</v>
      </c>
      <c r="H632">
        <f t="shared" si="58"/>
        <v>191</v>
      </c>
      <c r="I632">
        <f t="shared" si="59"/>
        <v>221</v>
      </c>
      <c r="J632" s="1076" t="str" cm="1">
        <f t="array" ref="J632">myRGB(G632,H632,I632)</f>
        <v/>
      </c>
    </row>
    <row r="633" spans="1:10" ht="17" x14ac:dyDescent="0.25">
      <c r="A633" s="1" t="s">
        <v>635</v>
      </c>
      <c r="B633" s="1" t="s">
        <v>3287</v>
      </c>
      <c r="C633" s="1" t="s">
        <v>1962</v>
      </c>
      <c r="D633" t="str">
        <f t="shared" si="54"/>
        <v>B3C0DD</v>
      </c>
      <c r="E633" t="str">
        <f t="shared" si="55"/>
        <v>179-192-221</v>
      </c>
      <c r="F633" t="str">
        <f t="shared" si="56"/>
        <v>179192221</v>
      </c>
      <c r="G633">
        <f t="shared" si="57"/>
        <v>179</v>
      </c>
      <c r="H633">
        <f t="shared" si="58"/>
        <v>192</v>
      </c>
      <c r="I633">
        <f t="shared" si="59"/>
        <v>221</v>
      </c>
      <c r="J633" s="1001" t="str" cm="1">
        <f t="array" ref="J633">myRGB(G633,H633,I633)</f>
        <v/>
      </c>
    </row>
    <row r="634" spans="1:10" ht="17" x14ac:dyDescent="0.25">
      <c r="A634" s="1" t="s">
        <v>636</v>
      </c>
      <c r="B634" s="1" t="s">
        <v>3288</v>
      </c>
      <c r="C634" s="1" t="s">
        <v>1963</v>
      </c>
      <c r="D634" t="str">
        <f t="shared" si="54"/>
        <v>B2C0DF</v>
      </c>
      <c r="E634" t="str">
        <f t="shared" si="55"/>
        <v>178-192-223</v>
      </c>
      <c r="F634" t="str">
        <f t="shared" si="56"/>
        <v>178192223</v>
      </c>
      <c r="G634">
        <f t="shared" si="57"/>
        <v>178</v>
      </c>
      <c r="H634">
        <f t="shared" si="58"/>
        <v>192</v>
      </c>
      <c r="I634">
        <f t="shared" si="59"/>
        <v>223</v>
      </c>
      <c r="J634" s="1032" t="str" cm="1">
        <f t="array" ref="J634">myRGB(G634,H634,I634)</f>
        <v/>
      </c>
    </row>
    <row r="635" spans="1:10" ht="17" x14ac:dyDescent="0.25">
      <c r="A635" s="1" t="s">
        <v>637</v>
      </c>
      <c r="B635" s="1" t="s">
        <v>3289</v>
      </c>
      <c r="C635" s="1" t="s">
        <v>1964</v>
      </c>
      <c r="D635" t="str">
        <f t="shared" si="54"/>
        <v>B3BEDE</v>
      </c>
      <c r="E635" t="str">
        <f t="shared" si="55"/>
        <v>179-190-222</v>
      </c>
      <c r="F635" t="str">
        <f t="shared" si="56"/>
        <v>179190222</v>
      </c>
      <c r="G635">
        <f t="shared" si="57"/>
        <v>179</v>
      </c>
      <c r="H635">
        <f t="shared" si="58"/>
        <v>190</v>
      </c>
      <c r="I635">
        <f t="shared" si="59"/>
        <v>222</v>
      </c>
      <c r="J635" s="944" t="str" cm="1">
        <f t="array" ref="J635">myRGB(G635,H635,I635)</f>
        <v/>
      </c>
    </row>
    <row r="636" spans="1:10" ht="17" x14ac:dyDescent="0.25">
      <c r="A636" s="1" t="s">
        <v>638</v>
      </c>
      <c r="B636" s="1" t="s">
        <v>3290</v>
      </c>
      <c r="C636" s="1" t="s">
        <v>1965</v>
      </c>
      <c r="D636" t="str">
        <f t="shared" si="54"/>
        <v>B2C0DD</v>
      </c>
      <c r="E636" t="str">
        <f t="shared" si="55"/>
        <v>178-192-221</v>
      </c>
      <c r="F636" t="str">
        <f t="shared" si="56"/>
        <v>178192221</v>
      </c>
      <c r="G636">
        <f t="shared" si="57"/>
        <v>178</v>
      </c>
      <c r="H636">
        <f t="shared" si="58"/>
        <v>192</v>
      </c>
      <c r="I636">
        <f t="shared" si="59"/>
        <v>221</v>
      </c>
      <c r="J636" s="1099" t="str" cm="1">
        <f t="array" ref="J636">myRGB(G636,H636,I636)</f>
        <v/>
      </c>
    </row>
    <row r="637" spans="1:10" ht="17" x14ac:dyDescent="0.25">
      <c r="A637" s="1" t="s">
        <v>639</v>
      </c>
      <c r="B637" s="1" t="s">
        <v>3291</v>
      </c>
      <c r="C637" s="1" t="s">
        <v>1966</v>
      </c>
      <c r="D637" t="str">
        <f t="shared" si="54"/>
        <v>B2BEDE</v>
      </c>
      <c r="E637" t="str">
        <f t="shared" si="55"/>
        <v>178-190-222</v>
      </c>
      <c r="F637" t="str">
        <f t="shared" si="56"/>
        <v>178190222</v>
      </c>
      <c r="G637">
        <f t="shared" si="57"/>
        <v>178</v>
      </c>
      <c r="H637">
        <f t="shared" si="58"/>
        <v>190</v>
      </c>
      <c r="I637">
        <f t="shared" si="59"/>
        <v>222</v>
      </c>
      <c r="J637" s="1077" t="str" cm="1">
        <f t="array" ref="J637">myRGB(G637,H637,I637)</f>
        <v/>
      </c>
    </row>
    <row r="638" spans="1:10" ht="17" x14ac:dyDescent="0.25">
      <c r="A638" s="1" t="s">
        <v>640</v>
      </c>
      <c r="B638" s="1" t="s">
        <v>3292</v>
      </c>
      <c r="C638" s="1" t="s">
        <v>1967</v>
      </c>
      <c r="D638" t="str">
        <f t="shared" si="54"/>
        <v>B2BEDF</v>
      </c>
      <c r="E638" t="str">
        <f t="shared" si="55"/>
        <v>178-190-223</v>
      </c>
      <c r="F638" t="str">
        <f t="shared" si="56"/>
        <v>178190223</v>
      </c>
      <c r="G638">
        <f t="shared" si="57"/>
        <v>178</v>
      </c>
      <c r="H638">
        <f t="shared" si="58"/>
        <v>190</v>
      </c>
      <c r="I638">
        <f t="shared" si="59"/>
        <v>223</v>
      </c>
      <c r="J638" s="1002" t="str" cm="1">
        <f t="array" ref="J638">myRGB(G638,H638,I638)</f>
        <v/>
      </c>
    </row>
    <row r="639" spans="1:10" ht="17" x14ac:dyDescent="0.25">
      <c r="A639" s="1" t="s">
        <v>641</v>
      </c>
      <c r="B639" s="1" t="s">
        <v>3293</v>
      </c>
      <c r="C639" s="1" t="s">
        <v>1968</v>
      </c>
      <c r="D639" t="str">
        <f t="shared" si="54"/>
        <v>B1C0DE</v>
      </c>
      <c r="E639" t="str">
        <f t="shared" si="55"/>
        <v>177-192-222</v>
      </c>
      <c r="F639" t="str">
        <f t="shared" si="56"/>
        <v>177192222</v>
      </c>
      <c r="G639">
        <f t="shared" si="57"/>
        <v>177</v>
      </c>
      <c r="H639">
        <f t="shared" si="58"/>
        <v>192</v>
      </c>
      <c r="I639">
        <f t="shared" si="59"/>
        <v>222</v>
      </c>
      <c r="J639" s="945" t="str" cm="1">
        <f t="array" ref="J639">myRGB(G639,H639,I639)</f>
        <v/>
      </c>
    </row>
    <row r="640" spans="1:10" ht="17" x14ac:dyDescent="0.25">
      <c r="A640" s="1" t="s">
        <v>642</v>
      </c>
      <c r="B640" s="1" t="s">
        <v>3294</v>
      </c>
      <c r="C640" s="1" t="s">
        <v>1969</v>
      </c>
      <c r="D640" t="str">
        <f t="shared" si="54"/>
        <v>B3C0DF</v>
      </c>
      <c r="E640" t="str">
        <f t="shared" si="55"/>
        <v>179-192-223</v>
      </c>
      <c r="F640" t="str">
        <f t="shared" si="56"/>
        <v>179192223</v>
      </c>
      <c r="G640">
        <f t="shared" si="57"/>
        <v>179</v>
      </c>
      <c r="H640">
        <f t="shared" si="58"/>
        <v>192</v>
      </c>
      <c r="I640">
        <f t="shared" si="59"/>
        <v>223</v>
      </c>
      <c r="J640" s="745" t="str" cm="1">
        <f t="array" ref="J640">myRGB(G640,H640,I640)</f>
        <v/>
      </c>
    </row>
    <row r="641" spans="1:10" ht="17" x14ac:dyDescent="0.25">
      <c r="A641" s="1" t="s">
        <v>643</v>
      </c>
      <c r="B641" s="1" t="s">
        <v>3295</v>
      </c>
      <c r="C641" s="1" t="s">
        <v>1970</v>
      </c>
      <c r="D641" t="str">
        <f t="shared" si="54"/>
        <v>FF7080</v>
      </c>
      <c r="E641" t="str">
        <f t="shared" si="55"/>
        <v>255-112-128</v>
      </c>
      <c r="F641" t="str">
        <f t="shared" si="56"/>
        <v>255112128</v>
      </c>
      <c r="G641">
        <f t="shared" si="57"/>
        <v>255</v>
      </c>
      <c r="H641">
        <f t="shared" si="58"/>
        <v>112</v>
      </c>
      <c r="I641">
        <f t="shared" si="59"/>
        <v>128</v>
      </c>
      <c r="J641" s="681" t="str" cm="1">
        <f t="array" ref="J641">myRGB(G641,H641,I641)</f>
        <v/>
      </c>
    </row>
    <row r="642" spans="1:10" ht="17" x14ac:dyDescent="0.25">
      <c r="A642" s="1" t="s">
        <v>644</v>
      </c>
      <c r="B642" s="1" t="s">
        <v>3296</v>
      </c>
      <c r="C642" s="1" t="s">
        <v>1971</v>
      </c>
      <c r="D642" t="str">
        <f t="shared" si="54"/>
        <v>FF707F</v>
      </c>
      <c r="E642" t="str">
        <f t="shared" si="55"/>
        <v>255-112-127</v>
      </c>
      <c r="F642" t="str">
        <f t="shared" si="56"/>
        <v>255112127</v>
      </c>
      <c r="G642">
        <f t="shared" si="57"/>
        <v>255</v>
      </c>
      <c r="H642">
        <f t="shared" si="58"/>
        <v>112</v>
      </c>
      <c r="I642">
        <f t="shared" si="59"/>
        <v>127</v>
      </c>
      <c r="J642" s="532" t="str" cm="1">
        <f t="array" ref="J642">myRGB(G642,H642,I642)</f>
        <v/>
      </c>
    </row>
    <row r="643" spans="1:10" ht="17" x14ac:dyDescent="0.25">
      <c r="A643" s="1" t="s">
        <v>645</v>
      </c>
      <c r="B643" s="1" t="s">
        <v>3297</v>
      </c>
      <c r="C643" s="1" t="s">
        <v>1972</v>
      </c>
      <c r="D643" t="str">
        <f t="shared" si="54"/>
        <v>FF6F80</v>
      </c>
      <c r="E643" t="str">
        <f t="shared" si="55"/>
        <v>255-111-128</v>
      </c>
      <c r="F643" t="str">
        <f t="shared" si="56"/>
        <v>255111128</v>
      </c>
      <c r="G643">
        <f t="shared" si="57"/>
        <v>255</v>
      </c>
      <c r="H643">
        <f t="shared" si="58"/>
        <v>111</v>
      </c>
      <c r="I643">
        <f t="shared" si="59"/>
        <v>128</v>
      </c>
      <c r="J643" s="591" t="str" cm="1">
        <f t="array" ref="J643">myRGB(G643,H643,I643)</f>
        <v/>
      </c>
    </row>
    <row r="644" spans="1:10" ht="17" x14ac:dyDescent="0.25">
      <c r="A644" s="1" t="s">
        <v>646</v>
      </c>
      <c r="B644" s="1" t="s">
        <v>3298</v>
      </c>
      <c r="C644" s="1" t="s">
        <v>1973</v>
      </c>
      <c r="D644" t="str">
        <f t="shared" ref="D644:D707" si="60">RIGHT(LEFT(C644,9),6)</f>
        <v>FE7E84</v>
      </c>
      <c r="E644" t="str">
        <f t="shared" ref="E644:E707" si="61">HEX2DEC(LEFT(D644,2))&amp;"-"&amp;HEX2DEC(MID(D644,3,2))&amp;"-"&amp;HEX2DEC(RIGHT(D644,2))</f>
        <v>254-126-132</v>
      </c>
      <c r="F644" t="str">
        <f t="shared" ref="F644:F707" si="62">HEX2DEC(LEFT(D644,2))&amp;HEX2DEC(MID(D644,3,2))&amp;HEX2DEC(RIGHT(D644,2))</f>
        <v>254126132</v>
      </c>
      <c r="G644">
        <f t="shared" ref="G644:G707" si="63">HEX2DEC(LEFT(D644,2))</f>
        <v>254</v>
      </c>
      <c r="H644">
        <f t="shared" ref="H644:H707" si="64">HEX2DEC(MID(D644,3,2))</f>
        <v>126</v>
      </c>
      <c r="I644">
        <f t="shared" ref="I644:I707" si="65">HEX2DEC(RIGHT(D644,2))</f>
        <v>132</v>
      </c>
      <c r="J644" s="488" t="str" cm="1">
        <f t="array" ref="J644">myRGB(G644,H644,I644)</f>
        <v/>
      </c>
    </row>
    <row r="645" spans="1:10" ht="17" x14ac:dyDescent="0.25">
      <c r="A645" s="1" t="s">
        <v>647</v>
      </c>
      <c r="B645" s="1" t="s">
        <v>3299</v>
      </c>
      <c r="C645" s="1" t="s">
        <v>1974</v>
      </c>
      <c r="D645" t="str">
        <f t="shared" si="60"/>
        <v>FF8082</v>
      </c>
      <c r="E645" t="str">
        <f t="shared" si="61"/>
        <v>255-128-130</v>
      </c>
      <c r="F645" t="str">
        <f t="shared" si="62"/>
        <v>255128130</v>
      </c>
      <c r="G645">
        <f t="shared" si="63"/>
        <v>255</v>
      </c>
      <c r="H645">
        <f t="shared" si="64"/>
        <v>128</v>
      </c>
      <c r="I645">
        <f t="shared" si="65"/>
        <v>130</v>
      </c>
      <c r="J645" s="514" t="str" cm="1">
        <f t="array" ref="J645">myRGB(G645,H645,I645)</f>
        <v/>
      </c>
    </row>
    <row r="646" spans="1:10" ht="17" x14ac:dyDescent="0.25">
      <c r="A646" s="1" t="s">
        <v>648</v>
      </c>
      <c r="B646" s="1" t="s">
        <v>3300</v>
      </c>
      <c r="C646" s="1" t="s">
        <v>1975</v>
      </c>
      <c r="D646" t="str">
        <f t="shared" si="60"/>
        <v>FD7E84</v>
      </c>
      <c r="E646" t="str">
        <f t="shared" si="61"/>
        <v>253-126-132</v>
      </c>
      <c r="F646" t="str">
        <f t="shared" si="62"/>
        <v>253126132</v>
      </c>
      <c r="G646">
        <f t="shared" si="63"/>
        <v>253</v>
      </c>
      <c r="H646">
        <f t="shared" si="64"/>
        <v>126</v>
      </c>
      <c r="I646">
        <f t="shared" si="65"/>
        <v>132</v>
      </c>
      <c r="J646" s="476" t="str" cm="1">
        <f t="array" ref="J646">myRGB(G646,H646,I646)</f>
        <v/>
      </c>
    </row>
    <row r="647" spans="1:10" ht="17" x14ac:dyDescent="0.25">
      <c r="A647" s="1" t="s">
        <v>649</v>
      </c>
      <c r="B647" s="1" t="s">
        <v>3301</v>
      </c>
      <c r="C647" s="1" t="s">
        <v>1976</v>
      </c>
      <c r="D647" t="str">
        <f t="shared" si="60"/>
        <v>FF7E84</v>
      </c>
      <c r="E647" t="str">
        <f t="shared" si="61"/>
        <v>255-126-132</v>
      </c>
      <c r="F647" t="str">
        <f t="shared" si="62"/>
        <v>255126132</v>
      </c>
      <c r="G647">
        <f t="shared" si="63"/>
        <v>255</v>
      </c>
      <c r="H647">
        <f t="shared" si="64"/>
        <v>126</v>
      </c>
      <c r="I647">
        <f t="shared" si="65"/>
        <v>132</v>
      </c>
      <c r="J647" s="413" t="str" cm="1">
        <f t="array" ref="J647">myRGB(G647,H647,I647)</f>
        <v/>
      </c>
    </row>
    <row r="648" spans="1:10" ht="17" x14ac:dyDescent="0.25">
      <c r="A648" s="1" t="s">
        <v>650</v>
      </c>
      <c r="B648" s="1" t="s">
        <v>3302</v>
      </c>
      <c r="C648" s="1" t="s">
        <v>1977</v>
      </c>
      <c r="D648" t="str">
        <f t="shared" si="60"/>
        <v>FF8081</v>
      </c>
      <c r="E648" t="str">
        <f t="shared" si="61"/>
        <v>255-128-129</v>
      </c>
      <c r="F648" t="str">
        <f t="shared" si="62"/>
        <v>255128129</v>
      </c>
      <c r="G648">
        <f t="shared" si="63"/>
        <v>255</v>
      </c>
      <c r="H648">
        <f t="shared" si="64"/>
        <v>128</v>
      </c>
      <c r="I648">
        <f t="shared" si="65"/>
        <v>129</v>
      </c>
      <c r="J648" s="585" t="str" cm="1">
        <f t="array" ref="J648">myRGB(G648,H648,I648)</f>
        <v/>
      </c>
    </row>
    <row r="649" spans="1:10" ht="17" x14ac:dyDescent="0.25">
      <c r="A649" s="1" t="s">
        <v>651</v>
      </c>
      <c r="B649" s="1" t="s">
        <v>3303</v>
      </c>
      <c r="C649" s="1" t="s">
        <v>1978</v>
      </c>
      <c r="D649" t="str">
        <f t="shared" si="60"/>
        <v>FD8084</v>
      </c>
      <c r="E649" t="str">
        <f t="shared" si="61"/>
        <v>253-128-132</v>
      </c>
      <c r="F649" t="str">
        <f t="shared" si="62"/>
        <v>253128132</v>
      </c>
      <c r="G649">
        <f t="shared" si="63"/>
        <v>253</v>
      </c>
      <c r="H649">
        <f t="shared" si="64"/>
        <v>128</v>
      </c>
      <c r="I649">
        <f t="shared" si="65"/>
        <v>132</v>
      </c>
      <c r="J649" s="518" t="str" cm="1">
        <f t="array" ref="J649">myRGB(G649,H649,I649)</f>
        <v/>
      </c>
    </row>
    <row r="650" spans="1:10" ht="17" x14ac:dyDescent="0.25">
      <c r="A650" s="1" t="s">
        <v>652</v>
      </c>
      <c r="B650" s="1" t="s">
        <v>3304</v>
      </c>
      <c r="C650" s="1" t="s">
        <v>1979</v>
      </c>
      <c r="D650" t="str">
        <f t="shared" si="60"/>
        <v>FF7F82</v>
      </c>
      <c r="E650" t="str">
        <f t="shared" si="61"/>
        <v>255-127-130</v>
      </c>
      <c r="F650" t="str">
        <f t="shared" si="62"/>
        <v>255127130</v>
      </c>
      <c r="G650">
        <f t="shared" si="63"/>
        <v>255</v>
      </c>
      <c r="H650">
        <f t="shared" si="64"/>
        <v>127</v>
      </c>
      <c r="I650">
        <f t="shared" si="65"/>
        <v>130</v>
      </c>
      <c r="J650" s="513" t="str" cm="1">
        <f t="array" ref="J650">myRGB(G650,H650,I650)</f>
        <v/>
      </c>
    </row>
    <row r="651" spans="1:10" ht="17" x14ac:dyDescent="0.25">
      <c r="A651" s="1" t="s">
        <v>653</v>
      </c>
      <c r="B651" s="1" t="s">
        <v>3305</v>
      </c>
      <c r="C651" s="1" t="s">
        <v>1980</v>
      </c>
      <c r="D651" t="str">
        <f t="shared" si="60"/>
        <v>FF7E83</v>
      </c>
      <c r="E651" t="str">
        <f t="shared" si="61"/>
        <v>255-126-131</v>
      </c>
      <c r="F651" t="str">
        <f t="shared" si="62"/>
        <v>255126131</v>
      </c>
      <c r="G651">
        <f t="shared" si="63"/>
        <v>255</v>
      </c>
      <c r="H651">
        <f t="shared" si="64"/>
        <v>126</v>
      </c>
      <c r="I651">
        <f t="shared" si="65"/>
        <v>131</v>
      </c>
      <c r="J651" s="475" t="str" cm="1">
        <f t="array" ref="J651">myRGB(G651,H651,I651)</f>
        <v/>
      </c>
    </row>
    <row r="652" spans="1:10" ht="17" x14ac:dyDescent="0.25">
      <c r="A652" s="1" t="s">
        <v>654</v>
      </c>
      <c r="B652" s="1" t="s">
        <v>3306</v>
      </c>
      <c r="C652" s="1" t="s">
        <v>1981</v>
      </c>
      <c r="D652" t="str">
        <f t="shared" si="60"/>
        <v>FE8082</v>
      </c>
      <c r="E652" t="str">
        <f t="shared" si="61"/>
        <v>254-128-130</v>
      </c>
      <c r="F652" t="str">
        <f t="shared" si="62"/>
        <v>254128130</v>
      </c>
      <c r="G652">
        <f t="shared" si="63"/>
        <v>254</v>
      </c>
      <c r="H652">
        <f t="shared" si="64"/>
        <v>128</v>
      </c>
      <c r="I652">
        <f t="shared" si="65"/>
        <v>130</v>
      </c>
      <c r="J652" s="412" t="str" cm="1">
        <f t="array" ref="J652">myRGB(G652,H652,I652)</f>
        <v/>
      </c>
    </row>
    <row r="653" spans="1:10" ht="17" x14ac:dyDescent="0.25">
      <c r="A653" s="1" t="s">
        <v>655</v>
      </c>
      <c r="B653" s="1" t="s">
        <v>3307</v>
      </c>
      <c r="C653" s="1" t="s">
        <v>1982</v>
      </c>
      <c r="D653" t="str">
        <f t="shared" si="60"/>
        <v>FF7E82</v>
      </c>
      <c r="E653" t="str">
        <f t="shared" si="61"/>
        <v>255-126-130</v>
      </c>
      <c r="F653" t="str">
        <f t="shared" si="62"/>
        <v>255126130</v>
      </c>
      <c r="G653">
        <f t="shared" si="63"/>
        <v>255</v>
      </c>
      <c r="H653">
        <f t="shared" si="64"/>
        <v>126</v>
      </c>
      <c r="I653">
        <f t="shared" si="65"/>
        <v>130</v>
      </c>
      <c r="J653" s="487" t="str" cm="1">
        <f t="array" ref="J653">myRGB(G653,H653,I653)</f>
        <v/>
      </c>
    </row>
    <row r="654" spans="1:10" ht="17" x14ac:dyDescent="0.25">
      <c r="A654" s="1" t="s">
        <v>656</v>
      </c>
      <c r="B654" s="1" t="s">
        <v>3308</v>
      </c>
      <c r="C654" s="1" t="s">
        <v>1983</v>
      </c>
      <c r="D654" t="str">
        <f t="shared" si="60"/>
        <v>FF8083</v>
      </c>
      <c r="E654" t="str">
        <f t="shared" si="61"/>
        <v>255-128-131</v>
      </c>
      <c r="F654" t="str">
        <f t="shared" si="62"/>
        <v>255128131</v>
      </c>
      <c r="G654">
        <f t="shared" si="63"/>
        <v>255</v>
      </c>
      <c r="H654">
        <f t="shared" si="64"/>
        <v>128</v>
      </c>
      <c r="I654">
        <f t="shared" si="65"/>
        <v>131</v>
      </c>
      <c r="J654" s="691" t="str" cm="1">
        <f t="array" ref="J654">myRGB(G654,H654,I654)</f>
        <v/>
      </c>
    </row>
    <row r="655" spans="1:10" ht="17" x14ac:dyDescent="0.25">
      <c r="A655" s="1" t="s">
        <v>657</v>
      </c>
      <c r="B655" s="1" t="s">
        <v>3309</v>
      </c>
      <c r="C655" s="1" t="s">
        <v>1984</v>
      </c>
      <c r="D655" t="str">
        <f t="shared" si="60"/>
        <v>FF7F84</v>
      </c>
      <c r="E655" t="str">
        <f t="shared" si="61"/>
        <v>255-127-132</v>
      </c>
      <c r="F655" t="str">
        <f t="shared" si="62"/>
        <v>255127132</v>
      </c>
      <c r="G655">
        <f t="shared" si="63"/>
        <v>255</v>
      </c>
      <c r="H655">
        <f t="shared" si="64"/>
        <v>127</v>
      </c>
      <c r="I655">
        <f t="shared" si="65"/>
        <v>132</v>
      </c>
      <c r="J655" s="449" t="str" cm="1">
        <f t="array" ref="J655">myRGB(G655,H655,I655)</f>
        <v/>
      </c>
    </row>
    <row r="656" spans="1:10" ht="17" x14ac:dyDescent="0.25">
      <c r="A656" s="1" t="s">
        <v>658</v>
      </c>
      <c r="B656" s="1" t="s">
        <v>3310</v>
      </c>
      <c r="C656" s="1" t="s">
        <v>1985</v>
      </c>
      <c r="D656" t="str">
        <f t="shared" si="60"/>
        <v>FE8084</v>
      </c>
      <c r="E656" t="str">
        <f t="shared" si="61"/>
        <v>254-128-132</v>
      </c>
      <c r="F656" t="str">
        <f t="shared" si="62"/>
        <v>254128132</v>
      </c>
      <c r="G656">
        <f t="shared" si="63"/>
        <v>254</v>
      </c>
      <c r="H656">
        <f t="shared" si="64"/>
        <v>128</v>
      </c>
      <c r="I656">
        <f t="shared" si="65"/>
        <v>132</v>
      </c>
      <c r="J656" s="414" t="str" cm="1">
        <f t="array" ref="J656">myRGB(G656,H656,I656)</f>
        <v/>
      </c>
    </row>
    <row r="657" spans="1:10" ht="17" x14ac:dyDescent="0.25">
      <c r="A657" s="1" t="s">
        <v>659</v>
      </c>
      <c r="B657" s="1" t="s">
        <v>3311</v>
      </c>
      <c r="C657" s="1" t="s">
        <v>1986</v>
      </c>
      <c r="D657" t="str">
        <f t="shared" si="60"/>
        <v>FE7F83</v>
      </c>
      <c r="E657" t="str">
        <f t="shared" si="61"/>
        <v>254-127-131</v>
      </c>
      <c r="F657" t="str">
        <f t="shared" si="62"/>
        <v>254127131</v>
      </c>
      <c r="G657">
        <f t="shared" si="63"/>
        <v>254</v>
      </c>
      <c r="H657">
        <f t="shared" si="64"/>
        <v>127</v>
      </c>
      <c r="I657">
        <f t="shared" si="65"/>
        <v>131</v>
      </c>
      <c r="J657" s="673" t="str" cm="1">
        <f t="array" ref="J657">myRGB(G657,H657,I657)</f>
        <v/>
      </c>
    </row>
    <row r="658" spans="1:10" ht="17" x14ac:dyDescent="0.25">
      <c r="A658" s="1" t="s">
        <v>660</v>
      </c>
      <c r="B658" s="1" t="s">
        <v>3312</v>
      </c>
      <c r="C658" s="1" t="s">
        <v>1987</v>
      </c>
      <c r="D658" t="str">
        <f t="shared" si="60"/>
        <v>FD7F84</v>
      </c>
      <c r="E658" t="str">
        <f t="shared" si="61"/>
        <v>253-127-132</v>
      </c>
      <c r="F658" t="str">
        <f t="shared" si="62"/>
        <v>253127132</v>
      </c>
      <c r="G658">
        <f t="shared" si="63"/>
        <v>253</v>
      </c>
      <c r="H658">
        <f t="shared" si="64"/>
        <v>127</v>
      </c>
      <c r="I658">
        <f t="shared" si="65"/>
        <v>132</v>
      </c>
      <c r="J658" s="751" t="str" cm="1">
        <f t="array" ref="J658">myRGB(G658,H658,I658)</f>
        <v/>
      </c>
    </row>
    <row r="659" spans="1:10" ht="17" x14ac:dyDescent="0.25">
      <c r="A659" s="1" t="s">
        <v>661</v>
      </c>
      <c r="B659" s="1" t="s">
        <v>3313</v>
      </c>
      <c r="C659" s="1" t="s">
        <v>1988</v>
      </c>
      <c r="D659" t="str">
        <f t="shared" si="60"/>
        <v>FD8083</v>
      </c>
      <c r="E659" t="str">
        <f t="shared" si="61"/>
        <v>253-128-131</v>
      </c>
      <c r="F659" t="str">
        <f t="shared" si="62"/>
        <v>253128131</v>
      </c>
      <c r="G659">
        <f t="shared" si="63"/>
        <v>253</v>
      </c>
      <c r="H659">
        <f t="shared" si="64"/>
        <v>128</v>
      </c>
      <c r="I659">
        <f t="shared" si="65"/>
        <v>131</v>
      </c>
      <c r="J659" s="692" t="str" cm="1">
        <f t="array" ref="J659">myRGB(G659,H659,I659)</f>
        <v/>
      </c>
    </row>
    <row r="660" spans="1:10" ht="17" x14ac:dyDescent="0.25">
      <c r="A660" s="1" t="s">
        <v>662</v>
      </c>
      <c r="B660" s="1" t="s">
        <v>3314</v>
      </c>
      <c r="C660" s="1" t="s">
        <v>1989</v>
      </c>
      <c r="D660" t="str">
        <f t="shared" si="60"/>
        <v>FF7F83</v>
      </c>
      <c r="E660" t="str">
        <f t="shared" si="61"/>
        <v>255-127-131</v>
      </c>
      <c r="F660" t="str">
        <f t="shared" si="62"/>
        <v>255127131</v>
      </c>
      <c r="G660">
        <f t="shared" si="63"/>
        <v>255</v>
      </c>
      <c r="H660">
        <f t="shared" si="64"/>
        <v>127</v>
      </c>
      <c r="I660">
        <f t="shared" si="65"/>
        <v>131</v>
      </c>
      <c r="J660" s="519" t="str" cm="1">
        <f t="array" ref="J660">myRGB(G660,H660,I660)</f>
        <v/>
      </c>
    </row>
    <row r="661" spans="1:10" ht="17" x14ac:dyDescent="0.25">
      <c r="A661" s="1" t="s">
        <v>663</v>
      </c>
      <c r="B661" s="1" t="s">
        <v>3315</v>
      </c>
      <c r="C661" s="1" t="s">
        <v>1990</v>
      </c>
      <c r="D661" t="str">
        <f t="shared" si="60"/>
        <v>FE7F82</v>
      </c>
      <c r="E661" t="str">
        <f t="shared" si="61"/>
        <v>254-127-130</v>
      </c>
      <c r="F661" t="str">
        <f t="shared" si="62"/>
        <v>254127130</v>
      </c>
      <c r="G661">
        <f t="shared" si="63"/>
        <v>254</v>
      </c>
      <c r="H661">
        <f t="shared" si="64"/>
        <v>127</v>
      </c>
      <c r="I661">
        <f t="shared" si="65"/>
        <v>130</v>
      </c>
      <c r="J661" s="415" t="str" cm="1">
        <f t="array" ref="J661">myRGB(G661,H661,I661)</f>
        <v/>
      </c>
    </row>
    <row r="662" spans="1:10" ht="17" x14ac:dyDescent="0.25">
      <c r="A662" s="1" t="s">
        <v>664</v>
      </c>
      <c r="B662" s="1" t="s">
        <v>3316</v>
      </c>
      <c r="C662" s="1" t="s">
        <v>1991</v>
      </c>
      <c r="D662" t="str">
        <f t="shared" si="60"/>
        <v>FE7E83</v>
      </c>
      <c r="E662" t="str">
        <f t="shared" si="61"/>
        <v>254-126-131</v>
      </c>
      <c r="F662" t="str">
        <f t="shared" si="62"/>
        <v>254126131</v>
      </c>
      <c r="G662">
        <f t="shared" si="63"/>
        <v>254</v>
      </c>
      <c r="H662">
        <f t="shared" si="64"/>
        <v>126</v>
      </c>
      <c r="I662">
        <f t="shared" si="65"/>
        <v>131</v>
      </c>
      <c r="J662" s="386" t="str" cm="1">
        <f t="array" ref="J662">myRGB(G662,H662,I662)</f>
        <v/>
      </c>
    </row>
    <row r="663" spans="1:10" ht="17" x14ac:dyDescent="0.25">
      <c r="A663" s="1" t="s">
        <v>665</v>
      </c>
      <c r="B663" s="1" t="s">
        <v>3317</v>
      </c>
      <c r="C663" s="1" t="s">
        <v>1992</v>
      </c>
      <c r="D663" t="str">
        <f t="shared" si="60"/>
        <v>FD7F83</v>
      </c>
      <c r="E663" t="str">
        <f t="shared" si="61"/>
        <v>253-127-131</v>
      </c>
      <c r="F663" t="str">
        <f t="shared" si="62"/>
        <v>253127131</v>
      </c>
      <c r="G663">
        <f t="shared" si="63"/>
        <v>253</v>
      </c>
      <c r="H663">
        <f t="shared" si="64"/>
        <v>127</v>
      </c>
      <c r="I663">
        <f t="shared" si="65"/>
        <v>131</v>
      </c>
      <c r="J663" s="791" t="str" cm="1">
        <f t="array" ref="J663">myRGB(G663,H663,I663)</f>
        <v/>
      </c>
    </row>
    <row r="664" spans="1:10" ht="17" x14ac:dyDescent="0.25">
      <c r="A664" s="1" t="s">
        <v>666</v>
      </c>
      <c r="B664" s="1" t="s">
        <v>3318</v>
      </c>
      <c r="C664" s="1" t="s">
        <v>1993</v>
      </c>
      <c r="D664" t="str">
        <f t="shared" si="60"/>
        <v>FF8084</v>
      </c>
      <c r="E664" t="str">
        <f t="shared" si="61"/>
        <v>255-128-132</v>
      </c>
      <c r="F664" t="str">
        <f t="shared" si="62"/>
        <v>255128132</v>
      </c>
      <c r="G664">
        <f t="shared" si="63"/>
        <v>255</v>
      </c>
      <c r="H664">
        <f t="shared" si="64"/>
        <v>128</v>
      </c>
      <c r="I664">
        <f t="shared" si="65"/>
        <v>132</v>
      </c>
      <c r="J664" s="416" t="str" cm="1">
        <f t="array" ref="J664">myRGB(G664,H664,I664)</f>
        <v/>
      </c>
    </row>
    <row r="665" spans="1:10" ht="17" x14ac:dyDescent="0.25">
      <c r="A665" s="1" t="s">
        <v>667</v>
      </c>
      <c r="B665" s="1" t="s">
        <v>3319</v>
      </c>
      <c r="C665" s="1" t="s">
        <v>1994</v>
      </c>
      <c r="D665" t="str">
        <f t="shared" si="60"/>
        <v>FE8083</v>
      </c>
      <c r="E665" t="str">
        <f t="shared" si="61"/>
        <v>254-128-131</v>
      </c>
      <c r="F665" t="str">
        <f t="shared" si="62"/>
        <v>254128131</v>
      </c>
      <c r="G665">
        <f t="shared" si="63"/>
        <v>254</v>
      </c>
      <c r="H665">
        <f t="shared" si="64"/>
        <v>128</v>
      </c>
      <c r="I665">
        <f t="shared" si="65"/>
        <v>131</v>
      </c>
      <c r="J665" s="586" t="str" cm="1">
        <f t="array" ref="J665">myRGB(G665,H665,I665)</f>
        <v/>
      </c>
    </row>
    <row r="666" spans="1:10" ht="17" x14ac:dyDescent="0.25">
      <c r="A666" s="1" t="s">
        <v>668</v>
      </c>
      <c r="B666" s="1" t="s">
        <v>3320</v>
      </c>
      <c r="C666" s="1" t="s">
        <v>1995</v>
      </c>
      <c r="D666" t="str">
        <f t="shared" si="60"/>
        <v>FE7F84</v>
      </c>
      <c r="E666" t="str">
        <f t="shared" si="61"/>
        <v>254-127-132</v>
      </c>
      <c r="F666" t="str">
        <f t="shared" si="62"/>
        <v>254127132</v>
      </c>
      <c r="G666">
        <f t="shared" si="63"/>
        <v>254</v>
      </c>
      <c r="H666">
        <f t="shared" si="64"/>
        <v>127</v>
      </c>
      <c r="I666">
        <f t="shared" si="65"/>
        <v>132</v>
      </c>
      <c r="J666" s="564" t="str" cm="1">
        <f t="array" ref="J666">myRGB(G666,H666,I666)</f>
        <v/>
      </c>
    </row>
    <row r="667" spans="1:10" ht="17" x14ac:dyDescent="0.25">
      <c r="A667" s="1" t="s">
        <v>669</v>
      </c>
      <c r="B667" s="1" t="s">
        <v>3321</v>
      </c>
      <c r="C667" s="1" t="s">
        <v>1996</v>
      </c>
      <c r="D667" t="str">
        <f t="shared" si="60"/>
        <v>FD8082</v>
      </c>
      <c r="E667" t="str">
        <f t="shared" si="61"/>
        <v>253-128-130</v>
      </c>
      <c r="F667" t="str">
        <f t="shared" si="62"/>
        <v>253128130</v>
      </c>
      <c r="G667">
        <f t="shared" si="63"/>
        <v>253</v>
      </c>
      <c r="H667">
        <f t="shared" si="64"/>
        <v>128</v>
      </c>
      <c r="I667">
        <f t="shared" si="65"/>
        <v>130</v>
      </c>
      <c r="J667" s="642" t="str" cm="1">
        <f t="array" ref="J667">myRGB(G667,H667,I667)</f>
        <v/>
      </c>
    </row>
    <row r="668" spans="1:10" ht="17" x14ac:dyDescent="0.25">
      <c r="A668" s="1" t="s">
        <v>670</v>
      </c>
      <c r="B668" s="1" t="s">
        <v>3322</v>
      </c>
      <c r="C668" s="1" t="s">
        <v>1997</v>
      </c>
      <c r="D668" t="str">
        <f t="shared" si="60"/>
        <v>FE909C</v>
      </c>
      <c r="E668" t="str">
        <f t="shared" si="61"/>
        <v>254-144-156</v>
      </c>
      <c r="F668" t="str">
        <f t="shared" si="62"/>
        <v>254144156</v>
      </c>
      <c r="G668">
        <f t="shared" si="63"/>
        <v>254</v>
      </c>
      <c r="H668">
        <f t="shared" si="64"/>
        <v>144</v>
      </c>
      <c r="I668">
        <f t="shared" si="65"/>
        <v>156</v>
      </c>
      <c r="J668" s="524" t="str" cm="1">
        <f t="array" ref="J668">myRGB(G668,H668,I668)</f>
        <v/>
      </c>
    </row>
    <row r="669" spans="1:10" ht="17" x14ac:dyDescent="0.25">
      <c r="A669" s="1" t="s">
        <v>671</v>
      </c>
      <c r="B669" s="1" t="s">
        <v>3323</v>
      </c>
      <c r="C669" s="1" t="s">
        <v>1998</v>
      </c>
      <c r="D669" t="str">
        <f t="shared" si="60"/>
        <v>FE8F9F</v>
      </c>
      <c r="E669" t="str">
        <f t="shared" si="61"/>
        <v>254-143-159</v>
      </c>
      <c r="F669" t="str">
        <f t="shared" si="62"/>
        <v>254143159</v>
      </c>
      <c r="G669">
        <f t="shared" si="63"/>
        <v>254</v>
      </c>
      <c r="H669">
        <f t="shared" si="64"/>
        <v>143</v>
      </c>
      <c r="I669">
        <f t="shared" si="65"/>
        <v>159</v>
      </c>
      <c r="J669" s="565" t="str" cm="1">
        <f t="array" ref="J669">myRGB(G669,H669,I669)</f>
        <v/>
      </c>
    </row>
    <row r="670" spans="1:10" ht="17" x14ac:dyDescent="0.25">
      <c r="A670" s="1" t="s">
        <v>672</v>
      </c>
      <c r="B670" s="1" t="s">
        <v>3324</v>
      </c>
      <c r="C670" s="1" t="s">
        <v>1999</v>
      </c>
      <c r="D670" t="str">
        <f t="shared" si="60"/>
        <v>FE909D</v>
      </c>
      <c r="E670" t="str">
        <f t="shared" si="61"/>
        <v>254-144-157</v>
      </c>
      <c r="F670" t="str">
        <f t="shared" si="62"/>
        <v>254144157</v>
      </c>
      <c r="G670">
        <f t="shared" si="63"/>
        <v>254</v>
      </c>
      <c r="H670">
        <f t="shared" si="64"/>
        <v>144</v>
      </c>
      <c r="I670">
        <f t="shared" si="65"/>
        <v>157</v>
      </c>
      <c r="J670" s="423" t="str" cm="1">
        <f t="array" ref="J670">myRGB(G670,H670,I670)</f>
        <v/>
      </c>
    </row>
    <row r="671" spans="1:10" ht="17" x14ac:dyDescent="0.25">
      <c r="A671" s="1" t="s">
        <v>673</v>
      </c>
      <c r="B671" s="1" t="s">
        <v>3325</v>
      </c>
      <c r="C671" s="1" t="s">
        <v>2000</v>
      </c>
      <c r="D671" t="str">
        <f t="shared" si="60"/>
        <v>FF8E9C</v>
      </c>
      <c r="E671" t="str">
        <f t="shared" si="61"/>
        <v>255-142-156</v>
      </c>
      <c r="F671" t="str">
        <f t="shared" si="62"/>
        <v>255142156</v>
      </c>
      <c r="G671">
        <f t="shared" si="63"/>
        <v>255</v>
      </c>
      <c r="H671">
        <f t="shared" si="64"/>
        <v>142</v>
      </c>
      <c r="I671">
        <f t="shared" si="65"/>
        <v>156</v>
      </c>
      <c r="J671" s="590" t="str" cm="1">
        <f t="array" ref="J671">myRGB(G671,H671,I671)</f>
        <v/>
      </c>
    </row>
    <row r="672" spans="1:10" ht="17" x14ac:dyDescent="0.25">
      <c r="A672" s="1" t="s">
        <v>674</v>
      </c>
      <c r="B672" s="1" t="s">
        <v>3326</v>
      </c>
      <c r="C672" s="1" t="s">
        <v>2001</v>
      </c>
      <c r="D672" t="str">
        <f t="shared" si="60"/>
        <v>FF8D9D</v>
      </c>
      <c r="E672" t="str">
        <f t="shared" si="61"/>
        <v>255-141-157</v>
      </c>
      <c r="F672" t="str">
        <f t="shared" si="62"/>
        <v>255141157</v>
      </c>
      <c r="G672">
        <f t="shared" si="63"/>
        <v>255</v>
      </c>
      <c r="H672">
        <f t="shared" si="64"/>
        <v>141</v>
      </c>
      <c r="I672">
        <f t="shared" si="65"/>
        <v>157</v>
      </c>
      <c r="J672" s="523" t="str" cm="1">
        <f t="array" ref="J672">myRGB(G672,H672,I672)</f>
        <v/>
      </c>
    </row>
    <row r="673" spans="1:10" ht="17" x14ac:dyDescent="0.25">
      <c r="A673" s="1" t="s">
        <v>675</v>
      </c>
      <c r="B673" s="1" t="s">
        <v>3327</v>
      </c>
      <c r="C673" s="1" t="s">
        <v>2002</v>
      </c>
      <c r="D673" t="str">
        <f t="shared" si="60"/>
        <v>FF8E9D</v>
      </c>
      <c r="E673" t="str">
        <f t="shared" si="61"/>
        <v>255-142-157</v>
      </c>
      <c r="F673" t="str">
        <f t="shared" si="62"/>
        <v>255142157</v>
      </c>
      <c r="G673">
        <f t="shared" si="63"/>
        <v>255</v>
      </c>
      <c r="H673">
        <f t="shared" si="64"/>
        <v>142</v>
      </c>
      <c r="I673">
        <f t="shared" si="65"/>
        <v>157</v>
      </c>
      <c r="J673" s="792" t="str" cm="1">
        <f t="array" ref="J673">myRGB(G673,H673,I673)</f>
        <v/>
      </c>
    </row>
    <row r="674" spans="1:10" ht="17" x14ac:dyDescent="0.25">
      <c r="A674" s="1" t="s">
        <v>676</v>
      </c>
      <c r="B674" s="1" t="s">
        <v>3328</v>
      </c>
      <c r="C674" s="1" t="s">
        <v>2003</v>
      </c>
      <c r="D674" t="str">
        <f t="shared" si="60"/>
        <v>FD8F9C</v>
      </c>
      <c r="E674" t="str">
        <f t="shared" si="61"/>
        <v>253-143-156</v>
      </c>
      <c r="F674" t="str">
        <f t="shared" si="62"/>
        <v>253143156</v>
      </c>
      <c r="G674">
        <f t="shared" si="63"/>
        <v>253</v>
      </c>
      <c r="H674">
        <f t="shared" si="64"/>
        <v>143</v>
      </c>
      <c r="I674">
        <f t="shared" si="65"/>
        <v>156</v>
      </c>
      <c r="J674" s="755" t="str" cm="1">
        <f t="array" ref="J674">myRGB(G674,H674,I674)</f>
        <v/>
      </c>
    </row>
    <row r="675" spans="1:10" ht="17" x14ac:dyDescent="0.25">
      <c r="A675" s="1" t="s">
        <v>677</v>
      </c>
      <c r="B675" s="1" t="s">
        <v>3329</v>
      </c>
      <c r="C675" s="1" t="s">
        <v>2004</v>
      </c>
      <c r="D675" t="str">
        <f t="shared" si="60"/>
        <v>FD8D9E</v>
      </c>
      <c r="E675" t="str">
        <f t="shared" si="61"/>
        <v>253-141-158</v>
      </c>
      <c r="F675" t="str">
        <f t="shared" si="62"/>
        <v>253141158</v>
      </c>
      <c r="G675">
        <f t="shared" si="63"/>
        <v>253</v>
      </c>
      <c r="H675">
        <f t="shared" si="64"/>
        <v>141</v>
      </c>
      <c r="I675">
        <f t="shared" si="65"/>
        <v>158</v>
      </c>
      <c r="J675" s="1040" t="str" cm="1">
        <f t="array" ref="J675">myRGB(G675,H675,I675)</f>
        <v/>
      </c>
    </row>
    <row r="676" spans="1:10" ht="17" x14ac:dyDescent="0.25">
      <c r="A676" s="1" t="s">
        <v>678</v>
      </c>
      <c r="B676" s="1" t="s">
        <v>3330</v>
      </c>
      <c r="C676" s="1" t="s">
        <v>2005</v>
      </c>
      <c r="D676" t="str">
        <f t="shared" si="60"/>
        <v>FE8E9F</v>
      </c>
      <c r="E676" t="str">
        <f t="shared" si="61"/>
        <v>254-142-159</v>
      </c>
      <c r="F676" t="str">
        <f t="shared" si="62"/>
        <v>254142159</v>
      </c>
      <c r="G676">
        <f t="shared" si="63"/>
        <v>254</v>
      </c>
      <c r="H676">
        <f t="shared" si="64"/>
        <v>142</v>
      </c>
      <c r="I676">
        <f t="shared" si="65"/>
        <v>159</v>
      </c>
      <c r="J676" s="695" t="str" cm="1">
        <f t="array" ref="J676">myRGB(G676,H676,I676)</f>
        <v/>
      </c>
    </row>
    <row r="677" spans="1:10" ht="17" x14ac:dyDescent="0.25">
      <c r="A677" s="1" t="s">
        <v>679</v>
      </c>
      <c r="B677" s="1" t="s">
        <v>3331</v>
      </c>
      <c r="C677" s="1" t="s">
        <v>2006</v>
      </c>
      <c r="D677" t="str">
        <f t="shared" si="60"/>
        <v>FD909E</v>
      </c>
      <c r="E677" t="str">
        <f t="shared" si="61"/>
        <v>253-144-158</v>
      </c>
      <c r="F677" t="str">
        <f t="shared" si="62"/>
        <v>253144158</v>
      </c>
      <c r="G677">
        <f t="shared" si="63"/>
        <v>253</v>
      </c>
      <c r="H677">
        <f t="shared" si="64"/>
        <v>144</v>
      </c>
      <c r="I677">
        <f t="shared" si="65"/>
        <v>158</v>
      </c>
      <c r="J677" s="838" t="str" cm="1">
        <f t="array" ref="J677">myRGB(G677,H677,I677)</f>
        <v/>
      </c>
    </row>
    <row r="678" spans="1:10" ht="17" x14ac:dyDescent="0.25">
      <c r="A678" s="1" t="s">
        <v>680</v>
      </c>
      <c r="B678" s="1" t="s">
        <v>3332</v>
      </c>
      <c r="C678" s="1" t="s">
        <v>2007</v>
      </c>
      <c r="D678" t="str">
        <f t="shared" si="60"/>
        <v>FE909E</v>
      </c>
      <c r="E678" t="str">
        <f t="shared" si="61"/>
        <v>254-144-158</v>
      </c>
      <c r="F678" t="str">
        <f t="shared" si="62"/>
        <v>254144158</v>
      </c>
      <c r="G678">
        <f t="shared" si="63"/>
        <v>254</v>
      </c>
      <c r="H678">
        <f t="shared" si="64"/>
        <v>144</v>
      </c>
      <c r="I678">
        <f t="shared" si="65"/>
        <v>158</v>
      </c>
      <c r="J678" s="589" t="str" cm="1">
        <f t="array" ref="J678">myRGB(G678,H678,I678)</f>
        <v/>
      </c>
    </row>
    <row r="679" spans="1:10" ht="17" x14ac:dyDescent="0.25">
      <c r="A679" s="1" t="s">
        <v>681</v>
      </c>
      <c r="B679" s="1" t="s">
        <v>3333</v>
      </c>
      <c r="C679" s="1" t="s">
        <v>2008</v>
      </c>
      <c r="D679" t="str">
        <f t="shared" si="60"/>
        <v>FD8D9F</v>
      </c>
      <c r="E679" t="str">
        <f t="shared" si="61"/>
        <v>253-141-159</v>
      </c>
      <c r="F679" t="str">
        <f t="shared" si="62"/>
        <v>253141159</v>
      </c>
      <c r="G679">
        <f t="shared" si="63"/>
        <v>253</v>
      </c>
      <c r="H679">
        <f t="shared" si="64"/>
        <v>141</v>
      </c>
      <c r="I679">
        <f t="shared" si="65"/>
        <v>159</v>
      </c>
      <c r="J679" s="522" t="str" cm="1">
        <f t="array" ref="J679">myRGB(G679,H679,I679)</f>
        <v/>
      </c>
    </row>
    <row r="680" spans="1:10" ht="17" x14ac:dyDescent="0.25">
      <c r="A680" s="1" t="s">
        <v>682</v>
      </c>
      <c r="B680" s="1" t="s">
        <v>3334</v>
      </c>
      <c r="C680" s="1" t="s">
        <v>2009</v>
      </c>
      <c r="D680" t="str">
        <f t="shared" si="60"/>
        <v>FC909D</v>
      </c>
      <c r="E680" t="str">
        <f t="shared" si="61"/>
        <v>252-144-157</v>
      </c>
      <c r="F680" t="str">
        <f t="shared" si="62"/>
        <v>252144157</v>
      </c>
      <c r="G680">
        <f t="shared" si="63"/>
        <v>252</v>
      </c>
      <c r="H680">
        <f t="shared" si="64"/>
        <v>144</v>
      </c>
      <c r="I680">
        <f t="shared" si="65"/>
        <v>157</v>
      </c>
      <c r="J680" s="421" t="str" cm="1">
        <f t="array" ref="J680">myRGB(G680,H680,I680)</f>
        <v/>
      </c>
    </row>
    <row r="681" spans="1:10" ht="17" x14ac:dyDescent="0.25">
      <c r="A681" s="1" t="s">
        <v>683</v>
      </c>
      <c r="B681" s="1" t="s">
        <v>3335</v>
      </c>
      <c r="C681" s="1" t="s">
        <v>2010</v>
      </c>
      <c r="D681" t="str">
        <f t="shared" si="60"/>
        <v>FF8F9E</v>
      </c>
      <c r="E681" t="str">
        <f t="shared" si="61"/>
        <v>255-143-158</v>
      </c>
      <c r="F681" t="str">
        <f t="shared" si="62"/>
        <v>255143158</v>
      </c>
      <c r="G681">
        <f t="shared" si="63"/>
        <v>255</v>
      </c>
      <c r="H681">
        <f t="shared" si="64"/>
        <v>143</v>
      </c>
      <c r="I681">
        <f t="shared" si="65"/>
        <v>158</v>
      </c>
      <c r="J681" s="754" t="str" cm="1">
        <f t="array" ref="J681">myRGB(G681,H681,I681)</f>
        <v/>
      </c>
    </row>
    <row r="682" spans="1:10" ht="17" x14ac:dyDescent="0.25">
      <c r="A682" s="1" t="s">
        <v>684</v>
      </c>
      <c r="B682" s="1" t="s">
        <v>3336</v>
      </c>
      <c r="C682" s="1" t="s">
        <v>2011</v>
      </c>
      <c r="D682" t="str">
        <f t="shared" si="60"/>
        <v>FE8E9C</v>
      </c>
      <c r="E682" t="str">
        <f t="shared" si="61"/>
        <v>254-142-156</v>
      </c>
      <c r="F682" t="str">
        <f t="shared" si="62"/>
        <v>254142156</v>
      </c>
      <c r="G682">
        <f t="shared" si="63"/>
        <v>254</v>
      </c>
      <c r="H682">
        <f t="shared" si="64"/>
        <v>142</v>
      </c>
      <c r="I682">
        <f t="shared" si="65"/>
        <v>156</v>
      </c>
      <c r="J682" s="675" t="str" cm="1">
        <f t="array" ref="J682">myRGB(G682,H682,I682)</f>
        <v/>
      </c>
    </row>
    <row r="683" spans="1:10" ht="17" x14ac:dyDescent="0.25">
      <c r="A683" s="1" t="s">
        <v>685</v>
      </c>
      <c r="B683" s="1" t="s">
        <v>3337</v>
      </c>
      <c r="C683" s="1" t="s">
        <v>2012</v>
      </c>
      <c r="D683" t="str">
        <f t="shared" si="60"/>
        <v>FC8E9F</v>
      </c>
      <c r="E683" t="str">
        <f t="shared" si="61"/>
        <v>252-142-159</v>
      </c>
      <c r="F683" t="str">
        <f t="shared" si="62"/>
        <v>252142159</v>
      </c>
      <c r="G683">
        <f t="shared" si="63"/>
        <v>252</v>
      </c>
      <c r="H683">
        <f t="shared" si="64"/>
        <v>142</v>
      </c>
      <c r="I683">
        <f t="shared" si="65"/>
        <v>159</v>
      </c>
      <c r="J683" s="422" t="str" cm="1">
        <f t="array" ref="J683">myRGB(G683,H683,I683)</f>
        <v/>
      </c>
    </row>
    <row r="684" spans="1:10" ht="17" x14ac:dyDescent="0.25">
      <c r="A684" s="1" t="s">
        <v>686</v>
      </c>
      <c r="B684" s="1" t="s">
        <v>3338</v>
      </c>
      <c r="C684" s="1" t="s">
        <v>2013</v>
      </c>
      <c r="D684" t="str">
        <f t="shared" si="60"/>
        <v>FF909D</v>
      </c>
      <c r="E684" t="str">
        <f t="shared" si="61"/>
        <v>255-144-157</v>
      </c>
      <c r="F684" t="str">
        <f t="shared" si="62"/>
        <v>255144157</v>
      </c>
      <c r="G684">
        <f t="shared" si="63"/>
        <v>255</v>
      </c>
      <c r="H684">
        <f t="shared" si="64"/>
        <v>144</v>
      </c>
      <c r="I684">
        <f t="shared" si="65"/>
        <v>157</v>
      </c>
      <c r="J684" s="388" t="str" cm="1">
        <f t="array" ref="J684">myRGB(G684,H684,I684)</f>
        <v/>
      </c>
    </row>
    <row r="685" spans="1:10" ht="17" x14ac:dyDescent="0.25">
      <c r="A685" s="1" t="s">
        <v>687</v>
      </c>
      <c r="B685" s="1" t="s">
        <v>3339</v>
      </c>
      <c r="C685" s="1" t="s">
        <v>2014</v>
      </c>
      <c r="D685" t="str">
        <f t="shared" si="60"/>
        <v>FF909C</v>
      </c>
      <c r="E685" t="str">
        <f t="shared" si="61"/>
        <v>255-144-156</v>
      </c>
      <c r="F685" t="str">
        <f t="shared" si="62"/>
        <v>255144156</v>
      </c>
      <c r="G685">
        <f t="shared" si="63"/>
        <v>255</v>
      </c>
      <c r="H685">
        <f t="shared" si="64"/>
        <v>144</v>
      </c>
      <c r="I685">
        <f t="shared" si="65"/>
        <v>156</v>
      </c>
      <c r="J685" s="451" t="str" cm="1">
        <f t="array" ref="J685">myRGB(G685,H685,I685)</f>
        <v/>
      </c>
    </row>
    <row r="686" spans="1:10" ht="17" x14ac:dyDescent="0.25">
      <c r="A686" s="1" t="s">
        <v>688</v>
      </c>
      <c r="B686" s="1" t="s">
        <v>3340</v>
      </c>
      <c r="C686" s="1" t="s">
        <v>2015</v>
      </c>
      <c r="D686" t="str">
        <f t="shared" si="60"/>
        <v>FE909F</v>
      </c>
      <c r="E686" t="str">
        <f t="shared" si="61"/>
        <v>254-144-159</v>
      </c>
      <c r="F686" t="str">
        <f t="shared" si="62"/>
        <v>254144159</v>
      </c>
      <c r="G686">
        <f t="shared" si="63"/>
        <v>254</v>
      </c>
      <c r="H686">
        <f t="shared" si="64"/>
        <v>144</v>
      </c>
      <c r="I686">
        <f t="shared" si="65"/>
        <v>159</v>
      </c>
      <c r="J686" s="489" t="str" cm="1">
        <f t="array" ref="J686">myRGB(G686,H686,I686)</f>
        <v/>
      </c>
    </row>
    <row r="687" spans="1:10" ht="17" x14ac:dyDescent="0.25">
      <c r="A687" s="1" t="s">
        <v>689</v>
      </c>
      <c r="B687" s="1" t="s">
        <v>3341</v>
      </c>
      <c r="C687" s="1" t="s">
        <v>2016</v>
      </c>
      <c r="D687" t="str">
        <f t="shared" si="60"/>
        <v>FD909D</v>
      </c>
      <c r="E687" t="str">
        <f t="shared" si="61"/>
        <v>253-144-157</v>
      </c>
      <c r="F687" t="str">
        <f t="shared" si="62"/>
        <v>253144157</v>
      </c>
      <c r="G687">
        <f t="shared" si="63"/>
        <v>253</v>
      </c>
      <c r="H687">
        <f t="shared" si="64"/>
        <v>144</v>
      </c>
      <c r="I687">
        <f t="shared" si="65"/>
        <v>157</v>
      </c>
      <c r="J687" s="624" t="str" cm="1">
        <f t="array" ref="J687">myRGB(G687,H687,I687)</f>
        <v/>
      </c>
    </row>
    <row r="688" spans="1:10" ht="17" x14ac:dyDescent="0.25">
      <c r="A688" s="1" t="s">
        <v>690</v>
      </c>
      <c r="B688" s="1" t="s">
        <v>3342</v>
      </c>
      <c r="C688" s="1" t="s">
        <v>2017</v>
      </c>
      <c r="D688" t="str">
        <f t="shared" si="60"/>
        <v>FC909F</v>
      </c>
      <c r="E688" t="str">
        <f t="shared" si="61"/>
        <v>252-144-159</v>
      </c>
      <c r="F688" t="str">
        <f t="shared" si="62"/>
        <v>252144159</v>
      </c>
      <c r="G688">
        <f t="shared" si="63"/>
        <v>252</v>
      </c>
      <c r="H688">
        <f t="shared" si="64"/>
        <v>144</v>
      </c>
      <c r="I688">
        <f t="shared" si="65"/>
        <v>159</v>
      </c>
      <c r="J688" s="1005" t="str" cm="1">
        <f t="array" ref="J688">myRGB(G688,H688,I688)</f>
        <v/>
      </c>
    </row>
    <row r="689" spans="1:10" ht="17" x14ac:dyDescent="0.25">
      <c r="A689" s="1" t="s">
        <v>691</v>
      </c>
      <c r="B689" s="1" t="s">
        <v>3343</v>
      </c>
      <c r="C689" s="1" t="s">
        <v>2018</v>
      </c>
      <c r="D689" t="str">
        <f t="shared" si="60"/>
        <v>FF8F9C</v>
      </c>
      <c r="E689" t="str">
        <f t="shared" si="61"/>
        <v>255-143-156</v>
      </c>
      <c r="F689" t="str">
        <f t="shared" si="62"/>
        <v>255143156</v>
      </c>
      <c r="G689">
        <f t="shared" si="63"/>
        <v>255</v>
      </c>
      <c r="H689">
        <f t="shared" si="64"/>
        <v>143</v>
      </c>
      <c r="I689">
        <f t="shared" si="65"/>
        <v>156</v>
      </c>
      <c r="J689" s="1041" t="str" cm="1">
        <f t="array" ref="J689">myRGB(G689,H689,I689)</f>
        <v/>
      </c>
    </row>
    <row r="690" spans="1:10" ht="17" x14ac:dyDescent="0.25">
      <c r="A690" s="1" t="s">
        <v>692</v>
      </c>
      <c r="B690" s="1" t="s">
        <v>3344</v>
      </c>
      <c r="C690" s="1" t="s">
        <v>2019</v>
      </c>
      <c r="D690" t="str">
        <f t="shared" si="60"/>
        <v>FF8D9E</v>
      </c>
      <c r="E690" t="str">
        <f t="shared" si="61"/>
        <v>255-141-158</v>
      </c>
      <c r="F690" t="str">
        <f t="shared" si="62"/>
        <v>255141158</v>
      </c>
      <c r="G690">
        <f t="shared" si="63"/>
        <v>255</v>
      </c>
      <c r="H690">
        <f t="shared" si="64"/>
        <v>141</v>
      </c>
      <c r="I690">
        <f t="shared" si="65"/>
        <v>158</v>
      </c>
      <c r="J690" s="1051" t="str" cm="1">
        <f t="array" ref="J690">myRGB(G690,H690,I690)</f>
        <v/>
      </c>
    </row>
    <row r="691" spans="1:10" ht="17" x14ac:dyDescent="0.25">
      <c r="A691" s="1" t="s">
        <v>693</v>
      </c>
      <c r="B691" s="1" t="s">
        <v>3345</v>
      </c>
      <c r="C691" s="1" t="s">
        <v>2020</v>
      </c>
      <c r="D691" t="str">
        <f t="shared" si="60"/>
        <v>FD8E9F</v>
      </c>
      <c r="E691" t="str">
        <f t="shared" si="61"/>
        <v>253-142-159</v>
      </c>
      <c r="F691" t="str">
        <f t="shared" si="62"/>
        <v>253142159</v>
      </c>
      <c r="G691">
        <f t="shared" si="63"/>
        <v>253</v>
      </c>
      <c r="H691">
        <f t="shared" si="64"/>
        <v>142</v>
      </c>
      <c r="I691">
        <f t="shared" si="65"/>
        <v>159</v>
      </c>
      <c r="J691" s="588" t="str" cm="1">
        <f t="array" ref="J691">myRGB(G691,H691,I691)</f>
        <v/>
      </c>
    </row>
    <row r="692" spans="1:10" ht="17" x14ac:dyDescent="0.25">
      <c r="A692" s="1" t="s">
        <v>694</v>
      </c>
      <c r="B692" s="1" t="s">
        <v>3346</v>
      </c>
      <c r="C692" s="1" t="s">
        <v>2021</v>
      </c>
      <c r="D692" t="str">
        <f t="shared" si="60"/>
        <v>FD909C</v>
      </c>
      <c r="E692" t="str">
        <f t="shared" si="61"/>
        <v>253-144-156</v>
      </c>
      <c r="F692" t="str">
        <f t="shared" si="62"/>
        <v>253144156</v>
      </c>
      <c r="G692">
        <f t="shared" si="63"/>
        <v>253</v>
      </c>
      <c r="H692">
        <f t="shared" si="64"/>
        <v>144</v>
      </c>
      <c r="I692">
        <f t="shared" si="65"/>
        <v>156</v>
      </c>
      <c r="J692" s="420" t="str" cm="1">
        <f t="array" ref="J692">myRGB(G692,H692,I692)</f>
        <v/>
      </c>
    </row>
    <row r="693" spans="1:10" ht="17" x14ac:dyDescent="0.25">
      <c r="A693" s="1" t="s">
        <v>695</v>
      </c>
      <c r="B693" s="1" t="s">
        <v>3347</v>
      </c>
      <c r="C693" s="1" t="s">
        <v>2022</v>
      </c>
      <c r="D693" t="str">
        <f t="shared" si="60"/>
        <v>FE8E9D</v>
      </c>
      <c r="E693" t="str">
        <f t="shared" si="61"/>
        <v>254-142-157</v>
      </c>
      <c r="F693" t="str">
        <f t="shared" si="62"/>
        <v>254142157</v>
      </c>
      <c r="G693">
        <f t="shared" si="63"/>
        <v>254</v>
      </c>
      <c r="H693">
        <f t="shared" si="64"/>
        <v>142</v>
      </c>
      <c r="I693">
        <f t="shared" si="65"/>
        <v>157</v>
      </c>
      <c r="J693" s="387" t="str" cm="1">
        <f t="array" ref="J693">myRGB(G693,H693,I693)</f>
        <v/>
      </c>
    </row>
    <row r="694" spans="1:10" ht="17" x14ac:dyDescent="0.25">
      <c r="A694" s="1" t="s">
        <v>696</v>
      </c>
      <c r="B694" s="1" t="s">
        <v>3348</v>
      </c>
      <c r="C694" s="1" t="s">
        <v>2023</v>
      </c>
      <c r="D694" t="str">
        <f t="shared" si="60"/>
        <v>FE8F9E</v>
      </c>
      <c r="E694" t="str">
        <f t="shared" si="61"/>
        <v>254-143-158</v>
      </c>
      <c r="F694" t="str">
        <f t="shared" si="62"/>
        <v>254143158</v>
      </c>
      <c r="G694">
        <f t="shared" si="63"/>
        <v>254</v>
      </c>
      <c r="H694">
        <f t="shared" si="64"/>
        <v>143</v>
      </c>
      <c r="I694">
        <f t="shared" si="65"/>
        <v>158</v>
      </c>
      <c r="J694" s="674" t="str" cm="1">
        <f t="array" ref="J694">myRGB(G694,H694,I694)</f>
        <v/>
      </c>
    </row>
    <row r="695" spans="1:10" ht="17" x14ac:dyDescent="0.25">
      <c r="A695" s="1" t="s">
        <v>697</v>
      </c>
      <c r="B695" s="1" t="s">
        <v>3349</v>
      </c>
      <c r="C695" s="1" t="s">
        <v>2024</v>
      </c>
      <c r="D695" t="str">
        <f t="shared" si="60"/>
        <v>FF909F</v>
      </c>
      <c r="E695" t="str">
        <f t="shared" si="61"/>
        <v>255-144-159</v>
      </c>
      <c r="F695" t="str">
        <f t="shared" si="62"/>
        <v>255144159</v>
      </c>
      <c r="G695">
        <f t="shared" si="63"/>
        <v>255</v>
      </c>
      <c r="H695">
        <f t="shared" si="64"/>
        <v>144</v>
      </c>
      <c r="I695">
        <f t="shared" si="65"/>
        <v>159</v>
      </c>
      <c r="J695" s="587" t="str" cm="1">
        <f t="array" ref="J695">myRGB(G695,H695,I695)</f>
        <v/>
      </c>
    </row>
    <row r="696" spans="1:10" ht="17" x14ac:dyDescent="0.25">
      <c r="A696" s="1" t="s">
        <v>698</v>
      </c>
      <c r="B696" s="1" t="s">
        <v>3350</v>
      </c>
      <c r="C696" s="1" t="s">
        <v>2025</v>
      </c>
      <c r="D696" t="str">
        <f t="shared" si="60"/>
        <v>FD909F</v>
      </c>
      <c r="E696" t="str">
        <f t="shared" si="61"/>
        <v>253-144-159</v>
      </c>
      <c r="F696" t="str">
        <f t="shared" si="62"/>
        <v>253144159</v>
      </c>
      <c r="G696">
        <f t="shared" si="63"/>
        <v>253</v>
      </c>
      <c r="H696">
        <f t="shared" si="64"/>
        <v>144</v>
      </c>
      <c r="I696">
        <f t="shared" si="65"/>
        <v>159</v>
      </c>
      <c r="J696" s="520" t="str" cm="1">
        <f t="array" ref="J696">myRGB(G696,H696,I696)</f>
        <v/>
      </c>
    </row>
    <row r="697" spans="1:10" ht="17" x14ac:dyDescent="0.25">
      <c r="A697" s="1" t="s">
        <v>699</v>
      </c>
      <c r="B697" s="1" t="s">
        <v>3351</v>
      </c>
      <c r="C697" s="1" t="s">
        <v>2026</v>
      </c>
      <c r="D697" t="str">
        <f t="shared" si="60"/>
        <v>FC8F9F</v>
      </c>
      <c r="E697" t="str">
        <f t="shared" si="61"/>
        <v>252-143-159</v>
      </c>
      <c r="F697" t="str">
        <f t="shared" si="62"/>
        <v>252143159</v>
      </c>
      <c r="G697">
        <f t="shared" si="63"/>
        <v>252</v>
      </c>
      <c r="H697">
        <f t="shared" si="64"/>
        <v>143</v>
      </c>
      <c r="I697">
        <f t="shared" si="65"/>
        <v>159</v>
      </c>
      <c r="J697" s="450" t="str" cm="1">
        <f t="array" ref="J697">myRGB(G697,H697,I697)</f>
        <v/>
      </c>
    </row>
    <row r="698" spans="1:10" ht="17" x14ac:dyDescent="0.25">
      <c r="A698" s="1" t="s">
        <v>700</v>
      </c>
      <c r="B698" s="1" t="s">
        <v>3352</v>
      </c>
      <c r="C698" s="1" t="s">
        <v>2027</v>
      </c>
      <c r="D698" t="str">
        <f t="shared" si="60"/>
        <v>FF8F9F</v>
      </c>
      <c r="E698" t="str">
        <f t="shared" si="61"/>
        <v>255-143-159</v>
      </c>
      <c r="F698" t="str">
        <f t="shared" si="62"/>
        <v>255143159</v>
      </c>
      <c r="G698">
        <f t="shared" si="63"/>
        <v>255</v>
      </c>
      <c r="H698">
        <f t="shared" si="64"/>
        <v>143</v>
      </c>
      <c r="I698">
        <f t="shared" si="65"/>
        <v>159</v>
      </c>
      <c r="J698" s="521" t="str" cm="1">
        <f t="array" ref="J698">myRGB(G698,H698,I698)</f>
        <v/>
      </c>
    </row>
    <row r="699" spans="1:10" ht="17" x14ac:dyDescent="0.25">
      <c r="A699" s="1" t="s">
        <v>701</v>
      </c>
      <c r="B699" s="1" t="s">
        <v>3353</v>
      </c>
      <c r="C699" s="1" t="s">
        <v>2028</v>
      </c>
      <c r="D699" t="str">
        <f t="shared" si="60"/>
        <v>FF8E9E</v>
      </c>
      <c r="E699" t="str">
        <f t="shared" si="61"/>
        <v>255-142-158</v>
      </c>
      <c r="F699" t="str">
        <f t="shared" si="62"/>
        <v>255142158</v>
      </c>
      <c r="G699">
        <f t="shared" si="63"/>
        <v>255</v>
      </c>
      <c r="H699">
        <f t="shared" si="64"/>
        <v>142</v>
      </c>
      <c r="I699">
        <f t="shared" si="65"/>
        <v>158</v>
      </c>
      <c r="J699" s="419" t="str" cm="1">
        <f t="array" ref="J699">myRGB(G699,H699,I699)</f>
        <v/>
      </c>
    </row>
    <row r="700" spans="1:10" ht="17" x14ac:dyDescent="0.25">
      <c r="A700" s="1" t="s">
        <v>702</v>
      </c>
      <c r="B700" s="1" t="s">
        <v>3354</v>
      </c>
      <c r="C700" s="1" t="s">
        <v>2029</v>
      </c>
      <c r="D700" t="str">
        <f t="shared" si="60"/>
        <v>FD8E9E</v>
      </c>
      <c r="E700" t="str">
        <f t="shared" si="61"/>
        <v>253-142-158</v>
      </c>
      <c r="F700" t="str">
        <f t="shared" si="62"/>
        <v>253142158</v>
      </c>
      <c r="G700">
        <f t="shared" si="63"/>
        <v>253</v>
      </c>
      <c r="H700">
        <f t="shared" si="64"/>
        <v>142</v>
      </c>
      <c r="I700">
        <f t="shared" si="65"/>
        <v>158</v>
      </c>
      <c r="J700" s="753" t="str" cm="1">
        <f t="array" ref="J700">myRGB(G700,H700,I700)</f>
        <v/>
      </c>
    </row>
    <row r="701" spans="1:10" ht="17" x14ac:dyDescent="0.25">
      <c r="A701" s="1" t="s">
        <v>703</v>
      </c>
      <c r="B701" s="1" t="s">
        <v>3355</v>
      </c>
      <c r="C701" s="1" t="s">
        <v>2030</v>
      </c>
      <c r="D701" t="str">
        <f t="shared" si="60"/>
        <v>FE8D9F</v>
      </c>
      <c r="E701" t="str">
        <f t="shared" si="61"/>
        <v>254-141-159</v>
      </c>
      <c r="F701" t="str">
        <f t="shared" si="62"/>
        <v>254141159</v>
      </c>
      <c r="G701">
        <f t="shared" si="63"/>
        <v>254</v>
      </c>
      <c r="H701">
        <f t="shared" si="64"/>
        <v>141</v>
      </c>
      <c r="I701">
        <f t="shared" si="65"/>
        <v>159</v>
      </c>
      <c r="J701" s="693" t="str" cm="1">
        <f t="array" ref="J701">myRGB(G701,H701,I701)</f>
        <v/>
      </c>
    </row>
    <row r="702" spans="1:10" ht="17" x14ac:dyDescent="0.25">
      <c r="A702" s="1" t="s">
        <v>704</v>
      </c>
      <c r="B702" s="1" t="s">
        <v>3356</v>
      </c>
      <c r="C702" s="1" t="s">
        <v>2031</v>
      </c>
      <c r="D702" t="str">
        <f t="shared" si="60"/>
        <v>FD8F9D</v>
      </c>
      <c r="E702" t="str">
        <f t="shared" si="61"/>
        <v>253-143-157</v>
      </c>
      <c r="F702" t="str">
        <f t="shared" si="62"/>
        <v>253143157</v>
      </c>
      <c r="G702">
        <f t="shared" si="63"/>
        <v>253</v>
      </c>
      <c r="H702">
        <f t="shared" si="64"/>
        <v>143</v>
      </c>
      <c r="I702">
        <f t="shared" si="65"/>
        <v>157</v>
      </c>
      <c r="J702" s="806" t="str" cm="1">
        <f t="array" ref="J702">myRGB(G702,H702,I702)</f>
        <v/>
      </c>
    </row>
    <row r="703" spans="1:10" ht="17" x14ac:dyDescent="0.25">
      <c r="A703" s="1" t="s">
        <v>705</v>
      </c>
      <c r="B703" s="1" t="s">
        <v>3357</v>
      </c>
      <c r="C703" s="1" t="s">
        <v>2032</v>
      </c>
      <c r="D703" t="str">
        <f t="shared" si="60"/>
        <v>FC909E</v>
      </c>
      <c r="E703" t="str">
        <f t="shared" si="61"/>
        <v>252-144-158</v>
      </c>
      <c r="F703" t="str">
        <f t="shared" si="62"/>
        <v>252144158</v>
      </c>
      <c r="G703">
        <f t="shared" si="63"/>
        <v>252</v>
      </c>
      <c r="H703">
        <f t="shared" si="64"/>
        <v>144</v>
      </c>
      <c r="I703">
        <f t="shared" si="65"/>
        <v>158</v>
      </c>
      <c r="J703" s="418" t="str" cm="1">
        <f t="array" ref="J703">myRGB(G703,H703,I703)</f>
        <v/>
      </c>
    </row>
    <row r="704" spans="1:10" ht="17" x14ac:dyDescent="0.25">
      <c r="A704" s="1" t="s">
        <v>706</v>
      </c>
      <c r="B704" s="1" t="s">
        <v>3358</v>
      </c>
      <c r="C704" s="1" t="s">
        <v>2033</v>
      </c>
      <c r="D704" t="str">
        <f t="shared" si="60"/>
        <v>FE8D9E</v>
      </c>
      <c r="E704" t="str">
        <f t="shared" si="61"/>
        <v>254-141-158</v>
      </c>
      <c r="F704" t="str">
        <f t="shared" si="62"/>
        <v>254141158</v>
      </c>
      <c r="G704">
        <f t="shared" si="63"/>
        <v>254</v>
      </c>
      <c r="H704">
        <f t="shared" si="64"/>
        <v>141</v>
      </c>
      <c r="I704">
        <f t="shared" si="65"/>
        <v>158</v>
      </c>
      <c r="J704" s="732" t="str" cm="1">
        <f t="array" ref="J704">myRGB(G704,H704,I704)</f>
        <v/>
      </c>
    </row>
    <row r="705" spans="1:10" ht="17" x14ac:dyDescent="0.25">
      <c r="A705" s="1" t="s">
        <v>707</v>
      </c>
      <c r="B705" s="1" t="s">
        <v>3359</v>
      </c>
      <c r="C705" s="1" t="s">
        <v>2034</v>
      </c>
      <c r="D705" t="str">
        <f t="shared" si="60"/>
        <v>FD8F9F</v>
      </c>
      <c r="E705" t="str">
        <f t="shared" si="61"/>
        <v>253-143-159</v>
      </c>
      <c r="F705" t="str">
        <f t="shared" si="62"/>
        <v>253143159</v>
      </c>
      <c r="G705">
        <f t="shared" si="63"/>
        <v>253</v>
      </c>
      <c r="H705">
        <f t="shared" si="64"/>
        <v>143</v>
      </c>
      <c r="I705">
        <f t="shared" si="65"/>
        <v>159</v>
      </c>
      <c r="J705" s="694" t="str" cm="1">
        <f t="array" ref="J705">myRGB(G705,H705,I705)</f>
        <v/>
      </c>
    </row>
    <row r="706" spans="1:10" ht="17" x14ac:dyDescent="0.25">
      <c r="A706" s="1" t="s">
        <v>708</v>
      </c>
      <c r="B706" s="1" t="s">
        <v>3360</v>
      </c>
      <c r="C706" s="1" t="s">
        <v>2035</v>
      </c>
      <c r="D706" t="str">
        <f t="shared" si="60"/>
        <v>FD8E9D</v>
      </c>
      <c r="E706" t="str">
        <f t="shared" si="61"/>
        <v>253-142-157</v>
      </c>
      <c r="F706" t="str">
        <f t="shared" si="62"/>
        <v>253142157</v>
      </c>
      <c r="G706">
        <f t="shared" si="63"/>
        <v>253</v>
      </c>
      <c r="H706">
        <f t="shared" si="64"/>
        <v>142</v>
      </c>
      <c r="I706">
        <f t="shared" si="65"/>
        <v>157</v>
      </c>
      <c r="J706" s="425" t="str" cm="1">
        <f t="array" ref="J706">myRGB(G706,H706,I706)</f>
        <v/>
      </c>
    </row>
    <row r="707" spans="1:10" ht="17" x14ac:dyDescent="0.25">
      <c r="A707" s="1" t="s">
        <v>709</v>
      </c>
      <c r="B707" s="1" t="s">
        <v>3361</v>
      </c>
      <c r="C707" s="1" t="s">
        <v>2036</v>
      </c>
      <c r="D707" t="str">
        <f t="shared" si="60"/>
        <v>FF909E</v>
      </c>
      <c r="E707" t="str">
        <f t="shared" si="61"/>
        <v>255-144-158</v>
      </c>
      <c r="F707" t="str">
        <f t="shared" si="62"/>
        <v>255144158</v>
      </c>
      <c r="G707">
        <f t="shared" si="63"/>
        <v>255</v>
      </c>
      <c r="H707">
        <f t="shared" si="64"/>
        <v>144</v>
      </c>
      <c r="I707">
        <f t="shared" si="65"/>
        <v>158</v>
      </c>
      <c r="J707" s="756" t="str" cm="1">
        <f t="array" ref="J707">myRGB(G707,H707,I707)</f>
        <v/>
      </c>
    </row>
    <row r="708" spans="1:10" ht="17" x14ac:dyDescent="0.25">
      <c r="A708" s="1" t="s">
        <v>710</v>
      </c>
      <c r="B708" s="1" t="s">
        <v>3362</v>
      </c>
      <c r="C708" s="1" t="s">
        <v>2037</v>
      </c>
      <c r="D708" t="str">
        <f t="shared" ref="D708:D771" si="66">RIGHT(LEFT(C708,9),6)</f>
        <v>FE8D9D</v>
      </c>
      <c r="E708" t="str">
        <f t="shared" ref="E708:E771" si="67">HEX2DEC(LEFT(D708,2))&amp;"-"&amp;HEX2DEC(MID(D708,3,2))&amp;"-"&amp;HEX2DEC(RIGHT(D708,2))</f>
        <v>254-141-157</v>
      </c>
      <c r="F708" t="str">
        <f t="shared" ref="F708:F771" si="68">HEX2DEC(LEFT(D708,2))&amp;HEX2DEC(MID(D708,3,2))&amp;HEX2DEC(RIGHT(D708,2))</f>
        <v>254141157</v>
      </c>
      <c r="G708">
        <f t="shared" ref="G708:G771" si="69">HEX2DEC(LEFT(D708,2))</f>
        <v>254</v>
      </c>
      <c r="H708">
        <f t="shared" ref="H708:H771" si="70">HEX2DEC(MID(D708,3,2))</f>
        <v>141</v>
      </c>
      <c r="I708">
        <f t="shared" ref="I708:I771" si="71">HEX2DEC(RIGHT(D708,2))</f>
        <v>157</v>
      </c>
      <c r="J708" s="424" t="str" cm="1">
        <f t="array" ref="J708">myRGB(G708,H708,I708)</f>
        <v/>
      </c>
    </row>
    <row r="709" spans="1:10" ht="17" x14ac:dyDescent="0.25">
      <c r="A709" s="1" t="s">
        <v>711</v>
      </c>
      <c r="B709" s="1" t="s">
        <v>3363</v>
      </c>
      <c r="C709" s="1" t="s">
        <v>2038</v>
      </c>
      <c r="D709" t="str">
        <f t="shared" si="66"/>
        <v>FF8E9F</v>
      </c>
      <c r="E709" t="str">
        <f t="shared" si="67"/>
        <v>255-142-159</v>
      </c>
      <c r="F709" t="str">
        <f t="shared" si="68"/>
        <v>255142159</v>
      </c>
      <c r="G709">
        <f t="shared" si="69"/>
        <v>255</v>
      </c>
      <c r="H709">
        <f t="shared" si="70"/>
        <v>142</v>
      </c>
      <c r="I709">
        <f t="shared" si="71"/>
        <v>159</v>
      </c>
      <c r="J709" s="733" t="str" cm="1">
        <f t="array" ref="J709">myRGB(G709,H709,I709)</f>
        <v/>
      </c>
    </row>
    <row r="710" spans="1:10" ht="17" x14ac:dyDescent="0.25">
      <c r="A710" s="1" t="s">
        <v>712</v>
      </c>
      <c r="B710" s="1" t="s">
        <v>3364</v>
      </c>
      <c r="C710" s="1" t="s">
        <v>2039</v>
      </c>
      <c r="D710" t="str">
        <f t="shared" si="66"/>
        <v>FE8F9D</v>
      </c>
      <c r="E710" t="str">
        <f t="shared" si="67"/>
        <v>254-143-157</v>
      </c>
      <c r="F710" t="str">
        <f t="shared" si="68"/>
        <v>254143157</v>
      </c>
      <c r="G710">
        <f t="shared" si="69"/>
        <v>254</v>
      </c>
      <c r="H710">
        <f t="shared" si="70"/>
        <v>143</v>
      </c>
      <c r="I710">
        <f t="shared" si="71"/>
        <v>157</v>
      </c>
      <c r="J710" s="1178" t="str" cm="1">
        <f t="array" ref="J710">myRGB(G710,H710,I710)</f>
        <v/>
      </c>
    </row>
    <row r="711" spans="1:10" ht="17" x14ac:dyDescent="0.25">
      <c r="A711" s="1" t="s">
        <v>713</v>
      </c>
      <c r="B711" s="1" t="s">
        <v>3365</v>
      </c>
      <c r="C711" s="1" t="s">
        <v>2040</v>
      </c>
      <c r="D711" t="str">
        <f t="shared" si="66"/>
        <v>FE8E9E</v>
      </c>
      <c r="E711" t="str">
        <f t="shared" si="67"/>
        <v>254-142-158</v>
      </c>
      <c r="F711" t="str">
        <f t="shared" si="68"/>
        <v>254142158</v>
      </c>
      <c r="G711">
        <f t="shared" si="69"/>
        <v>254</v>
      </c>
      <c r="H711">
        <f t="shared" si="70"/>
        <v>142</v>
      </c>
      <c r="I711">
        <f t="shared" si="71"/>
        <v>158</v>
      </c>
      <c r="J711" s="1033" t="str" cm="1">
        <f t="array" ref="J711">myRGB(G711,H711,I711)</f>
        <v/>
      </c>
    </row>
    <row r="712" spans="1:10" ht="17" x14ac:dyDescent="0.25">
      <c r="A712" s="1" t="s">
        <v>714</v>
      </c>
      <c r="B712" s="1" t="s">
        <v>3366</v>
      </c>
      <c r="C712" s="1" t="s">
        <v>2041</v>
      </c>
      <c r="D712" t="str">
        <f t="shared" si="66"/>
        <v>FD8F9E</v>
      </c>
      <c r="E712" t="str">
        <f t="shared" si="67"/>
        <v>253-143-158</v>
      </c>
      <c r="F712" t="str">
        <f t="shared" si="68"/>
        <v>253143158</v>
      </c>
      <c r="G712">
        <f t="shared" si="69"/>
        <v>253</v>
      </c>
      <c r="H712">
        <f t="shared" si="70"/>
        <v>143</v>
      </c>
      <c r="I712">
        <f t="shared" si="71"/>
        <v>158</v>
      </c>
      <c r="J712" s="696" t="str" cm="1">
        <f t="array" ref="J712">myRGB(G712,H712,I712)</f>
        <v/>
      </c>
    </row>
    <row r="713" spans="1:10" ht="17" x14ac:dyDescent="0.25">
      <c r="A713" s="1" t="s">
        <v>715</v>
      </c>
      <c r="B713" s="1" t="s">
        <v>3367</v>
      </c>
      <c r="C713" s="1" t="s">
        <v>2042</v>
      </c>
      <c r="D713" t="str">
        <f t="shared" si="66"/>
        <v>FC8F9E</v>
      </c>
      <c r="E713" t="str">
        <f t="shared" si="67"/>
        <v>252-143-158</v>
      </c>
      <c r="F713" t="str">
        <f t="shared" si="68"/>
        <v>252143158</v>
      </c>
      <c r="G713">
        <f t="shared" si="69"/>
        <v>252</v>
      </c>
      <c r="H713">
        <f t="shared" si="70"/>
        <v>143</v>
      </c>
      <c r="I713">
        <f t="shared" si="71"/>
        <v>158</v>
      </c>
      <c r="J713" s="417" t="str" cm="1">
        <f t="array" ref="J713">myRGB(G713,H713,I713)</f>
        <v/>
      </c>
    </row>
    <row r="714" spans="1:10" ht="17" x14ac:dyDescent="0.25">
      <c r="A714" s="1" t="s">
        <v>716</v>
      </c>
      <c r="B714" s="1" t="s">
        <v>3368</v>
      </c>
      <c r="C714" s="1" t="s">
        <v>2043</v>
      </c>
      <c r="D714" t="str">
        <f t="shared" si="66"/>
        <v>FF8D9F</v>
      </c>
      <c r="E714" t="str">
        <f t="shared" si="67"/>
        <v>255-141-159</v>
      </c>
      <c r="F714" t="str">
        <f t="shared" si="68"/>
        <v>255141159</v>
      </c>
      <c r="G714">
        <f t="shared" si="69"/>
        <v>255</v>
      </c>
      <c r="H714">
        <f t="shared" si="70"/>
        <v>141</v>
      </c>
      <c r="I714">
        <f t="shared" si="71"/>
        <v>159</v>
      </c>
      <c r="J714" s="752" t="str" cm="1">
        <f t="array" ref="J714">myRGB(G714,H714,I714)</f>
        <v/>
      </c>
    </row>
    <row r="715" spans="1:10" ht="17" x14ac:dyDescent="0.25">
      <c r="A715" s="1" t="s">
        <v>717</v>
      </c>
      <c r="B715" s="1" t="s">
        <v>3369</v>
      </c>
      <c r="C715" s="1" t="s">
        <v>2044</v>
      </c>
      <c r="D715" t="str">
        <f t="shared" si="66"/>
        <v>FF8F9D</v>
      </c>
      <c r="E715" t="str">
        <f t="shared" si="67"/>
        <v>255-143-157</v>
      </c>
      <c r="F715" t="str">
        <f t="shared" si="68"/>
        <v>255143157</v>
      </c>
      <c r="G715">
        <f t="shared" si="69"/>
        <v>255</v>
      </c>
      <c r="H715">
        <f t="shared" si="70"/>
        <v>143</v>
      </c>
      <c r="I715">
        <f t="shared" si="71"/>
        <v>157</v>
      </c>
      <c r="J715" s="837" t="str" cm="1">
        <f t="array" ref="J715">myRGB(G715,H715,I715)</f>
        <v/>
      </c>
    </row>
    <row r="716" spans="1:10" ht="17" x14ac:dyDescent="0.25">
      <c r="A716" s="1" t="s">
        <v>718</v>
      </c>
      <c r="B716" s="1" t="s">
        <v>3370</v>
      </c>
      <c r="C716" s="1" t="s">
        <v>2045</v>
      </c>
      <c r="D716" t="str">
        <f t="shared" si="66"/>
        <v>FE8F9C</v>
      </c>
      <c r="E716" t="str">
        <f t="shared" si="67"/>
        <v>254-143-156</v>
      </c>
      <c r="F716" t="str">
        <f t="shared" si="68"/>
        <v>254143156</v>
      </c>
      <c r="G716">
        <f t="shared" si="69"/>
        <v>254</v>
      </c>
      <c r="H716">
        <f t="shared" si="70"/>
        <v>143</v>
      </c>
      <c r="I716">
        <f t="shared" si="71"/>
        <v>156</v>
      </c>
      <c r="J716" s="1034" t="str" cm="1">
        <f t="array" ref="J716">myRGB(G716,H716,I716)</f>
        <v/>
      </c>
    </row>
    <row r="717" spans="1:10" ht="17" x14ac:dyDescent="0.25">
      <c r="A717" s="1" t="s">
        <v>719</v>
      </c>
      <c r="B717" s="1" t="s">
        <v>3371</v>
      </c>
      <c r="C717" s="1" t="s">
        <v>2046</v>
      </c>
      <c r="D717" t="str">
        <f t="shared" si="66"/>
        <v>E64438</v>
      </c>
      <c r="E717" t="str">
        <f t="shared" si="67"/>
        <v>230-68-56</v>
      </c>
      <c r="F717" t="str">
        <f t="shared" si="68"/>
        <v>2306856</v>
      </c>
      <c r="G717">
        <f t="shared" si="69"/>
        <v>230</v>
      </c>
      <c r="H717">
        <f t="shared" si="70"/>
        <v>68</v>
      </c>
      <c r="I717">
        <f t="shared" si="71"/>
        <v>56</v>
      </c>
      <c r="J717" s="795" t="str" cm="1">
        <f t="array" ref="J717">myRGB(G717,H717,I717)</f>
        <v/>
      </c>
    </row>
    <row r="718" spans="1:10" ht="17" x14ac:dyDescent="0.25">
      <c r="A718" s="1" t="s">
        <v>720</v>
      </c>
      <c r="B718" s="1" t="s">
        <v>3372</v>
      </c>
      <c r="C718" s="1" t="s">
        <v>2047</v>
      </c>
      <c r="D718" t="str">
        <f t="shared" si="66"/>
        <v>FF5C4E</v>
      </c>
      <c r="E718" t="str">
        <f t="shared" si="67"/>
        <v>255-92-78</v>
      </c>
      <c r="F718" t="str">
        <f t="shared" si="68"/>
        <v>2559278</v>
      </c>
      <c r="G718">
        <f t="shared" si="69"/>
        <v>255</v>
      </c>
      <c r="H718">
        <f t="shared" si="70"/>
        <v>92</v>
      </c>
      <c r="I718">
        <f t="shared" si="71"/>
        <v>78</v>
      </c>
      <c r="J718" s="435" t="str" cm="1">
        <f t="array" ref="J718">myRGB(G718,H718,I718)</f>
        <v/>
      </c>
    </row>
    <row r="719" spans="1:10" ht="17" x14ac:dyDescent="0.25">
      <c r="A719" s="1" t="s">
        <v>721</v>
      </c>
      <c r="B719" s="1" t="s">
        <v>3373</v>
      </c>
      <c r="C719" s="1" t="s">
        <v>2048</v>
      </c>
      <c r="D719" t="str">
        <f t="shared" si="66"/>
        <v>FE5B50</v>
      </c>
      <c r="E719" t="str">
        <f t="shared" si="67"/>
        <v>254-91-80</v>
      </c>
      <c r="F719" t="str">
        <f t="shared" si="68"/>
        <v>2549180</v>
      </c>
      <c r="G719">
        <f t="shared" si="69"/>
        <v>254</v>
      </c>
      <c r="H719">
        <f t="shared" si="70"/>
        <v>91</v>
      </c>
      <c r="I719">
        <f t="shared" si="71"/>
        <v>80</v>
      </c>
      <c r="J719" s="595" t="str" cm="1">
        <f t="array" ref="J719">myRGB(G719,H719,I719)</f>
        <v/>
      </c>
    </row>
    <row r="720" spans="1:10" ht="17" x14ac:dyDescent="0.25">
      <c r="A720" s="1" t="s">
        <v>722</v>
      </c>
      <c r="B720" s="1" t="s">
        <v>3374</v>
      </c>
      <c r="C720" s="1" t="s">
        <v>2049</v>
      </c>
      <c r="D720" t="str">
        <f t="shared" si="66"/>
        <v>FE5D4E</v>
      </c>
      <c r="E720" t="str">
        <f t="shared" si="67"/>
        <v>254-93-78</v>
      </c>
      <c r="F720" t="str">
        <f t="shared" si="68"/>
        <v>2549378</v>
      </c>
      <c r="G720">
        <f t="shared" si="69"/>
        <v>254</v>
      </c>
      <c r="H720">
        <f t="shared" si="70"/>
        <v>93</v>
      </c>
      <c r="I720">
        <f t="shared" si="71"/>
        <v>78</v>
      </c>
      <c r="J720" s="434" t="str" cm="1">
        <f t="array" ref="J720">myRGB(G720,H720,I720)</f>
        <v/>
      </c>
    </row>
    <row r="721" spans="1:10" ht="17" x14ac:dyDescent="0.25">
      <c r="A721" s="1" t="s">
        <v>723</v>
      </c>
      <c r="B721" s="1" t="s">
        <v>3375</v>
      </c>
      <c r="C721" s="1" t="s">
        <v>2050</v>
      </c>
      <c r="D721" t="str">
        <f t="shared" si="66"/>
        <v>FD5D4F</v>
      </c>
      <c r="E721" t="str">
        <f t="shared" si="67"/>
        <v>253-93-79</v>
      </c>
      <c r="F721" t="str">
        <f t="shared" si="68"/>
        <v>2539379</v>
      </c>
      <c r="G721">
        <f t="shared" si="69"/>
        <v>253</v>
      </c>
      <c r="H721">
        <f t="shared" si="70"/>
        <v>93</v>
      </c>
      <c r="I721">
        <f t="shared" si="71"/>
        <v>79</v>
      </c>
      <c r="J721" s="1042" t="str" cm="1">
        <f t="array" ref="J721">myRGB(G721,H721,I721)</f>
        <v/>
      </c>
    </row>
    <row r="722" spans="1:10" ht="17" x14ac:dyDescent="0.25">
      <c r="A722" s="1" t="s">
        <v>724</v>
      </c>
      <c r="B722" s="1" t="s">
        <v>3376</v>
      </c>
      <c r="C722" s="1" t="s">
        <v>2051</v>
      </c>
      <c r="D722" t="str">
        <f t="shared" si="66"/>
        <v>FF5D4F</v>
      </c>
      <c r="E722" t="str">
        <f t="shared" si="67"/>
        <v>255-93-79</v>
      </c>
      <c r="F722" t="str">
        <f t="shared" si="68"/>
        <v>2559379</v>
      </c>
      <c r="G722">
        <f t="shared" si="69"/>
        <v>255</v>
      </c>
      <c r="H722">
        <f t="shared" si="70"/>
        <v>93</v>
      </c>
      <c r="I722">
        <f t="shared" si="71"/>
        <v>79</v>
      </c>
      <c r="J722" s="567" t="str" cm="1">
        <f t="array" ref="J722">myRGB(G722,H722,I722)</f>
        <v/>
      </c>
    </row>
    <row r="723" spans="1:10" ht="17" x14ac:dyDescent="0.25">
      <c r="A723" s="1" t="s">
        <v>725</v>
      </c>
      <c r="B723" s="1" t="s">
        <v>3377</v>
      </c>
      <c r="C723" s="1" t="s">
        <v>2052</v>
      </c>
      <c r="D723" t="str">
        <f t="shared" si="66"/>
        <v>FF5C4F</v>
      </c>
      <c r="E723" t="str">
        <f t="shared" si="67"/>
        <v>255-92-79</v>
      </c>
      <c r="F723" t="str">
        <f t="shared" si="68"/>
        <v>2559279</v>
      </c>
      <c r="G723">
        <f t="shared" si="69"/>
        <v>255</v>
      </c>
      <c r="H723">
        <f t="shared" si="70"/>
        <v>92</v>
      </c>
      <c r="I723">
        <f t="shared" si="71"/>
        <v>79</v>
      </c>
      <c r="J723" s="1113" t="str" cm="1">
        <f t="array" ref="J723">myRGB(G723,H723,I723)</f>
        <v/>
      </c>
    </row>
    <row r="724" spans="1:10" ht="17" x14ac:dyDescent="0.25">
      <c r="A724" s="1" t="s">
        <v>726</v>
      </c>
      <c r="B724" s="1" t="s">
        <v>3378</v>
      </c>
      <c r="C724" s="1" t="s">
        <v>2053</v>
      </c>
      <c r="D724" t="str">
        <f t="shared" si="66"/>
        <v>FF5C50</v>
      </c>
      <c r="E724" t="str">
        <f t="shared" si="67"/>
        <v>255-92-80</v>
      </c>
      <c r="F724" t="str">
        <f t="shared" si="68"/>
        <v>2559280</v>
      </c>
      <c r="G724">
        <f t="shared" si="69"/>
        <v>255</v>
      </c>
      <c r="H724">
        <f t="shared" si="70"/>
        <v>92</v>
      </c>
      <c r="I724">
        <f t="shared" si="71"/>
        <v>80</v>
      </c>
      <c r="J724" s="1125" t="str" cm="1">
        <f t="array" ref="J724">myRGB(G724,H724,I724)</f>
        <v/>
      </c>
    </row>
    <row r="725" spans="1:10" ht="17" x14ac:dyDescent="0.25">
      <c r="A725" s="1" t="s">
        <v>727</v>
      </c>
      <c r="B725" s="1" t="s">
        <v>3379</v>
      </c>
      <c r="C725" s="1" t="s">
        <v>2054</v>
      </c>
      <c r="D725" t="str">
        <f t="shared" si="66"/>
        <v>FE5D4F</v>
      </c>
      <c r="E725" t="str">
        <f t="shared" si="67"/>
        <v>254-93-79</v>
      </c>
      <c r="F725" t="str">
        <f t="shared" si="68"/>
        <v>2549379</v>
      </c>
      <c r="G725">
        <f t="shared" si="69"/>
        <v>254</v>
      </c>
      <c r="H725">
        <f t="shared" si="70"/>
        <v>93</v>
      </c>
      <c r="I725">
        <f t="shared" si="71"/>
        <v>79</v>
      </c>
      <c r="J725" s="1035" t="str" cm="1">
        <f t="array" ref="J725">myRGB(G725,H725,I725)</f>
        <v/>
      </c>
    </row>
    <row r="726" spans="1:10" ht="17" x14ac:dyDescent="0.25">
      <c r="A726" s="1" t="s">
        <v>728</v>
      </c>
      <c r="B726" s="1" t="s">
        <v>3380</v>
      </c>
      <c r="C726" s="1" t="s">
        <v>2055</v>
      </c>
      <c r="D726" t="str">
        <f t="shared" si="66"/>
        <v>FF5D4E</v>
      </c>
      <c r="E726" t="str">
        <f t="shared" si="67"/>
        <v>255-93-78</v>
      </c>
      <c r="F726" t="str">
        <f t="shared" si="68"/>
        <v>2559378</v>
      </c>
      <c r="G726">
        <f t="shared" si="69"/>
        <v>255</v>
      </c>
      <c r="H726">
        <f t="shared" si="70"/>
        <v>93</v>
      </c>
      <c r="I726">
        <f t="shared" si="71"/>
        <v>78</v>
      </c>
      <c r="J726" s="1164" t="str" cm="1">
        <f t="array" ref="J726">myRGB(G726,H726,I726)</f>
        <v/>
      </c>
    </row>
    <row r="727" spans="1:10" ht="17" x14ac:dyDescent="0.25">
      <c r="A727" s="1" t="s">
        <v>729</v>
      </c>
      <c r="B727" s="1" t="s">
        <v>3381</v>
      </c>
      <c r="C727" s="1" t="s">
        <v>2056</v>
      </c>
      <c r="D727" t="str">
        <f t="shared" si="66"/>
        <v>FD5C50</v>
      </c>
      <c r="E727" t="str">
        <f t="shared" si="67"/>
        <v>253-92-80</v>
      </c>
      <c r="F727" t="str">
        <f t="shared" si="68"/>
        <v>2539280</v>
      </c>
      <c r="G727">
        <f t="shared" si="69"/>
        <v>253</v>
      </c>
      <c r="H727">
        <f t="shared" si="70"/>
        <v>92</v>
      </c>
      <c r="I727">
        <f t="shared" si="71"/>
        <v>80</v>
      </c>
      <c r="J727" s="1078" t="str" cm="1">
        <f t="array" ref="J727">myRGB(G727,H727,I727)</f>
        <v/>
      </c>
    </row>
    <row r="728" spans="1:10" ht="17" x14ac:dyDescent="0.25">
      <c r="A728" s="1" t="s">
        <v>730</v>
      </c>
      <c r="B728" s="1" t="s">
        <v>3382</v>
      </c>
      <c r="C728" s="1" t="s">
        <v>2057</v>
      </c>
      <c r="D728" t="str">
        <f t="shared" si="66"/>
        <v>FE5C4E</v>
      </c>
      <c r="E728" t="str">
        <f t="shared" si="67"/>
        <v>254-92-78</v>
      </c>
      <c r="F728" t="str">
        <f t="shared" si="68"/>
        <v>2549278</v>
      </c>
      <c r="G728">
        <f t="shared" si="69"/>
        <v>254</v>
      </c>
      <c r="H728">
        <f t="shared" si="70"/>
        <v>92</v>
      </c>
      <c r="I728">
        <f t="shared" si="71"/>
        <v>78</v>
      </c>
      <c r="J728" s="1085" t="str" cm="1">
        <f t="array" ref="J728">myRGB(G728,H728,I728)</f>
        <v/>
      </c>
    </row>
    <row r="729" spans="1:10" ht="17" x14ac:dyDescent="0.25">
      <c r="A729" s="1" t="s">
        <v>731</v>
      </c>
      <c r="B729" s="1" t="s">
        <v>3383</v>
      </c>
      <c r="C729" s="1" t="s">
        <v>2058</v>
      </c>
      <c r="D729" t="str">
        <f t="shared" si="66"/>
        <v>FE5C4F</v>
      </c>
      <c r="E729" t="str">
        <f t="shared" si="67"/>
        <v>254-92-79</v>
      </c>
      <c r="F729" t="str">
        <f t="shared" si="68"/>
        <v>2549279</v>
      </c>
      <c r="G729">
        <f t="shared" si="69"/>
        <v>254</v>
      </c>
      <c r="H729">
        <f t="shared" si="70"/>
        <v>92</v>
      </c>
      <c r="I729">
        <f t="shared" si="71"/>
        <v>79</v>
      </c>
      <c r="J729" s="1006" t="str" cm="1">
        <f t="array" ref="J729">myRGB(G729,H729,I729)</f>
        <v/>
      </c>
    </row>
    <row r="730" spans="1:10" ht="17" x14ac:dyDescent="0.25">
      <c r="A730" s="1" t="s">
        <v>732</v>
      </c>
      <c r="B730" s="1" t="s">
        <v>3384</v>
      </c>
      <c r="C730" s="1" t="s">
        <v>2059</v>
      </c>
      <c r="D730" t="str">
        <f t="shared" si="66"/>
        <v>FE5D50</v>
      </c>
      <c r="E730" t="str">
        <f t="shared" si="67"/>
        <v>254-93-80</v>
      </c>
      <c r="F730" t="str">
        <f t="shared" si="68"/>
        <v>2549380</v>
      </c>
      <c r="G730">
        <f t="shared" si="69"/>
        <v>254</v>
      </c>
      <c r="H730">
        <f t="shared" si="70"/>
        <v>93</v>
      </c>
      <c r="I730">
        <f t="shared" si="71"/>
        <v>80</v>
      </c>
      <c r="J730" s="1043" t="str" cm="1">
        <f t="array" ref="J730">myRGB(G730,H730,I730)</f>
        <v/>
      </c>
    </row>
    <row r="731" spans="1:10" ht="17" x14ac:dyDescent="0.25">
      <c r="A731" s="1" t="s">
        <v>733</v>
      </c>
      <c r="B731" s="1" t="s">
        <v>3385</v>
      </c>
      <c r="C731" s="1" t="s">
        <v>2060</v>
      </c>
      <c r="D731" t="str">
        <f t="shared" si="66"/>
        <v>FE5C50</v>
      </c>
      <c r="E731" t="str">
        <f t="shared" si="67"/>
        <v>254-92-80</v>
      </c>
      <c r="F731" t="str">
        <f t="shared" si="68"/>
        <v>2549280</v>
      </c>
      <c r="G731">
        <f t="shared" si="69"/>
        <v>254</v>
      </c>
      <c r="H731">
        <f t="shared" si="70"/>
        <v>92</v>
      </c>
      <c r="I731">
        <f t="shared" si="71"/>
        <v>80</v>
      </c>
      <c r="J731" s="1052" t="str" cm="1">
        <f t="array" ref="J731">myRGB(G731,H731,I731)</f>
        <v/>
      </c>
    </row>
    <row r="732" spans="1:10" ht="17" x14ac:dyDescent="0.25">
      <c r="A732" s="1" t="s">
        <v>734</v>
      </c>
      <c r="B732" s="1" t="s">
        <v>3386</v>
      </c>
      <c r="C732" s="1" t="s">
        <v>2061</v>
      </c>
      <c r="D732" t="str">
        <f t="shared" si="66"/>
        <v>FF5B50</v>
      </c>
      <c r="E732" t="str">
        <f t="shared" si="67"/>
        <v>255-91-80</v>
      </c>
      <c r="F732" t="str">
        <f t="shared" si="68"/>
        <v>2559180</v>
      </c>
      <c r="G732">
        <f t="shared" si="69"/>
        <v>255</v>
      </c>
      <c r="H732">
        <f t="shared" si="70"/>
        <v>91</v>
      </c>
      <c r="I732">
        <f t="shared" si="71"/>
        <v>80</v>
      </c>
      <c r="J732" s="1079" t="str" cm="1">
        <f t="array" ref="J732">myRGB(G732,H732,I732)</f>
        <v/>
      </c>
    </row>
    <row r="733" spans="1:10" ht="17" x14ac:dyDescent="0.25">
      <c r="A733" s="1" t="s">
        <v>735</v>
      </c>
      <c r="B733" s="1" t="s">
        <v>3387</v>
      </c>
      <c r="C733" s="1" t="s">
        <v>2062</v>
      </c>
      <c r="D733" t="str">
        <f t="shared" si="66"/>
        <v>FF5D50</v>
      </c>
      <c r="E733" t="str">
        <f t="shared" si="67"/>
        <v>255-93-80</v>
      </c>
      <c r="F733" t="str">
        <f t="shared" si="68"/>
        <v>2559380</v>
      </c>
      <c r="G733">
        <f t="shared" si="69"/>
        <v>255</v>
      </c>
      <c r="H733">
        <f t="shared" si="70"/>
        <v>93</v>
      </c>
      <c r="I733">
        <f t="shared" si="71"/>
        <v>80</v>
      </c>
      <c r="J733" s="701" t="str" cm="1">
        <f t="array" ref="J733">myRGB(G733,H733,I733)</f>
        <v/>
      </c>
    </row>
    <row r="734" spans="1:10" ht="17" x14ac:dyDescent="0.25">
      <c r="A734" s="1" t="s">
        <v>736</v>
      </c>
      <c r="B734" s="1" t="s">
        <v>3388</v>
      </c>
      <c r="C734" s="1" t="s">
        <v>2063</v>
      </c>
      <c r="D734" t="str">
        <f t="shared" si="66"/>
        <v>FD5D50</v>
      </c>
      <c r="E734" t="str">
        <f t="shared" si="67"/>
        <v>253-93-80</v>
      </c>
      <c r="F734" t="str">
        <f t="shared" si="68"/>
        <v>2539380</v>
      </c>
      <c r="G734">
        <f t="shared" si="69"/>
        <v>253</v>
      </c>
      <c r="H734">
        <f t="shared" si="70"/>
        <v>93</v>
      </c>
      <c r="I734">
        <f t="shared" si="71"/>
        <v>80</v>
      </c>
      <c r="J734" s="794" t="str" cm="1">
        <f t="array" ref="J734">myRGB(G734,H734,I734)</f>
        <v/>
      </c>
    </row>
    <row r="735" spans="1:10" ht="17" x14ac:dyDescent="0.25">
      <c r="A735" s="1" t="s">
        <v>737</v>
      </c>
      <c r="B735" s="1" t="s">
        <v>3389</v>
      </c>
      <c r="C735" s="1" t="s">
        <v>2064</v>
      </c>
      <c r="D735" t="str">
        <f t="shared" si="66"/>
        <v>FF5B4F</v>
      </c>
      <c r="E735" t="str">
        <f t="shared" si="67"/>
        <v>255-91-79</v>
      </c>
      <c r="F735" t="str">
        <f t="shared" si="68"/>
        <v>2559179</v>
      </c>
      <c r="G735">
        <f t="shared" si="69"/>
        <v>255</v>
      </c>
      <c r="H735">
        <f t="shared" si="70"/>
        <v>91</v>
      </c>
      <c r="I735">
        <f t="shared" si="71"/>
        <v>79</v>
      </c>
      <c r="J735" s="761" t="str" cm="1">
        <f t="array" ref="J735">myRGB(G735,H735,I735)</f>
        <v/>
      </c>
    </row>
    <row r="736" spans="1:10" ht="17" x14ac:dyDescent="0.25">
      <c r="A736" s="1" t="s">
        <v>738</v>
      </c>
      <c r="B736" s="1" t="s">
        <v>3390</v>
      </c>
      <c r="C736" s="1" t="s">
        <v>2065</v>
      </c>
      <c r="D736" t="str">
        <f t="shared" si="66"/>
        <v>FF5446</v>
      </c>
      <c r="E736" t="str">
        <f t="shared" si="67"/>
        <v>255-84-70</v>
      </c>
      <c r="F736" t="str">
        <f t="shared" si="68"/>
        <v>2558470</v>
      </c>
      <c r="G736">
        <f t="shared" si="69"/>
        <v>255</v>
      </c>
      <c r="H736">
        <f t="shared" si="70"/>
        <v>84</v>
      </c>
      <c r="I736">
        <f t="shared" si="71"/>
        <v>70</v>
      </c>
      <c r="J736" s="703" t="str" cm="1">
        <f t="array" ref="J736">myRGB(G736,H736,I736)</f>
        <v/>
      </c>
    </row>
    <row r="737" spans="1:10" ht="17" x14ac:dyDescent="0.25">
      <c r="A737" s="1" t="s">
        <v>739</v>
      </c>
      <c r="B737" s="1" t="s">
        <v>3391</v>
      </c>
      <c r="C737" s="1" t="s">
        <v>2066</v>
      </c>
      <c r="D737" t="str">
        <f t="shared" si="66"/>
        <v>FF5547</v>
      </c>
      <c r="E737" t="str">
        <f t="shared" si="67"/>
        <v>255-85-71</v>
      </c>
      <c r="F737" t="str">
        <f t="shared" si="68"/>
        <v>2558571</v>
      </c>
      <c r="G737">
        <f t="shared" si="69"/>
        <v>255</v>
      </c>
      <c r="H737">
        <f t="shared" si="70"/>
        <v>85</v>
      </c>
      <c r="I737">
        <f t="shared" si="71"/>
        <v>71</v>
      </c>
      <c r="J737" s="702" t="str" cm="1">
        <f t="array" ref="J737">myRGB(G737,H737,I737)</f>
        <v/>
      </c>
    </row>
    <row r="738" spans="1:10" ht="17" x14ac:dyDescent="0.25">
      <c r="A738" s="1" t="s">
        <v>740</v>
      </c>
      <c r="B738" s="1" t="s">
        <v>3392</v>
      </c>
      <c r="C738" s="1" t="s">
        <v>2067</v>
      </c>
      <c r="D738" t="str">
        <f t="shared" si="66"/>
        <v>FF5546</v>
      </c>
      <c r="E738" t="str">
        <f t="shared" si="67"/>
        <v>255-85-70</v>
      </c>
      <c r="F738" t="str">
        <f t="shared" si="68"/>
        <v>2558570</v>
      </c>
      <c r="G738">
        <f t="shared" si="69"/>
        <v>255</v>
      </c>
      <c r="H738">
        <f t="shared" si="70"/>
        <v>85</v>
      </c>
      <c r="I738">
        <f t="shared" si="71"/>
        <v>70</v>
      </c>
      <c r="J738" s="1007" t="str" cm="1">
        <f t="array" ref="J738">myRGB(G738,H738,I738)</f>
        <v/>
      </c>
    </row>
    <row r="739" spans="1:10" ht="17" x14ac:dyDescent="0.25">
      <c r="A739" s="1" t="s">
        <v>741</v>
      </c>
      <c r="B739" s="1" t="s">
        <v>3393</v>
      </c>
      <c r="C739" s="1" t="s">
        <v>2068</v>
      </c>
      <c r="D739" t="str">
        <f t="shared" si="66"/>
        <v>FE5447</v>
      </c>
      <c r="E739" t="str">
        <f t="shared" si="67"/>
        <v>254-84-71</v>
      </c>
      <c r="F739" t="str">
        <f t="shared" si="68"/>
        <v>2548471</v>
      </c>
      <c r="G739">
        <f t="shared" si="69"/>
        <v>254</v>
      </c>
      <c r="H739">
        <f t="shared" si="70"/>
        <v>84</v>
      </c>
      <c r="I739">
        <f t="shared" si="71"/>
        <v>71</v>
      </c>
      <c r="J739" s="841" t="str" cm="1">
        <f t="array" ref="J739">myRGB(G739,H739,I739)</f>
        <v/>
      </c>
    </row>
    <row r="740" spans="1:10" ht="17" x14ac:dyDescent="0.25">
      <c r="A740" s="1" t="s">
        <v>742</v>
      </c>
      <c r="B740" s="1" t="s">
        <v>3394</v>
      </c>
      <c r="C740" s="1" t="s">
        <v>2069</v>
      </c>
      <c r="D740" t="str">
        <f t="shared" si="66"/>
        <v>FE5446</v>
      </c>
      <c r="E740" t="str">
        <f t="shared" si="67"/>
        <v>254-84-70</v>
      </c>
      <c r="F740" t="str">
        <f t="shared" si="68"/>
        <v>2548470</v>
      </c>
      <c r="G740">
        <f t="shared" si="69"/>
        <v>254</v>
      </c>
      <c r="H740">
        <f t="shared" si="70"/>
        <v>84</v>
      </c>
      <c r="I740">
        <f t="shared" si="71"/>
        <v>70</v>
      </c>
      <c r="J740" s="808" t="str" cm="1">
        <f t="array" ref="J740">myRGB(G740,H740,I740)</f>
        <v/>
      </c>
    </row>
    <row r="741" spans="1:10" ht="17" x14ac:dyDescent="0.25">
      <c r="A741" s="1" t="s">
        <v>743</v>
      </c>
      <c r="B741" s="1" t="s">
        <v>3395</v>
      </c>
      <c r="C741" s="1" t="s">
        <v>2070</v>
      </c>
      <c r="D741" t="str">
        <f t="shared" si="66"/>
        <v>FE5445</v>
      </c>
      <c r="E741" t="str">
        <f t="shared" si="67"/>
        <v>254-84-69</v>
      </c>
      <c r="F741" t="str">
        <f t="shared" si="68"/>
        <v>2548469</v>
      </c>
      <c r="G741">
        <f t="shared" si="69"/>
        <v>254</v>
      </c>
      <c r="H741">
        <f t="shared" si="70"/>
        <v>84</v>
      </c>
      <c r="I741">
        <f t="shared" si="71"/>
        <v>69</v>
      </c>
      <c r="J741" s="596" t="str" cm="1">
        <f t="array" ref="J741">myRGB(G741,H741,I741)</f>
        <v/>
      </c>
    </row>
    <row r="742" spans="1:10" ht="17" x14ac:dyDescent="0.25">
      <c r="A742" s="1" t="s">
        <v>744</v>
      </c>
      <c r="B742" s="1" t="s">
        <v>3396</v>
      </c>
      <c r="C742" s="1" t="s">
        <v>2071</v>
      </c>
      <c r="D742" t="str">
        <f t="shared" si="66"/>
        <v>FE5545</v>
      </c>
      <c r="E742" t="str">
        <f t="shared" si="67"/>
        <v>254-85-69</v>
      </c>
      <c r="F742" t="str">
        <f t="shared" si="68"/>
        <v>2548569</v>
      </c>
      <c r="G742">
        <f t="shared" si="69"/>
        <v>254</v>
      </c>
      <c r="H742">
        <f t="shared" si="70"/>
        <v>85</v>
      </c>
      <c r="I742">
        <f t="shared" si="71"/>
        <v>69</v>
      </c>
      <c r="J742" s="1114" t="str" cm="1">
        <f t="array" ref="J742">myRGB(G742,H742,I742)</f>
        <v/>
      </c>
    </row>
    <row r="743" spans="1:10" ht="17" x14ac:dyDescent="0.25">
      <c r="A743" s="1" t="s">
        <v>745</v>
      </c>
      <c r="B743" s="1" t="s">
        <v>3397</v>
      </c>
      <c r="C743" s="1" t="s">
        <v>2072</v>
      </c>
      <c r="D743" t="str">
        <f t="shared" si="66"/>
        <v>FE5347</v>
      </c>
      <c r="E743" t="str">
        <f t="shared" si="67"/>
        <v>254-83-71</v>
      </c>
      <c r="F743" t="str">
        <f t="shared" si="68"/>
        <v>2548371</v>
      </c>
      <c r="G743">
        <f t="shared" si="69"/>
        <v>254</v>
      </c>
      <c r="H743">
        <f t="shared" si="70"/>
        <v>83</v>
      </c>
      <c r="I743">
        <f t="shared" si="71"/>
        <v>71</v>
      </c>
      <c r="J743" s="1126" t="str" cm="1">
        <f t="array" ref="J743">myRGB(G743,H743,I743)</f>
        <v/>
      </c>
    </row>
    <row r="744" spans="1:10" ht="17" x14ac:dyDescent="0.25">
      <c r="A744" s="1" t="s">
        <v>746</v>
      </c>
      <c r="B744" s="1" t="s">
        <v>3398</v>
      </c>
      <c r="C744" s="1" t="s">
        <v>2073</v>
      </c>
      <c r="D744" t="str">
        <f t="shared" si="66"/>
        <v>FD5546</v>
      </c>
      <c r="E744" t="str">
        <f t="shared" si="67"/>
        <v>253-85-70</v>
      </c>
      <c r="F744" t="str">
        <f t="shared" si="68"/>
        <v>2538570</v>
      </c>
      <c r="G744">
        <f t="shared" si="69"/>
        <v>253</v>
      </c>
      <c r="H744">
        <f t="shared" si="70"/>
        <v>85</v>
      </c>
      <c r="I744">
        <f t="shared" si="71"/>
        <v>70</v>
      </c>
      <c r="J744" s="1044" t="str" cm="1">
        <f t="array" ref="J744">myRGB(G744,H744,I744)</f>
        <v/>
      </c>
    </row>
    <row r="745" spans="1:10" ht="17" x14ac:dyDescent="0.25">
      <c r="A745" s="1" t="s">
        <v>747</v>
      </c>
      <c r="B745" s="1" t="s">
        <v>3399</v>
      </c>
      <c r="C745" s="1" t="s">
        <v>2074</v>
      </c>
      <c r="D745" t="str">
        <f t="shared" si="66"/>
        <v>FF5445</v>
      </c>
      <c r="E745" t="str">
        <f t="shared" si="67"/>
        <v>255-84-69</v>
      </c>
      <c r="F745" t="str">
        <f t="shared" si="68"/>
        <v>2558469</v>
      </c>
      <c r="G745">
        <f t="shared" si="69"/>
        <v>255</v>
      </c>
      <c r="H745">
        <f t="shared" si="70"/>
        <v>84</v>
      </c>
      <c r="I745">
        <f t="shared" si="71"/>
        <v>69</v>
      </c>
      <c r="J745" s="597" t="str" cm="1">
        <f t="array" ref="J745">myRGB(G745,H745,I745)</f>
        <v/>
      </c>
    </row>
    <row r="746" spans="1:10" ht="17" x14ac:dyDescent="0.25">
      <c r="A746" s="1" t="s">
        <v>748</v>
      </c>
      <c r="B746" s="1" t="s">
        <v>3400</v>
      </c>
      <c r="C746" s="1" t="s">
        <v>2075</v>
      </c>
      <c r="D746" t="str">
        <f t="shared" si="66"/>
        <v>FF5346</v>
      </c>
      <c r="E746" t="str">
        <f t="shared" si="67"/>
        <v>255-83-70</v>
      </c>
      <c r="F746" t="str">
        <f t="shared" si="68"/>
        <v>2558370</v>
      </c>
      <c r="G746">
        <f t="shared" si="69"/>
        <v>255</v>
      </c>
      <c r="H746">
        <f t="shared" si="70"/>
        <v>83</v>
      </c>
      <c r="I746">
        <f t="shared" si="71"/>
        <v>70</v>
      </c>
      <c r="J746" s="530" t="str" cm="1">
        <f t="array" ref="J746">myRGB(G746,H746,I746)</f>
        <v/>
      </c>
    </row>
    <row r="747" spans="1:10" ht="17" x14ac:dyDescent="0.25">
      <c r="A747" s="1" t="s">
        <v>749</v>
      </c>
      <c r="B747" s="1" t="s">
        <v>3401</v>
      </c>
      <c r="C747" s="1" t="s">
        <v>2076</v>
      </c>
      <c r="D747" t="str">
        <f t="shared" si="66"/>
        <v>FD5447</v>
      </c>
      <c r="E747" t="str">
        <f t="shared" si="67"/>
        <v>253-84-71</v>
      </c>
      <c r="F747" t="str">
        <f t="shared" si="68"/>
        <v>2538471</v>
      </c>
      <c r="G747">
        <f t="shared" si="69"/>
        <v>253</v>
      </c>
      <c r="H747">
        <f t="shared" si="70"/>
        <v>84</v>
      </c>
      <c r="I747">
        <f t="shared" si="71"/>
        <v>71</v>
      </c>
      <c r="J747" s="677" t="str" cm="1">
        <f t="array" ref="J747">myRGB(G747,H747,I747)</f>
        <v/>
      </c>
    </row>
    <row r="748" spans="1:10" ht="17" x14ac:dyDescent="0.25">
      <c r="A748" s="1" t="s">
        <v>750</v>
      </c>
      <c r="B748" s="1" t="s">
        <v>3402</v>
      </c>
      <c r="C748" s="1" t="s">
        <v>2077</v>
      </c>
      <c r="D748" t="str">
        <f t="shared" si="66"/>
        <v>FE5346</v>
      </c>
      <c r="E748" t="str">
        <f t="shared" si="67"/>
        <v>254-83-70</v>
      </c>
      <c r="F748" t="str">
        <f t="shared" si="68"/>
        <v>2548370</v>
      </c>
      <c r="G748">
        <f t="shared" si="69"/>
        <v>254</v>
      </c>
      <c r="H748">
        <f t="shared" si="70"/>
        <v>83</v>
      </c>
      <c r="I748">
        <f t="shared" si="71"/>
        <v>70</v>
      </c>
      <c r="J748" s="529" t="str" cm="1">
        <f t="array" ref="J748">myRGB(G748,H748,I748)</f>
        <v/>
      </c>
    </row>
    <row r="749" spans="1:10" ht="17" x14ac:dyDescent="0.25">
      <c r="A749" s="1" t="s">
        <v>751</v>
      </c>
      <c r="B749" s="1" t="s">
        <v>3403</v>
      </c>
      <c r="C749" s="1" t="s">
        <v>2078</v>
      </c>
      <c r="D749" t="str">
        <f t="shared" si="66"/>
        <v>FD5446</v>
      </c>
      <c r="E749" t="str">
        <f t="shared" si="67"/>
        <v>253-84-70</v>
      </c>
      <c r="F749" t="str">
        <f t="shared" si="68"/>
        <v>2538470</v>
      </c>
      <c r="G749">
        <f t="shared" si="69"/>
        <v>253</v>
      </c>
      <c r="H749">
        <f t="shared" si="70"/>
        <v>84</v>
      </c>
      <c r="I749">
        <f t="shared" si="71"/>
        <v>70</v>
      </c>
      <c r="J749" s="568" t="str" cm="1">
        <f t="array" ref="J749">myRGB(G749,H749,I749)</f>
        <v/>
      </c>
    </row>
    <row r="750" spans="1:10" ht="17" x14ac:dyDescent="0.25">
      <c r="A750" s="1" t="s">
        <v>752</v>
      </c>
      <c r="B750" s="1" t="s">
        <v>3404</v>
      </c>
      <c r="C750" s="1" t="s">
        <v>2079</v>
      </c>
      <c r="D750" t="str">
        <f t="shared" si="66"/>
        <v>FF5345</v>
      </c>
      <c r="E750" t="str">
        <f t="shared" si="67"/>
        <v>255-83-69</v>
      </c>
      <c r="F750" t="str">
        <f t="shared" si="68"/>
        <v>2558369</v>
      </c>
      <c r="G750">
        <f t="shared" si="69"/>
        <v>255</v>
      </c>
      <c r="H750">
        <f t="shared" si="70"/>
        <v>83</v>
      </c>
      <c r="I750">
        <f t="shared" si="71"/>
        <v>69</v>
      </c>
      <c r="J750" s="1101" t="str" cm="1">
        <f t="array" ref="J750">myRGB(G750,H750,I750)</f>
        <v/>
      </c>
    </row>
    <row r="751" spans="1:10" ht="17" x14ac:dyDescent="0.25">
      <c r="A751" s="1" t="s">
        <v>753</v>
      </c>
      <c r="B751" s="1" t="s">
        <v>3405</v>
      </c>
      <c r="C751" s="1" t="s">
        <v>2080</v>
      </c>
      <c r="D751" t="str">
        <f t="shared" si="66"/>
        <v>FF5447</v>
      </c>
      <c r="E751" t="str">
        <f t="shared" si="67"/>
        <v>255-84-71</v>
      </c>
      <c r="F751" t="str">
        <f t="shared" si="68"/>
        <v>2558471</v>
      </c>
      <c r="G751">
        <f t="shared" si="69"/>
        <v>255</v>
      </c>
      <c r="H751">
        <f t="shared" si="70"/>
        <v>84</v>
      </c>
      <c r="I751">
        <f t="shared" si="71"/>
        <v>71</v>
      </c>
      <c r="J751" s="644" t="str" cm="1">
        <f t="array" ref="J751">myRGB(G751,H751,I751)</f>
        <v/>
      </c>
    </row>
    <row r="752" spans="1:10" ht="17" x14ac:dyDescent="0.25">
      <c r="A752" s="1" t="s">
        <v>754</v>
      </c>
      <c r="B752" s="1" t="s">
        <v>3406</v>
      </c>
      <c r="C752" s="1" t="s">
        <v>2081</v>
      </c>
      <c r="D752" t="str">
        <f t="shared" si="66"/>
        <v>FE5547</v>
      </c>
      <c r="E752" t="str">
        <f t="shared" si="67"/>
        <v>254-85-71</v>
      </c>
      <c r="F752" t="str">
        <f t="shared" si="68"/>
        <v>2548571</v>
      </c>
      <c r="G752">
        <f t="shared" si="69"/>
        <v>254</v>
      </c>
      <c r="H752">
        <f t="shared" si="70"/>
        <v>85</v>
      </c>
      <c r="I752">
        <f t="shared" si="71"/>
        <v>71</v>
      </c>
      <c r="J752" s="531" t="str" cm="1">
        <f t="array" ref="J752">myRGB(G752,H752,I752)</f>
        <v/>
      </c>
    </row>
    <row r="753" spans="1:10" ht="17" x14ac:dyDescent="0.25">
      <c r="A753" s="1" t="s">
        <v>755</v>
      </c>
      <c r="B753" s="1" t="s">
        <v>3407</v>
      </c>
      <c r="C753" s="1" t="s">
        <v>2082</v>
      </c>
      <c r="D753" t="str">
        <f t="shared" si="66"/>
        <v>FD5547</v>
      </c>
      <c r="E753" t="str">
        <f t="shared" si="67"/>
        <v>253-85-71</v>
      </c>
      <c r="F753" t="str">
        <f t="shared" si="68"/>
        <v>2538571</v>
      </c>
      <c r="G753">
        <f t="shared" si="69"/>
        <v>253</v>
      </c>
      <c r="H753">
        <f t="shared" si="70"/>
        <v>85</v>
      </c>
      <c r="I753">
        <f t="shared" si="71"/>
        <v>71</v>
      </c>
      <c r="J753" s="643" t="str" cm="1">
        <f t="array" ref="J753">myRGB(G753,H753,I753)</f>
        <v/>
      </c>
    </row>
    <row r="754" spans="1:10" ht="17" x14ac:dyDescent="0.25">
      <c r="A754" s="1" t="s">
        <v>756</v>
      </c>
      <c r="B754" s="1" t="s">
        <v>3408</v>
      </c>
      <c r="C754" s="1" t="s">
        <v>2083</v>
      </c>
      <c r="D754" t="str">
        <f t="shared" si="66"/>
        <v>FF5545</v>
      </c>
      <c r="E754" t="str">
        <f t="shared" si="67"/>
        <v>255-85-69</v>
      </c>
      <c r="F754" t="str">
        <f t="shared" si="68"/>
        <v>2558569</v>
      </c>
      <c r="G754">
        <f t="shared" si="69"/>
        <v>255</v>
      </c>
      <c r="H754">
        <f t="shared" si="70"/>
        <v>85</v>
      </c>
      <c r="I754">
        <f t="shared" si="71"/>
        <v>69</v>
      </c>
      <c r="J754" s="763" t="str" cm="1">
        <f t="array" ref="J754">myRGB(G754,H754,I754)</f>
        <v/>
      </c>
    </row>
    <row r="755" spans="1:10" ht="17" x14ac:dyDescent="0.25">
      <c r="A755" s="1" t="s">
        <v>757</v>
      </c>
      <c r="B755" s="1" t="s">
        <v>3409</v>
      </c>
      <c r="C755" s="1" t="s">
        <v>2084</v>
      </c>
      <c r="D755" t="str">
        <f t="shared" si="66"/>
        <v>FF5347</v>
      </c>
      <c r="E755" t="str">
        <f t="shared" si="67"/>
        <v>255-83-71</v>
      </c>
      <c r="F755" t="str">
        <f t="shared" si="68"/>
        <v>2558371</v>
      </c>
      <c r="G755">
        <f t="shared" si="69"/>
        <v>255</v>
      </c>
      <c r="H755">
        <f t="shared" si="70"/>
        <v>83</v>
      </c>
      <c r="I755">
        <f t="shared" si="71"/>
        <v>71</v>
      </c>
      <c r="J755" s="627" t="str" cm="1">
        <f t="array" ref="J755">myRGB(G755,H755,I755)</f>
        <v/>
      </c>
    </row>
    <row r="756" spans="1:10" ht="17" x14ac:dyDescent="0.25">
      <c r="A756" s="1" t="s">
        <v>758</v>
      </c>
      <c r="B756" s="1" t="s">
        <v>3410</v>
      </c>
      <c r="C756" s="1" t="s">
        <v>2085</v>
      </c>
      <c r="D756" t="str">
        <f t="shared" si="66"/>
        <v>FD5545</v>
      </c>
      <c r="E756" t="str">
        <f t="shared" si="67"/>
        <v>253-85-69</v>
      </c>
      <c r="F756" t="str">
        <f t="shared" si="68"/>
        <v>2538569</v>
      </c>
      <c r="G756">
        <f t="shared" si="69"/>
        <v>253</v>
      </c>
      <c r="H756">
        <f t="shared" si="70"/>
        <v>85</v>
      </c>
      <c r="I756">
        <f t="shared" si="71"/>
        <v>69</v>
      </c>
      <c r="J756" s="807" t="str" cm="1">
        <f t="array" ref="J756">myRGB(G756,H756,I756)</f>
        <v/>
      </c>
    </row>
    <row r="757" spans="1:10" ht="17" x14ac:dyDescent="0.25">
      <c r="A757" s="1" t="s">
        <v>759</v>
      </c>
      <c r="B757" s="1" t="s">
        <v>3411</v>
      </c>
      <c r="C757" s="1" t="s">
        <v>2086</v>
      </c>
      <c r="D757" t="str">
        <f t="shared" si="66"/>
        <v>FE5546</v>
      </c>
      <c r="E757" t="str">
        <f t="shared" si="67"/>
        <v>254-85-70</v>
      </c>
      <c r="F757" t="str">
        <f t="shared" si="68"/>
        <v>2548570</v>
      </c>
      <c r="G757">
        <f t="shared" si="69"/>
        <v>254</v>
      </c>
      <c r="H757">
        <f t="shared" si="70"/>
        <v>85</v>
      </c>
      <c r="I757">
        <f t="shared" si="71"/>
        <v>70</v>
      </c>
      <c r="J757" s="762" t="str" cm="1">
        <f t="array" ref="J757">myRGB(G757,H757,I757)</f>
        <v/>
      </c>
    </row>
    <row r="758" spans="1:10" ht="17" x14ac:dyDescent="0.25">
      <c r="A758" s="1" t="s">
        <v>760</v>
      </c>
      <c r="B758" s="1" t="s">
        <v>3412</v>
      </c>
      <c r="C758" s="1" t="s">
        <v>2087</v>
      </c>
      <c r="D758" t="str">
        <f t="shared" si="66"/>
        <v>FF4C3C</v>
      </c>
      <c r="E758" t="str">
        <f t="shared" si="67"/>
        <v>255-76-60</v>
      </c>
      <c r="F758" t="str">
        <f t="shared" si="68"/>
        <v>2557660</v>
      </c>
      <c r="G758">
        <f t="shared" si="69"/>
        <v>255</v>
      </c>
      <c r="H758">
        <f t="shared" si="70"/>
        <v>76</v>
      </c>
      <c r="I758">
        <f t="shared" si="71"/>
        <v>60</v>
      </c>
      <c r="J758" s="759" t="str" cm="1">
        <f t="array" ref="J758">myRGB(G758,H758,I758)</f>
        <v/>
      </c>
    </row>
    <row r="759" spans="1:10" ht="17" x14ac:dyDescent="0.25">
      <c r="A759" s="1" t="s">
        <v>761</v>
      </c>
      <c r="B759" s="1" t="s">
        <v>3413</v>
      </c>
      <c r="C759" s="1" t="s">
        <v>2088</v>
      </c>
      <c r="D759" t="str">
        <f t="shared" si="66"/>
        <v>FF4B3E</v>
      </c>
      <c r="E759" t="str">
        <f t="shared" si="67"/>
        <v>255-75-62</v>
      </c>
      <c r="F759" t="str">
        <f t="shared" si="68"/>
        <v>2557562</v>
      </c>
      <c r="G759">
        <f t="shared" si="69"/>
        <v>255</v>
      </c>
      <c r="H759">
        <f t="shared" si="70"/>
        <v>75</v>
      </c>
      <c r="I759">
        <f t="shared" si="71"/>
        <v>62</v>
      </c>
      <c r="J759" s="697" t="str" cm="1">
        <f t="array" ref="J759">myRGB(G759,H759,I759)</f>
        <v/>
      </c>
    </row>
    <row r="760" spans="1:10" ht="17" x14ac:dyDescent="0.25">
      <c r="A760" s="1" t="s">
        <v>762</v>
      </c>
      <c r="B760" s="1" t="s">
        <v>3414</v>
      </c>
      <c r="C760" s="1" t="s">
        <v>2089</v>
      </c>
      <c r="D760" t="str">
        <f t="shared" si="66"/>
        <v>FE4C3C</v>
      </c>
      <c r="E760" t="str">
        <f t="shared" si="67"/>
        <v>254-76-60</v>
      </c>
      <c r="F760" t="str">
        <f t="shared" si="68"/>
        <v>2547660</v>
      </c>
      <c r="G760">
        <f t="shared" si="69"/>
        <v>254</v>
      </c>
      <c r="H760">
        <f t="shared" si="70"/>
        <v>76</v>
      </c>
      <c r="I760">
        <f t="shared" si="71"/>
        <v>60</v>
      </c>
      <c r="J760" s="1094" t="str" cm="1">
        <f t="array" ref="J760">myRGB(G760,H760,I760)</f>
        <v/>
      </c>
    </row>
    <row r="761" spans="1:10" ht="17" x14ac:dyDescent="0.25">
      <c r="A761" s="1" t="s">
        <v>763</v>
      </c>
      <c r="B761" s="1" t="s">
        <v>3415</v>
      </c>
      <c r="C761" s="1" t="s">
        <v>2090</v>
      </c>
      <c r="D761" t="str">
        <f t="shared" si="66"/>
        <v>FE4C3E</v>
      </c>
      <c r="E761" t="str">
        <f t="shared" si="67"/>
        <v>254-76-62</v>
      </c>
      <c r="F761" t="str">
        <f t="shared" si="68"/>
        <v>2547662</v>
      </c>
      <c r="G761">
        <f t="shared" si="69"/>
        <v>254</v>
      </c>
      <c r="H761">
        <f t="shared" si="70"/>
        <v>76</v>
      </c>
      <c r="I761">
        <f t="shared" si="71"/>
        <v>62</v>
      </c>
      <c r="J761" s="1127" t="str" cm="1">
        <f t="array" ref="J761">myRGB(G761,H761,I761)</f>
        <v/>
      </c>
    </row>
    <row r="762" spans="1:10" ht="17" x14ac:dyDescent="0.25">
      <c r="A762" s="1" t="s">
        <v>764</v>
      </c>
      <c r="B762" s="1" t="s">
        <v>3416</v>
      </c>
      <c r="C762" s="1" t="s">
        <v>2091</v>
      </c>
      <c r="D762" t="str">
        <f t="shared" si="66"/>
        <v>FE4A3E</v>
      </c>
      <c r="E762" t="str">
        <f t="shared" si="67"/>
        <v>254-74-62</v>
      </c>
      <c r="F762" t="str">
        <f t="shared" si="68"/>
        <v>2547462</v>
      </c>
      <c r="G762">
        <f t="shared" si="69"/>
        <v>254</v>
      </c>
      <c r="H762">
        <f t="shared" si="70"/>
        <v>74</v>
      </c>
      <c r="I762">
        <f t="shared" si="71"/>
        <v>62</v>
      </c>
      <c r="J762" s="1045" t="str" cm="1">
        <f t="array" ref="J762">myRGB(G762,H762,I762)</f>
        <v/>
      </c>
    </row>
    <row r="763" spans="1:10" ht="17" x14ac:dyDescent="0.25">
      <c r="A763" s="1" t="s">
        <v>765</v>
      </c>
      <c r="B763" s="1" t="s">
        <v>3417</v>
      </c>
      <c r="C763" s="1" t="s">
        <v>2092</v>
      </c>
      <c r="D763" t="str">
        <f t="shared" si="66"/>
        <v>FD4C3D</v>
      </c>
      <c r="E763" t="str">
        <f t="shared" si="67"/>
        <v>253-76-61</v>
      </c>
      <c r="F763" t="str">
        <f t="shared" si="68"/>
        <v>2537661</v>
      </c>
      <c r="G763">
        <f t="shared" si="69"/>
        <v>253</v>
      </c>
      <c r="H763">
        <f t="shared" si="70"/>
        <v>76</v>
      </c>
      <c r="I763">
        <f t="shared" si="71"/>
        <v>61</v>
      </c>
      <c r="J763" s="1053" t="str" cm="1">
        <f t="array" ref="J763">myRGB(G763,H763,I763)</f>
        <v/>
      </c>
    </row>
    <row r="764" spans="1:10" ht="17" x14ac:dyDescent="0.25">
      <c r="A764" s="1" t="s">
        <v>766</v>
      </c>
      <c r="B764" s="1" t="s">
        <v>3418</v>
      </c>
      <c r="C764" s="1" t="s">
        <v>2093</v>
      </c>
      <c r="D764" t="str">
        <f t="shared" si="66"/>
        <v>FE4C3D</v>
      </c>
      <c r="E764" t="str">
        <f t="shared" si="67"/>
        <v>254-76-61</v>
      </c>
      <c r="F764" t="str">
        <f t="shared" si="68"/>
        <v>2547661</v>
      </c>
      <c r="G764">
        <f t="shared" si="69"/>
        <v>254</v>
      </c>
      <c r="H764">
        <f t="shared" si="70"/>
        <v>76</v>
      </c>
      <c r="I764">
        <f t="shared" si="71"/>
        <v>61</v>
      </c>
      <c r="J764" s="430" t="str" cm="1">
        <f t="array" ref="J764">myRGB(G764,H764,I764)</f>
        <v/>
      </c>
    </row>
    <row r="765" spans="1:10" ht="17" x14ac:dyDescent="0.25">
      <c r="A765" s="1" t="s">
        <v>767</v>
      </c>
      <c r="B765" s="1" t="s">
        <v>3419</v>
      </c>
      <c r="C765" s="1" t="s">
        <v>2094</v>
      </c>
      <c r="D765" t="str">
        <f t="shared" si="66"/>
        <v>FF4B3D</v>
      </c>
      <c r="E765" t="str">
        <f t="shared" si="67"/>
        <v>255-75-61</v>
      </c>
      <c r="F765" t="str">
        <f t="shared" si="68"/>
        <v>2557561</v>
      </c>
      <c r="G765">
        <f t="shared" si="69"/>
        <v>255</v>
      </c>
      <c r="H765">
        <f t="shared" si="70"/>
        <v>75</v>
      </c>
      <c r="I765">
        <f t="shared" si="71"/>
        <v>61</v>
      </c>
      <c r="J765" s="676" t="str" cm="1">
        <f t="array" ref="J765">myRGB(G765,H765,I765)</f>
        <v/>
      </c>
    </row>
    <row r="766" spans="1:10" ht="17" x14ac:dyDescent="0.25">
      <c r="A766" s="1" t="s">
        <v>768</v>
      </c>
      <c r="B766" s="1" t="s">
        <v>3420</v>
      </c>
      <c r="C766" s="1" t="s">
        <v>2095</v>
      </c>
      <c r="D766" t="str">
        <f t="shared" si="66"/>
        <v>FF4A3E</v>
      </c>
      <c r="E766" t="str">
        <f t="shared" si="67"/>
        <v>255-74-62</v>
      </c>
      <c r="F766" t="str">
        <f t="shared" si="68"/>
        <v>2557462</v>
      </c>
      <c r="G766">
        <f t="shared" si="69"/>
        <v>255</v>
      </c>
      <c r="H766">
        <f t="shared" si="70"/>
        <v>74</v>
      </c>
      <c r="I766">
        <f t="shared" si="71"/>
        <v>62</v>
      </c>
      <c r="J766" s="593" t="str" cm="1">
        <f t="array" ref="J766">myRGB(G766,H766,I766)</f>
        <v/>
      </c>
    </row>
    <row r="767" spans="1:10" ht="17" x14ac:dyDescent="0.25">
      <c r="A767" s="1" t="s">
        <v>769</v>
      </c>
      <c r="B767" s="1" t="s">
        <v>3421</v>
      </c>
      <c r="C767" s="1" t="s">
        <v>2096</v>
      </c>
      <c r="D767" t="str">
        <f t="shared" si="66"/>
        <v>FD4B3E</v>
      </c>
      <c r="E767" t="str">
        <f t="shared" si="67"/>
        <v>253-75-62</v>
      </c>
      <c r="F767" t="str">
        <f t="shared" si="68"/>
        <v>2537562</v>
      </c>
      <c r="G767">
        <f t="shared" si="69"/>
        <v>253</v>
      </c>
      <c r="H767">
        <f t="shared" si="70"/>
        <v>75</v>
      </c>
      <c r="I767">
        <f t="shared" si="71"/>
        <v>62</v>
      </c>
      <c r="J767" s="698" t="str" cm="1">
        <f t="array" ref="J767">myRGB(G767,H767,I767)</f>
        <v/>
      </c>
    </row>
    <row r="768" spans="1:10" ht="17" x14ac:dyDescent="0.25">
      <c r="A768" s="1" t="s">
        <v>770</v>
      </c>
      <c r="B768" s="1" t="s">
        <v>3422</v>
      </c>
      <c r="C768" s="1" t="s">
        <v>2097</v>
      </c>
      <c r="D768" t="str">
        <f t="shared" si="66"/>
        <v>FC4B3E</v>
      </c>
      <c r="E768" t="str">
        <f t="shared" si="67"/>
        <v>252-75-62</v>
      </c>
      <c r="F768" t="str">
        <f t="shared" si="68"/>
        <v>2527562</v>
      </c>
      <c r="G768">
        <f t="shared" si="69"/>
        <v>252</v>
      </c>
      <c r="H768">
        <f t="shared" si="70"/>
        <v>75</v>
      </c>
      <c r="I768">
        <f t="shared" si="71"/>
        <v>62</v>
      </c>
      <c r="J768" s="526" t="str" cm="1">
        <f t="array" ref="J768">myRGB(G768,H768,I768)</f>
        <v/>
      </c>
    </row>
    <row r="769" spans="1:10" ht="17" x14ac:dyDescent="0.25">
      <c r="A769" s="1" t="s">
        <v>771</v>
      </c>
      <c r="B769" s="1" t="s">
        <v>3423</v>
      </c>
      <c r="C769" s="1" t="s">
        <v>2098</v>
      </c>
      <c r="D769" t="str">
        <f t="shared" si="66"/>
        <v>FE4A3C</v>
      </c>
      <c r="E769" t="str">
        <f t="shared" si="67"/>
        <v>254-74-60</v>
      </c>
      <c r="F769" t="str">
        <f t="shared" si="68"/>
        <v>2547460</v>
      </c>
      <c r="G769">
        <f t="shared" si="69"/>
        <v>254</v>
      </c>
      <c r="H769">
        <f t="shared" si="70"/>
        <v>74</v>
      </c>
      <c r="I769">
        <f t="shared" si="71"/>
        <v>60</v>
      </c>
      <c r="J769" s="429" t="str" cm="1">
        <f t="array" ref="J769">myRGB(G769,H769,I769)</f>
        <v/>
      </c>
    </row>
    <row r="770" spans="1:10" ht="17" x14ac:dyDescent="0.25">
      <c r="A770" s="1" t="s">
        <v>772</v>
      </c>
      <c r="B770" s="1" t="s">
        <v>3424</v>
      </c>
      <c r="C770" s="1" t="s">
        <v>2099</v>
      </c>
      <c r="D770" t="str">
        <f t="shared" si="66"/>
        <v>FE493D</v>
      </c>
      <c r="E770" t="str">
        <f t="shared" si="67"/>
        <v>254-73-61</v>
      </c>
      <c r="F770" t="str">
        <f t="shared" si="68"/>
        <v>2547361</v>
      </c>
      <c r="G770">
        <f t="shared" si="69"/>
        <v>254</v>
      </c>
      <c r="H770">
        <f t="shared" si="70"/>
        <v>73</v>
      </c>
      <c r="I770">
        <f t="shared" si="71"/>
        <v>61</v>
      </c>
      <c r="J770" s="793" t="str" cm="1">
        <f t="array" ref="J770">myRGB(G770,H770,I770)</f>
        <v/>
      </c>
    </row>
    <row r="771" spans="1:10" ht="17" x14ac:dyDescent="0.25">
      <c r="A771" s="1" t="s">
        <v>773</v>
      </c>
      <c r="B771" s="1" t="s">
        <v>3425</v>
      </c>
      <c r="C771" s="1" t="s">
        <v>2100</v>
      </c>
      <c r="D771" t="str">
        <f t="shared" si="66"/>
        <v>FD4A3D</v>
      </c>
      <c r="E771" t="str">
        <f t="shared" si="67"/>
        <v>253-74-61</v>
      </c>
      <c r="F771" t="str">
        <f t="shared" si="68"/>
        <v>2537461</v>
      </c>
      <c r="G771">
        <f t="shared" si="69"/>
        <v>253</v>
      </c>
      <c r="H771">
        <f t="shared" si="70"/>
        <v>74</v>
      </c>
      <c r="I771">
        <f t="shared" si="71"/>
        <v>61</v>
      </c>
      <c r="J771" s="758" t="str" cm="1">
        <f t="array" ref="J771">myRGB(G771,H771,I771)</f>
        <v/>
      </c>
    </row>
    <row r="772" spans="1:10" ht="17" x14ac:dyDescent="0.25">
      <c r="A772" s="1" t="s">
        <v>774</v>
      </c>
      <c r="B772" s="1" t="s">
        <v>3426</v>
      </c>
      <c r="C772" s="1" t="s">
        <v>2101</v>
      </c>
      <c r="D772" t="str">
        <f t="shared" ref="D772:D835" si="72">RIGHT(LEFT(C772,9),6)</f>
        <v>FF493D</v>
      </c>
      <c r="E772" t="str">
        <f t="shared" ref="E772:E835" si="73">HEX2DEC(LEFT(D772,2))&amp;"-"&amp;HEX2DEC(MID(D772,3,2))&amp;"-"&amp;HEX2DEC(RIGHT(D772,2))</f>
        <v>255-73-61</v>
      </c>
      <c r="F772" t="str">
        <f t="shared" ref="F772:F835" si="74">HEX2DEC(LEFT(D772,2))&amp;HEX2DEC(MID(D772,3,2))&amp;HEX2DEC(RIGHT(D772,2))</f>
        <v>2557361</v>
      </c>
      <c r="G772">
        <f t="shared" ref="G772:G835" si="75">HEX2DEC(LEFT(D772,2))</f>
        <v>255</v>
      </c>
      <c r="H772">
        <f t="shared" ref="H772:H835" si="76">HEX2DEC(MID(D772,3,2))</f>
        <v>73</v>
      </c>
      <c r="I772">
        <f t="shared" ref="I772:I835" si="77">HEX2DEC(RIGHT(D772,2))</f>
        <v>61</v>
      </c>
      <c r="J772" s="428" t="str" cm="1">
        <f t="array" ref="J772">myRGB(G772,H772,I772)</f>
        <v/>
      </c>
    </row>
    <row r="773" spans="1:10" ht="17" x14ac:dyDescent="0.25">
      <c r="A773" s="1" t="s">
        <v>775</v>
      </c>
      <c r="B773" s="1" t="s">
        <v>3427</v>
      </c>
      <c r="C773" s="1" t="s">
        <v>2102</v>
      </c>
      <c r="D773" t="str">
        <f t="shared" si="72"/>
        <v>FE4C3B</v>
      </c>
      <c r="E773" t="str">
        <f t="shared" si="73"/>
        <v>254-76-59</v>
      </c>
      <c r="F773" t="str">
        <f t="shared" si="74"/>
        <v>2547659</v>
      </c>
      <c r="G773">
        <f t="shared" si="75"/>
        <v>254</v>
      </c>
      <c r="H773">
        <f t="shared" si="76"/>
        <v>76</v>
      </c>
      <c r="I773">
        <f t="shared" si="77"/>
        <v>59</v>
      </c>
      <c r="J773" s="1179" t="str" cm="1">
        <f t="array" ref="J773">myRGB(G773,H773,I773)</f>
        <v/>
      </c>
    </row>
    <row r="774" spans="1:10" ht="17" x14ac:dyDescent="0.25">
      <c r="A774" s="1" t="s">
        <v>776</v>
      </c>
      <c r="B774" s="1" t="s">
        <v>3428</v>
      </c>
      <c r="C774" s="1" t="s">
        <v>2103</v>
      </c>
      <c r="D774" t="str">
        <f t="shared" si="72"/>
        <v>FE493E</v>
      </c>
      <c r="E774" t="str">
        <f t="shared" si="73"/>
        <v>254-73-62</v>
      </c>
      <c r="F774" t="str">
        <f t="shared" si="74"/>
        <v>2547362</v>
      </c>
      <c r="G774">
        <f t="shared" si="75"/>
        <v>254</v>
      </c>
      <c r="H774">
        <f t="shared" si="76"/>
        <v>73</v>
      </c>
      <c r="I774">
        <f t="shared" si="77"/>
        <v>62</v>
      </c>
      <c r="J774" s="1102" t="str" cm="1">
        <f t="array" ref="J774">myRGB(G774,H774,I774)</f>
        <v/>
      </c>
    </row>
    <row r="775" spans="1:10" ht="17" x14ac:dyDescent="0.25">
      <c r="A775" s="1" t="s">
        <v>777</v>
      </c>
      <c r="B775" s="1" t="s">
        <v>3429</v>
      </c>
      <c r="C775" s="1" t="s">
        <v>2104</v>
      </c>
      <c r="D775" t="str">
        <f t="shared" si="72"/>
        <v>FF4B3C</v>
      </c>
      <c r="E775" t="str">
        <f t="shared" si="73"/>
        <v>255-75-60</v>
      </c>
      <c r="F775" t="str">
        <f t="shared" si="74"/>
        <v>2557560</v>
      </c>
      <c r="G775">
        <f t="shared" si="75"/>
        <v>255</v>
      </c>
      <c r="H775">
        <f t="shared" si="76"/>
        <v>75</v>
      </c>
      <c r="I775">
        <f t="shared" si="77"/>
        <v>60</v>
      </c>
      <c r="J775" s="566" t="str" cm="1">
        <f t="array" ref="J775">myRGB(G775,H775,I775)</f>
        <v/>
      </c>
    </row>
    <row r="776" spans="1:10" ht="17" x14ac:dyDescent="0.25">
      <c r="A776" s="1" t="s">
        <v>778</v>
      </c>
      <c r="B776" s="1" t="s">
        <v>3430</v>
      </c>
      <c r="C776" s="1" t="s">
        <v>2105</v>
      </c>
      <c r="D776" t="str">
        <f t="shared" si="72"/>
        <v>FC4C3D</v>
      </c>
      <c r="E776" t="str">
        <f t="shared" si="73"/>
        <v>252-76-61</v>
      </c>
      <c r="F776" t="str">
        <f t="shared" si="74"/>
        <v>2527661</v>
      </c>
      <c r="G776">
        <f t="shared" si="75"/>
        <v>252</v>
      </c>
      <c r="H776">
        <f t="shared" si="76"/>
        <v>76</v>
      </c>
      <c r="I776">
        <f t="shared" si="77"/>
        <v>61</v>
      </c>
      <c r="J776" s="525" t="str" cm="1">
        <f t="array" ref="J776">myRGB(G776,H776,I776)</f>
        <v/>
      </c>
    </row>
    <row r="777" spans="1:10" ht="17" x14ac:dyDescent="0.25">
      <c r="A777" s="1" t="s">
        <v>779</v>
      </c>
      <c r="B777" s="1" t="s">
        <v>3431</v>
      </c>
      <c r="C777" s="1" t="s">
        <v>2106</v>
      </c>
      <c r="D777" t="str">
        <f t="shared" si="72"/>
        <v>FF4C3E</v>
      </c>
      <c r="E777" t="str">
        <f t="shared" si="73"/>
        <v>255-76-62</v>
      </c>
      <c r="F777" t="str">
        <f t="shared" si="74"/>
        <v>2557662</v>
      </c>
      <c r="G777">
        <f t="shared" si="75"/>
        <v>255</v>
      </c>
      <c r="H777">
        <f t="shared" si="76"/>
        <v>76</v>
      </c>
      <c r="I777">
        <f t="shared" si="77"/>
        <v>62</v>
      </c>
      <c r="J777" s="592" t="str" cm="1">
        <f t="array" ref="J777">myRGB(G777,H777,I777)</f>
        <v/>
      </c>
    </row>
    <row r="778" spans="1:10" ht="17" x14ac:dyDescent="0.25">
      <c r="A778" s="1" t="s">
        <v>780</v>
      </c>
      <c r="B778" s="1" t="s">
        <v>3432</v>
      </c>
      <c r="C778" s="1" t="s">
        <v>2107</v>
      </c>
      <c r="D778" t="str">
        <f t="shared" si="72"/>
        <v>FD4C3E</v>
      </c>
      <c r="E778" t="str">
        <f t="shared" si="73"/>
        <v>253-76-62</v>
      </c>
      <c r="F778" t="str">
        <f t="shared" si="74"/>
        <v>2537662</v>
      </c>
      <c r="G778">
        <f t="shared" si="75"/>
        <v>253</v>
      </c>
      <c r="H778">
        <f t="shared" si="76"/>
        <v>76</v>
      </c>
      <c r="I778">
        <f t="shared" si="77"/>
        <v>62</v>
      </c>
      <c r="J778" s="427" t="str" cm="1">
        <f t="array" ref="J778">myRGB(G778,H778,I778)</f>
        <v/>
      </c>
    </row>
    <row r="779" spans="1:10" ht="17" x14ac:dyDescent="0.25">
      <c r="A779" s="1" t="s">
        <v>781</v>
      </c>
      <c r="B779" s="1" t="s">
        <v>3433</v>
      </c>
      <c r="C779" s="1" t="s">
        <v>2108</v>
      </c>
      <c r="D779" t="str">
        <f t="shared" si="72"/>
        <v>FE4A3D</v>
      </c>
      <c r="E779" t="str">
        <f t="shared" si="73"/>
        <v>254-74-61</v>
      </c>
      <c r="F779" t="str">
        <f t="shared" si="74"/>
        <v>2547461</v>
      </c>
      <c r="G779">
        <f t="shared" si="75"/>
        <v>254</v>
      </c>
      <c r="H779">
        <f t="shared" si="76"/>
        <v>74</v>
      </c>
      <c r="I779">
        <f t="shared" si="77"/>
        <v>61</v>
      </c>
      <c r="J779" s="1175" t="str" cm="1">
        <f t="array" ref="J779">myRGB(G779,H779,I779)</f>
        <v/>
      </c>
    </row>
    <row r="780" spans="1:10" ht="17" x14ac:dyDescent="0.25">
      <c r="A780" s="1" t="s">
        <v>782</v>
      </c>
      <c r="B780" s="1" t="s">
        <v>3434</v>
      </c>
      <c r="C780" s="1" t="s">
        <v>2109</v>
      </c>
      <c r="D780" t="str">
        <f t="shared" si="72"/>
        <v>FD4B3D</v>
      </c>
      <c r="E780" t="str">
        <f t="shared" si="73"/>
        <v>253-75-61</v>
      </c>
      <c r="F780" t="str">
        <f t="shared" si="74"/>
        <v>2537561</v>
      </c>
      <c r="G780">
        <f t="shared" si="75"/>
        <v>253</v>
      </c>
      <c r="H780">
        <f t="shared" si="76"/>
        <v>75</v>
      </c>
      <c r="I780">
        <f t="shared" si="77"/>
        <v>61</v>
      </c>
      <c r="J780" s="1180" t="str" cm="1">
        <f t="array" ref="J780">myRGB(G780,H780,I780)</f>
        <v/>
      </c>
    </row>
    <row r="781" spans="1:10" ht="17" x14ac:dyDescent="0.25">
      <c r="A781" s="1" t="s">
        <v>783</v>
      </c>
      <c r="B781" s="1" t="s">
        <v>3435</v>
      </c>
      <c r="C781" s="1" t="s">
        <v>2110</v>
      </c>
      <c r="D781" t="str">
        <f t="shared" si="72"/>
        <v>FF4A3C</v>
      </c>
      <c r="E781" t="str">
        <f t="shared" si="73"/>
        <v>255-74-60</v>
      </c>
      <c r="F781" t="str">
        <f t="shared" si="74"/>
        <v>2557460</v>
      </c>
      <c r="G781">
        <f t="shared" si="75"/>
        <v>255</v>
      </c>
      <c r="H781">
        <f t="shared" si="76"/>
        <v>74</v>
      </c>
      <c r="I781">
        <f t="shared" si="77"/>
        <v>60</v>
      </c>
      <c r="J781" s="1276" t="str" cm="1">
        <f t="array" ref="J781">myRGB(G781,H781,I781)</f>
        <v/>
      </c>
    </row>
    <row r="782" spans="1:10" ht="17" x14ac:dyDescent="0.25">
      <c r="A782" s="1" t="s">
        <v>784</v>
      </c>
      <c r="B782" s="1" t="s">
        <v>3436</v>
      </c>
      <c r="C782" s="1" t="s">
        <v>2111</v>
      </c>
      <c r="D782" t="str">
        <f t="shared" si="72"/>
        <v>FC4C3E</v>
      </c>
      <c r="E782" t="str">
        <f t="shared" si="73"/>
        <v>252-76-62</v>
      </c>
      <c r="F782" t="str">
        <f t="shared" si="74"/>
        <v>2527662</v>
      </c>
      <c r="G782">
        <f t="shared" si="75"/>
        <v>252</v>
      </c>
      <c r="H782">
        <f t="shared" si="76"/>
        <v>76</v>
      </c>
      <c r="I782">
        <f t="shared" si="77"/>
        <v>62</v>
      </c>
      <c r="J782" s="625" t="str" cm="1">
        <f t="array" ref="J782">myRGB(G782,H782,I782)</f>
        <v/>
      </c>
    </row>
    <row r="783" spans="1:10" ht="17" x14ac:dyDescent="0.25">
      <c r="A783" s="1" t="s">
        <v>785</v>
      </c>
      <c r="B783" s="1" t="s">
        <v>3437</v>
      </c>
      <c r="C783" s="1" t="s">
        <v>2112</v>
      </c>
      <c r="D783" t="str">
        <f t="shared" si="72"/>
        <v>FF4B3B</v>
      </c>
      <c r="E783" t="str">
        <f t="shared" si="73"/>
        <v>255-75-59</v>
      </c>
      <c r="F783" t="str">
        <f t="shared" si="74"/>
        <v>2557559</v>
      </c>
      <c r="G783">
        <f t="shared" si="75"/>
        <v>255</v>
      </c>
      <c r="H783">
        <f t="shared" si="76"/>
        <v>75</v>
      </c>
      <c r="I783">
        <f t="shared" si="77"/>
        <v>59</v>
      </c>
      <c r="J783" s="699" t="str" cm="1">
        <f t="array" ref="J783">myRGB(G783,H783,I783)</f>
        <v/>
      </c>
    </row>
    <row r="784" spans="1:10" ht="17" x14ac:dyDescent="0.25">
      <c r="A784" s="1" t="s">
        <v>786</v>
      </c>
      <c r="B784" s="1" t="s">
        <v>3438</v>
      </c>
      <c r="C784" s="1" t="s">
        <v>2113</v>
      </c>
      <c r="D784" t="str">
        <f t="shared" si="72"/>
        <v>FF4C3D</v>
      </c>
      <c r="E784" t="str">
        <f t="shared" si="73"/>
        <v>255-76-61</v>
      </c>
      <c r="F784" t="str">
        <f t="shared" si="74"/>
        <v>2557661</v>
      </c>
      <c r="G784">
        <f t="shared" si="75"/>
        <v>255</v>
      </c>
      <c r="H784">
        <f t="shared" si="76"/>
        <v>76</v>
      </c>
      <c r="I784">
        <f t="shared" si="77"/>
        <v>61</v>
      </c>
      <c r="J784" s="839" t="str" cm="1">
        <f t="array" ref="J784">myRGB(G784,H784,I784)</f>
        <v/>
      </c>
    </row>
    <row r="785" spans="1:10" ht="17" x14ac:dyDescent="0.25">
      <c r="A785" s="1" t="s">
        <v>787</v>
      </c>
      <c r="B785" s="1" t="s">
        <v>3439</v>
      </c>
      <c r="C785" s="1" t="s">
        <v>2114</v>
      </c>
      <c r="D785" t="str">
        <f t="shared" si="72"/>
        <v>FE4B3E</v>
      </c>
      <c r="E785" t="str">
        <f t="shared" si="73"/>
        <v>254-75-62</v>
      </c>
      <c r="F785" t="str">
        <f t="shared" si="74"/>
        <v>2547562</v>
      </c>
      <c r="G785">
        <f t="shared" si="75"/>
        <v>254</v>
      </c>
      <c r="H785">
        <f t="shared" si="76"/>
        <v>75</v>
      </c>
      <c r="I785">
        <f t="shared" si="77"/>
        <v>62</v>
      </c>
      <c r="J785" s="1046" t="str" cm="1">
        <f t="array" ref="J785">myRGB(G785,H785,I785)</f>
        <v/>
      </c>
    </row>
    <row r="786" spans="1:10" ht="17" x14ac:dyDescent="0.25">
      <c r="A786" s="1" t="s">
        <v>788</v>
      </c>
      <c r="B786" s="1" t="s">
        <v>3440</v>
      </c>
      <c r="C786" s="1" t="s">
        <v>2115</v>
      </c>
      <c r="D786" t="str">
        <f t="shared" si="72"/>
        <v>FE4B3D</v>
      </c>
      <c r="E786" t="str">
        <f t="shared" si="73"/>
        <v>254-75-61</v>
      </c>
      <c r="F786" t="str">
        <f t="shared" si="74"/>
        <v>2547561</v>
      </c>
      <c r="G786">
        <f t="shared" si="75"/>
        <v>254</v>
      </c>
      <c r="H786">
        <f t="shared" si="76"/>
        <v>75</v>
      </c>
      <c r="I786">
        <f t="shared" si="77"/>
        <v>61</v>
      </c>
      <c r="J786" s="1054" t="str" cm="1">
        <f t="array" ref="J786">myRGB(G786,H786,I786)</f>
        <v/>
      </c>
    </row>
    <row r="787" spans="1:10" ht="17" x14ac:dyDescent="0.25">
      <c r="A787" s="1" t="s">
        <v>789</v>
      </c>
      <c r="B787" s="1" t="s">
        <v>3441</v>
      </c>
      <c r="C787" s="1" t="s">
        <v>2116</v>
      </c>
      <c r="D787" t="str">
        <f t="shared" si="72"/>
        <v>FE4B3B</v>
      </c>
      <c r="E787" t="str">
        <f t="shared" si="73"/>
        <v>254-75-59</v>
      </c>
      <c r="F787" t="str">
        <f t="shared" si="74"/>
        <v>2547559</v>
      </c>
      <c r="G787">
        <f t="shared" si="75"/>
        <v>254</v>
      </c>
      <c r="H787">
        <f t="shared" si="76"/>
        <v>75</v>
      </c>
      <c r="I787">
        <f t="shared" si="77"/>
        <v>59</v>
      </c>
      <c r="J787" s="1176" t="str" cm="1">
        <f t="array" ref="J787">myRGB(G787,H787,I787)</f>
        <v/>
      </c>
    </row>
    <row r="788" spans="1:10" ht="17" x14ac:dyDescent="0.25">
      <c r="A788" s="1" t="s">
        <v>790</v>
      </c>
      <c r="B788" s="1" t="s">
        <v>3442</v>
      </c>
      <c r="C788" s="1" t="s">
        <v>2117</v>
      </c>
      <c r="D788" t="str">
        <f t="shared" si="72"/>
        <v>FE4B3C</v>
      </c>
      <c r="E788" t="str">
        <f t="shared" si="73"/>
        <v>254-75-60</v>
      </c>
      <c r="F788" t="str">
        <f t="shared" si="74"/>
        <v>2547560</v>
      </c>
      <c r="G788">
        <f t="shared" si="75"/>
        <v>254</v>
      </c>
      <c r="H788">
        <f t="shared" si="76"/>
        <v>75</v>
      </c>
      <c r="I788">
        <f t="shared" si="77"/>
        <v>60</v>
      </c>
      <c r="J788" s="1264" t="str" cm="1">
        <f t="array" ref="J788">myRGB(G788,H788,I788)</f>
        <v/>
      </c>
    </row>
    <row r="789" spans="1:10" ht="17" x14ac:dyDescent="0.25">
      <c r="A789" s="1" t="s">
        <v>791</v>
      </c>
      <c r="B789" s="1" t="s">
        <v>3443</v>
      </c>
      <c r="C789" s="1" t="s">
        <v>2118</v>
      </c>
      <c r="D789" t="str">
        <f t="shared" si="72"/>
        <v>FF4A3D</v>
      </c>
      <c r="E789" t="str">
        <f t="shared" si="73"/>
        <v>255-74-61</v>
      </c>
      <c r="F789" t="str">
        <f t="shared" si="74"/>
        <v>2557461</v>
      </c>
      <c r="G789">
        <f t="shared" si="75"/>
        <v>255</v>
      </c>
      <c r="H789">
        <f t="shared" si="76"/>
        <v>74</v>
      </c>
      <c r="I789">
        <f t="shared" si="77"/>
        <v>61</v>
      </c>
      <c r="J789" s="757" t="str" cm="1">
        <f t="array" ref="J789">myRGB(G789,H789,I789)</f>
        <v/>
      </c>
    </row>
    <row r="790" spans="1:10" ht="17" x14ac:dyDescent="0.25">
      <c r="A790" s="1" t="s">
        <v>792</v>
      </c>
      <c r="B790" s="1" t="s">
        <v>3444</v>
      </c>
      <c r="C790" s="1" t="s">
        <v>2119</v>
      </c>
      <c r="D790" t="str">
        <f t="shared" si="72"/>
        <v>FD4C3C</v>
      </c>
      <c r="E790" t="str">
        <f t="shared" si="73"/>
        <v>253-76-60</v>
      </c>
      <c r="F790" t="str">
        <f t="shared" si="74"/>
        <v>2537660</v>
      </c>
      <c r="G790">
        <f t="shared" si="75"/>
        <v>253</v>
      </c>
      <c r="H790">
        <f t="shared" si="76"/>
        <v>76</v>
      </c>
      <c r="I790">
        <f t="shared" si="77"/>
        <v>60</v>
      </c>
      <c r="J790" s="1055" t="str" cm="1">
        <f t="array" ref="J790">myRGB(G790,H790,I790)</f>
        <v/>
      </c>
    </row>
    <row r="791" spans="1:10" ht="17" x14ac:dyDescent="0.25">
      <c r="A791" s="1" t="s">
        <v>793</v>
      </c>
      <c r="B791" s="1" t="s">
        <v>3445</v>
      </c>
      <c r="C791" s="1" t="s">
        <v>2120</v>
      </c>
      <c r="D791" t="str">
        <f t="shared" si="72"/>
        <v>FD4A3E</v>
      </c>
      <c r="E791" t="str">
        <f t="shared" si="73"/>
        <v>253-74-62</v>
      </c>
      <c r="F791" t="str">
        <f t="shared" si="74"/>
        <v>2537462</v>
      </c>
      <c r="G791">
        <f t="shared" si="75"/>
        <v>253</v>
      </c>
      <c r="H791">
        <f t="shared" si="76"/>
        <v>74</v>
      </c>
      <c r="I791">
        <f t="shared" si="77"/>
        <v>62</v>
      </c>
      <c r="J791" s="1111" t="str" cm="1">
        <f t="array" ref="J791">myRGB(G791,H791,I791)</f>
        <v/>
      </c>
    </row>
    <row r="792" spans="1:10" ht="17" x14ac:dyDescent="0.25">
      <c r="A792" s="1" t="s">
        <v>794</v>
      </c>
      <c r="B792" s="1" t="s">
        <v>3446</v>
      </c>
      <c r="C792" s="1" t="s">
        <v>2121</v>
      </c>
      <c r="D792" t="str">
        <f t="shared" si="72"/>
        <v>FF4C3B</v>
      </c>
      <c r="E792" t="str">
        <f t="shared" si="73"/>
        <v>255-76-59</v>
      </c>
      <c r="F792" t="str">
        <f t="shared" si="74"/>
        <v>2557659</v>
      </c>
      <c r="G792">
        <f t="shared" si="75"/>
        <v>255</v>
      </c>
      <c r="H792">
        <f t="shared" si="76"/>
        <v>76</v>
      </c>
      <c r="I792">
        <f t="shared" si="77"/>
        <v>59</v>
      </c>
      <c r="J792" s="1128" t="str" cm="1">
        <f t="array" ref="J792">myRGB(G792,H792,I792)</f>
        <v/>
      </c>
    </row>
    <row r="793" spans="1:10" ht="17" x14ac:dyDescent="0.25">
      <c r="A793" s="1" t="s">
        <v>795</v>
      </c>
      <c r="B793" s="1" t="s">
        <v>3447</v>
      </c>
      <c r="C793" s="1" t="s">
        <v>2122</v>
      </c>
      <c r="D793" t="str">
        <f t="shared" si="72"/>
        <v>FF493E</v>
      </c>
      <c r="E793" t="str">
        <f t="shared" si="73"/>
        <v>255-73-62</v>
      </c>
      <c r="F793" t="str">
        <f t="shared" si="74"/>
        <v>2557362</v>
      </c>
      <c r="G793">
        <f t="shared" si="75"/>
        <v>255</v>
      </c>
      <c r="H793">
        <f t="shared" si="76"/>
        <v>73</v>
      </c>
      <c r="I793">
        <f t="shared" si="77"/>
        <v>62</v>
      </c>
      <c r="J793" s="1047" t="str" cm="1">
        <f t="array" ref="J793">myRGB(G793,H793,I793)</f>
        <v/>
      </c>
    </row>
    <row r="794" spans="1:10" ht="17" x14ac:dyDescent="0.25">
      <c r="A794" s="1" t="s">
        <v>796</v>
      </c>
      <c r="B794" s="1" t="s">
        <v>3448</v>
      </c>
      <c r="C794" s="1" t="s">
        <v>2123</v>
      </c>
      <c r="D794" t="str">
        <f t="shared" si="72"/>
        <v>FD4B3C</v>
      </c>
      <c r="E794" t="str">
        <f t="shared" si="73"/>
        <v>253-75-60</v>
      </c>
      <c r="F794" t="str">
        <f t="shared" si="74"/>
        <v>2537560</v>
      </c>
      <c r="G794">
        <f t="shared" si="75"/>
        <v>253</v>
      </c>
      <c r="H794">
        <f t="shared" si="76"/>
        <v>75</v>
      </c>
      <c r="I794">
        <f t="shared" si="77"/>
        <v>60</v>
      </c>
      <c r="J794" s="426" t="str" cm="1">
        <f t="array" ref="J794">myRGB(G794,H794,I794)</f>
        <v/>
      </c>
    </row>
    <row r="795" spans="1:10" ht="17" x14ac:dyDescent="0.25">
      <c r="A795" s="1" t="s">
        <v>797</v>
      </c>
      <c r="B795" s="1" t="s">
        <v>3449</v>
      </c>
      <c r="C795" s="1" t="s">
        <v>2124</v>
      </c>
      <c r="D795" t="str">
        <f t="shared" si="72"/>
        <v>F1483B</v>
      </c>
      <c r="E795" t="str">
        <f t="shared" si="73"/>
        <v>241-72-59</v>
      </c>
      <c r="F795" t="str">
        <f t="shared" si="74"/>
        <v>2417259</v>
      </c>
      <c r="G795">
        <f t="shared" si="75"/>
        <v>241</v>
      </c>
      <c r="H795">
        <f t="shared" si="76"/>
        <v>72</v>
      </c>
      <c r="I795">
        <f t="shared" si="77"/>
        <v>59</v>
      </c>
      <c r="J795" s="528" t="str" cm="1">
        <f t="array" ref="J795">myRGB(G795,H795,I795)</f>
        <v/>
      </c>
    </row>
    <row r="796" spans="1:10" ht="17" x14ac:dyDescent="0.25">
      <c r="A796" s="1" t="s">
        <v>798</v>
      </c>
      <c r="B796" s="1" t="s">
        <v>3450</v>
      </c>
      <c r="C796" s="1" t="s">
        <v>2125</v>
      </c>
      <c r="D796" t="str">
        <f t="shared" si="72"/>
        <v>F2483A</v>
      </c>
      <c r="E796" t="str">
        <f t="shared" si="73"/>
        <v>242-72-58</v>
      </c>
      <c r="F796" t="str">
        <f t="shared" si="74"/>
        <v>2427258</v>
      </c>
      <c r="G796">
        <f t="shared" si="75"/>
        <v>242</v>
      </c>
      <c r="H796">
        <f t="shared" si="76"/>
        <v>72</v>
      </c>
      <c r="I796">
        <f t="shared" si="77"/>
        <v>58</v>
      </c>
      <c r="J796" s="840" t="str" cm="1">
        <f t="array" ref="J796">myRGB(G796,H796,I796)</f>
        <v/>
      </c>
    </row>
    <row r="797" spans="1:10" ht="17" x14ac:dyDescent="0.25">
      <c r="A797" s="1" t="s">
        <v>799</v>
      </c>
      <c r="B797" s="1" t="s">
        <v>3451</v>
      </c>
      <c r="C797" s="1" t="s">
        <v>2126</v>
      </c>
      <c r="D797" t="str">
        <f t="shared" si="72"/>
        <v>F2473B</v>
      </c>
      <c r="E797" t="str">
        <f t="shared" si="73"/>
        <v>242-71-59</v>
      </c>
      <c r="F797" t="str">
        <f t="shared" si="74"/>
        <v>2427159</v>
      </c>
      <c r="G797">
        <f t="shared" si="75"/>
        <v>242</v>
      </c>
      <c r="H797">
        <f t="shared" si="76"/>
        <v>71</v>
      </c>
      <c r="I797">
        <f t="shared" si="77"/>
        <v>59</v>
      </c>
      <c r="J797" s="760" t="str" cm="1">
        <f t="array" ref="J797">myRGB(G797,H797,I797)</f>
        <v/>
      </c>
    </row>
    <row r="798" spans="1:10" ht="17" x14ac:dyDescent="0.25">
      <c r="A798" s="1" t="s">
        <v>800</v>
      </c>
      <c r="B798" s="1" t="s">
        <v>3452</v>
      </c>
      <c r="C798" s="1" t="s">
        <v>2127</v>
      </c>
      <c r="D798" t="str">
        <f t="shared" si="72"/>
        <v>F2473A</v>
      </c>
      <c r="E798" t="str">
        <f t="shared" si="73"/>
        <v>242-71-58</v>
      </c>
      <c r="F798" t="str">
        <f t="shared" si="74"/>
        <v>2427158</v>
      </c>
      <c r="G798">
        <f t="shared" si="75"/>
        <v>242</v>
      </c>
      <c r="H798">
        <f t="shared" si="76"/>
        <v>71</v>
      </c>
      <c r="I798">
        <f t="shared" si="77"/>
        <v>58</v>
      </c>
      <c r="J798" s="700" t="str" cm="1">
        <f t="array" ref="J798">myRGB(G798,H798,I798)</f>
        <v/>
      </c>
    </row>
    <row r="799" spans="1:10" ht="17" x14ac:dyDescent="0.25">
      <c r="A799" s="1" t="s">
        <v>801</v>
      </c>
      <c r="B799" s="1" t="s">
        <v>3453</v>
      </c>
      <c r="C799" s="1" t="s">
        <v>2128</v>
      </c>
      <c r="D799" t="str">
        <f t="shared" si="72"/>
        <v>F1483A</v>
      </c>
      <c r="E799" t="str">
        <f t="shared" si="73"/>
        <v>241-72-58</v>
      </c>
      <c r="F799" t="str">
        <f t="shared" si="74"/>
        <v>2417258</v>
      </c>
      <c r="G799">
        <f t="shared" si="75"/>
        <v>241</v>
      </c>
      <c r="H799">
        <f t="shared" si="76"/>
        <v>72</v>
      </c>
      <c r="I799">
        <f t="shared" si="77"/>
        <v>58</v>
      </c>
      <c r="J799" s="432" t="str" cm="1">
        <f t="array" ref="J799">myRGB(G799,H799,I799)</f>
        <v/>
      </c>
    </row>
    <row r="800" spans="1:10" ht="17" x14ac:dyDescent="0.25">
      <c r="A800" s="1" t="s">
        <v>802</v>
      </c>
      <c r="B800" s="1" t="s">
        <v>3454</v>
      </c>
      <c r="C800" s="1" t="s">
        <v>2129</v>
      </c>
      <c r="D800" t="str">
        <f t="shared" si="72"/>
        <v>F2463A</v>
      </c>
      <c r="E800" t="str">
        <f t="shared" si="73"/>
        <v>242-70-58</v>
      </c>
      <c r="F800" t="str">
        <f t="shared" si="74"/>
        <v>2427058</v>
      </c>
      <c r="G800">
        <f t="shared" si="75"/>
        <v>242</v>
      </c>
      <c r="H800">
        <f t="shared" si="76"/>
        <v>70</v>
      </c>
      <c r="I800">
        <f t="shared" si="77"/>
        <v>58</v>
      </c>
      <c r="J800" s="594" t="str" cm="1">
        <f t="array" ref="J800">myRGB(G800,H800,I800)</f>
        <v/>
      </c>
    </row>
    <row r="801" spans="1:10" ht="17" x14ac:dyDescent="0.25">
      <c r="A801" s="1" t="s">
        <v>803</v>
      </c>
      <c r="B801" s="1" t="s">
        <v>3455</v>
      </c>
      <c r="C801" s="1" t="s">
        <v>2130</v>
      </c>
      <c r="D801" t="str">
        <f t="shared" si="72"/>
        <v>F2483B</v>
      </c>
      <c r="E801" t="str">
        <f t="shared" si="73"/>
        <v>242-72-59</v>
      </c>
      <c r="F801" t="str">
        <f t="shared" si="74"/>
        <v>2427259</v>
      </c>
      <c r="G801">
        <f t="shared" si="75"/>
        <v>242</v>
      </c>
      <c r="H801">
        <f t="shared" si="76"/>
        <v>72</v>
      </c>
      <c r="I801">
        <f t="shared" si="77"/>
        <v>59</v>
      </c>
      <c r="J801" s="433" t="str" cm="1">
        <f t="array" ref="J801">myRGB(G801,H801,I801)</f>
        <v/>
      </c>
    </row>
    <row r="802" spans="1:10" ht="17" x14ac:dyDescent="0.25">
      <c r="A802" s="1" t="s">
        <v>804</v>
      </c>
      <c r="B802" s="1" t="s">
        <v>3456</v>
      </c>
      <c r="C802" s="1" t="s">
        <v>2131</v>
      </c>
      <c r="D802" t="str">
        <f t="shared" si="72"/>
        <v>F1473B</v>
      </c>
      <c r="E802" t="str">
        <f t="shared" si="73"/>
        <v>241-71-59</v>
      </c>
      <c r="F802" t="str">
        <f t="shared" si="74"/>
        <v>2417159</v>
      </c>
      <c r="G802">
        <f t="shared" si="75"/>
        <v>241</v>
      </c>
      <c r="H802">
        <f t="shared" si="76"/>
        <v>71</v>
      </c>
      <c r="I802">
        <f t="shared" si="77"/>
        <v>59</v>
      </c>
      <c r="J802" s="626" t="str" cm="1">
        <f t="array" ref="J802">myRGB(G802,H802,I802)</f>
        <v/>
      </c>
    </row>
    <row r="803" spans="1:10" ht="17" x14ac:dyDescent="0.25">
      <c r="A803" s="1" t="s">
        <v>805</v>
      </c>
      <c r="B803" s="1" t="s">
        <v>3457</v>
      </c>
      <c r="C803" s="1" t="s">
        <v>2132</v>
      </c>
      <c r="D803" t="str">
        <f t="shared" si="72"/>
        <v>F24839</v>
      </c>
      <c r="E803" t="str">
        <f t="shared" si="73"/>
        <v>242-72-57</v>
      </c>
      <c r="F803" t="str">
        <f t="shared" si="74"/>
        <v>2427257</v>
      </c>
      <c r="G803">
        <f t="shared" si="75"/>
        <v>242</v>
      </c>
      <c r="H803">
        <f t="shared" si="76"/>
        <v>72</v>
      </c>
      <c r="I803">
        <f t="shared" si="77"/>
        <v>57</v>
      </c>
      <c r="J803" s="527" t="str" cm="1">
        <f t="array" ref="J803">myRGB(G803,H803,I803)</f>
        <v/>
      </c>
    </row>
    <row r="804" spans="1:10" ht="17" x14ac:dyDescent="0.25">
      <c r="A804" s="1" t="s">
        <v>806</v>
      </c>
      <c r="B804" s="1" t="s">
        <v>3458</v>
      </c>
      <c r="C804" s="1" t="s">
        <v>2133</v>
      </c>
      <c r="D804" t="str">
        <f t="shared" si="72"/>
        <v>F0483B</v>
      </c>
      <c r="E804" t="str">
        <f t="shared" si="73"/>
        <v>240-72-59</v>
      </c>
      <c r="F804" t="str">
        <f t="shared" si="74"/>
        <v>2407259</v>
      </c>
      <c r="G804">
        <f t="shared" si="75"/>
        <v>240</v>
      </c>
      <c r="H804">
        <f t="shared" si="76"/>
        <v>72</v>
      </c>
      <c r="I804">
        <f t="shared" si="77"/>
        <v>59</v>
      </c>
      <c r="J804" s="431" t="str" cm="1">
        <f t="array" ref="J804">myRGB(G804,H804,I804)</f>
        <v/>
      </c>
    </row>
    <row r="805" spans="1:10" ht="17" x14ac:dyDescent="0.25">
      <c r="A805" s="1" t="s">
        <v>807</v>
      </c>
      <c r="B805" s="1" t="s">
        <v>3459</v>
      </c>
      <c r="C805" s="1" t="s">
        <v>2134</v>
      </c>
      <c r="D805" t="str">
        <f t="shared" si="72"/>
        <v>F2463B</v>
      </c>
      <c r="E805" t="str">
        <f t="shared" si="73"/>
        <v>242-70-59</v>
      </c>
      <c r="F805" t="str">
        <f t="shared" si="74"/>
        <v>2427059</v>
      </c>
      <c r="G805">
        <f t="shared" si="75"/>
        <v>242</v>
      </c>
      <c r="H805">
        <f t="shared" si="76"/>
        <v>70</v>
      </c>
      <c r="I805">
        <f t="shared" si="77"/>
        <v>59</v>
      </c>
      <c r="J805" s="1048" t="str" cm="1">
        <f t="array" ref="J805">myRGB(G805,H805,I805)</f>
        <v/>
      </c>
    </row>
    <row r="806" spans="1:10" ht="17" x14ac:dyDescent="0.25">
      <c r="A806" s="1" t="s">
        <v>808</v>
      </c>
      <c r="B806" s="1" t="s">
        <v>3460</v>
      </c>
      <c r="C806" s="1" t="s">
        <v>2135</v>
      </c>
      <c r="D806" t="str">
        <f t="shared" si="72"/>
        <v>F24739</v>
      </c>
      <c r="E806" t="str">
        <f t="shared" si="73"/>
        <v>242-71-57</v>
      </c>
      <c r="F806" t="str">
        <f t="shared" si="74"/>
        <v>2427157</v>
      </c>
      <c r="G806">
        <f t="shared" si="75"/>
        <v>242</v>
      </c>
      <c r="H806">
        <f t="shared" si="76"/>
        <v>71</v>
      </c>
      <c r="I806">
        <f t="shared" si="77"/>
        <v>57</v>
      </c>
      <c r="J806" s="734" t="str" cm="1">
        <f t="array" ref="J806">myRGB(G806,H806,I806)</f>
        <v/>
      </c>
    </row>
    <row r="807" spans="1:10" ht="17" x14ac:dyDescent="0.25">
      <c r="A807" s="1" t="s">
        <v>809</v>
      </c>
      <c r="B807" s="1" t="s">
        <v>3461</v>
      </c>
      <c r="C807" s="1" t="s">
        <v>2136</v>
      </c>
      <c r="D807" t="str">
        <f t="shared" si="72"/>
        <v>F1473A</v>
      </c>
      <c r="E807" t="str">
        <f t="shared" si="73"/>
        <v>241-71-58</v>
      </c>
      <c r="F807" t="str">
        <f t="shared" si="74"/>
        <v>2417158</v>
      </c>
      <c r="G807">
        <f t="shared" si="75"/>
        <v>241</v>
      </c>
      <c r="H807">
        <f t="shared" si="76"/>
        <v>71</v>
      </c>
      <c r="I807">
        <f t="shared" si="77"/>
        <v>58</v>
      </c>
      <c r="J807" s="764" t="str" cm="1">
        <f t="array" ref="J807">myRGB(G807,H807,I807)</f>
        <v/>
      </c>
    </row>
    <row r="808" spans="1:10" ht="17" x14ac:dyDescent="0.25">
      <c r="A808" s="1" t="s">
        <v>810</v>
      </c>
      <c r="B808" s="1" t="s">
        <v>3462</v>
      </c>
      <c r="C808" s="1" t="s">
        <v>2137</v>
      </c>
      <c r="D808" t="str">
        <f t="shared" si="72"/>
        <v>FF64FF</v>
      </c>
      <c r="E808" t="str">
        <f t="shared" si="73"/>
        <v>255-100-255</v>
      </c>
      <c r="F808" t="str">
        <f t="shared" si="74"/>
        <v>255100255</v>
      </c>
      <c r="G808">
        <f t="shared" si="75"/>
        <v>255</v>
      </c>
      <c r="H808">
        <f t="shared" si="76"/>
        <v>100</v>
      </c>
      <c r="I808">
        <f t="shared" si="77"/>
        <v>255</v>
      </c>
      <c r="J808" s="385" t="str" cm="1">
        <f t="array" ref="J808">myRGB(G808,H808,I808)</f>
        <v/>
      </c>
    </row>
    <row r="809" spans="1:10" ht="17" x14ac:dyDescent="0.25">
      <c r="A809" s="1" t="s">
        <v>811</v>
      </c>
      <c r="B809" s="1" t="s">
        <v>3463</v>
      </c>
      <c r="C809" s="1" t="s">
        <v>2138</v>
      </c>
      <c r="D809" t="str">
        <f t="shared" si="72"/>
        <v>FE7AFF</v>
      </c>
      <c r="E809" t="str">
        <f t="shared" si="73"/>
        <v>254-122-255</v>
      </c>
      <c r="F809" t="str">
        <f t="shared" si="74"/>
        <v>254122255</v>
      </c>
      <c r="G809">
        <f t="shared" si="75"/>
        <v>254</v>
      </c>
      <c r="H809">
        <f t="shared" si="76"/>
        <v>122</v>
      </c>
      <c r="I809">
        <f t="shared" si="77"/>
        <v>255</v>
      </c>
      <c r="J809" s="405" t="str" cm="1">
        <f t="array" ref="J809">myRGB(G809,H809,I809)</f>
        <v/>
      </c>
    </row>
    <row r="810" spans="1:10" ht="17" x14ac:dyDescent="0.25">
      <c r="A810" s="1" t="s">
        <v>812</v>
      </c>
      <c r="B810" s="1" t="s">
        <v>3464</v>
      </c>
      <c r="C810" s="1" t="s">
        <v>2139</v>
      </c>
      <c r="D810" t="str">
        <f t="shared" si="72"/>
        <v>FF79FF</v>
      </c>
      <c r="E810" t="str">
        <f t="shared" si="73"/>
        <v>255-121-255</v>
      </c>
      <c r="F810" t="str">
        <f t="shared" si="74"/>
        <v>255121255</v>
      </c>
      <c r="G810">
        <f t="shared" si="75"/>
        <v>255</v>
      </c>
      <c r="H810">
        <f t="shared" si="76"/>
        <v>121</v>
      </c>
      <c r="I810">
        <f t="shared" si="77"/>
        <v>255</v>
      </c>
      <c r="J810" s="505" t="str" cm="1">
        <f t="array" ref="J810">myRGB(G810,H810,I810)</f>
        <v/>
      </c>
    </row>
    <row r="811" spans="1:10" ht="17" x14ac:dyDescent="0.25">
      <c r="A811" s="1" t="s">
        <v>813</v>
      </c>
      <c r="B811" s="1" t="s">
        <v>3465</v>
      </c>
      <c r="C811" s="1" t="s">
        <v>2140</v>
      </c>
      <c r="D811" t="str">
        <f t="shared" si="72"/>
        <v>FD7AFF</v>
      </c>
      <c r="E811" t="str">
        <f t="shared" si="73"/>
        <v>253-122-255</v>
      </c>
      <c r="F811" t="str">
        <f t="shared" si="74"/>
        <v>253122255</v>
      </c>
      <c r="G811">
        <f t="shared" si="75"/>
        <v>253</v>
      </c>
      <c r="H811">
        <f t="shared" si="76"/>
        <v>122</v>
      </c>
      <c r="I811">
        <f t="shared" si="77"/>
        <v>255</v>
      </c>
      <c r="J811" s="404" t="str" cm="1">
        <f t="array" ref="J811">myRGB(G811,H811,I811)</f>
        <v/>
      </c>
    </row>
    <row r="812" spans="1:10" ht="17" x14ac:dyDescent="0.25">
      <c r="A812" s="1" t="s">
        <v>814</v>
      </c>
      <c r="B812" s="1" t="s">
        <v>3466</v>
      </c>
      <c r="C812" s="1" t="s">
        <v>2141</v>
      </c>
      <c r="D812" t="str">
        <f t="shared" si="72"/>
        <v>FF78FF</v>
      </c>
      <c r="E812" t="str">
        <f t="shared" si="73"/>
        <v>255-120-255</v>
      </c>
      <c r="F812" t="str">
        <f t="shared" si="74"/>
        <v>255120255</v>
      </c>
      <c r="G812">
        <f t="shared" si="75"/>
        <v>255</v>
      </c>
      <c r="H812">
        <f t="shared" si="76"/>
        <v>120</v>
      </c>
      <c r="I812">
        <f t="shared" si="77"/>
        <v>255</v>
      </c>
      <c r="J812" s="467" t="str" cm="1">
        <f t="array" ref="J812">myRGB(G812,H812,I812)</f>
        <v/>
      </c>
    </row>
    <row r="813" spans="1:10" ht="17" x14ac:dyDescent="0.25">
      <c r="A813" s="1" t="s">
        <v>815</v>
      </c>
      <c r="B813" s="1" t="s">
        <v>3467</v>
      </c>
      <c r="C813" s="1" t="s">
        <v>2142</v>
      </c>
      <c r="D813" t="str">
        <f t="shared" si="72"/>
        <v>FF7AFD</v>
      </c>
      <c r="E813" t="str">
        <f t="shared" si="73"/>
        <v>255-122-253</v>
      </c>
      <c r="F813" t="str">
        <f t="shared" si="74"/>
        <v>255122253</v>
      </c>
      <c r="G813">
        <f t="shared" si="75"/>
        <v>255</v>
      </c>
      <c r="H813">
        <f t="shared" si="76"/>
        <v>122</v>
      </c>
      <c r="I813">
        <f t="shared" si="77"/>
        <v>253</v>
      </c>
      <c r="J813" s="484" t="str" cm="1">
        <f t="array" ref="J813">myRGB(G813,H813,I813)</f>
        <v/>
      </c>
    </row>
    <row r="814" spans="1:10" ht="17" x14ac:dyDescent="0.25">
      <c r="A814" s="1" t="s">
        <v>816</v>
      </c>
      <c r="B814" s="1" t="s">
        <v>3468</v>
      </c>
      <c r="C814" s="1" t="s">
        <v>2143</v>
      </c>
      <c r="D814" t="str">
        <f t="shared" si="72"/>
        <v>FF7AFF</v>
      </c>
      <c r="E814" t="str">
        <f t="shared" si="73"/>
        <v>255-122-255</v>
      </c>
      <c r="F814" t="str">
        <f t="shared" si="74"/>
        <v>255122255</v>
      </c>
      <c r="G814">
        <f t="shared" si="75"/>
        <v>255</v>
      </c>
      <c r="H814">
        <f t="shared" si="76"/>
        <v>122</v>
      </c>
      <c r="I814">
        <f t="shared" si="77"/>
        <v>255</v>
      </c>
      <c r="J814" s="731" t="str" cm="1">
        <f t="array" ref="J814">myRGB(G814,H814,I814)</f>
        <v/>
      </c>
    </row>
    <row r="815" spans="1:10" ht="17" x14ac:dyDescent="0.25">
      <c r="A815" s="1" t="s">
        <v>817</v>
      </c>
      <c r="B815" s="1" t="s">
        <v>3469</v>
      </c>
      <c r="C815" s="1" t="s">
        <v>2144</v>
      </c>
      <c r="D815" t="str">
        <f t="shared" si="72"/>
        <v>FE7AFE</v>
      </c>
      <c r="E815" t="str">
        <f t="shared" si="73"/>
        <v>254-122-254</v>
      </c>
      <c r="F815" t="str">
        <f t="shared" si="74"/>
        <v>254122254</v>
      </c>
      <c r="G815">
        <f t="shared" si="75"/>
        <v>254</v>
      </c>
      <c r="H815">
        <f t="shared" si="76"/>
        <v>122</v>
      </c>
      <c r="I815">
        <f t="shared" si="77"/>
        <v>254</v>
      </c>
      <c r="J815" s="805" t="str" cm="1">
        <f t="array" ref="J815">myRGB(G815,H815,I815)</f>
        <v/>
      </c>
    </row>
    <row r="816" spans="1:10" ht="17" x14ac:dyDescent="0.25">
      <c r="A816" s="1" t="s">
        <v>818</v>
      </c>
      <c r="B816" s="1" t="s">
        <v>3470</v>
      </c>
      <c r="C816" s="1" t="s">
        <v>2145</v>
      </c>
      <c r="D816" t="str">
        <f t="shared" si="72"/>
        <v>FE79FF</v>
      </c>
      <c r="E816" t="str">
        <f t="shared" si="73"/>
        <v>254-121-255</v>
      </c>
      <c r="F816" t="str">
        <f t="shared" si="74"/>
        <v>254121255</v>
      </c>
      <c r="G816">
        <f t="shared" si="75"/>
        <v>254</v>
      </c>
      <c r="H816">
        <f t="shared" si="76"/>
        <v>121</v>
      </c>
      <c r="I816">
        <f t="shared" si="77"/>
        <v>255</v>
      </c>
      <c r="J816" s="504" t="str" cm="1">
        <f t="array" ref="J816">myRGB(G816,H816,I816)</f>
        <v/>
      </c>
    </row>
    <row r="817" spans="1:10" ht="17" x14ac:dyDescent="0.25">
      <c r="A817" s="1" t="s">
        <v>819</v>
      </c>
      <c r="B817" s="1" t="s">
        <v>3471</v>
      </c>
      <c r="C817" s="1" t="s">
        <v>2146</v>
      </c>
      <c r="D817" t="str">
        <f t="shared" si="72"/>
        <v>FE79FE</v>
      </c>
      <c r="E817" t="str">
        <f t="shared" si="73"/>
        <v>254-121-254</v>
      </c>
      <c r="F817" t="str">
        <f t="shared" si="74"/>
        <v>254121254</v>
      </c>
      <c r="G817">
        <f t="shared" si="75"/>
        <v>254</v>
      </c>
      <c r="H817">
        <f t="shared" si="76"/>
        <v>121</v>
      </c>
      <c r="I817">
        <f t="shared" si="77"/>
        <v>254</v>
      </c>
      <c r="J817" s="466" t="str" cm="1">
        <f t="array" ref="J817">myRGB(G817,H817,I817)</f>
        <v/>
      </c>
    </row>
    <row r="818" spans="1:10" ht="17" x14ac:dyDescent="0.25">
      <c r="A818" s="1" t="s">
        <v>820</v>
      </c>
      <c r="B818" s="1" t="s">
        <v>3472</v>
      </c>
      <c r="C818" s="1" t="s">
        <v>2147</v>
      </c>
      <c r="D818" t="str">
        <f t="shared" si="72"/>
        <v>FE7AFD</v>
      </c>
      <c r="E818" t="str">
        <f t="shared" si="73"/>
        <v>254-122-253</v>
      </c>
      <c r="F818" t="str">
        <f t="shared" si="74"/>
        <v>254122253</v>
      </c>
      <c r="G818">
        <f t="shared" si="75"/>
        <v>254</v>
      </c>
      <c r="H818">
        <f t="shared" si="76"/>
        <v>122</v>
      </c>
      <c r="I818">
        <f t="shared" si="77"/>
        <v>253</v>
      </c>
      <c r="J818" s="382" t="str" cm="1">
        <f t="array" ref="J818">myRGB(G818,H818,I818)</f>
        <v/>
      </c>
    </row>
    <row r="819" spans="1:10" ht="17" x14ac:dyDescent="0.25">
      <c r="A819" s="1" t="s">
        <v>821</v>
      </c>
      <c r="B819" s="1" t="s">
        <v>3473</v>
      </c>
      <c r="C819" s="1" t="s">
        <v>2148</v>
      </c>
      <c r="D819" t="str">
        <f t="shared" si="72"/>
        <v>FF7AFE</v>
      </c>
      <c r="E819" t="str">
        <f t="shared" si="73"/>
        <v>255-122-254</v>
      </c>
      <c r="F819" t="str">
        <f t="shared" si="74"/>
        <v>255122254</v>
      </c>
      <c r="G819">
        <f t="shared" si="75"/>
        <v>255</v>
      </c>
      <c r="H819">
        <f t="shared" si="76"/>
        <v>122</v>
      </c>
      <c r="I819">
        <f t="shared" si="77"/>
        <v>254</v>
      </c>
      <c r="J819" s="583" t="str" cm="1">
        <f t="array" ref="J819">myRGB(G819,H819,I819)</f>
        <v/>
      </c>
    </row>
    <row r="820" spans="1:10" ht="17" x14ac:dyDescent="0.25">
      <c r="A820" s="1" t="s">
        <v>822</v>
      </c>
      <c r="B820" s="1" t="s">
        <v>3474</v>
      </c>
      <c r="C820" s="1" t="s">
        <v>2149</v>
      </c>
      <c r="D820" t="str">
        <f t="shared" si="72"/>
        <v>FF79FD</v>
      </c>
      <c r="E820" t="str">
        <f t="shared" si="73"/>
        <v>255-121-253</v>
      </c>
      <c r="F820" t="str">
        <f t="shared" si="74"/>
        <v>255121253</v>
      </c>
      <c r="G820">
        <f t="shared" si="75"/>
        <v>255</v>
      </c>
      <c r="H820">
        <f t="shared" si="76"/>
        <v>121</v>
      </c>
      <c r="I820">
        <f t="shared" si="77"/>
        <v>253</v>
      </c>
      <c r="J820" s="503" t="str" cm="1">
        <f t="array" ref="J820">myRGB(G820,H820,I820)</f>
        <v/>
      </c>
    </row>
    <row r="821" spans="1:10" ht="17" x14ac:dyDescent="0.25">
      <c r="A821" s="1" t="s">
        <v>823</v>
      </c>
      <c r="B821" s="1" t="s">
        <v>3475</v>
      </c>
      <c r="C821" s="1" t="s">
        <v>2150</v>
      </c>
      <c r="D821" t="str">
        <f t="shared" si="72"/>
        <v>FF79FE</v>
      </c>
      <c r="E821" t="str">
        <f t="shared" si="73"/>
        <v>255-121-254</v>
      </c>
      <c r="F821" t="str">
        <f t="shared" si="74"/>
        <v>255121254</v>
      </c>
      <c r="G821">
        <f t="shared" si="75"/>
        <v>255</v>
      </c>
      <c r="H821">
        <f t="shared" si="76"/>
        <v>121</v>
      </c>
      <c r="I821">
        <f t="shared" si="77"/>
        <v>254</v>
      </c>
      <c r="J821" s="403" t="str" cm="1">
        <f t="array" ref="J821">myRGB(G821,H821,I821)</f>
        <v/>
      </c>
    </row>
    <row r="822" spans="1:10" ht="17" x14ac:dyDescent="0.25">
      <c r="A822" s="1" t="s">
        <v>824</v>
      </c>
      <c r="B822" s="1" t="s">
        <v>3476</v>
      </c>
      <c r="C822" s="1" t="s">
        <v>2151</v>
      </c>
      <c r="D822" t="str">
        <f t="shared" si="72"/>
        <v>FF78FE</v>
      </c>
      <c r="E822" t="str">
        <f t="shared" si="73"/>
        <v>255-120-254</v>
      </c>
      <c r="F822" t="str">
        <f t="shared" si="74"/>
        <v>255120254</v>
      </c>
      <c r="G822">
        <f t="shared" si="75"/>
        <v>255</v>
      </c>
      <c r="H822">
        <f t="shared" si="76"/>
        <v>120</v>
      </c>
      <c r="I822">
        <f t="shared" si="77"/>
        <v>254</v>
      </c>
      <c r="J822" s="748" t="str" cm="1">
        <f t="array" ref="J822">myRGB(G822,H822,I822)</f>
        <v/>
      </c>
    </row>
    <row r="823" spans="1:10" ht="17" x14ac:dyDescent="0.25">
      <c r="A823" s="1" t="s">
        <v>825</v>
      </c>
      <c r="B823" s="1" t="s">
        <v>3477</v>
      </c>
      <c r="C823" s="1" t="s">
        <v>2152</v>
      </c>
      <c r="D823" t="str">
        <f t="shared" si="72"/>
        <v>FE8EFE</v>
      </c>
      <c r="E823" t="str">
        <f t="shared" si="73"/>
        <v>254-142-254</v>
      </c>
      <c r="F823" t="str">
        <f t="shared" si="74"/>
        <v>254142254</v>
      </c>
      <c r="G823">
        <f t="shared" si="75"/>
        <v>254</v>
      </c>
      <c r="H823">
        <f t="shared" si="76"/>
        <v>142</v>
      </c>
      <c r="I823">
        <f t="shared" si="77"/>
        <v>254</v>
      </c>
      <c r="J823" s="836" t="str" cm="1">
        <f t="array" ref="J823">myRGB(G823,H823,I823)</f>
        <v/>
      </c>
    </row>
    <row r="824" spans="1:10" ht="17" x14ac:dyDescent="0.25">
      <c r="A824" s="1" t="s">
        <v>826</v>
      </c>
      <c r="B824" s="1" t="s">
        <v>3478</v>
      </c>
      <c r="C824" s="1" t="s">
        <v>2153</v>
      </c>
      <c r="D824" t="str">
        <f t="shared" si="72"/>
        <v>FF8DFD</v>
      </c>
      <c r="E824" t="str">
        <f t="shared" si="73"/>
        <v>255-141-253</v>
      </c>
      <c r="F824" t="str">
        <f t="shared" si="74"/>
        <v>255141253</v>
      </c>
      <c r="G824">
        <f t="shared" si="75"/>
        <v>255</v>
      </c>
      <c r="H824">
        <f t="shared" si="76"/>
        <v>141</v>
      </c>
      <c r="I824">
        <f t="shared" si="77"/>
        <v>253</v>
      </c>
      <c r="J824" s="408" t="str" cm="1">
        <f t="array" ref="J824">myRGB(G824,H824,I824)</f>
        <v/>
      </c>
    </row>
    <row r="825" spans="1:10" ht="17" x14ac:dyDescent="0.25">
      <c r="A825" s="1" t="s">
        <v>827</v>
      </c>
      <c r="B825" s="1" t="s">
        <v>3479</v>
      </c>
      <c r="C825" s="1" t="s">
        <v>2154</v>
      </c>
      <c r="D825" t="str">
        <f t="shared" si="72"/>
        <v>FE8DFF</v>
      </c>
      <c r="E825" t="str">
        <f t="shared" si="73"/>
        <v>254-141-255</v>
      </c>
      <c r="F825" t="str">
        <f t="shared" si="74"/>
        <v>254141255</v>
      </c>
      <c r="G825">
        <f t="shared" si="75"/>
        <v>254</v>
      </c>
      <c r="H825">
        <f t="shared" si="76"/>
        <v>141</v>
      </c>
      <c r="I825">
        <f t="shared" si="77"/>
        <v>255</v>
      </c>
      <c r="J825" s="690" t="str" cm="1">
        <f t="array" ref="J825">myRGB(G825,H825,I825)</f>
        <v/>
      </c>
    </row>
    <row r="826" spans="1:10" ht="17" x14ac:dyDescent="0.25">
      <c r="A826" s="1" t="s">
        <v>828</v>
      </c>
      <c r="B826" s="1" t="s">
        <v>3480</v>
      </c>
      <c r="C826" s="1" t="s">
        <v>2155</v>
      </c>
      <c r="D826" t="str">
        <f t="shared" si="72"/>
        <v>FF8EFE</v>
      </c>
      <c r="E826" t="str">
        <f t="shared" si="73"/>
        <v>255-142-254</v>
      </c>
      <c r="F826" t="str">
        <f t="shared" si="74"/>
        <v>255142254</v>
      </c>
      <c r="G826">
        <f t="shared" si="75"/>
        <v>255</v>
      </c>
      <c r="H826">
        <f t="shared" si="76"/>
        <v>142</v>
      </c>
      <c r="I826">
        <f t="shared" si="77"/>
        <v>254</v>
      </c>
      <c r="J826" s="470" t="str" cm="1">
        <f t="array" ref="J826">myRGB(G826,H826,I826)</f>
        <v/>
      </c>
    </row>
    <row r="827" spans="1:10" ht="17" x14ac:dyDescent="0.25">
      <c r="A827" s="1" t="s">
        <v>829</v>
      </c>
      <c r="B827" s="1" t="s">
        <v>3481</v>
      </c>
      <c r="C827" s="1" t="s">
        <v>2156</v>
      </c>
      <c r="D827" t="str">
        <f t="shared" si="72"/>
        <v>FD8FFF</v>
      </c>
      <c r="E827" t="str">
        <f t="shared" si="73"/>
        <v>253-143-255</v>
      </c>
      <c r="F827" t="str">
        <f t="shared" si="74"/>
        <v>253143255</v>
      </c>
      <c r="G827">
        <f t="shared" si="75"/>
        <v>253</v>
      </c>
      <c r="H827">
        <f t="shared" si="76"/>
        <v>143</v>
      </c>
      <c r="I827">
        <f t="shared" si="77"/>
        <v>255</v>
      </c>
      <c r="J827" s="472" t="str" cm="1">
        <f t="array" ref="J827">myRGB(G827,H827,I827)</f>
        <v/>
      </c>
    </row>
    <row r="828" spans="1:10" ht="17" x14ac:dyDescent="0.25">
      <c r="A828" s="1" t="s">
        <v>830</v>
      </c>
      <c r="B828" s="1" t="s">
        <v>3482</v>
      </c>
      <c r="C828" s="1" t="s">
        <v>2157</v>
      </c>
      <c r="D828" t="str">
        <f t="shared" si="72"/>
        <v>FF8FFD</v>
      </c>
      <c r="E828" t="str">
        <f t="shared" si="73"/>
        <v>255-143-253</v>
      </c>
      <c r="F828" t="str">
        <f t="shared" si="74"/>
        <v>255143253</v>
      </c>
      <c r="G828">
        <f t="shared" si="75"/>
        <v>255</v>
      </c>
      <c r="H828">
        <f t="shared" si="76"/>
        <v>143</v>
      </c>
      <c r="I828">
        <f t="shared" si="77"/>
        <v>253</v>
      </c>
      <c r="J828" s="672" t="str" cm="1">
        <f t="array" ref="J828">myRGB(G828,H828,I828)</f>
        <v/>
      </c>
    </row>
    <row r="829" spans="1:10" ht="17" x14ac:dyDescent="0.25">
      <c r="A829" s="1" t="s">
        <v>831</v>
      </c>
      <c r="B829" s="1" t="s">
        <v>3483</v>
      </c>
      <c r="C829" s="1" t="s">
        <v>2158</v>
      </c>
      <c r="D829" t="str">
        <f t="shared" si="72"/>
        <v>FF8EFC</v>
      </c>
      <c r="E829" t="str">
        <f t="shared" si="73"/>
        <v>255-142-252</v>
      </c>
      <c r="F829" t="str">
        <f t="shared" si="74"/>
        <v>255142252</v>
      </c>
      <c r="G829">
        <f t="shared" si="75"/>
        <v>255</v>
      </c>
      <c r="H829">
        <f t="shared" si="76"/>
        <v>142</v>
      </c>
      <c r="I829">
        <f t="shared" si="77"/>
        <v>252</v>
      </c>
      <c r="J829" s="1103" t="str" cm="1">
        <f t="array" ref="J829">myRGB(G829,H829,I829)</f>
        <v/>
      </c>
    </row>
    <row r="830" spans="1:10" ht="17" x14ac:dyDescent="0.25">
      <c r="A830" s="1" t="s">
        <v>832</v>
      </c>
      <c r="B830" s="1" t="s">
        <v>3484</v>
      </c>
      <c r="C830" s="1" t="s">
        <v>2159</v>
      </c>
      <c r="D830" t="str">
        <f t="shared" si="72"/>
        <v>FF8DFF</v>
      </c>
      <c r="E830" t="str">
        <f t="shared" si="73"/>
        <v>255-141-255</v>
      </c>
      <c r="F830" t="str">
        <f t="shared" si="74"/>
        <v>255141255</v>
      </c>
      <c r="G830">
        <f t="shared" si="75"/>
        <v>255</v>
      </c>
      <c r="H830">
        <f t="shared" si="76"/>
        <v>141</v>
      </c>
      <c r="I830">
        <f t="shared" si="77"/>
        <v>255</v>
      </c>
      <c r="J830" s="1056" t="str" cm="1">
        <f t="array" ref="J830">myRGB(G830,H830,I830)</f>
        <v/>
      </c>
    </row>
    <row r="831" spans="1:10" ht="17" x14ac:dyDescent="0.25">
      <c r="A831" s="1" t="s">
        <v>833</v>
      </c>
      <c r="B831" s="1" t="s">
        <v>3485</v>
      </c>
      <c r="C831" s="1" t="s">
        <v>2160</v>
      </c>
      <c r="D831" t="str">
        <f t="shared" si="72"/>
        <v>FE8EFD</v>
      </c>
      <c r="E831" t="str">
        <f t="shared" si="73"/>
        <v>254-142-253</v>
      </c>
      <c r="F831" t="str">
        <f t="shared" si="74"/>
        <v>254142253</v>
      </c>
      <c r="G831">
        <f t="shared" si="75"/>
        <v>254</v>
      </c>
      <c r="H831">
        <f t="shared" si="76"/>
        <v>142</v>
      </c>
      <c r="I831">
        <f t="shared" si="77"/>
        <v>253</v>
      </c>
      <c r="J831" s="1129" t="str" cm="1">
        <f t="array" ref="J831">myRGB(G831,H831,I831)</f>
        <v/>
      </c>
    </row>
    <row r="832" spans="1:10" ht="17" x14ac:dyDescent="0.25">
      <c r="A832" s="1" t="s">
        <v>834</v>
      </c>
      <c r="B832" s="1" t="s">
        <v>3486</v>
      </c>
      <c r="C832" s="1" t="s">
        <v>2161</v>
      </c>
      <c r="D832" t="str">
        <f t="shared" si="72"/>
        <v>FE8FFD</v>
      </c>
      <c r="E832" t="str">
        <f t="shared" si="73"/>
        <v>254-143-253</v>
      </c>
      <c r="F832" t="str">
        <f t="shared" si="74"/>
        <v>254143253</v>
      </c>
      <c r="G832">
        <f t="shared" si="75"/>
        <v>254</v>
      </c>
      <c r="H832">
        <f t="shared" si="76"/>
        <v>143</v>
      </c>
      <c r="I832">
        <f t="shared" si="77"/>
        <v>253</v>
      </c>
      <c r="J832" s="409" t="str" cm="1">
        <f t="array" ref="J832">myRGB(G832,H832,I832)</f>
        <v/>
      </c>
    </row>
    <row r="833" spans="1:10" ht="17" x14ac:dyDescent="0.25">
      <c r="A833" s="1" t="s">
        <v>835</v>
      </c>
      <c r="B833" s="1" t="s">
        <v>3487</v>
      </c>
      <c r="C833" s="1" t="s">
        <v>2162</v>
      </c>
      <c r="D833" t="str">
        <f t="shared" si="72"/>
        <v>FF8FFF</v>
      </c>
      <c r="E833" t="str">
        <f t="shared" si="73"/>
        <v>255-143-255</v>
      </c>
      <c r="F833" t="str">
        <f t="shared" si="74"/>
        <v>255143255</v>
      </c>
      <c r="G833">
        <f t="shared" si="75"/>
        <v>255</v>
      </c>
      <c r="H833">
        <f t="shared" si="76"/>
        <v>143</v>
      </c>
      <c r="I833">
        <f t="shared" si="77"/>
        <v>255</v>
      </c>
      <c r="J833" s="509" t="str" cm="1">
        <f t="array" ref="J833">myRGB(G833,H833,I833)</f>
        <v/>
      </c>
    </row>
    <row r="834" spans="1:10" ht="17" x14ac:dyDescent="0.25">
      <c r="A834" s="1" t="s">
        <v>836</v>
      </c>
      <c r="B834" s="1" t="s">
        <v>3488</v>
      </c>
      <c r="C834" s="1" t="s">
        <v>2163</v>
      </c>
      <c r="D834" t="str">
        <f t="shared" si="72"/>
        <v>FF8FFE</v>
      </c>
      <c r="E834" t="str">
        <f t="shared" si="73"/>
        <v>255-143-254</v>
      </c>
      <c r="F834" t="str">
        <f t="shared" si="74"/>
        <v>255143254</v>
      </c>
      <c r="G834">
        <f t="shared" si="75"/>
        <v>255</v>
      </c>
      <c r="H834">
        <f t="shared" si="76"/>
        <v>143</v>
      </c>
      <c r="I834">
        <f t="shared" si="77"/>
        <v>254</v>
      </c>
      <c r="J834" s="471" t="str" cm="1">
        <f t="array" ref="J834">myRGB(G834,H834,I834)</f>
        <v/>
      </c>
    </row>
    <row r="835" spans="1:10" ht="17" x14ac:dyDescent="0.25">
      <c r="A835" s="1" t="s">
        <v>837</v>
      </c>
      <c r="B835" s="1" t="s">
        <v>3489</v>
      </c>
      <c r="C835" s="1" t="s">
        <v>2164</v>
      </c>
      <c r="D835" t="str">
        <f t="shared" si="72"/>
        <v>FF90FE</v>
      </c>
      <c r="E835" t="str">
        <f t="shared" si="73"/>
        <v>255-144-254</v>
      </c>
      <c r="F835" t="str">
        <f t="shared" si="74"/>
        <v>255144254</v>
      </c>
      <c r="G835">
        <f t="shared" si="75"/>
        <v>255</v>
      </c>
      <c r="H835">
        <f t="shared" si="76"/>
        <v>144</v>
      </c>
      <c r="I835">
        <f t="shared" si="77"/>
        <v>254</v>
      </c>
      <c r="J835" s="584" t="str" cm="1">
        <f t="array" ref="J835">myRGB(G835,H835,I835)</f>
        <v/>
      </c>
    </row>
    <row r="836" spans="1:10" ht="17" x14ac:dyDescent="0.25">
      <c r="A836" s="1" t="s">
        <v>838</v>
      </c>
      <c r="B836" s="1" t="s">
        <v>3490</v>
      </c>
      <c r="C836" s="1" t="s">
        <v>2165</v>
      </c>
      <c r="D836" t="str">
        <f t="shared" ref="D836:D899" si="78">RIGHT(LEFT(C836,9),6)</f>
        <v>FF90FF</v>
      </c>
      <c r="E836" t="str">
        <f t="shared" ref="E836:E899" si="79">HEX2DEC(LEFT(D836,2))&amp;"-"&amp;HEX2DEC(MID(D836,3,2))&amp;"-"&amp;HEX2DEC(RIGHT(D836,2))</f>
        <v>255-144-255</v>
      </c>
      <c r="F836" t="str">
        <f t="shared" ref="F836:F899" si="80">HEX2DEC(LEFT(D836,2))&amp;HEX2DEC(MID(D836,3,2))&amp;HEX2DEC(RIGHT(D836,2))</f>
        <v>255144255</v>
      </c>
      <c r="G836">
        <f t="shared" ref="G836:G899" si="81">HEX2DEC(LEFT(D836,2))</f>
        <v>255</v>
      </c>
      <c r="H836">
        <f t="shared" ref="H836:H899" si="82">HEX2DEC(MID(D836,3,2))</f>
        <v>144</v>
      </c>
      <c r="I836">
        <f t="shared" ref="I836:I899" si="83">HEX2DEC(RIGHT(D836,2))</f>
        <v>255</v>
      </c>
      <c r="J836" s="384" t="str" cm="1">
        <f t="array" ref="J836">myRGB(G836,H836,I836)</f>
        <v/>
      </c>
    </row>
    <row r="837" spans="1:10" ht="17" x14ac:dyDescent="0.25">
      <c r="A837" s="1" t="s">
        <v>839</v>
      </c>
      <c r="B837" s="1" t="s">
        <v>3491</v>
      </c>
      <c r="C837" s="1" t="s">
        <v>2166</v>
      </c>
      <c r="D837" t="str">
        <f t="shared" si="78"/>
        <v>FF8EFD</v>
      </c>
      <c r="E837" t="str">
        <f t="shared" si="79"/>
        <v>255-142-253</v>
      </c>
      <c r="F837" t="str">
        <f t="shared" si="80"/>
        <v>255142253</v>
      </c>
      <c r="G837">
        <f t="shared" si="81"/>
        <v>255</v>
      </c>
      <c r="H837">
        <f t="shared" si="82"/>
        <v>142</v>
      </c>
      <c r="I837">
        <f t="shared" si="83"/>
        <v>253</v>
      </c>
      <c r="J837" s="1130" t="str" cm="1">
        <f t="array" ref="J837">myRGB(G837,H837,I837)</f>
        <v/>
      </c>
    </row>
    <row r="838" spans="1:10" ht="17" x14ac:dyDescent="0.25">
      <c r="A838" s="1" t="s">
        <v>840</v>
      </c>
      <c r="B838" s="1" t="s">
        <v>3492</v>
      </c>
      <c r="C838" s="1" t="s">
        <v>2167</v>
      </c>
      <c r="D838" t="str">
        <f t="shared" si="78"/>
        <v>FD90FD</v>
      </c>
      <c r="E838" t="str">
        <f t="shared" si="79"/>
        <v>253-144-253</v>
      </c>
      <c r="F838" t="str">
        <f t="shared" si="80"/>
        <v>253144253</v>
      </c>
      <c r="G838">
        <f t="shared" si="81"/>
        <v>253</v>
      </c>
      <c r="H838">
        <f t="shared" si="82"/>
        <v>144</v>
      </c>
      <c r="I838">
        <f t="shared" si="83"/>
        <v>253</v>
      </c>
      <c r="J838" s="1057" t="str" cm="1">
        <f t="array" ref="J838">myRGB(G838,H838,I838)</f>
        <v/>
      </c>
    </row>
    <row r="839" spans="1:10" ht="17" x14ac:dyDescent="0.25">
      <c r="A839" s="1" t="s">
        <v>841</v>
      </c>
      <c r="B839" s="1" t="s">
        <v>3493</v>
      </c>
      <c r="C839" s="1" t="s">
        <v>2168</v>
      </c>
      <c r="D839" t="str">
        <f t="shared" si="78"/>
        <v>FD8EFF</v>
      </c>
      <c r="E839" t="str">
        <f t="shared" si="79"/>
        <v>253-142-255</v>
      </c>
      <c r="F839" t="str">
        <f t="shared" si="80"/>
        <v>253142255</v>
      </c>
      <c r="G839">
        <f t="shared" si="81"/>
        <v>253</v>
      </c>
      <c r="H839">
        <f t="shared" si="82"/>
        <v>142</v>
      </c>
      <c r="I839">
        <f t="shared" si="83"/>
        <v>255</v>
      </c>
      <c r="J839" s="1249" t="str" cm="1">
        <f t="array" ref="J839">myRGB(G839,H839,I839)</f>
        <v/>
      </c>
    </row>
    <row r="840" spans="1:10" ht="17" x14ac:dyDescent="0.25">
      <c r="A840" s="1" t="s">
        <v>842</v>
      </c>
      <c r="B840" s="1" t="s">
        <v>3494</v>
      </c>
      <c r="C840" s="1" t="s">
        <v>2169</v>
      </c>
      <c r="D840" t="str">
        <f t="shared" si="78"/>
        <v>FC8FFF</v>
      </c>
      <c r="E840" t="str">
        <f t="shared" si="79"/>
        <v>252-143-255</v>
      </c>
      <c r="F840" t="str">
        <f t="shared" si="80"/>
        <v>252143255</v>
      </c>
      <c r="G840">
        <f t="shared" si="81"/>
        <v>252</v>
      </c>
      <c r="H840">
        <f t="shared" si="82"/>
        <v>143</v>
      </c>
      <c r="I840">
        <f t="shared" si="83"/>
        <v>255</v>
      </c>
      <c r="J840" s="406" t="str" cm="1">
        <f t="array" ref="J840">myRGB(G840,H840,I840)</f>
        <v/>
      </c>
    </row>
    <row r="841" spans="1:10" ht="17" x14ac:dyDescent="0.25">
      <c r="A841" s="1" t="s">
        <v>843</v>
      </c>
      <c r="B841" s="1" t="s">
        <v>3495</v>
      </c>
      <c r="C841" s="1" t="s">
        <v>2170</v>
      </c>
      <c r="D841" t="str">
        <f t="shared" si="78"/>
        <v>FE90FE</v>
      </c>
      <c r="E841" t="str">
        <f t="shared" si="79"/>
        <v>254-144-254</v>
      </c>
      <c r="F841" t="str">
        <f t="shared" si="80"/>
        <v>254144254</v>
      </c>
      <c r="G841">
        <f t="shared" si="81"/>
        <v>254</v>
      </c>
      <c r="H841">
        <f t="shared" si="82"/>
        <v>144</v>
      </c>
      <c r="I841">
        <f t="shared" si="83"/>
        <v>254</v>
      </c>
      <c r="J841" s="383" t="str" cm="1">
        <f t="array" ref="J841">myRGB(G841,H841,I841)</f>
        <v/>
      </c>
    </row>
    <row r="842" spans="1:10" ht="17" x14ac:dyDescent="0.25">
      <c r="A842" s="1" t="s">
        <v>844</v>
      </c>
      <c r="B842" s="1" t="s">
        <v>3496</v>
      </c>
      <c r="C842" s="1" t="s">
        <v>2171</v>
      </c>
      <c r="D842" t="str">
        <f t="shared" si="78"/>
        <v>FF90FD</v>
      </c>
      <c r="E842" t="str">
        <f t="shared" si="79"/>
        <v>255-144-253</v>
      </c>
      <c r="F842" t="str">
        <f t="shared" si="80"/>
        <v>255144253</v>
      </c>
      <c r="G842">
        <f t="shared" si="81"/>
        <v>255</v>
      </c>
      <c r="H842">
        <f t="shared" si="82"/>
        <v>144</v>
      </c>
      <c r="I842">
        <f t="shared" si="83"/>
        <v>253</v>
      </c>
      <c r="J842" s="468" t="str" cm="1">
        <f t="array" ref="J842">myRGB(G842,H842,I842)</f>
        <v/>
      </c>
    </row>
    <row r="843" spans="1:10" ht="17" x14ac:dyDescent="0.25">
      <c r="A843" s="1" t="s">
        <v>845</v>
      </c>
      <c r="B843" s="1" t="s">
        <v>3497</v>
      </c>
      <c r="C843" s="1" t="s">
        <v>2172</v>
      </c>
      <c r="D843" t="str">
        <f t="shared" si="78"/>
        <v>FD8FFD</v>
      </c>
      <c r="E843" t="str">
        <f t="shared" si="79"/>
        <v>253-143-253</v>
      </c>
      <c r="F843" t="str">
        <f t="shared" si="80"/>
        <v>253143253</v>
      </c>
      <c r="G843">
        <f t="shared" si="81"/>
        <v>253</v>
      </c>
      <c r="H843">
        <f t="shared" si="82"/>
        <v>143</v>
      </c>
      <c r="I843">
        <f t="shared" si="83"/>
        <v>253</v>
      </c>
      <c r="J843" s="671" t="str" cm="1">
        <f t="array" ref="J843">myRGB(G843,H843,I843)</f>
        <v/>
      </c>
    </row>
    <row r="844" spans="1:10" ht="17" x14ac:dyDescent="0.25">
      <c r="A844" s="1" t="s">
        <v>846</v>
      </c>
      <c r="B844" s="1" t="s">
        <v>3498</v>
      </c>
      <c r="C844" s="1" t="s">
        <v>2173</v>
      </c>
      <c r="D844" t="str">
        <f t="shared" si="78"/>
        <v>FD90FC</v>
      </c>
      <c r="E844" t="str">
        <f t="shared" si="79"/>
        <v>253-144-252</v>
      </c>
      <c r="F844" t="str">
        <f t="shared" si="80"/>
        <v>253144252</v>
      </c>
      <c r="G844">
        <f t="shared" si="81"/>
        <v>253</v>
      </c>
      <c r="H844">
        <f t="shared" si="82"/>
        <v>144</v>
      </c>
      <c r="I844">
        <f t="shared" si="83"/>
        <v>252</v>
      </c>
      <c r="J844" s="506" t="str" cm="1">
        <f t="array" ref="J844">myRGB(G844,H844,I844)</f>
        <v/>
      </c>
    </row>
    <row r="845" spans="1:10" ht="17" x14ac:dyDescent="0.25">
      <c r="A845" s="1" t="s">
        <v>847</v>
      </c>
      <c r="B845" s="1" t="s">
        <v>3499</v>
      </c>
      <c r="C845" s="1" t="s">
        <v>2174</v>
      </c>
      <c r="D845" t="str">
        <f t="shared" si="78"/>
        <v>FD8EFD</v>
      </c>
      <c r="E845" t="str">
        <f t="shared" si="79"/>
        <v>253-142-253</v>
      </c>
      <c r="F845" t="str">
        <f t="shared" si="80"/>
        <v>253142253</v>
      </c>
      <c r="G845">
        <f t="shared" si="81"/>
        <v>253</v>
      </c>
      <c r="H845">
        <f t="shared" si="82"/>
        <v>142</v>
      </c>
      <c r="I845">
        <f t="shared" si="83"/>
        <v>253</v>
      </c>
      <c r="J845" s="512" t="str" cm="1">
        <f t="array" ref="J845">myRGB(G845,H845,I845)</f>
        <v/>
      </c>
    </row>
    <row r="846" spans="1:10" ht="17" x14ac:dyDescent="0.25">
      <c r="A846" s="1" t="s">
        <v>848</v>
      </c>
      <c r="B846" s="1" t="s">
        <v>3500</v>
      </c>
      <c r="C846" s="1" t="s">
        <v>2175</v>
      </c>
      <c r="D846" t="str">
        <f t="shared" si="78"/>
        <v>FE8EFF</v>
      </c>
      <c r="E846" t="str">
        <f t="shared" si="79"/>
        <v>254-142-255</v>
      </c>
      <c r="F846" t="str">
        <f t="shared" si="80"/>
        <v>254142255</v>
      </c>
      <c r="G846">
        <f t="shared" si="81"/>
        <v>254</v>
      </c>
      <c r="H846">
        <f t="shared" si="82"/>
        <v>142</v>
      </c>
      <c r="I846">
        <f t="shared" si="83"/>
        <v>255</v>
      </c>
      <c r="J846" s="448" t="str" cm="1">
        <f t="array" ref="J846">myRGB(G846,H846,I846)</f>
        <v/>
      </c>
    </row>
    <row r="847" spans="1:10" ht="17" x14ac:dyDescent="0.25">
      <c r="A847" s="1" t="s">
        <v>849</v>
      </c>
      <c r="B847" s="1" t="s">
        <v>3501</v>
      </c>
      <c r="C847" s="1" t="s">
        <v>2176</v>
      </c>
      <c r="D847" t="str">
        <f t="shared" si="78"/>
        <v>FF90FC</v>
      </c>
      <c r="E847" t="str">
        <f t="shared" si="79"/>
        <v>255-144-252</v>
      </c>
      <c r="F847" t="str">
        <f t="shared" si="80"/>
        <v>255144252</v>
      </c>
      <c r="G847">
        <f t="shared" si="81"/>
        <v>255</v>
      </c>
      <c r="H847">
        <f t="shared" si="82"/>
        <v>144</v>
      </c>
      <c r="I847">
        <f t="shared" si="83"/>
        <v>252</v>
      </c>
      <c r="J847" s="411" t="str" cm="1">
        <f t="array" ref="J847">myRGB(G847,H847,I847)</f>
        <v/>
      </c>
    </row>
    <row r="848" spans="1:10" ht="17" x14ac:dyDescent="0.25">
      <c r="A848" s="1" t="s">
        <v>850</v>
      </c>
      <c r="B848" s="1" t="s">
        <v>3502</v>
      </c>
      <c r="C848" s="1" t="s">
        <v>2177</v>
      </c>
      <c r="D848" t="str">
        <f t="shared" si="78"/>
        <v>FF8FFC</v>
      </c>
      <c r="E848" t="str">
        <f t="shared" si="79"/>
        <v>255-143-252</v>
      </c>
      <c r="F848" t="str">
        <f t="shared" si="80"/>
        <v>255143252</v>
      </c>
      <c r="G848">
        <f t="shared" si="81"/>
        <v>255</v>
      </c>
      <c r="H848">
        <f t="shared" si="82"/>
        <v>143</v>
      </c>
      <c r="I848">
        <f t="shared" si="83"/>
        <v>252</v>
      </c>
      <c r="J848" s="511" t="str" cm="1">
        <f t="array" ref="J848">myRGB(G848,H848,I848)</f>
        <v/>
      </c>
    </row>
    <row r="849" spans="1:10" ht="17" x14ac:dyDescent="0.25">
      <c r="A849" s="1" t="s">
        <v>851</v>
      </c>
      <c r="B849" s="1" t="s">
        <v>3503</v>
      </c>
      <c r="C849" s="1" t="s">
        <v>2178</v>
      </c>
      <c r="D849" t="str">
        <f t="shared" si="78"/>
        <v>FF8DFE</v>
      </c>
      <c r="E849" t="str">
        <f t="shared" si="79"/>
        <v>255-141-254</v>
      </c>
      <c r="F849" t="str">
        <f t="shared" si="80"/>
        <v>255141254</v>
      </c>
      <c r="G849">
        <f t="shared" si="81"/>
        <v>255</v>
      </c>
      <c r="H849">
        <f t="shared" si="82"/>
        <v>141</v>
      </c>
      <c r="I849">
        <f t="shared" si="83"/>
        <v>254</v>
      </c>
      <c r="J849" s="486" t="str" cm="1">
        <f t="array" ref="J849">myRGB(G849,H849,I849)</f>
        <v/>
      </c>
    </row>
    <row r="850" spans="1:10" ht="17" x14ac:dyDescent="0.25">
      <c r="A850" s="1" t="s">
        <v>852</v>
      </c>
      <c r="B850" s="1" t="s">
        <v>3504</v>
      </c>
      <c r="C850" s="1" t="s">
        <v>2179</v>
      </c>
      <c r="D850" t="str">
        <f t="shared" si="78"/>
        <v>FE90FC</v>
      </c>
      <c r="E850" t="str">
        <f t="shared" si="79"/>
        <v>254-144-252</v>
      </c>
      <c r="F850" t="str">
        <f t="shared" si="80"/>
        <v>254144252</v>
      </c>
      <c r="G850">
        <f t="shared" si="81"/>
        <v>254</v>
      </c>
      <c r="H850">
        <f t="shared" si="82"/>
        <v>144</v>
      </c>
      <c r="I850">
        <f t="shared" si="83"/>
        <v>252</v>
      </c>
      <c r="J850" s="473" t="str" cm="1">
        <f t="array" ref="J850">myRGB(G850,H850,I850)</f>
        <v/>
      </c>
    </row>
    <row r="851" spans="1:10" ht="17" x14ac:dyDescent="0.25">
      <c r="A851" s="1" t="s">
        <v>853</v>
      </c>
      <c r="B851" s="1" t="s">
        <v>3505</v>
      </c>
      <c r="C851" s="1" t="s">
        <v>2180</v>
      </c>
      <c r="D851" t="str">
        <f t="shared" si="78"/>
        <v>FC8FFE</v>
      </c>
      <c r="E851" t="str">
        <f t="shared" si="79"/>
        <v>252-143-254</v>
      </c>
      <c r="F851" t="str">
        <f t="shared" si="80"/>
        <v>252143254</v>
      </c>
      <c r="G851">
        <f t="shared" si="81"/>
        <v>252</v>
      </c>
      <c r="H851">
        <f t="shared" si="82"/>
        <v>143</v>
      </c>
      <c r="I851">
        <f t="shared" si="83"/>
        <v>254</v>
      </c>
      <c r="J851" s="474" t="str" cm="1">
        <f t="array" ref="J851">myRGB(G851,H851,I851)</f>
        <v/>
      </c>
    </row>
    <row r="852" spans="1:10" ht="17" x14ac:dyDescent="0.25">
      <c r="A852" s="1" t="s">
        <v>854</v>
      </c>
      <c r="B852" s="1" t="s">
        <v>3506</v>
      </c>
      <c r="C852" s="1" t="s">
        <v>2181</v>
      </c>
      <c r="D852" t="str">
        <f t="shared" si="78"/>
        <v>FD8DFF</v>
      </c>
      <c r="E852" t="str">
        <f t="shared" si="79"/>
        <v>253-141-255</v>
      </c>
      <c r="F852" t="str">
        <f t="shared" si="80"/>
        <v>253141255</v>
      </c>
      <c r="G852">
        <f t="shared" si="81"/>
        <v>253</v>
      </c>
      <c r="H852">
        <f t="shared" si="82"/>
        <v>141</v>
      </c>
      <c r="I852">
        <f t="shared" si="83"/>
        <v>255</v>
      </c>
      <c r="J852" s="750" t="str" cm="1">
        <f t="array" ref="J852">myRGB(G852,H852,I852)</f>
        <v/>
      </c>
    </row>
    <row r="853" spans="1:10" ht="17" x14ac:dyDescent="0.25">
      <c r="A853" s="1" t="s">
        <v>855</v>
      </c>
      <c r="B853" s="1" t="s">
        <v>3507</v>
      </c>
      <c r="C853" s="1" t="s">
        <v>2182</v>
      </c>
      <c r="D853" t="str">
        <f t="shared" si="78"/>
        <v>FC90FD</v>
      </c>
      <c r="E853" t="str">
        <f t="shared" si="79"/>
        <v>252-144-253</v>
      </c>
      <c r="F853" t="str">
        <f t="shared" si="80"/>
        <v>252144253</v>
      </c>
      <c r="G853">
        <f t="shared" si="81"/>
        <v>252</v>
      </c>
      <c r="H853">
        <f t="shared" si="82"/>
        <v>144</v>
      </c>
      <c r="I853">
        <f t="shared" si="83"/>
        <v>253</v>
      </c>
      <c r="J853" s="1115" t="str" cm="1">
        <f t="array" ref="J853">myRGB(G853,H853,I853)</f>
        <v/>
      </c>
    </row>
    <row r="854" spans="1:10" ht="17" x14ac:dyDescent="0.25">
      <c r="A854" s="1" t="s">
        <v>856</v>
      </c>
      <c r="B854" s="1" t="s">
        <v>3508</v>
      </c>
      <c r="C854" s="1" t="s">
        <v>2183</v>
      </c>
      <c r="D854" t="str">
        <f t="shared" si="78"/>
        <v>FC90FF</v>
      </c>
      <c r="E854" t="str">
        <f t="shared" si="79"/>
        <v>252-144-255</v>
      </c>
      <c r="F854" t="str">
        <f t="shared" si="80"/>
        <v>252144255</v>
      </c>
      <c r="G854">
        <f t="shared" si="81"/>
        <v>252</v>
      </c>
      <c r="H854">
        <f t="shared" si="82"/>
        <v>144</v>
      </c>
      <c r="I854">
        <f t="shared" si="83"/>
        <v>255</v>
      </c>
      <c r="J854" s="407" t="str" cm="1">
        <f t="array" ref="J854">myRGB(G854,H854,I854)</f>
        <v/>
      </c>
    </row>
    <row r="855" spans="1:10" ht="17" x14ac:dyDescent="0.25">
      <c r="A855" s="1" t="s">
        <v>857</v>
      </c>
      <c r="B855" s="1" t="s">
        <v>3509</v>
      </c>
      <c r="C855" s="1" t="s">
        <v>2184</v>
      </c>
      <c r="D855" t="str">
        <f t="shared" si="78"/>
        <v>FE90FD</v>
      </c>
      <c r="E855" t="str">
        <f t="shared" si="79"/>
        <v>254-144-253</v>
      </c>
      <c r="F855" t="str">
        <f t="shared" si="80"/>
        <v>254144253</v>
      </c>
      <c r="G855">
        <f t="shared" si="81"/>
        <v>254</v>
      </c>
      <c r="H855">
        <f t="shared" si="82"/>
        <v>144</v>
      </c>
      <c r="I855">
        <f t="shared" si="83"/>
        <v>253</v>
      </c>
      <c r="J855" s="641" t="str" cm="1">
        <f t="array" ref="J855">myRGB(G855,H855,I855)</f>
        <v/>
      </c>
    </row>
    <row r="856" spans="1:10" ht="17" x14ac:dyDescent="0.25">
      <c r="A856" s="1" t="s">
        <v>858</v>
      </c>
      <c r="B856" s="1" t="s">
        <v>3510</v>
      </c>
      <c r="C856" s="1" t="s">
        <v>2185</v>
      </c>
      <c r="D856" t="str">
        <f t="shared" si="78"/>
        <v>FE90FF</v>
      </c>
      <c r="E856" t="str">
        <f t="shared" si="79"/>
        <v>254-144-255</v>
      </c>
      <c r="F856" t="str">
        <f t="shared" si="80"/>
        <v>254144255</v>
      </c>
      <c r="G856">
        <f t="shared" si="81"/>
        <v>254</v>
      </c>
      <c r="H856">
        <f t="shared" si="82"/>
        <v>144</v>
      </c>
      <c r="I856">
        <f t="shared" si="83"/>
        <v>255</v>
      </c>
      <c r="J856" s="447" t="str" cm="1">
        <f t="array" ref="J856">myRGB(G856,H856,I856)</f>
        <v/>
      </c>
    </row>
    <row r="857" spans="1:10" ht="17" x14ac:dyDescent="0.25">
      <c r="A857" s="1" t="s">
        <v>859</v>
      </c>
      <c r="B857" s="1" t="s">
        <v>3511</v>
      </c>
      <c r="C857" s="1" t="s">
        <v>2186</v>
      </c>
      <c r="D857" t="str">
        <f t="shared" si="78"/>
        <v>FC8EFF</v>
      </c>
      <c r="E857" t="str">
        <f t="shared" si="79"/>
        <v>252-142-255</v>
      </c>
      <c r="F857" t="str">
        <f t="shared" si="80"/>
        <v>252142255</v>
      </c>
      <c r="G857">
        <f t="shared" si="81"/>
        <v>252</v>
      </c>
      <c r="H857">
        <f t="shared" si="82"/>
        <v>142</v>
      </c>
      <c r="I857">
        <f t="shared" si="83"/>
        <v>255</v>
      </c>
      <c r="J857" s="835" t="str" cm="1">
        <f t="array" ref="J857">myRGB(G857,H857,I857)</f>
        <v/>
      </c>
    </row>
    <row r="858" spans="1:10" ht="17" x14ac:dyDescent="0.25">
      <c r="A858" s="1" t="s">
        <v>860</v>
      </c>
      <c r="B858" s="1" t="s">
        <v>3512</v>
      </c>
      <c r="C858" s="1" t="s">
        <v>2187</v>
      </c>
      <c r="D858" t="str">
        <f t="shared" si="78"/>
        <v>FE8FFC</v>
      </c>
      <c r="E858" t="str">
        <f t="shared" si="79"/>
        <v>254-143-252</v>
      </c>
      <c r="F858" t="str">
        <f t="shared" si="80"/>
        <v>254143252</v>
      </c>
      <c r="G858">
        <f t="shared" si="81"/>
        <v>254</v>
      </c>
      <c r="H858">
        <f t="shared" si="82"/>
        <v>143</v>
      </c>
      <c r="I858">
        <f t="shared" si="83"/>
        <v>252</v>
      </c>
      <c r="J858" s="446" t="str" cm="1">
        <f t="array" ref="J858">myRGB(G858,H858,I858)</f>
        <v/>
      </c>
    </row>
    <row r="859" spans="1:10" ht="17" x14ac:dyDescent="0.25">
      <c r="A859" s="1" t="s">
        <v>861</v>
      </c>
      <c r="B859" s="1" t="s">
        <v>3513</v>
      </c>
      <c r="C859" s="1" t="s">
        <v>2188</v>
      </c>
      <c r="D859" t="str">
        <f t="shared" si="78"/>
        <v>FD90FF</v>
      </c>
      <c r="E859" t="str">
        <f t="shared" si="79"/>
        <v>253-144-255</v>
      </c>
      <c r="F859" t="str">
        <f t="shared" si="80"/>
        <v>253144255</v>
      </c>
      <c r="G859">
        <f t="shared" si="81"/>
        <v>253</v>
      </c>
      <c r="H859">
        <f t="shared" si="82"/>
        <v>144</v>
      </c>
      <c r="I859">
        <f t="shared" si="83"/>
        <v>255</v>
      </c>
      <c r="J859" s="410" t="str" cm="1">
        <f t="array" ref="J859">myRGB(G859,H859,I859)</f>
        <v/>
      </c>
    </row>
    <row r="860" spans="1:10" ht="17" x14ac:dyDescent="0.25">
      <c r="A860" s="1" t="s">
        <v>862</v>
      </c>
      <c r="B860" s="1" t="s">
        <v>3514</v>
      </c>
      <c r="C860" s="1" t="s">
        <v>2189</v>
      </c>
      <c r="D860" t="str">
        <f t="shared" si="78"/>
        <v>FE8DFE</v>
      </c>
      <c r="E860" t="str">
        <f t="shared" si="79"/>
        <v>254-141-254</v>
      </c>
      <c r="F860" t="str">
        <f t="shared" si="80"/>
        <v>254141254</v>
      </c>
      <c r="G860">
        <f t="shared" si="81"/>
        <v>254</v>
      </c>
      <c r="H860">
        <f t="shared" si="82"/>
        <v>141</v>
      </c>
      <c r="I860">
        <f t="shared" si="83"/>
        <v>254</v>
      </c>
      <c r="J860" s="485" t="str" cm="1">
        <f t="array" ref="J860">myRGB(G860,H860,I860)</f>
        <v/>
      </c>
    </row>
    <row r="861" spans="1:10" ht="17" x14ac:dyDescent="0.25">
      <c r="A861" s="1" t="s">
        <v>863</v>
      </c>
      <c r="B861" s="1" t="s">
        <v>3515</v>
      </c>
      <c r="C861" s="1" t="s">
        <v>2190</v>
      </c>
      <c r="D861" t="str">
        <f t="shared" si="78"/>
        <v>FC90FE</v>
      </c>
      <c r="E861" t="str">
        <f t="shared" si="79"/>
        <v>252-144-254</v>
      </c>
      <c r="F861" t="str">
        <f t="shared" si="80"/>
        <v>252144254</v>
      </c>
      <c r="G861">
        <f t="shared" si="81"/>
        <v>252</v>
      </c>
      <c r="H861">
        <f t="shared" si="82"/>
        <v>144</v>
      </c>
      <c r="I861">
        <f t="shared" si="83"/>
        <v>254</v>
      </c>
      <c r="J861" s="469" t="str" cm="1">
        <f t="array" ref="J861">myRGB(G861,H861,I861)</f>
        <v/>
      </c>
    </row>
    <row r="862" spans="1:10" ht="17" x14ac:dyDescent="0.25">
      <c r="A862" s="1" t="s">
        <v>864</v>
      </c>
      <c r="B862" s="1" t="s">
        <v>3516</v>
      </c>
      <c r="C862" s="1" t="s">
        <v>2191</v>
      </c>
      <c r="D862" t="str">
        <f t="shared" si="78"/>
        <v>FD90FE</v>
      </c>
      <c r="E862" t="str">
        <f t="shared" si="79"/>
        <v>253-144-254</v>
      </c>
      <c r="F862" t="str">
        <f t="shared" si="80"/>
        <v>253144254</v>
      </c>
      <c r="G862">
        <f t="shared" si="81"/>
        <v>253</v>
      </c>
      <c r="H862">
        <f t="shared" si="82"/>
        <v>144</v>
      </c>
      <c r="I862">
        <f t="shared" si="83"/>
        <v>254</v>
      </c>
      <c r="J862" s="510" t="str" cm="1">
        <f t="array" ref="J862">myRGB(G862,H862,I862)</f>
        <v/>
      </c>
    </row>
    <row r="863" spans="1:10" ht="17" x14ac:dyDescent="0.25">
      <c r="A863" s="1" t="s">
        <v>865</v>
      </c>
      <c r="B863" s="1" t="s">
        <v>3517</v>
      </c>
      <c r="C863" s="1" t="s">
        <v>2192</v>
      </c>
      <c r="D863" t="str">
        <f t="shared" si="78"/>
        <v>FE8FFE</v>
      </c>
      <c r="E863" t="str">
        <f t="shared" si="79"/>
        <v>254-143-254</v>
      </c>
      <c r="F863" t="str">
        <f t="shared" si="80"/>
        <v>254143254</v>
      </c>
      <c r="G863">
        <f t="shared" si="81"/>
        <v>254</v>
      </c>
      <c r="H863">
        <f t="shared" si="82"/>
        <v>143</v>
      </c>
      <c r="I863">
        <f t="shared" si="83"/>
        <v>254</v>
      </c>
      <c r="J863" s="749" t="str" cm="1">
        <f t="array" ref="J863">myRGB(G863,H863,I863)</f>
        <v/>
      </c>
    </row>
    <row r="864" spans="1:10" ht="17" x14ac:dyDescent="0.25">
      <c r="A864" s="1" t="s">
        <v>866</v>
      </c>
      <c r="B864" s="1" t="s">
        <v>3518</v>
      </c>
      <c r="C864" s="1" t="s">
        <v>2193</v>
      </c>
      <c r="D864" t="str">
        <f t="shared" si="78"/>
        <v>FF8EFF</v>
      </c>
      <c r="E864" t="str">
        <f t="shared" si="79"/>
        <v>255-142-255</v>
      </c>
      <c r="F864" t="str">
        <f t="shared" si="80"/>
        <v>255142255</v>
      </c>
      <c r="G864">
        <f t="shared" si="81"/>
        <v>255</v>
      </c>
      <c r="H864">
        <f t="shared" si="82"/>
        <v>142</v>
      </c>
      <c r="I864">
        <f t="shared" si="83"/>
        <v>255</v>
      </c>
      <c r="J864" s="507" t="str" cm="1">
        <f t="array" ref="J864">myRGB(G864,H864,I864)</f>
        <v/>
      </c>
    </row>
    <row r="865" spans="1:10" ht="17" x14ac:dyDescent="0.25">
      <c r="A865" s="1" t="s">
        <v>867</v>
      </c>
      <c r="B865" s="1" t="s">
        <v>3519</v>
      </c>
      <c r="C865" s="1" t="s">
        <v>2194</v>
      </c>
      <c r="D865" t="str">
        <f t="shared" si="78"/>
        <v>FE8FFF</v>
      </c>
      <c r="E865" t="str">
        <f t="shared" si="79"/>
        <v>254-143-255</v>
      </c>
      <c r="F865" t="str">
        <f t="shared" si="80"/>
        <v>254143255</v>
      </c>
      <c r="G865">
        <f t="shared" si="81"/>
        <v>254</v>
      </c>
      <c r="H865">
        <f t="shared" si="82"/>
        <v>143</v>
      </c>
      <c r="I865">
        <f t="shared" si="83"/>
        <v>255</v>
      </c>
      <c r="J865" s="508" t="str" cm="1">
        <f t="array" ref="J865">myRGB(G865,H865,I865)</f>
        <v/>
      </c>
    </row>
    <row r="866" spans="1:10" ht="17" x14ac:dyDescent="0.25">
      <c r="A866" s="1" t="s">
        <v>868</v>
      </c>
      <c r="B866" s="1" t="s">
        <v>3520</v>
      </c>
      <c r="C866" s="1" t="s">
        <v>2195</v>
      </c>
      <c r="D866" t="str">
        <f t="shared" si="78"/>
        <v>FD8EFE</v>
      </c>
      <c r="E866" t="str">
        <f t="shared" si="79"/>
        <v>253-142-254</v>
      </c>
      <c r="F866" t="str">
        <f t="shared" si="80"/>
        <v>253142254</v>
      </c>
      <c r="G866">
        <f t="shared" si="81"/>
        <v>253</v>
      </c>
      <c r="H866">
        <f t="shared" si="82"/>
        <v>142</v>
      </c>
      <c r="I866">
        <f t="shared" si="83"/>
        <v>254</v>
      </c>
      <c r="J866" s="1218" t="str" cm="1">
        <f t="array" ref="J866">myRGB(G866,H866,I866)</f>
        <v/>
      </c>
    </row>
    <row r="867" spans="1:10" ht="17" x14ac:dyDescent="0.25">
      <c r="A867" s="1" t="s">
        <v>869</v>
      </c>
      <c r="B867" s="1" t="s">
        <v>3521</v>
      </c>
      <c r="C867" s="1" t="s">
        <v>2196</v>
      </c>
      <c r="D867" t="str">
        <f t="shared" si="78"/>
        <v>FD8FFE</v>
      </c>
      <c r="E867" t="str">
        <f t="shared" si="79"/>
        <v>253-143-254</v>
      </c>
      <c r="F867" t="str">
        <f t="shared" si="80"/>
        <v>253143254</v>
      </c>
      <c r="G867">
        <f t="shared" si="81"/>
        <v>253</v>
      </c>
      <c r="H867">
        <f t="shared" si="82"/>
        <v>143</v>
      </c>
      <c r="I867">
        <f t="shared" si="83"/>
        <v>254</v>
      </c>
      <c r="J867" s="465" t="str" cm="1">
        <f t="array" ref="J867">myRGB(G867,H867,I867)</f>
        <v/>
      </c>
    </row>
    <row r="868" spans="1:10" ht="17" x14ac:dyDescent="0.25">
      <c r="A868" s="1" t="s">
        <v>870</v>
      </c>
      <c r="B868" s="1" t="s">
        <v>3522</v>
      </c>
      <c r="C868" s="1" t="s">
        <v>2197</v>
      </c>
      <c r="D868" t="str">
        <f t="shared" si="78"/>
        <v>FFA6FD</v>
      </c>
      <c r="E868" t="str">
        <f t="shared" si="79"/>
        <v>255-166-253</v>
      </c>
      <c r="F868" t="str">
        <f t="shared" si="80"/>
        <v>255166253</v>
      </c>
      <c r="G868">
        <f t="shared" si="81"/>
        <v>255</v>
      </c>
      <c r="H868">
        <f t="shared" si="82"/>
        <v>166</v>
      </c>
      <c r="I868">
        <f t="shared" si="83"/>
        <v>253</v>
      </c>
      <c r="J868" s="462" t="str" cm="1">
        <f t="array" ref="J868">myRGB(G868,H868,I868)</f>
        <v/>
      </c>
    </row>
    <row r="869" spans="1:10" ht="17" x14ac:dyDescent="0.25">
      <c r="A869" s="1" t="s">
        <v>871</v>
      </c>
      <c r="B869" s="1" t="s">
        <v>3523</v>
      </c>
      <c r="C869" s="1" t="s">
        <v>2198</v>
      </c>
      <c r="D869" t="str">
        <f t="shared" si="78"/>
        <v>FFA5FD</v>
      </c>
      <c r="E869" t="str">
        <f t="shared" si="79"/>
        <v>255-165-253</v>
      </c>
      <c r="F869" t="str">
        <f t="shared" si="80"/>
        <v>255165253</v>
      </c>
      <c r="G869">
        <f t="shared" si="81"/>
        <v>255</v>
      </c>
      <c r="H869">
        <f t="shared" si="82"/>
        <v>165</v>
      </c>
      <c r="I869">
        <f t="shared" si="83"/>
        <v>253</v>
      </c>
      <c r="J869" s="445" t="str" cm="1">
        <f t="array" ref="J869">myRGB(G869,H869,I869)</f>
        <v/>
      </c>
    </row>
    <row r="870" spans="1:10" ht="17" x14ac:dyDescent="0.25">
      <c r="A870" s="1" t="s">
        <v>872</v>
      </c>
      <c r="B870" s="1" t="s">
        <v>3524</v>
      </c>
      <c r="C870" s="1" t="s">
        <v>2199</v>
      </c>
      <c r="D870" t="str">
        <f t="shared" si="78"/>
        <v>FFA5FF</v>
      </c>
      <c r="E870" t="str">
        <f t="shared" si="79"/>
        <v>255-165-255</v>
      </c>
      <c r="F870" t="str">
        <f t="shared" si="80"/>
        <v>255165255</v>
      </c>
      <c r="G870">
        <f t="shared" si="81"/>
        <v>255</v>
      </c>
      <c r="H870">
        <f t="shared" si="82"/>
        <v>165</v>
      </c>
      <c r="I870">
        <f t="shared" si="83"/>
        <v>255</v>
      </c>
      <c r="J870" s="402" t="str" cm="1">
        <f t="array" ref="J870">myRGB(G870,H870,I870)</f>
        <v/>
      </c>
    </row>
    <row r="871" spans="1:10" ht="17" x14ac:dyDescent="0.25">
      <c r="A871" s="1" t="s">
        <v>873</v>
      </c>
      <c r="B871" s="1" t="s">
        <v>3525</v>
      </c>
      <c r="C871" s="1" t="s">
        <v>2200</v>
      </c>
      <c r="D871" t="str">
        <f t="shared" si="78"/>
        <v>FFA6FF</v>
      </c>
      <c r="E871" t="str">
        <f t="shared" si="79"/>
        <v>255-166-255</v>
      </c>
      <c r="F871" t="str">
        <f t="shared" si="80"/>
        <v>255166255</v>
      </c>
      <c r="G871">
        <f t="shared" si="81"/>
        <v>255</v>
      </c>
      <c r="H871">
        <f t="shared" si="82"/>
        <v>166</v>
      </c>
      <c r="I871">
        <f t="shared" si="83"/>
        <v>255</v>
      </c>
      <c r="J871" s="400" t="str" cm="1">
        <f t="array" ref="J871">myRGB(G871,H871,I871)</f>
        <v/>
      </c>
    </row>
    <row r="872" spans="1:10" ht="17" x14ac:dyDescent="0.25">
      <c r="A872" s="1" t="s">
        <v>874</v>
      </c>
      <c r="B872" s="1" t="s">
        <v>3526</v>
      </c>
      <c r="C872" s="1" t="s">
        <v>2201</v>
      </c>
      <c r="D872" t="str">
        <f t="shared" si="78"/>
        <v>FFA6FE</v>
      </c>
      <c r="E872" t="str">
        <f t="shared" si="79"/>
        <v>255-166-254</v>
      </c>
      <c r="F872" t="str">
        <f t="shared" si="80"/>
        <v>255166254</v>
      </c>
      <c r="G872">
        <f t="shared" si="81"/>
        <v>255</v>
      </c>
      <c r="H872">
        <f t="shared" si="82"/>
        <v>166</v>
      </c>
      <c r="I872">
        <f t="shared" si="83"/>
        <v>254</v>
      </c>
      <c r="J872" s="670" t="str" cm="1">
        <f t="array" ref="J872">myRGB(G872,H872,I872)</f>
        <v/>
      </c>
    </row>
    <row r="873" spans="1:10" ht="17" x14ac:dyDescent="0.25">
      <c r="A873" s="1" t="s">
        <v>875</v>
      </c>
      <c r="B873" s="1" t="s">
        <v>3527</v>
      </c>
      <c r="C873" s="1" t="s">
        <v>2202</v>
      </c>
      <c r="D873" t="str">
        <f t="shared" si="78"/>
        <v>FFA4FE</v>
      </c>
      <c r="E873" t="str">
        <f t="shared" si="79"/>
        <v>255-164-254</v>
      </c>
      <c r="F873" t="str">
        <f t="shared" si="80"/>
        <v>255164254</v>
      </c>
      <c r="G873">
        <f t="shared" si="81"/>
        <v>255</v>
      </c>
      <c r="H873">
        <f t="shared" si="82"/>
        <v>164</v>
      </c>
      <c r="I873">
        <f t="shared" si="83"/>
        <v>254</v>
      </c>
      <c r="J873" s="502" t="str" cm="1">
        <f t="array" ref="J873">myRGB(G873,H873,I873)</f>
        <v/>
      </c>
    </row>
    <row r="874" spans="1:10" ht="17" x14ac:dyDescent="0.25">
      <c r="A874" s="1" t="s">
        <v>876</v>
      </c>
      <c r="B874" s="1" t="s">
        <v>3528</v>
      </c>
      <c r="C874" s="1" t="s">
        <v>2203</v>
      </c>
      <c r="D874" t="str">
        <f t="shared" si="78"/>
        <v>FFA5FE</v>
      </c>
      <c r="E874" t="str">
        <f t="shared" si="79"/>
        <v>255-165-254</v>
      </c>
      <c r="F874" t="str">
        <f t="shared" si="80"/>
        <v>255165254</v>
      </c>
      <c r="G874">
        <f t="shared" si="81"/>
        <v>255</v>
      </c>
      <c r="H874">
        <f t="shared" si="82"/>
        <v>165</v>
      </c>
      <c r="I874">
        <f t="shared" si="83"/>
        <v>254</v>
      </c>
      <c r="J874" s="483" t="str" cm="1">
        <f t="array" ref="J874">myRGB(G874,H874,I874)</f>
        <v/>
      </c>
    </row>
    <row r="875" spans="1:10" ht="17" x14ac:dyDescent="0.25">
      <c r="A875" s="1" t="s">
        <v>877</v>
      </c>
      <c r="B875" s="1" t="s">
        <v>3529</v>
      </c>
      <c r="C875" s="1" t="s">
        <v>2204</v>
      </c>
      <c r="D875" t="str">
        <f t="shared" si="78"/>
        <v>FEA6FE</v>
      </c>
      <c r="E875" t="str">
        <f t="shared" si="79"/>
        <v>254-166-254</v>
      </c>
      <c r="F875" t="str">
        <f t="shared" si="80"/>
        <v>254166254</v>
      </c>
      <c r="G875">
        <f t="shared" si="81"/>
        <v>254</v>
      </c>
      <c r="H875">
        <f t="shared" si="82"/>
        <v>166</v>
      </c>
      <c r="I875">
        <f t="shared" si="83"/>
        <v>254</v>
      </c>
      <c r="J875" s="464" t="str" cm="1">
        <f t="array" ref="J875">myRGB(G875,H875,I875)</f>
        <v/>
      </c>
    </row>
    <row r="876" spans="1:10" ht="17" x14ac:dyDescent="0.25">
      <c r="A876" s="1" t="s">
        <v>878</v>
      </c>
      <c r="B876" s="1" t="s">
        <v>3530</v>
      </c>
      <c r="C876" s="1" t="s">
        <v>2205</v>
      </c>
      <c r="D876" t="str">
        <f t="shared" si="78"/>
        <v>FEA5FF</v>
      </c>
      <c r="E876" t="str">
        <f t="shared" si="79"/>
        <v>254-165-255</v>
      </c>
      <c r="F876" t="str">
        <f t="shared" si="80"/>
        <v>254165255</v>
      </c>
      <c r="G876">
        <f t="shared" si="81"/>
        <v>254</v>
      </c>
      <c r="H876">
        <f t="shared" si="82"/>
        <v>165</v>
      </c>
      <c r="I876">
        <f t="shared" si="83"/>
        <v>255</v>
      </c>
      <c r="J876" s="401" t="str" cm="1">
        <f t="array" ref="J876">myRGB(G876,H876,I876)</f>
        <v/>
      </c>
    </row>
    <row r="877" spans="1:10" ht="17" x14ac:dyDescent="0.25">
      <c r="A877" s="1" t="s">
        <v>879</v>
      </c>
      <c r="B877" s="1" t="s">
        <v>3531</v>
      </c>
      <c r="C877" s="1" t="s">
        <v>2206</v>
      </c>
      <c r="D877" t="str">
        <f t="shared" si="78"/>
        <v>FEA6FD</v>
      </c>
      <c r="E877" t="str">
        <f t="shared" si="79"/>
        <v>254-166-253</v>
      </c>
      <c r="F877" t="str">
        <f t="shared" si="80"/>
        <v>254166253</v>
      </c>
      <c r="G877">
        <f t="shared" si="81"/>
        <v>254</v>
      </c>
      <c r="H877">
        <f t="shared" si="82"/>
        <v>166</v>
      </c>
      <c r="I877">
        <f t="shared" si="83"/>
        <v>253</v>
      </c>
      <c r="J877" s="582" t="str" cm="1">
        <f t="array" ref="J877">myRGB(G877,H877,I877)</f>
        <v/>
      </c>
    </row>
    <row r="878" spans="1:10" ht="17" x14ac:dyDescent="0.25">
      <c r="A878" s="1" t="s">
        <v>880</v>
      </c>
      <c r="B878" s="1" t="s">
        <v>3532</v>
      </c>
      <c r="C878" s="1" t="s">
        <v>2207</v>
      </c>
      <c r="D878" t="str">
        <f t="shared" si="78"/>
        <v>FEA4FF</v>
      </c>
      <c r="E878" t="str">
        <f t="shared" si="79"/>
        <v>254-164-255</v>
      </c>
      <c r="F878" t="str">
        <f t="shared" si="80"/>
        <v>254164255</v>
      </c>
      <c r="G878">
        <f t="shared" si="81"/>
        <v>254</v>
      </c>
      <c r="H878">
        <f t="shared" si="82"/>
        <v>164</v>
      </c>
      <c r="I878">
        <f t="shared" si="83"/>
        <v>255</v>
      </c>
      <c r="J878" s="517" t="str" cm="1">
        <f t="array" ref="J878">myRGB(G878,H878,I878)</f>
        <v/>
      </c>
    </row>
    <row r="879" spans="1:10" ht="17" x14ac:dyDescent="0.25">
      <c r="A879" s="1" t="s">
        <v>881</v>
      </c>
      <c r="B879" s="1" t="s">
        <v>3533</v>
      </c>
      <c r="C879" s="1" t="s">
        <v>2208</v>
      </c>
      <c r="D879" t="str">
        <f t="shared" si="78"/>
        <v>FDA6FE</v>
      </c>
      <c r="E879" t="str">
        <f t="shared" si="79"/>
        <v>253-166-254</v>
      </c>
      <c r="F879" t="str">
        <f t="shared" si="80"/>
        <v>253166254</v>
      </c>
      <c r="G879">
        <f t="shared" si="81"/>
        <v>253</v>
      </c>
      <c r="H879">
        <f t="shared" si="82"/>
        <v>166</v>
      </c>
      <c r="I879">
        <f t="shared" si="83"/>
        <v>254</v>
      </c>
      <c r="J879" s="501" t="str" cm="1">
        <f t="array" ref="J879">myRGB(G879,H879,I879)</f>
        <v/>
      </c>
    </row>
    <row r="880" spans="1:10" ht="17" x14ac:dyDescent="0.25">
      <c r="A880" s="1" t="s">
        <v>882</v>
      </c>
      <c r="B880" s="1" t="s">
        <v>3534</v>
      </c>
      <c r="C880" s="1" t="s">
        <v>2209</v>
      </c>
      <c r="D880" t="str">
        <f t="shared" si="78"/>
        <v>FEA5FE</v>
      </c>
      <c r="E880" t="str">
        <f t="shared" si="79"/>
        <v>254-165-254</v>
      </c>
      <c r="F880" t="str">
        <f t="shared" si="80"/>
        <v>254165254</v>
      </c>
      <c r="G880">
        <f t="shared" si="81"/>
        <v>254</v>
      </c>
      <c r="H880">
        <f t="shared" si="82"/>
        <v>165</v>
      </c>
      <c r="I880">
        <f t="shared" si="83"/>
        <v>254</v>
      </c>
      <c r="J880" s="463" t="str" cm="1">
        <f t="array" ref="J880">myRGB(G880,H880,I880)</f>
        <v/>
      </c>
    </row>
    <row r="881" spans="1:10" ht="17" x14ac:dyDescent="0.25">
      <c r="A881" s="1" t="s">
        <v>883</v>
      </c>
      <c r="B881" s="1" t="s">
        <v>3535</v>
      </c>
      <c r="C881" s="1" t="s">
        <v>2210</v>
      </c>
      <c r="D881" t="str">
        <f t="shared" si="78"/>
        <v>FEA6FF</v>
      </c>
      <c r="E881" t="str">
        <f t="shared" si="79"/>
        <v>254-166-255</v>
      </c>
      <c r="F881" t="str">
        <f t="shared" si="80"/>
        <v>254166255</v>
      </c>
      <c r="G881">
        <f t="shared" si="81"/>
        <v>254</v>
      </c>
      <c r="H881">
        <f t="shared" si="82"/>
        <v>166</v>
      </c>
      <c r="I881">
        <f t="shared" si="83"/>
        <v>255</v>
      </c>
      <c r="J881" s="381" t="str" cm="1">
        <f t="array" ref="J881">myRGB(G881,H881,I881)</f>
        <v/>
      </c>
    </row>
    <row r="882" spans="1:10" ht="17" x14ac:dyDescent="0.25">
      <c r="A882" s="1" t="s">
        <v>884</v>
      </c>
      <c r="B882" s="1" t="s">
        <v>3536</v>
      </c>
      <c r="C882" s="1" t="s">
        <v>2211</v>
      </c>
      <c r="D882" t="str">
        <f t="shared" si="78"/>
        <v>FFA4FF</v>
      </c>
      <c r="E882" t="str">
        <f t="shared" si="79"/>
        <v>255-164-255</v>
      </c>
      <c r="F882" t="str">
        <f t="shared" si="80"/>
        <v>255164255</v>
      </c>
      <c r="G882">
        <f t="shared" si="81"/>
        <v>255</v>
      </c>
      <c r="H882">
        <f t="shared" si="82"/>
        <v>164</v>
      </c>
      <c r="I882">
        <f t="shared" si="83"/>
        <v>255</v>
      </c>
      <c r="J882" s="834" t="str" cm="1">
        <f t="array" ref="J882">myRGB(G882,H882,I882)</f>
        <v/>
      </c>
    </row>
    <row r="883" spans="1:10" ht="17" x14ac:dyDescent="0.25">
      <c r="A883" s="1" t="s">
        <v>885</v>
      </c>
      <c r="B883" s="1" t="s">
        <v>3537</v>
      </c>
      <c r="C883" s="1" t="s">
        <v>2212</v>
      </c>
      <c r="D883" t="str">
        <f t="shared" si="78"/>
        <v>FDA6FF</v>
      </c>
      <c r="E883" t="str">
        <f t="shared" si="79"/>
        <v>253-166-255</v>
      </c>
      <c r="F883" t="str">
        <f t="shared" si="80"/>
        <v>253166255</v>
      </c>
      <c r="G883">
        <f t="shared" si="81"/>
        <v>253</v>
      </c>
      <c r="H883">
        <f t="shared" si="82"/>
        <v>166</v>
      </c>
      <c r="I883">
        <f t="shared" si="83"/>
        <v>255</v>
      </c>
      <c r="J883" s="500" t="str" cm="1">
        <f t="array" ref="J883">myRGB(G883,H883,I883)</f>
        <v/>
      </c>
    </row>
    <row r="884" spans="1:10" ht="17" x14ac:dyDescent="0.25">
      <c r="A884" s="1" t="s">
        <v>886</v>
      </c>
      <c r="B884" s="1" t="s">
        <v>3538</v>
      </c>
      <c r="C884" s="1" t="s">
        <v>2213</v>
      </c>
      <c r="D884" t="str">
        <f t="shared" si="78"/>
        <v>FF9B87</v>
      </c>
      <c r="E884" t="str">
        <f t="shared" si="79"/>
        <v>255-155-135</v>
      </c>
      <c r="F884" t="str">
        <f t="shared" si="80"/>
        <v>255155135</v>
      </c>
      <c r="G884">
        <f t="shared" si="81"/>
        <v>255</v>
      </c>
      <c r="H884">
        <f t="shared" si="82"/>
        <v>155</v>
      </c>
      <c r="I884">
        <f t="shared" si="83"/>
        <v>135</v>
      </c>
      <c r="J884" s="657" t="str" cm="1">
        <f t="array" ref="J884">myRGB(G884,H884,I884)</f>
        <v/>
      </c>
    </row>
    <row r="885" spans="1:10" ht="17" x14ac:dyDescent="0.25">
      <c r="A885" s="1" t="s">
        <v>887</v>
      </c>
      <c r="B885" s="1" t="s">
        <v>3539</v>
      </c>
      <c r="C885" s="1" t="s">
        <v>2214</v>
      </c>
      <c r="D885" t="str">
        <f t="shared" si="78"/>
        <v>FF9B88</v>
      </c>
      <c r="E885" t="str">
        <f t="shared" si="79"/>
        <v>255-155-136</v>
      </c>
      <c r="F885" t="str">
        <f t="shared" si="80"/>
        <v>255155136</v>
      </c>
      <c r="G885">
        <f t="shared" si="81"/>
        <v>255</v>
      </c>
      <c r="H885">
        <f t="shared" si="82"/>
        <v>155</v>
      </c>
      <c r="I885">
        <f t="shared" si="83"/>
        <v>136</v>
      </c>
      <c r="J885" s="649" t="str" cm="1">
        <f t="array" ref="J885">myRGB(G885,H885,I885)</f>
        <v/>
      </c>
    </row>
    <row r="886" spans="1:10" ht="17" x14ac:dyDescent="0.25">
      <c r="A886" s="1" t="s">
        <v>888</v>
      </c>
      <c r="B886" s="1" t="s">
        <v>3540</v>
      </c>
      <c r="C886" s="1" t="s">
        <v>2215</v>
      </c>
      <c r="D886" t="str">
        <f t="shared" si="78"/>
        <v>FFAC6D</v>
      </c>
      <c r="E886" t="str">
        <f t="shared" si="79"/>
        <v>255-172-109</v>
      </c>
      <c r="F886" t="str">
        <f t="shared" si="80"/>
        <v>255172109</v>
      </c>
      <c r="G886">
        <f t="shared" si="81"/>
        <v>255</v>
      </c>
      <c r="H886">
        <f t="shared" si="82"/>
        <v>172</v>
      </c>
      <c r="I886">
        <f t="shared" si="83"/>
        <v>109</v>
      </c>
      <c r="J886" s="812" t="str" cm="1">
        <f t="array" ref="J886">myRGB(G886,H886,I886)</f>
        <v/>
      </c>
    </row>
    <row r="887" spans="1:10" ht="17" x14ac:dyDescent="0.25">
      <c r="A887" s="1" t="s">
        <v>889</v>
      </c>
      <c r="B887" s="1" t="s">
        <v>3541</v>
      </c>
      <c r="C887" s="1" t="s">
        <v>2216</v>
      </c>
      <c r="D887" t="str">
        <f t="shared" si="78"/>
        <v>FFAC6F</v>
      </c>
      <c r="E887" t="str">
        <f t="shared" si="79"/>
        <v>255-172-111</v>
      </c>
      <c r="F887" t="str">
        <f t="shared" si="80"/>
        <v>255172111</v>
      </c>
      <c r="G887">
        <f t="shared" si="81"/>
        <v>255</v>
      </c>
      <c r="H887">
        <f t="shared" si="82"/>
        <v>172</v>
      </c>
      <c r="I887">
        <f t="shared" si="83"/>
        <v>111</v>
      </c>
      <c r="J887" s="534" t="str" cm="1">
        <f t="array" ref="J887">myRGB(G887,H887,I887)</f>
        <v/>
      </c>
    </row>
    <row r="888" spans="1:10" ht="17" x14ac:dyDescent="0.25">
      <c r="A888" s="1" t="s">
        <v>890</v>
      </c>
      <c r="B888" s="1" t="s">
        <v>3542</v>
      </c>
      <c r="C888" s="1" t="s">
        <v>2217</v>
      </c>
      <c r="D888" t="str">
        <f t="shared" si="78"/>
        <v>FFAE6E</v>
      </c>
      <c r="E888" t="str">
        <f t="shared" si="79"/>
        <v>255-174-110</v>
      </c>
      <c r="F888" t="str">
        <f t="shared" si="80"/>
        <v>255174110</v>
      </c>
      <c r="G888">
        <f t="shared" si="81"/>
        <v>255</v>
      </c>
      <c r="H888">
        <f t="shared" si="82"/>
        <v>174</v>
      </c>
      <c r="I888">
        <f t="shared" si="83"/>
        <v>110</v>
      </c>
      <c r="J888" s="1104" t="str" cm="1">
        <f t="array" ref="J888">myRGB(G888,H888,I888)</f>
        <v/>
      </c>
    </row>
    <row r="889" spans="1:10" ht="17" x14ac:dyDescent="0.25">
      <c r="A889" s="1" t="s">
        <v>891</v>
      </c>
      <c r="B889" s="1" t="s">
        <v>3543</v>
      </c>
      <c r="C889" s="1" t="s">
        <v>2218</v>
      </c>
      <c r="D889" t="str">
        <f t="shared" si="78"/>
        <v>FFAD6F</v>
      </c>
      <c r="E889" t="str">
        <f t="shared" si="79"/>
        <v>255-173-111</v>
      </c>
      <c r="F889" t="str">
        <f t="shared" si="80"/>
        <v>255173111</v>
      </c>
      <c r="G889">
        <f t="shared" si="81"/>
        <v>255</v>
      </c>
      <c r="H889">
        <f t="shared" si="82"/>
        <v>173</v>
      </c>
      <c r="I889">
        <f t="shared" si="83"/>
        <v>111</v>
      </c>
      <c r="J889" s="1314" t="str" cm="1">
        <f t="array" ref="J889">myRGB(G889,H889,I889)</f>
        <v/>
      </c>
    </row>
    <row r="890" spans="1:10" ht="17" x14ac:dyDescent="0.25">
      <c r="A890" s="1" t="s">
        <v>892</v>
      </c>
      <c r="B890" s="1" t="s">
        <v>3544</v>
      </c>
      <c r="C890" s="1" t="s">
        <v>2219</v>
      </c>
      <c r="D890" t="str">
        <f t="shared" si="78"/>
        <v>FEAE6F</v>
      </c>
      <c r="E890" t="str">
        <f t="shared" si="79"/>
        <v>254-174-111</v>
      </c>
      <c r="F890" t="str">
        <f t="shared" si="80"/>
        <v>254174111</v>
      </c>
      <c r="G890">
        <f t="shared" si="81"/>
        <v>254</v>
      </c>
      <c r="H890">
        <f t="shared" si="82"/>
        <v>174</v>
      </c>
      <c r="I890">
        <f t="shared" si="83"/>
        <v>111</v>
      </c>
      <c r="J890" s="1131" t="str" cm="1">
        <f t="array" ref="J890">myRGB(G890,H890,I890)</f>
        <v/>
      </c>
    </row>
    <row r="891" spans="1:10" ht="17" x14ac:dyDescent="0.25">
      <c r="A891" s="1" t="s">
        <v>893</v>
      </c>
      <c r="B891" s="1" t="s">
        <v>3545</v>
      </c>
      <c r="C891" s="1" t="s">
        <v>2220</v>
      </c>
      <c r="D891" t="str">
        <f t="shared" si="78"/>
        <v>FFAE6F</v>
      </c>
      <c r="E891" t="str">
        <f t="shared" si="79"/>
        <v>255-174-111</v>
      </c>
      <c r="F891" t="str">
        <f t="shared" si="80"/>
        <v>255174111</v>
      </c>
      <c r="G891">
        <f t="shared" si="81"/>
        <v>255</v>
      </c>
      <c r="H891">
        <f t="shared" si="82"/>
        <v>174</v>
      </c>
      <c r="I891">
        <f t="shared" si="83"/>
        <v>111</v>
      </c>
      <c r="J891" s="811" t="str" cm="1">
        <f t="array" ref="J891">myRGB(G891,H891,I891)</f>
        <v/>
      </c>
    </row>
    <row r="892" spans="1:10" ht="17" x14ac:dyDescent="0.25">
      <c r="A892" s="1" t="s">
        <v>894</v>
      </c>
      <c r="B892" s="1" t="s">
        <v>3546</v>
      </c>
      <c r="C892" s="1" t="s">
        <v>2221</v>
      </c>
      <c r="D892" t="str">
        <f t="shared" si="78"/>
        <v>FFAD6D</v>
      </c>
      <c r="E892" t="str">
        <f t="shared" si="79"/>
        <v>255-173-109</v>
      </c>
      <c r="F892" t="str">
        <f t="shared" si="80"/>
        <v>255173109</v>
      </c>
      <c r="G892">
        <f t="shared" si="81"/>
        <v>255</v>
      </c>
      <c r="H892">
        <f t="shared" si="82"/>
        <v>173</v>
      </c>
      <c r="I892">
        <f t="shared" si="83"/>
        <v>109</v>
      </c>
      <c r="J892" s="766" t="str" cm="1">
        <f t="array" ref="J892">myRGB(G892,H892,I892)</f>
        <v/>
      </c>
    </row>
    <row r="893" spans="1:10" ht="17" x14ac:dyDescent="0.25">
      <c r="A893" s="1" t="s">
        <v>895</v>
      </c>
      <c r="B893" s="1" t="s">
        <v>3547</v>
      </c>
      <c r="C893" s="1" t="s">
        <v>2222</v>
      </c>
      <c r="D893" t="str">
        <f t="shared" si="78"/>
        <v>FEAD6E</v>
      </c>
      <c r="E893" t="str">
        <f t="shared" si="79"/>
        <v>254-173-110</v>
      </c>
      <c r="F893" t="str">
        <f t="shared" si="80"/>
        <v>254173110</v>
      </c>
      <c r="G893">
        <f t="shared" si="81"/>
        <v>254</v>
      </c>
      <c r="H893">
        <f t="shared" si="82"/>
        <v>173</v>
      </c>
      <c r="I893">
        <f t="shared" si="83"/>
        <v>110</v>
      </c>
      <c r="J893" s="706" t="str" cm="1">
        <f t="array" ref="J893">myRGB(G893,H893,I893)</f>
        <v/>
      </c>
    </row>
    <row r="894" spans="1:10" ht="17" x14ac:dyDescent="0.25">
      <c r="A894" s="1" t="s">
        <v>896</v>
      </c>
      <c r="B894" s="1" t="s">
        <v>3548</v>
      </c>
      <c r="C894" s="1" t="s">
        <v>2223</v>
      </c>
      <c r="D894" t="str">
        <f t="shared" si="78"/>
        <v>FEAE6D</v>
      </c>
      <c r="E894" t="str">
        <f t="shared" si="79"/>
        <v>254-174-109</v>
      </c>
      <c r="F894" t="str">
        <f t="shared" si="80"/>
        <v>254174109</v>
      </c>
      <c r="G894">
        <f t="shared" si="81"/>
        <v>254</v>
      </c>
      <c r="H894">
        <f t="shared" si="82"/>
        <v>174</v>
      </c>
      <c r="I894">
        <f t="shared" si="83"/>
        <v>109</v>
      </c>
      <c r="J894" s="1116" t="str" cm="1">
        <f t="array" ref="J894">myRGB(G894,H894,I894)</f>
        <v/>
      </c>
    </row>
    <row r="895" spans="1:10" ht="17" x14ac:dyDescent="0.25">
      <c r="A895" s="1" t="s">
        <v>897</v>
      </c>
      <c r="B895" s="1" t="s">
        <v>3549</v>
      </c>
      <c r="C895" s="1" t="s">
        <v>2224</v>
      </c>
      <c r="D895" t="str">
        <f t="shared" si="78"/>
        <v>FDAE6F</v>
      </c>
      <c r="E895" t="str">
        <f t="shared" si="79"/>
        <v>253-174-111</v>
      </c>
      <c r="F895" t="str">
        <f t="shared" si="80"/>
        <v>253174111</v>
      </c>
      <c r="G895">
        <f t="shared" si="81"/>
        <v>253</v>
      </c>
      <c r="H895">
        <f t="shared" si="82"/>
        <v>174</v>
      </c>
      <c r="I895">
        <f t="shared" si="83"/>
        <v>111</v>
      </c>
      <c r="J895" s="1165" t="str" cm="1">
        <f t="array" ref="J895">myRGB(G895,H895,I895)</f>
        <v/>
      </c>
    </row>
    <row r="896" spans="1:10" ht="17" x14ac:dyDescent="0.25">
      <c r="A896" s="1" t="s">
        <v>898</v>
      </c>
      <c r="B896" s="1" t="s">
        <v>3550</v>
      </c>
      <c r="C896" s="1" t="s">
        <v>2225</v>
      </c>
      <c r="D896" t="str">
        <f t="shared" si="78"/>
        <v>FFAC6E</v>
      </c>
      <c r="E896" t="str">
        <f t="shared" si="79"/>
        <v>255-172-110</v>
      </c>
      <c r="F896" t="str">
        <f t="shared" si="80"/>
        <v>255172110</v>
      </c>
      <c r="G896">
        <f t="shared" si="81"/>
        <v>255</v>
      </c>
      <c r="H896">
        <f t="shared" si="82"/>
        <v>172</v>
      </c>
      <c r="I896">
        <f t="shared" si="83"/>
        <v>110</v>
      </c>
      <c r="J896" s="1277" t="str" cm="1">
        <f t="array" ref="J896">myRGB(G896,H896,I896)</f>
        <v/>
      </c>
    </row>
    <row r="897" spans="1:10" ht="17" x14ac:dyDescent="0.25">
      <c r="A897" s="1" t="s">
        <v>899</v>
      </c>
      <c r="B897" s="1" t="s">
        <v>3551</v>
      </c>
      <c r="C897" s="1" t="s">
        <v>2226</v>
      </c>
      <c r="D897" t="str">
        <f t="shared" si="78"/>
        <v>FDAE6D</v>
      </c>
      <c r="E897" t="str">
        <f t="shared" si="79"/>
        <v>253-174-109</v>
      </c>
      <c r="F897" t="str">
        <f t="shared" si="80"/>
        <v>253174109</v>
      </c>
      <c r="G897">
        <f t="shared" si="81"/>
        <v>253</v>
      </c>
      <c r="H897">
        <f t="shared" si="82"/>
        <v>174</v>
      </c>
      <c r="I897">
        <f t="shared" si="83"/>
        <v>109</v>
      </c>
      <c r="J897" s="1297" t="str" cm="1">
        <f t="array" ref="J897">myRGB(G897,H897,I897)</f>
        <v/>
      </c>
    </row>
    <row r="898" spans="1:10" ht="17" x14ac:dyDescent="0.25">
      <c r="A898" s="1" t="s">
        <v>900</v>
      </c>
      <c r="B898" s="1" t="s">
        <v>3552</v>
      </c>
      <c r="C898" s="1" t="s">
        <v>2227</v>
      </c>
      <c r="D898" t="str">
        <f t="shared" si="78"/>
        <v>FEAC6F</v>
      </c>
      <c r="E898" t="str">
        <f t="shared" si="79"/>
        <v>254-172-111</v>
      </c>
      <c r="F898" t="str">
        <f t="shared" si="80"/>
        <v>254172111</v>
      </c>
      <c r="G898">
        <f t="shared" si="81"/>
        <v>254</v>
      </c>
      <c r="H898">
        <f t="shared" si="82"/>
        <v>172</v>
      </c>
      <c r="I898">
        <f t="shared" si="83"/>
        <v>111</v>
      </c>
      <c r="J898" s="1315" t="str" cm="1">
        <f t="array" ref="J898">myRGB(G898,H898,I898)</f>
        <v/>
      </c>
    </row>
    <row r="899" spans="1:10" ht="17" x14ac:dyDescent="0.25">
      <c r="A899" s="1" t="s">
        <v>901</v>
      </c>
      <c r="B899" s="1" t="s">
        <v>3553</v>
      </c>
      <c r="C899" s="1" t="s">
        <v>2228</v>
      </c>
      <c r="D899" t="str">
        <f t="shared" si="78"/>
        <v>FDAD6F</v>
      </c>
      <c r="E899" t="str">
        <f t="shared" si="79"/>
        <v>253-173-111</v>
      </c>
      <c r="F899" t="str">
        <f t="shared" si="80"/>
        <v>253173111</v>
      </c>
      <c r="G899">
        <f t="shared" si="81"/>
        <v>253</v>
      </c>
      <c r="H899">
        <f t="shared" si="82"/>
        <v>173</v>
      </c>
      <c r="I899">
        <f t="shared" si="83"/>
        <v>111</v>
      </c>
      <c r="J899" s="1132" t="str" cm="1">
        <f t="array" ref="J899">myRGB(G899,H899,I899)</f>
        <v/>
      </c>
    </row>
    <row r="900" spans="1:10" ht="17" x14ac:dyDescent="0.25">
      <c r="A900" s="1" t="s">
        <v>902</v>
      </c>
      <c r="B900" s="1" t="s">
        <v>3554</v>
      </c>
      <c r="C900" s="1" t="s">
        <v>2229</v>
      </c>
      <c r="D900" t="str">
        <f t="shared" ref="D900:D963" si="84">RIGHT(LEFT(C900,9),6)</f>
        <v>FDAE6E</v>
      </c>
      <c r="E900" t="str">
        <f t="shared" ref="E900:E963" si="85">HEX2DEC(LEFT(D900,2))&amp;"-"&amp;HEX2DEC(MID(D900,3,2))&amp;"-"&amp;HEX2DEC(RIGHT(D900,2))</f>
        <v>253-174-110</v>
      </c>
      <c r="F900" t="str">
        <f t="shared" ref="F900:F963" si="86">HEX2DEC(LEFT(D900,2))&amp;HEX2DEC(MID(D900,3,2))&amp;HEX2DEC(RIGHT(D900,2))</f>
        <v>253174110</v>
      </c>
      <c r="G900">
        <f t="shared" ref="G900:G963" si="87">HEX2DEC(LEFT(D900,2))</f>
        <v>253</v>
      </c>
      <c r="H900">
        <f t="shared" ref="H900:H963" si="88">HEX2DEC(MID(D900,3,2))</f>
        <v>174</v>
      </c>
      <c r="I900">
        <f t="shared" ref="I900:I963" si="89">HEX2DEC(RIGHT(D900,2))</f>
        <v>110</v>
      </c>
      <c r="J900" s="1326" t="str" cm="1">
        <f t="array" ref="J900">myRGB(G900,H900,I900)</f>
        <v/>
      </c>
    </row>
    <row r="901" spans="1:10" ht="17" x14ac:dyDescent="0.25">
      <c r="A901" s="1" t="s">
        <v>903</v>
      </c>
      <c r="B901" s="1" t="s">
        <v>3555</v>
      </c>
      <c r="C901" s="1" t="s">
        <v>2230</v>
      </c>
      <c r="D901" t="str">
        <f t="shared" si="84"/>
        <v>FEAD6D</v>
      </c>
      <c r="E901" t="str">
        <f t="shared" si="85"/>
        <v>254-173-109</v>
      </c>
      <c r="F901" t="str">
        <f t="shared" si="86"/>
        <v>254173109</v>
      </c>
      <c r="G901">
        <f t="shared" si="87"/>
        <v>254</v>
      </c>
      <c r="H901">
        <f t="shared" si="88"/>
        <v>173</v>
      </c>
      <c r="I901">
        <f t="shared" si="89"/>
        <v>109</v>
      </c>
      <c r="J901" s="1183" t="str" cm="1">
        <f t="array" ref="J901">myRGB(G901,H901,I901)</f>
        <v/>
      </c>
    </row>
    <row r="902" spans="1:10" ht="17" x14ac:dyDescent="0.25">
      <c r="A902" s="1" t="s">
        <v>904</v>
      </c>
      <c r="B902" s="1" t="s">
        <v>3556</v>
      </c>
      <c r="C902" s="1" t="s">
        <v>2231</v>
      </c>
      <c r="D902" t="str">
        <f t="shared" si="84"/>
        <v>FEAC6E</v>
      </c>
      <c r="E902" t="str">
        <f t="shared" si="85"/>
        <v>254-172-110</v>
      </c>
      <c r="F902" t="str">
        <f t="shared" si="86"/>
        <v>254172110</v>
      </c>
      <c r="G902">
        <f t="shared" si="87"/>
        <v>254</v>
      </c>
      <c r="H902">
        <f t="shared" si="88"/>
        <v>172</v>
      </c>
      <c r="I902">
        <f t="shared" si="89"/>
        <v>110</v>
      </c>
      <c r="J902" s="1105" t="str" cm="1">
        <f t="array" ref="J902">myRGB(G902,H902,I902)</f>
        <v/>
      </c>
    </row>
    <row r="903" spans="1:10" ht="17" x14ac:dyDescent="0.25">
      <c r="A903" s="1" t="s">
        <v>905</v>
      </c>
      <c r="B903" s="1" t="s">
        <v>3557</v>
      </c>
      <c r="C903" s="1" t="s">
        <v>2232</v>
      </c>
      <c r="D903" t="str">
        <f t="shared" si="84"/>
        <v>FDAD6E</v>
      </c>
      <c r="E903" t="str">
        <f t="shared" si="85"/>
        <v>253-173-110</v>
      </c>
      <c r="F903" t="str">
        <f t="shared" si="86"/>
        <v>253173110</v>
      </c>
      <c r="G903">
        <f t="shared" si="87"/>
        <v>253</v>
      </c>
      <c r="H903">
        <f t="shared" si="88"/>
        <v>173</v>
      </c>
      <c r="I903">
        <f t="shared" si="89"/>
        <v>110</v>
      </c>
      <c r="J903" s="1117" t="str" cm="1">
        <f t="array" ref="J903">myRGB(G903,H903,I903)</f>
        <v/>
      </c>
    </row>
    <row r="904" spans="1:10" ht="17" x14ac:dyDescent="0.25">
      <c r="A904" s="1" t="s">
        <v>906</v>
      </c>
      <c r="B904" s="1" t="s">
        <v>3558</v>
      </c>
      <c r="C904" s="1" t="s">
        <v>2233</v>
      </c>
      <c r="D904" t="str">
        <f t="shared" si="84"/>
        <v>FFAE6D</v>
      </c>
      <c r="E904" t="str">
        <f t="shared" si="85"/>
        <v>255-174-109</v>
      </c>
      <c r="F904" t="str">
        <f t="shared" si="86"/>
        <v>255174109</v>
      </c>
      <c r="G904">
        <f t="shared" si="87"/>
        <v>255</v>
      </c>
      <c r="H904">
        <f t="shared" si="88"/>
        <v>174</v>
      </c>
      <c r="I904">
        <f t="shared" si="89"/>
        <v>109</v>
      </c>
      <c r="J904" s="767" t="str" cm="1">
        <f t="array" ref="J904">myRGB(G904,H904,I904)</f>
        <v/>
      </c>
    </row>
    <row r="905" spans="1:10" ht="17" x14ac:dyDescent="0.25">
      <c r="A905" s="1" t="s">
        <v>907</v>
      </c>
      <c r="B905" s="1" t="s">
        <v>3559</v>
      </c>
      <c r="C905" s="1" t="s">
        <v>2234</v>
      </c>
      <c r="D905" t="str">
        <f t="shared" si="84"/>
        <v>FEAD6F</v>
      </c>
      <c r="E905" t="str">
        <f t="shared" si="85"/>
        <v>254-173-111</v>
      </c>
      <c r="F905" t="str">
        <f t="shared" si="86"/>
        <v>254173111</v>
      </c>
      <c r="G905">
        <f t="shared" si="87"/>
        <v>254</v>
      </c>
      <c r="H905">
        <f t="shared" si="88"/>
        <v>173</v>
      </c>
      <c r="I905">
        <f t="shared" si="89"/>
        <v>111</v>
      </c>
      <c r="J905" s="601" t="str" cm="1">
        <f t="array" ref="J905">myRGB(G905,H905,I905)</f>
        <v/>
      </c>
    </row>
    <row r="906" spans="1:10" ht="17" x14ac:dyDescent="0.25">
      <c r="A906" s="1" t="s">
        <v>908</v>
      </c>
      <c r="B906" s="1" t="s">
        <v>3560</v>
      </c>
      <c r="C906" s="1" t="s">
        <v>2235</v>
      </c>
      <c r="D906" t="str">
        <f t="shared" si="84"/>
        <v>FFAD6E</v>
      </c>
      <c r="E906" t="str">
        <f t="shared" si="85"/>
        <v>255-173-110</v>
      </c>
      <c r="F906" t="str">
        <f t="shared" si="86"/>
        <v>255173110</v>
      </c>
      <c r="G906">
        <f t="shared" si="87"/>
        <v>255</v>
      </c>
      <c r="H906">
        <f t="shared" si="88"/>
        <v>173</v>
      </c>
      <c r="I906">
        <f t="shared" si="89"/>
        <v>110</v>
      </c>
      <c r="J906" s="569" t="str" cm="1">
        <f t="array" ref="J906">myRGB(G906,H906,I906)</f>
        <v/>
      </c>
    </row>
    <row r="907" spans="1:10" ht="17" x14ac:dyDescent="0.25">
      <c r="A907" s="1" t="s">
        <v>909</v>
      </c>
      <c r="B907" s="1" t="s">
        <v>3561</v>
      </c>
      <c r="C907" s="1" t="s">
        <v>2236</v>
      </c>
      <c r="D907" t="str">
        <f t="shared" si="84"/>
        <v>FEAE6E</v>
      </c>
      <c r="E907" t="str">
        <f t="shared" si="85"/>
        <v>254-174-110</v>
      </c>
      <c r="F907" t="str">
        <f t="shared" si="86"/>
        <v>254174110</v>
      </c>
      <c r="G907">
        <f t="shared" si="87"/>
        <v>254</v>
      </c>
      <c r="H907">
        <f t="shared" si="88"/>
        <v>174</v>
      </c>
      <c r="I907">
        <f t="shared" si="89"/>
        <v>110</v>
      </c>
      <c r="J907" s="647" t="str" cm="1">
        <f t="array" ref="J907">myRGB(G907,H907,I907)</f>
        <v/>
      </c>
    </row>
    <row r="908" spans="1:10" ht="17" x14ac:dyDescent="0.25">
      <c r="A908" s="1" t="s">
        <v>910</v>
      </c>
      <c r="B908" s="1" t="s">
        <v>3562</v>
      </c>
      <c r="C908" s="1" t="s">
        <v>2237</v>
      </c>
      <c r="D908" t="str">
        <f t="shared" si="84"/>
        <v>FFB886</v>
      </c>
      <c r="E908" t="str">
        <f t="shared" si="85"/>
        <v>255-184-134</v>
      </c>
      <c r="F908" t="str">
        <f t="shared" si="86"/>
        <v>255184134</v>
      </c>
      <c r="G908">
        <f t="shared" si="87"/>
        <v>255</v>
      </c>
      <c r="H908">
        <f t="shared" si="88"/>
        <v>184</v>
      </c>
      <c r="I908">
        <f t="shared" si="89"/>
        <v>134</v>
      </c>
      <c r="J908" s="678" t="str" cm="1">
        <f t="array" ref="J908">myRGB(G908,H908,I908)</f>
        <v/>
      </c>
    </row>
    <row r="909" spans="1:10" ht="17" x14ac:dyDescent="0.25">
      <c r="A909" s="1" t="s">
        <v>911</v>
      </c>
      <c r="B909" s="1" t="s">
        <v>3563</v>
      </c>
      <c r="C909" s="1" t="s">
        <v>2238</v>
      </c>
      <c r="D909" t="str">
        <f t="shared" si="84"/>
        <v>FFBA86</v>
      </c>
      <c r="E909" t="str">
        <f t="shared" si="85"/>
        <v>255-186-134</v>
      </c>
      <c r="F909" t="str">
        <f t="shared" si="86"/>
        <v>255186134</v>
      </c>
      <c r="G909">
        <f t="shared" si="87"/>
        <v>255</v>
      </c>
      <c r="H909">
        <f t="shared" si="88"/>
        <v>186</v>
      </c>
      <c r="I909">
        <f t="shared" si="89"/>
        <v>134</v>
      </c>
      <c r="J909" s="533" t="str" cm="1">
        <f t="array" ref="J909">myRGB(G909,H909,I909)</f>
        <v/>
      </c>
    </row>
    <row r="910" spans="1:10" ht="17" x14ac:dyDescent="0.25">
      <c r="A910" s="1" t="s">
        <v>912</v>
      </c>
      <c r="B910" s="1" t="s">
        <v>3564</v>
      </c>
      <c r="C910" s="1" t="s">
        <v>2239</v>
      </c>
      <c r="D910" t="str">
        <f t="shared" si="84"/>
        <v>FEB985</v>
      </c>
      <c r="E910" t="str">
        <f t="shared" si="85"/>
        <v>254-185-133</v>
      </c>
      <c r="F910" t="str">
        <f t="shared" si="86"/>
        <v>254185133</v>
      </c>
      <c r="G910">
        <f t="shared" si="87"/>
        <v>254</v>
      </c>
      <c r="H910">
        <f t="shared" si="88"/>
        <v>185</v>
      </c>
      <c r="I910">
        <f t="shared" si="89"/>
        <v>133</v>
      </c>
      <c r="J910" s="704" t="str" cm="1">
        <f t="array" ref="J910">myRGB(G910,H910,I910)</f>
        <v/>
      </c>
    </row>
    <row r="911" spans="1:10" ht="17" x14ac:dyDescent="0.25">
      <c r="A911" s="1" t="s">
        <v>913</v>
      </c>
      <c r="B911" s="1" t="s">
        <v>3565</v>
      </c>
      <c r="C911" s="1" t="s">
        <v>2240</v>
      </c>
      <c r="D911" t="str">
        <f t="shared" si="84"/>
        <v>FFBA85</v>
      </c>
      <c r="E911" t="str">
        <f t="shared" si="85"/>
        <v>255-186-133</v>
      </c>
      <c r="F911" t="str">
        <f t="shared" si="86"/>
        <v>255186133</v>
      </c>
      <c r="G911">
        <f t="shared" si="87"/>
        <v>255</v>
      </c>
      <c r="H911">
        <f t="shared" si="88"/>
        <v>186</v>
      </c>
      <c r="I911">
        <f t="shared" si="89"/>
        <v>133</v>
      </c>
      <c r="J911" s="1106" t="str" cm="1">
        <f t="array" ref="J911">myRGB(G911,H911,I911)</f>
        <v/>
      </c>
    </row>
    <row r="912" spans="1:10" ht="17" x14ac:dyDescent="0.25">
      <c r="A912" s="1" t="s">
        <v>914</v>
      </c>
      <c r="B912" s="1" t="s">
        <v>3566</v>
      </c>
      <c r="C912" s="1" t="s">
        <v>2241</v>
      </c>
      <c r="D912" t="str">
        <f t="shared" si="84"/>
        <v>FFB984</v>
      </c>
      <c r="E912" t="str">
        <f t="shared" si="85"/>
        <v>255-185-132</v>
      </c>
      <c r="F912" t="str">
        <f t="shared" si="86"/>
        <v>255185132</v>
      </c>
      <c r="G912">
        <f t="shared" si="87"/>
        <v>255</v>
      </c>
      <c r="H912">
        <f t="shared" si="88"/>
        <v>185</v>
      </c>
      <c r="I912">
        <f t="shared" si="89"/>
        <v>132</v>
      </c>
      <c r="J912" s="809" t="str" cm="1">
        <f t="array" ref="J912">myRGB(G912,H912,I912)</f>
        <v/>
      </c>
    </row>
    <row r="913" spans="1:10" ht="17" x14ac:dyDescent="0.25">
      <c r="A913" s="1" t="s">
        <v>915</v>
      </c>
      <c r="B913" s="1" t="s">
        <v>3567</v>
      </c>
      <c r="C913" s="1" t="s">
        <v>2242</v>
      </c>
      <c r="D913" t="str">
        <f t="shared" si="84"/>
        <v>FFBA84</v>
      </c>
      <c r="E913" t="str">
        <f t="shared" si="85"/>
        <v>255-186-132</v>
      </c>
      <c r="F913" t="str">
        <f t="shared" si="86"/>
        <v>255186132</v>
      </c>
      <c r="G913">
        <f t="shared" si="87"/>
        <v>255</v>
      </c>
      <c r="H913">
        <f t="shared" si="88"/>
        <v>186</v>
      </c>
      <c r="I913">
        <f t="shared" si="89"/>
        <v>132</v>
      </c>
      <c r="J913" s="645" t="str" cm="1">
        <f t="array" ref="J913">myRGB(G913,H913,I913)</f>
        <v/>
      </c>
    </row>
    <row r="914" spans="1:10" ht="17" x14ac:dyDescent="0.25">
      <c r="A914" s="1" t="s">
        <v>916</v>
      </c>
      <c r="B914" s="1" t="s">
        <v>3568</v>
      </c>
      <c r="C914" s="1" t="s">
        <v>2243</v>
      </c>
      <c r="D914" t="str">
        <f t="shared" si="84"/>
        <v>FFB885</v>
      </c>
      <c r="E914" t="str">
        <f t="shared" si="85"/>
        <v>255-184-133</v>
      </c>
      <c r="F914" t="str">
        <f t="shared" si="86"/>
        <v>255184133</v>
      </c>
      <c r="G914">
        <f t="shared" si="87"/>
        <v>255</v>
      </c>
      <c r="H914">
        <f t="shared" si="88"/>
        <v>184</v>
      </c>
      <c r="I914">
        <f t="shared" si="89"/>
        <v>133</v>
      </c>
      <c r="J914" s="598" t="str" cm="1">
        <f t="array" ref="J914">myRGB(G914,H914,I914)</f>
        <v/>
      </c>
    </row>
    <row r="915" spans="1:10" ht="17" x14ac:dyDescent="0.25">
      <c r="A915" s="1" t="s">
        <v>917</v>
      </c>
      <c r="B915" s="1" t="s">
        <v>3569</v>
      </c>
      <c r="C915" s="1" t="s">
        <v>2244</v>
      </c>
      <c r="D915" t="str">
        <f t="shared" si="84"/>
        <v>FDBA86</v>
      </c>
      <c r="E915" t="str">
        <f t="shared" si="85"/>
        <v>253-186-134</v>
      </c>
      <c r="F915" t="str">
        <f t="shared" si="86"/>
        <v>253186134</v>
      </c>
      <c r="G915">
        <f t="shared" si="87"/>
        <v>253</v>
      </c>
      <c r="H915">
        <f t="shared" si="88"/>
        <v>186</v>
      </c>
      <c r="I915">
        <f t="shared" si="89"/>
        <v>134</v>
      </c>
      <c r="J915" s="600" t="str" cm="1">
        <f t="array" ref="J915">myRGB(G915,H915,I915)</f>
        <v/>
      </c>
    </row>
    <row r="916" spans="1:10" ht="17" x14ac:dyDescent="0.25">
      <c r="A916" s="1" t="s">
        <v>918</v>
      </c>
      <c r="B916" s="1" t="s">
        <v>3570</v>
      </c>
      <c r="C916" s="1" t="s">
        <v>2245</v>
      </c>
      <c r="D916" t="str">
        <f t="shared" si="84"/>
        <v>FFB985</v>
      </c>
      <c r="E916" t="str">
        <f t="shared" si="85"/>
        <v>255-185-133</v>
      </c>
      <c r="F916" t="str">
        <f t="shared" si="86"/>
        <v>255185133</v>
      </c>
      <c r="G916">
        <f t="shared" si="87"/>
        <v>255</v>
      </c>
      <c r="H916">
        <f t="shared" si="88"/>
        <v>185</v>
      </c>
      <c r="I916">
        <f t="shared" si="89"/>
        <v>133</v>
      </c>
      <c r="J916" s="1316" t="str" cm="1">
        <f t="array" ref="J916">myRGB(G916,H916,I916)</f>
        <v/>
      </c>
    </row>
    <row r="917" spans="1:10" ht="17" x14ac:dyDescent="0.25">
      <c r="A917" s="1" t="s">
        <v>919</v>
      </c>
      <c r="B917" s="1" t="s">
        <v>3571</v>
      </c>
      <c r="C917" s="1" t="s">
        <v>2246</v>
      </c>
      <c r="D917" t="str">
        <f t="shared" si="84"/>
        <v>FFB986</v>
      </c>
      <c r="E917" t="str">
        <f t="shared" si="85"/>
        <v>255-185-134</v>
      </c>
      <c r="F917" t="str">
        <f t="shared" si="86"/>
        <v>255185134</v>
      </c>
      <c r="G917">
        <f t="shared" si="87"/>
        <v>255</v>
      </c>
      <c r="H917">
        <f t="shared" si="88"/>
        <v>185</v>
      </c>
      <c r="I917">
        <f t="shared" si="89"/>
        <v>134</v>
      </c>
      <c r="J917" s="842" t="str" cm="1">
        <f t="array" ref="J917">myRGB(G917,H917,I917)</f>
        <v/>
      </c>
    </row>
    <row r="918" spans="1:10" ht="17" x14ac:dyDescent="0.25">
      <c r="A918" s="1" t="s">
        <v>920</v>
      </c>
      <c r="B918" s="1" t="s">
        <v>3572</v>
      </c>
      <c r="C918" s="1" t="s">
        <v>2247</v>
      </c>
      <c r="D918" t="str">
        <f t="shared" si="84"/>
        <v>FEBA84</v>
      </c>
      <c r="E918" t="str">
        <f t="shared" si="85"/>
        <v>254-186-132</v>
      </c>
      <c r="F918" t="str">
        <f t="shared" si="86"/>
        <v>254186132</v>
      </c>
      <c r="G918">
        <f t="shared" si="87"/>
        <v>254</v>
      </c>
      <c r="H918">
        <f t="shared" si="88"/>
        <v>186</v>
      </c>
      <c r="I918">
        <f t="shared" si="89"/>
        <v>132</v>
      </c>
      <c r="J918" s="1166" t="str" cm="1">
        <f t="array" ref="J918">myRGB(G918,H918,I918)</f>
        <v/>
      </c>
    </row>
    <row r="919" spans="1:10" ht="17" x14ac:dyDescent="0.25">
      <c r="A919" s="1" t="s">
        <v>921</v>
      </c>
      <c r="B919" s="1" t="s">
        <v>3573</v>
      </c>
      <c r="C919" s="1" t="s">
        <v>2248</v>
      </c>
      <c r="D919" t="str">
        <f t="shared" si="84"/>
        <v>FEBA86</v>
      </c>
      <c r="E919" t="str">
        <f t="shared" si="85"/>
        <v>254-186-134</v>
      </c>
      <c r="F919" t="str">
        <f t="shared" si="86"/>
        <v>254186134</v>
      </c>
      <c r="G919">
        <f t="shared" si="87"/>
        <v>254</v>
      </c>
      <c r="H919">
        <f t="shared" si="88"/>
        <v>186</v>
      </c>
      <c r="I919">
        <f t="shared" si="89"/>
        <v>134</v>
      </c>
      <c r="J919" s="810" t="str" cm="1">
        <f t="array" ref="J919">myRGB(G919,H919,I919)</f>
        <v/>
      </c>
    </row>
    <row r="920" spans="1:10" ht="17" x14ac:dyDescent="0.25">
      <c r="A920" s="1" t="s">
        <v>922</v>
      </c>
      <c r="B920" s="1" t="s">
        <v>3574</v>
      </c>
      <c r="C920" s="1" t="s">
        <v>2249</v>
      </c>
      <c r="D920" t="str">
        <f t="shared" si="84"/>
        <v>FEBA85</v>
      </c>
      <c r="E920" t="str">
        <f t="shared" si="85"/>
        <v>254-186-133</v>
      </c>
      <c r="F920" t="str">
        <f t="shared" si="86"/>
        <v>254186133</v>
      </c>
      <c r="G920">
        <f t="shared" si="87"/>
        <v>254</v>
      </c>
      <c r="H920">
        <f t="shared" si="88"/>
        <v>186</v>
      </c>
      <c r="I920">
        <f t="shared" si="89"/>
        <v>133</v>
      </c>
      <c r="J920" s="735" t="str" cm="1">
        <f t="array" ref="J920">myRGB(G920,H920,I920)</f>
        <v/>
      </c>
    </row>
    <row r="921" spans="1:10" ht="17" x14ac:dyDescent="0.25">
      <c r="A921" s="1" t="s">
        <v>923</v>
      </c>
      <c r="B921" s="1" t="s">
        <v>3575</v>
      </c>
      <c r="C921" s="1" t="s">
        <v>2250</v>
      </c>
      <c r="D921" t="str">
        <f t="shared" si="84"/>
        <v>FEB986</v>
      </c>
      <c r="E921" t="str">
        <f t="shared" si="85"/>
        <v>254-185-134</v>
      </c>
      <c r="F921" t="str">
        <f t="shared" si="86"/>
        <v>254185134</v>
      </c>
      <c r="G921">
        <f t="shared" si="87"/>
        <v>254</v>
      </c>
      <c r="H921">
        <f t="shared" si="88"/>
        <v>185</v>
      </c>
      <c r="I921">
        <f t="shared" si="89"/>
        <v>134</v>
      </c>
      <c r="J921" s="765" t="str" cm="1">
        <f t="array" ref="J921">myRGB(G921,H921,I921)</f>
        <v/>
      </c>
    </row>
    <row r="922" spans="1:10" ht="17" x14ac:dyDescent="0.25">
      <c r="A922" s="1" t="s">
        <v>924</v>
      </c>
      <c r="B922" s="1" t="s">
        <v>3576</v>
      </c>
      <c r="C922" s="1" t="s">
        <v>2251</v>
      </c>
      <c r="D922" t="str">
        <f t="shared" si="84"/>
        <v>FEB886</v>
      </c>
      <c r="E922" t="str">
        <f t="shared" si="85"/>
        <v>254-184-134</v>
      </c>
      <c r="F922" t="str">
        <f t="shared" si="86"/>
        <v>254184134</v>
      </c>
      <c r="G922">
        <f t="shared" si="87"/>
        <v>254</v>
      </c>
      <c r="H922">
        <f t="shared" si="88"/>
        <v>184</v>
      </c>
      <c r="I922">
        <f t="shared" si="89"/>
        <v>134</v>
      </c>
      <c r="J922" s="705" t="str" cm="1">
        <f t="array" ref="J922">myRGB(G922,H922,I922)</f>
        <v/>
      </c>
    </row>
    <row r="923" spans="1:10" ht="17" x14ac:dyDescent="0.25">
      <c r="A923" s="1" t="s">
        <v>925</v>
      </c>
      <c r="B923" s="1" t="s">
        <v>3577</v>
      </c>
      <c r="C923" s="1" t="s">
        <v>2252</v>
      </c>
      <c r="D923" t="str">
        <f t="shared" si="84"/>
        <v>FDBA85</v>
      </c>
      <c r="E923" t="str">
        <f t="shared" si="85"/>
        <v>253-186-133</v>
      </c>
      <c r="F923" t="str">
        <f t="shared" si="86"/>
        <v>253186133</v>
      </c>
      <c r="G923">
        <f t="shared" si="87"/>
        <v>253</v>
      </c>
      <c r="H923">
        <f t="shared" si="88"/>
        <v>186</v>
      </c>
      <c r="I923">
        <f t="shared" si="89"/>
        <v>133</v>
      </c>
      <c r="J923" s="628" t="str" cm="1">
        <f t="array" ref="J923">myRGB(G923,H923,I923)</f>
        <v/>
      </c>
    </row>
    <row r="924" spans="1:10" ht="17" x14ac:dyDescent="0.25">
      <c r="A924" s="1" t="s">
        <v>926</v>
      </c>
      <c r="B924" s="1" t="s">
        <v>3578</v>
      </c>
      <c r="C924" s="1" t="s">
        <v>2253</v>
      </c>
      <c r="D924" t="str">
        <f t="shared" si="84"/>
        <v>FDB986</v>
      </c>
      <c r="E924" t="str">
        <f t="shared" si="85"/>
        <v>253-185-134</v>
      </c>
      <c r="F924" t="str">
        <f t="shared" si="86"/>
        <v>253185134</v>
      </c>
      <c r="G924">
        <f t="shared" si="87"/>
        <v>253</v>
      </c>
      <c r="H924">
        <f t="shared" si="88"/>
        <v>185</v>
      </c>
      <c r="I924">
        <f t="shared" si="89"/>
        <v>134</v>
      </c>
      <c r="J924" s="646" t="str" cm="1">
        <f t="array" ref="J924">myRGB(G924,H924,I924)</f>
        <v/>
      </c>
    </row>
    <row r="925" spans="1:10" ht="17" x14ac:dyDescent="0.25">
      <c r="A925" s="1" t="s">
        <v>927</v>
      </c>
      <c r="B925" s="1" t="s">
        <v>3579</v>
      </c>
      <c r="C925" s="1" t="s">
        <v>2254</v>
      </c>
      <c r="D925" t="str">
        <f t="shared" si="84"/>
        <v>FEB984</v>
      </c>
      <c r="E925" t="str">
        <f t="shared" si="85"/>
        <v>254-185-132</v>
      </c>
      <c r="F925" t="str">
        <f t="shared" si="86"/>
        <v>254185132</v>
      </c>
      <c r="G925">
        <f t="shared" si="87"/>
        <v>254</v>
      </c>
      <c r="H925">
        <f t="shared" si="88"/>
        <v>185</v>
      </c>
      <c r="I925">
        <f t="shared" si="89"/>
        <v>132</v>
      </c>
      <c r="J925" s="599" t="str" cm="1">
        <f t="array" ref="J925">myRGB(G925,H925,I925)</f>
        <v/>
      </c>
    </row>
    <row r="926" spans="1:10" ht="17" x14ac:dyDescent="0.25">
      <c r="A926" s="1" t="s">
        <v>928</v>
      </c>
      <c r="B926" s="1" t="s">
        <v>3580</v>
      </c>
      <c r="C926" s="1" t="s">
        <v>2255</v>
      </c>
      <c r="D926" t="str">
        <f t="shared" si="84"/>
        <v>FFC195</v>
      </c>
      <c r="E926" t="str">
        <f t="shared" si="85"/>
        <v>255-193-149</v>
      </c>
      <c r="F926" t="str">
        <f t="shared" si="86"/>
        <v>255193149</v>
      </c>
      <c r="G926">
        <f t="shared" si="87"/>
        <v>255</v>
      </c>
      <c r="H926">
        <f t="shared" si="88"/>
        <v>193</v>
      </c>
      <c r="I926">
        <f t="shared" si="89"/>
        <v>149</v>
      </c>
      <c r="J926" s="602" t="str" cm="1">
        <f t="array" ref="J926">myRGB(G926,H926,I926)</f>
        <v/>
      </c>
    </row>
    <row r="927" spans="1:10" ht="17" x14ac:dyDescent="0.25">
      <c r="A927" s="1" t="s">
        <v>929</v>
      </c>
      <c r="B927" s="1" t="s">
        <v>3581</v>
      </c>
      <c r="C927" s="1" t="s">
        <v>2256</v>
      </c>
      <c r="D927" t="str">
        <f t="shared" si="84"/>
        <v>FFC393</v>
      </c>
      <c r="E927" t="str">
        <f t="shared" si="85"/>
        <v>255-195-147</v>
      </c>
      <c r="F927" t="str">
        <f t="shared" si="86"/>
        <v>255195147</v>
      </c>
      <c r="G927">
        <f t="shared" si="87"/>
        <v>255</v>
      </c>
      <c r="H927">
        <f t="shared" si="88"/>
        <v>195</v>
      </c>
      <c r="I927">
        <f t="shared" si="89"/>
        <v>147</v>
      </c>
      <c r="J927" s="736" t="str" cm="1">
        <f t="array" ref="J927">myRGB(G927,H927,I927)</f>
        <v/>
      </c>
    </row>
    <row r="928" spans="1:10" ht="17" x14ac:dyDescent="0.25">
      <c r="A928" s="1" t="s">
        <v>930</v>
      </c>
      <c r="B928" s="1" t="s">
        <v>3582</v>
      </c>
      <c r="C928" s="1" t="s">
        <v>2257</v>
      </c>
      <c r="D928" t="str">
        <f t="shared" si="84"/>
        <v>FFC394</v>
      </c>
      <c r="E928" t="str">
        <f t="shared" si="85"/>
        <v>255-195-148</v>
      </c>
      <c r="F928" t="str">
        <f t="shared" si="86"/>
        <v>255195148</v>
      </c>
      <c r="G928">
        <f t="shared" si="87"/>
        <v>255</v>
      </c>
      <c r="H928">
        <f t="shared" si="88"/>
        <v>195</v>
      </c>
      <c r="I928">
        <f t="shared" si="89"/>
        <v>148</v>
      </c>
      <c r="J928" s="1184" t="str" cm="1">
        <f t="array" ref="J928">myRGB(G928,H928,I928)</f>
        <v/>
      </c>
    </row>
    <row r="929" spans="1:10" ht="17" x14ac:dyDescent="0.25">
      <c r="A929" s="1" t="s">
        <v>931</v>
      </c>
      <c r="B929" s="1" t="s">
        <v>3583</v>
      </c>
      <c r="C929" s="1" t="s">
        <v>2258</v>
      </c>
      <c r="D929" t="str">
        <f t="shared" si="84"/>
        <v>FFC395</v>
      </c>
      <c r="E929" t="str">
        <f t="shared" si="85"/>
        <v>255-195-149</v>
      </c>
      <c r="F929" t="str">
        <f t="shared" si="86"/>
        <v>255195149</v>
      </c>
      <c r="G929">
        <f t="shared" si="87"/>
        <v>255</v>
      </c>
      <c r="H929">
        <f t="shared" si="88"/>
        <v>195</v>
      </c>
      <c r="I929">
        <f t="shared" si="89"/>
        <v>149</v>
      </c>
      <c r="J929" s="1208" t="str" cm="1">
        <f t="array" ref="J929">myRGB(G929,H929,I929)</f>
        <v/>
      </c>
    </row>
    <row r="930" spans="1:10" ht="17" x14ac:dyDescent="0.25">
      <c r="A930" s="1" t="s">
        <v>932</v>
      </c>
      <c r="B930" s="1" t="s">
        <v>3584</v>
      </c>
      <c r="C930" s="1" t="s">
        <v>2259</v>
      </c>
      <c r="D930" t="str">
        <f t="shared" si="84"/>
        <v>FDC395</v>
      </c>
      <c r="E930" t="str">
        <f t="shared" si="85"/>
        <v>253-195-149</v>
      </c>
      <c r="F930" t="str">
        <f t="shared" si="86"/>
        <v>253195149</v>
      </c>
      <c r="G930">
        <f t="shared" si="87"/>
        <v>253</v>
      </c>
      <c r="H930">
        <f t="shared" si="88"/>
        <v>195</v>
      </c>
      <c r="I930">
        <f t="shared" si="89"/>
        <v>149</v>
      </c>
      <c r="J930" s="796" t="str" cm="1">
        <f t="array" ref="J930">myRGB(G930,H930,I930)</f>
        <v/>
      </c>
    </row>
    <row r="931" spans="1:10" ht="17" x14ac:dyDescent="0.25">
      <c r="A931" s="1" t="s">
        <v>933</v>
      </c>
      <c r="B931" s="1" t="s">
        <v>3585</v>
      </c>
      <c r="C931" s="1" t="s">
        <v>2260</v>
      </c>
      <c r="D931" t="str">
        <f t="shared" si="84"/>
        <v>FEC395</v>
      </c>
      <c r="E931" t="str">
        <f t="shared" si="85"/>
        <v>254-195-149</v>
      </c>
      <c r="F931" t="str">
        <f t="shared" si="86"/>
        <v>254195149</v>
      </c>
      <c r="G931">
        <f t="shared" si="87"/>
        <v>254</v>
      </c>
      <c r="H931">
        <f t="shared" si="88"/>
        <v>195</v>
      </c>
      <c r="I931">
        <f t="shared" si="89"/>
        <v>149</v>
      </c>
      <c r="J931" s="768" t="str" cm="1">
        <f t="array" ref="J931">myRGB(G931,H931,I931)</f>
        <v/>
      </c>
    </row>
    <row r="932" spans="1:10" ht="17" x14ac:dyDescent="0.25">
      <c r="A932" s="1" t="s">
        <v>934</v>
      </c>
      <c r="B932" s="1" t="s">
        <v>3586</v>
      </c>
      <c r="C932" s="1" t="s">
        <v>2261</v>
      </c>
      <c r="D932" t="str">
        <f t="shared" si="84"/>
        <v>FEC294</v>
      </c>
      <c r="E932" t="str">
        <f t="shared" si="85"/>
        <v>254-194-148</v>
      </c>
      <c r="F932" t="str">
        <f t="shared" si="86"/>
        <v>254194148</v>
      </c>
      <c r="G932">
        <f t="shared" si="87"/>
        <v>254</v>
      </c>
      <c r="H932">
        <f t="shared" si="88"/>
        <v>194</v>
      </c>
      <c r="I932">
        <f t="shared" si="89"/>
        <v>148</v>
      </c>
      <c r="J932" s="535" t="str" cm="1">
        <f t="array" ref="J932">myRGB(G932,H932,I932)</f>
        <v/>
      </c>
    </row>
    <row r="933" spans="1:10" ht="17" x14ac:dyDescent="0.25">
      <c r="A933" s="1" t="s">
        <v>935</v>
      </c>
      <c r="B933" s="1" t="s">
        <v>3587</v>
      </c>
      <c r="C933" s="1" t="s">
        <v>2262</v>
      </c>
      <c r="D933" t="str">
        <f t="shared" si="84"/>
        <v>FFC295</v>
      </c>
      <c r="E933" t="str">
        <f t="shared" si="85"/>
        <v>255-194-149</v>
      </c>
      <c r="F933" t="str">
        <f t="shared" si="86"/>
        <v>255194149</v>
      </c>
      <c r="G933">
        <f t="shared" si="87"/>
        <v>255</v>
      </c>
      <c r="H933">
        <f t="shared" si="88"/>
        <v>194</v>
      </c>
      <c r="I933">
        <f t="shared" si="89"/>
        <v>149</v>
      </c>
      <c r="J933" s="536" t="str" cm="1">
        <f t="array" ref="J933">myRGB(G933,H933,I933)</f>
        <v/>
      </c>
    </row>
    <row r="934" spans="1:10" ht="17" x14ac:dyDescent="0.25">
      <c r="A934" s="1" t="s">
        <v>936</v>
      </c>
      <c r="B934" s="1" t="s">
        <v>3588</v>
      </c>
      <c r="C934" s="1" t="s">
        <v>2263</v>
      </c>
      <c r="D934" t="str">
        <f t="shared" si="84"/>
        <v>FFC294</v>
      </c>
      <c r="E934" t="str">
        <f t="shared" si="85"/>
        <v>255-194-148</v>
      </c>
      <c r="F934" t="str">
        <f t="shared" si="86"/>
        <v>255194148</v>
      </c>
      <c r="G934">
        <f t="shared" si="87"/>
        <v>255</v>
      </c>
      <c r="H934">
        <f t="shared" si="88"/>
        <v>194</v>
      </c>
      <c r="I934">
        <f t="shared" si="89"/>
        <v>148</v>
      </c>
      <c r="J934" s="707" t="str" cm="1">
        <f t="array" ref="J934">myRGB(G934,H934,I934)</f>
        <v/>
      </c>
    </row>
    <row r="935" spans="1:10" ht="17" x14ac:dyDescent="0.25">
      <c r="A935" s="1" t="s">
        <v>937</v>
      </c>
      <c r="B935" s="1" t="s">
        <v>3589</v>
      </c>
      <c r="C935" s="1" t="s">
        <v>2264</v>
      </c>
      <c r="D935" t="str">
        <f t="shared" si="84"/>
        <v>FEC394</v>
      </c>
      <c r="E935" t="str">
        <f t="shared" si="85"/>
        <v>254-195-148</v>
      </c>
      <c r="F935" t="str">
        <f t="shared" si="86"/>
        <v>254195148</v>
      </c>
      <c r="G935">
        <f t="shared" si="87"/>
        <v>254</v>
      </c>
      <c r="H935">
        <f t="shared" si="88"/>
        <v>195</v>
      </c>
      <c r="I935">
        <f t="shared" si="89"/>
        <v>148</v>
      </c>
      <c r="J935" s="629" t="str" cm="1">
        <f t="array" ref="J935">myRGB(G935,H935,I935)</f>
        <v/>
      </c>
    </row>
    <row r="936" spans="1:10" ht="17" x14ac:dyDescent="0.25">
      <c r="A936" s="1" t="s">
        <v>938</v>
      </c>
      <c r="B936" s="1" t="s">
        <v>3590</v>
      </c>
      <c r="C936" s="1" t="s">
        <v>2265</v>
      </c>
      <c r="D936" t="str">
        <f t="shared" si="84"/>
        <v>FEC295</v>
      </c>
      <c r="E936" t="str">
        <f t="shared" si="85"/>
        <v>254-194-149</v>
      </c>
      <c r="F936" t="str">
        <f t="shared" si="86"/>
        <v>254194149</v>
      </c>
      <c r="G936">
        <f t="shared" si="87"/>
        <v>254</v>
      </c>
      <c r="H936">
        <f t="shared" si="88"/>
        <v>194</v>
      </c>
      <c r="I936">
        <f t="shared" si="89"/>
        <v>149</v>
      </c>
      <c r="J936" s="648" t="str" cm="1">
        <f t="array" ref="J936">myRGB(G936,H936,I936)</f>
        <v/>
      </c>
    </row>
    <row r="937" spans="1:10" ht="17" x14ac:dyDescent="0.25">
      <c r="A937" s="1" t="s">
        <v>939</v>
      </c>
      <c r="B937" s="1" t="s">
        <v>3591</v>
      </c>
      <c r="C937" s="1" t="s">
        <v>2266</v>
      </c>
      <c r="D937" t="str">
        <f t="shared" si="84"/>
        <v>FF9BCD</v>
      </c>
      <c r="E937" t="str">
        <f t="shared" si="85"/>
        <v>255-155-205</v>
      </c>
      <c r="F937" t="str">
        <f t="shared" si="86"/>
        <v>255155205</v>
      </c>
      <c r="G937">
        <f t="shared" si="87"/>
        <v>255</v>
      </c>
      <c r="H937">
        <f t="shared" si="88"/>
        <v>155</v>
      </c>
      <c r="I937">
        <f t="shared" si="89"/>
        <v>205</v>
      </c>
      <c r="J937" s="543" t="str" cm="1">
        <f t="array" ref="J937">myRGB(G937,H937,I937)</f>
        <v/>
      </c>
    </row>
    <row r="938" spans="1:10" ht="17" x14ac:dyDescent="0.25">
      <c r="A938" s="1" t="s">
        <v>940</v>
      </c>
      <c r="B938" s="1" t="s">
        <v>3592</v>
      </c>
      <c r="C938" s="1" t="s">
        <v>2267</v>
      </c>
      <c r="D938" t="str">
        <f t="shared" si="84"/>
        <v>FFA3D2</v>
      </c>
      <c r="E938" t="str">
        <f t="shared" si="85"/>
        <v>255-163-210</v>
      </c>
      <c r="F938" t="str">
        <f t="shared" si="86"/>
        <v>255163210</v>
      </c>
      <c r="G938">
        <f t="shared" si="87"/>
        <v>255</v>
      </c>
      <c r="H938">
        <f t="shared" si="88"/>
        <v>163</v>
      </c>
      <c r="I938">
        <f t="shared" si="89"/>
        <v>210</v>
      </c>
      <c r="J938" s="538" t="str" cm="1">
        <f t="array" ref="J938">myRGB(G938,H938,I938)</f>
        <v/>
      </c>
    </row>
    <row r="939" spans="1:10" ht="17" x14ac:dyDescent="0.25">
      <c r="A939" s="1" t="s">
        <v>941</v>
      </c>
      <c r="B939" s="1" t="s">
        <v>3593</v>
      </c>
      <c r="C939" s="1" t="s">
        <v>2268</v>
      </c>
      <c r="D939" t="str">
        <f t="shared" si="84"/>
        <v>FFA5D0</v>
      </c>
      <c r="E939" t="str">
        <f t="shared" si="85"/>
        <v>255-165-208</v>
      </c>
      <c r="F939" t="str">
        <f t="shared" si="86"/>
        <v>255165208</v>
      </c>
      <c r="G939">
        <f t="shared" si="87"/>
        <v>255</v>
      </c>
      <c r="H939">
        <f t="shared" si="88"/>
        <v>165</v>
      </c>
      <c r="I939">
        <f t="shared" si="89"/>
        <v>208</v>
      </c>
      <c r="J939" s="814" t="str" cm="1">
        <f t="array" ref="J939">myRGB(G939,H939,I939)</f>
        <v/>
      </c>
    </row>
    <row r="940" spans="1:10" ht="17" x14ac:dyDescent="0.25">
      <c r="A940" s="1" t="s">
        <v>942</v>
      </c>
      <c r="B940" s="1" t="s">
        <v>3594</v>
      </c>
      <c r="C940" s="1" t="s">
        <v>2269</v>
      </c>
      <c r="D940" t="str">
        <f t="shared" si="84"/>
        <v>FEA5D0</v>
      </c>
      <c r="E940" t="str">
        <f t="shared" si="85"/>
        <v>254-165-208</v>
      </c>
      <c r="F940" t="str">
        <f t="shared" si="86"/>
        <v>254165208</v>
      </c>
      <c r="G940">
        <f t="shared" si="87"/>
        <v>254</v>
      </c>
      <c r="H940">
        <f t="shared" si="88"/>
        <v>165</v>
      </c>
      <c r="I940">
        <f t="shared" si="89"/>
        <v>208</v>
      </c>
      <c r="J940" s="843" t="str" cm="1">
        <f t="array" ref="J940">myRGB(G940,H940,I940)</f>
        <v/>
      </c>
    </row>
    <row r="941" spans="1:10" ht="17" x14ac:dyDescent="0.25">
      <c r="A941" s="1" t="s">
        <v>943</v>
      </c>
      <c r="B941" s="1" t="s">
        <v>3595</v>
      </c>
      <c r="C941" s="1" t="s">
        <v>2270</v>
      </c>
      <c r="D941" t="str">
        <f t="shared" si="84"/>
        <v>FEA4D1</v>
      </c>
      <c r="E941" t="str">
        <f t="shared" si="85"/>
        <v>254-164-209</v>
      </c>
      <c r="F941" t="str">
        <f t="shared" si="86"/>
        <v>254164209</v>
      </c>
      <c r="G941">
        <f t="shared" si="87"/>
        <v>254</v>
      </c>
      <c r="H941">
        <f t="shared" si="88"/>
        <v>164</v>
      </c>
      <c r="I941">
        <f t="shared" si="89"/>
        <v>209</v>
      </c>
      <c r="J941" s="1167" t="str" cm="1">
        <f t="array" ref="J941">myRGB(G941,H941,I941)</f>
        <v/>
      </c>
    </row>
    <row r="942" spans="1:10" ht="17" x14ac:dyDescent="0.25">
      <c r="A942" s="1" t="s">
        <v>944</v>
      </c>
      <c r="B942" s="1" t="s">
        <v>3596</v>
      </c>
      <c r="C942" s="1" t="s">
        <v>2271</v>
      </c>
      <c r="D942" t="str">
        <f t="shared" si="84"/>
        <v>FFA3D1</v>
      </c>
      <c r="E942" t="str">
        <f t="shared" si="85"/>
        <v>255-163-209</v>
      </c>
      <c r="F942" t="str">
        <f t="shared" si="86"/>
        <v>255163209</v>
      </c>
      <c r="G942">
        <f t="shared" si="87"/>
        <v>255</v>
      </c>
      <c r="H942">
        <f t="shared" si="88"/>
        <v>163</v>
      </c>
      <c r="I942">
        <f t="shared" si="89"/>
        <v>209</v>
      </c>
      <c r="J942" s="1278" t="str" cm="1">
        <f t="array" ref="J942">myRGB(G942,H942,I942)</f>
        <v/>
      </c>
    </row>
    <row r="943" spans="1:10" ht="17" x14ac:dyDescent="0.25">
      <c r="A943" s="1" t="s">
        <v>945</v>
      </c>
      <c r="B943" s="1" t="s">
        <v>3597</v>
      </c>
      <c r="C943" s="1" t="s">
        <v>2272</v>
      </c>
      <c r="D943" t="str">
        <f t="shared" si="84"/>
        <v>FEA5D1</v>
      </c>
      <c r="E943" t="str">
        <f t="shared" si="85"/>
        <v>254-165-209</v>
      </c>
      <c r="F943" t="str">
        <f t="shared" si="86"/>
        <v>254165209</v>
      </c>
      <c r="G943">
        <f t="shared" si="87"/>
        <v>254</v>
      </c>
      <c r="H943">
        <f t="shared" si="88"/>
        <v>165</v>
      </c>
      <c r="I943">
        <f t="shared" si="89"/>
        <v>209</v>
      </c>
      <c r="J943" s="709" t="str" cm="1">
        <f t="array" ref="J943">myRGB(G943,H943,I943)</f>
        <v/>
      </c>
    </row>
    <row r="944" spans="1:10" ht="17" x14ac:dyDescent="0.25">
      <c r="A944" s="1" t="s">
        <v>946</v>
      </c>
      <c r="B944" s="1" t="s">
        <v>3598</v>
      </c>
      <c r="C944" s="1" t="s">
        <v>2273</v>
      </c>
      <c r="D944" t="str">
        <f t="shared" si="84"/>
        <v>FEA4D2</v>
      </c>
      <c r="E944" t="str">
        <f t="shared" si="85"/>
        <v>254-164-210</v>
      </c>
      <c r="F944" t="str">
        <f t="shared" si="86"/>
        <v>254164210</v>
      </c>
      <c r="G944">
        <f t="shared" si="87"/>
        <v>254</v>
      </c>
      <c r="H944">
        <f t="shared" si="88"/>
        <v>164</v>
      </c>
      <c r="I944">
        <f t="shared" si="89"/>
        <v>210</v>
      </c>
      <c r="J944" s="770" t="str" cm="1">
        <f t="array" ref="J944">myRGB(G944,H944,I944)</f>
        <v/>
      </c>
    </row>
    <row r="945" spans="1:10" ht="17" x14ac:dyDescent="0.25">
      <c r="A945" s="1" t="s">
        <v>947</v>
      </c>
      <c r="B945" s="1" t="s">
        <v>3599</v>
      </c>
      <c r="C945" s="1" t="s">
        <v>2274</v>
      </c>
      <c r="D945" t="str">
        <f t="shared" si="84"/>
        <v>FDA3D2</v>
      </c>
      <c r="E945" t="str">
        <f t="shared" si="85"/>
        <v>253-163-210</v>
      </c>
      <c r="F945" t="str">
        <f t="shared" si="86"/>
        <v>253163210</v>
      </c>
      <c r="G945">
        <f t="shared" si="87"/>
        <v>253</v>
      </c>
      <c r="H945">
        <f t="shared" si="88"/>
        <v>163</v>
      </c>
      <c r="I945">
        <f t="shared" si="89"/>
        <v>210</v>
      </c>
      <c r="J945" s="737" t="str" cm="1">
        <f t="array" ref="J945">myRGB(G945,H945,I945)</f>
        <v/>
      </c>
    </row>
    <row r="946" spans="1:10" ht="17" x14ac:dyDescent="0.25">
      <c r="A946" s="1" t="s">
        <v>948</v>
      </c>
      <c r="B946" s="1" t="s">
        <v>3600</v>
      </c>
      <c r="C946" s="1" t="s">
        <v>2275</v>
      </c>
      <c r="D946" t="str">
        <f t="shared" si="84"/>
        <v>FDA5D0</v>
      </c>
      <c r="E946" t="str">
        <f t="shared" si="85"/>
        <v>253-165-208</v>
      </c>
      <c r="F946" t="str">
        <f t="shared" si="86"/>
        <v>253165208</v>
      </c>
      <c r="G946">
        <f t="shared" si="87"/>
        <v>253</v>
      </c>
      <c r="H946">
        <f t="shared" si="88"/>
        <v>165</v>
      </c>
      <c r="I946">
        <f t="shared" si="89"/>
        <v>208</v>
      </c>
      <c r="J946" s="769" t="str" cm="1">
        <f t="array" ref="J946">myRGB(G946,H946,I946)</f>
        <v/>
      </c>
    </row>
    <row r="947" spans="1:10" ht="17" x14ac:dyDescent="0.25">
      <c r="A947" s="1" t="s">
        <v>949</v>
      </c>
      <c r="B947" s="1" t="s">
        <v>3601</v>
      </c>
      <c r="C947" s="1" t="s">
        <v>2276</v>
      </c>
      <c r="D947" t="str">
        <f t="shared" si="84"/>
        <v>FEA3D0</v>
      </c>
      <c r="E947" t="str">
        <f t="shared" si="85"/>
        <v>254-163-208</v>
      </c>
      <c r="F947" t="str">
        <f t="shared" si="86"/>
        <v>254163208</v>
      </c>
      <c r="G947">
        <f t="shared" si="87"/>
        <v>254</v>
      </c>
      <c r="H947">
        <f t="shared" si="88"/>
        <v>163</v>
      </c>
      <c r="I947">
        <f t="shared" si="89"/>
        <v>208</v>
      </c>
      <c r="J947" s="813" t="str" cm="1">
        <f t="array" ref="J947">myRGB(G947,H947,I947)</f>
        <v/>
      </c>
    </row>
    <row r="948" spans="1:10" ht="17" x14ac:dyDescent="0.25">
      <c r="A948" s="1" t="s">
        <v>950</v>
      </c>
      <c r="B948" s="1" t="s">
        <v>3602</v>
      </c>
      <c r="C948" s="1" t="s">
        <v>2277</v>
      </c>
      <c r="D948" t="str">
        <f t="shared" si="84"/>
        <v>FFA2D2</v>
      </c>
      <c r="E948" t="str">
        <f t="shared" si="85"/>
        <v>255-162-210</v>
      </c>
      <c r="F948" t="str">
        <f t="shared" si="86"/>
        <v>255162210</v>
      </c>
      <c r="G948">
        <f t="shared" si="87"/>
        <v>255</v>
      </c>
      <c r="H948">
        <f t="shared" si="88"/>
        <v>162</v>
      </c>
      <c r="I948">
        <f t="shared" si="89"/>
        <v>210</v>
      </c>
      <c r="J948" s="708" t="str" cm="1">
        <f t="array" ref="J948">myRGB(G948,H948,I948)</f>
        <v/>
      </c>
    </row>
    <row r="949" spans="1:10" ht="17" x14ac:dyDescent="0.25">
      <c r="A949" s="1" t="s">
        <v>951</v>
      </c>
      <c r="B949" s="1" t="s">
        <v>3603</v>
      </c>
      <c r="C949" s="1" t="s">
        <v>2278</v>
      </c>
      <c r="D949" t="str">
        <f t="shared" si="84"/>
        <v>FEA3D2</v>
      </c>
      <c r="E949" t="str">
        <f t="shared" si="85"/>
        <v>254-163-210</v>
      </c>
      <c r="F949" t="str">
        <f t="shared" si="86"/>
        <v>254163210</v>
      </c>
      <c r="G949">
        <f t="shared" si="87"/>
        <v>254</v>
      </c>
      <c r="H949">
        <f t="shared" si="88"/>
        <v>163</v>
      </c>
      <c r="I949">
        <f t="shared" si="89"/>
        <v>210</v>
      </c>
      <c r="J949" s="650" t="str" cm="1">
        <f t="array" ref="J949">myRGB(G949,H949,I949)</f>
        <v/>
      </c>
    </row>
    <row r="950" spans="1:10" ht="17" x14ac:dyDescent="0.25">
      <c r="A950" s="1" t="s">
        <v>952</v>
      </c>
      <c r="B950" s="1" t="s">
        <v>3604</v>
      </c>
      <c r="C950" s="1" t="s">
        <v>2279</v>
      </c>
      <c r="D950" t="str">
        <f t="shared" si="84"/>
        <v>FDA5D1</v>
      </c>
      <c r="E950" t="str">
        <f t="shared" si="85"/>
        <v>253-165-209</v>
      </c>
      <c r="F950" t="str">
        <f t="shared" si="86"/>
        <v>253165209</v>
      </c>
      <c r="G950">
        <f t="shared" si="87"/>
        <v>253</v>
      </c>
      <c r="H950">
        <f t="shared" si="88"/>
        <v>165</v>
      </c>
      <c r="I950">
        <f t="shared" si="89"/>
        <v>209</v>
      </c>
      <c r="J950" s="603" t="str" cm="1">
        <f t="array" ref="J950">myRGB(G950,H950,I950)</f>
        <v/>
      </c>
    </row>
    <row r="951" spans="1:10" ht="17" x14ac:dyDescent="0.25">
      <c r="A951" s="1" t="s">
        <v>953</v>
      </c>
      <c r="B951" s="1" t="s">
        <v>3605</v>
      </c>
      <c r="C951" s="1" t="s">
        <v>2280</v>
      </c>
      <c r="D951" t="str">
        <f t="shared" si="84"/>
        <v>FDA4D2</v>
      </c>
      <c r="E951" t="str">
        <f t="shared" si="85"/>
        <v>253-164-210</v>
      </c>
      <c r="F951" t="str">
        <f t="shared" si="86"/>
        <v>253164210</v>
      </c>
      <c r="G951">
        <f t="shared" si="87"/>
        <v>253</v>
      </c>
      <c r="H951">
        <f t="shared" si="88"/>
        <v>164</v>
      </c>
      <c r="I951">
        <f t="shared" si="89"/>
        <v>210</v>
      </c>
      <c r="J951" s="1279" t="str" cm="1">
        <f t="array" ref="J951">myRGB(G951,H951,I951)</f>
        <v/>
      </c>
    </row>
    <row r="952" spans="1:10" ht="17" x14ac:dyDescent="0.25">
      <c r="A952" s="1" t="s">
        <v>954</v>
      </c>
      <c r="B952" s="1" t="s">
        <v>3606</v>
      </c>
      <c r="C952" s="1" t="s">
        <v>2281</v>
      </c>
      <c r="D952" t="str">
        <f t="shared" si="84"/>
        <v>FEA4D0</v>
      </c>
      <c r="E952" t="str">
        <f t="shared" si="85"/>
        <v>254-164-208</v>
      </c>
      <c r="F952" t="str">
        <f t="shared" si="86"/>
        <v>254164208</v>
      </c>
      <c r="G952">
        <f t="shared" si="87"/>
        <v>254</v>
      </c>
      <c r="H952">
        <f t="shared" si="88"/>
        <v>164</v>
      </c>
      <c r="I952">
        <f t="shared" si="89"/>
        <v>208</v>
      </c>
      <c r="J952" s="1107" t="str" cm="1">
        <f t="array" ref="J952">myRGB(G952,H952,I952)</f>
        <v/>
      </c>
    </row>
    <row r="953" spans="1:10" ht="17" x14ac:dyDescent="0.25">
      <c r="A953" s="1" t="s">
        <v>955</v>
      </c>
      <c r="B953" s="1" t="s">
        <v>3607</v>
      </c>
      <c r="C953" s="1" t="s">
        <v>2282</v>
      </c>
      <c r="D953" t="str">
        <f t="shared" si="84"/>
        <v>FEA3D1</v>
      </c>
      <c r="E953" t="str">
        <f t="shared" si="85"/>
        <v>254-163-209</v>
      </c>
      <c r="F953" t="str">
        <f t="shared" si="86"/>
        <v>254163209</v>
      </c>
      <c r="G953">
        <f t="shared" si="87"/>
        <v>254</v>
      </c>
      <c r="H953">
        <f t="shared" si="88"/>
        <v>163</v>
      </c>
      <c r="I953">
        <f t="shared" si="89"/>
        <v>209</v>
      </c>
      <c r="J953" s="1317" t="str" cm="1">
        <f t="array" ref="J953">myRGB(G953,H953,I953)</f>
        <v/>
      </c>
    </row>
    <row r="954" spans="1:10" ht="17" x14ac:dyDescent="0.25">
      <c r="A954" s="1" t="s">
        <v>956</v>
      </c>
      <c r="B954" s="1" t="s">
        <v>3608</v>
      </c>
      <c r="C954" s="1" t="s">
        <v>2283</v>
      </c>
      <c r="D954" t="str">
        <f t="shared" si="84"/>
        <v>FDA4D1</v>
      </c>
      <c r="E954" t="str">
        <f t="shared" si="85"/>
        <v>253-164-209</v>
      </c>
      <c r="F954" t="str">
        <f t="shared" si="86"/>
        <v>253164209</v>
      </c>
      <c r="G954">
        <f t="shared" si="87"/>
        <v>253</v>
      </c>
      <c r="H954">
        <f t="shared" si="88"/>
        <v>164</v>
      </c>
      <c r="I954">
        <f t="shared" si="89"/>
        <v>209</v>
      </c>
      <c r="J954" s="1133" t="str" cm="1">
        <f t="array" ref="J954">myRGB(G954,H954,I954)</f>
        <v/>
      </c>
    </row>
    <row r="955" spans="1:10" ht="17" x14ac:dyDescent="0.25">
      <c r="A955" s="1" t="s">
        <v>957</v>
      </c>
      <c r="B955" s="1" t="s">
        <v>3609</v>
      </c>
      <c r="C955" s="1" t="s">
        <v>2284</v>
      </c>
      <c r="D955" t="str">
        <f t="shared" si="84"/>
        <v>FFA3D0</v>
      </c>
      <c r="E955" t="str">
        <f t="shared" si="85"/>
        <v>255-163-208</v>
      </c>
      <c r="F955" t="str">
        <f t="shared" si="86"/>
        <v>255163208</v>
      </c>
      <c r="G955">
        <f t="shared" si="87"/>
        <v>255</v>
      </c>
      <c r="H955">
        <f t="shared" si="88"/>
        <v>163</v>
      </c>
      <c r="I955">
        <f t="shared" si="89"/>
        <v>208</v>
      </c>
      <c r="J955" s="1327" t="str" cm="1">
        <f t="array" ref="J955">myRGB(G955,H955,I955)</f>
        <v/>
      </c>
    </row>
    <row r="956" spans="1:10" ht="17" x14ac:dyDescent="0.25">
      <c r="A956" s="1" t="s">
        <v>958</v>
      </c>
      <c r="B956" s="1" t="s">
        <v>3610</v>
      </c>
      <c r="C956" s="1" t="s">
        <v>2285</v>
      </c>
      <c r="D956" t="str">
        <f t="shared" si="84"/>
        <v>FDA4D0</v>
      </c>
      <c r="E956" t="str">
        <f t="shared" si="85"/>
        <v>253-164-208</v>
      </c>
      <c r="F956" t="str">
        <f t="shared" si="86"/>
        <v>253164208</v>
      </c>
      <c r="G956">
        <f t="shared" si="87"/>
        <v>253</v>
      </c>
      <c r="H956">
        <f t="shared" si="88"/>
        <v>164</v>
      </c>
      <c r="I956">
        <f t="shared" si="89"/>
        <v>208</v>
      </c>
      <c r="J956" s="771" t="str" cm="1">
        <f t="array" ref="J956">myRGB(G956,H956,I956)</f>
        <v/>
      </c>
    </row>
    <row r="957" spans="1:10" ht="17" x14ac:dyDescent="0.25">
      <c r="A957" s="1" t="s">
        <v>959</v>
      </c>
      <c r="B957" s="1" t="s">
        <v>3611</v>
      </c>
      <c r="C957" s="1" t="s">
        <v>2286</v>
      </c>
      <c r="D957" t="str">
        <f t="shared" si="84"/>
        <v>FDA5D2</v>
      </c>
      <c r="E957" t="str">
        <f t="shared" si="85"/>
        <v>253-165-210</v>
      </c>
      <c r="F957" t="str">
        <f t="shared" si="86"/>
        <v>253165210</v>
      </c>
      <c r="G957">
        <f t="shared" si="87"/>
        <v>253</v>
      </c>
      <c r="H957">
        <f t="shared" si="88"/>
        <v>165</v>
      </c>
      <c r="I957">
        <f t="shared" si="89"/>
        <v>210</v>
      </c>
      <c r="J957" s="679" t="str" cm="1">
        <f t="array" ref="J957">myRGB(G957,H957,I957)</f>
        <v/>
      </c>
    </row>
    <row r="958" spans="1:10" ht="17" x14ac:dyDescent="0.25">
      <c r="A958" s="1" t="s">
        <v>960</v>
      </c>
      <c r="B958" s="1" t="s">
        <v>3612</v>
      </c>
      <c r="C958" s="1" t="s">
        <v>2287</v>
      </c>
      <c r="D958" t="str">
        <f t="shared" si="84"/>
        <v>FFA4D0</v>
      </c>
      <c r="E958" t="str">
        <f t="shared" si="85"/>
        <v>255-164-208</v>
      </c>
      <c r="F958" t="str">
        <f t="shared" si="86"/>
        <v>255164208</v>
      </c>
      <c r="G958">
        <f t="shared" si="87"/>
        <v>255</v>
      </c>
      <c r="H958">
        <f t="shared" si="88"/>
        <v>164</v>
      </c>
      <c r="I958">
        <f t="shared" si="89"/>
        <v>208</v>
      </c>
      <c r="J958" s="651" t="str" cm="1">
        <f t="array" ref="J958">myRGB(G958,H958,I958)</f>
        <v/>
      </c>
    </row>
    <row r="959" spans="1:10" ht="17" x14ac:dyDescent="0.25">
      <c r="A959" s="1" t="s">
        <v>961</v>
      </c>
      <c r="B959" s="1" t="s">
        <v>3613</v>
      </c>
      <c r="C959" s="1" t="s">
        <v>2288</v>
      </c>
      <c r="D959" t="str">
        <f t="shared" si="84"/>
        <v>FFA4D1</v>
      </c>
      <c r="E959" t="str">
        <f t="shared" si="85"/>
        <v>255-164-209</v>
      </c>
      <c r="F959" t="str">
        <f t="shared" si="86"/>
        <v>255164209</v>
      </c>
      <c r="G959">
        <f t="shared" si="87"/>
        <v>255</v>
      </c>
      <c r="H959">
        <f t="shared" si="88"/>
        <v>164</v>
      </c>
      <c r="I959">
        <f t="shared" si="89"/>
        <v>209</v>
      </c>
      <c r="J959" s="1168" t="str" cm="1">
        <f t="array" ref="J959">myRGB(G959,H959,I959)</f>
        <v/>
      </c>
    </row>
    <row r="960" spans="1:10" ht="17" x14ac:dyDescent="0.25">
      <c r="A960" s="1" t="s">
        <v>962</v>
      </c>
      <c r="B960" s="1" t="s">
        <v>3614</v>
      </c>
      <c r="C960" s="1" t="s">
        <v>2289</v>
      </c>
      <c r="D960" t="str">
        <f t="shared" si="84"/>
        <v>FFA5D1</v>
      </c>
      <c r="E960" t="str">
        <f t="shared" si="85"/>
        <v>255-165-209</v>
      </c>
      <c r="F960" t="str">
        <f t="shared" si="86"/>
        <v>255165209</v>
      </c>
      <c r="G960">
        <f t="shared" si="87"/>
        <v>255</v>
      </c>
      <c r="H960">
        <f t="shared" si="88"/>
        <v>165</v>
      </c>
      <c r="I960">
        <f t="shared" si="89"/>
        <v>209</v>
      </c>
      <c r="J960" s="1280" t="str" cm="1">
        <f t="array" ref="J960">myRGB(G960,H960,I960)</f>
        <v/>
      </c>
    </row>
    <row r="961" spans="1:10" ht="17" x14ac:dyDescent="0.25">
      <c r="A961" s="1" t="s">
        <v>963</v>
      </c>
      <c r="B961" s="1" t="s">
        <v>3615</v>
      </c>
      <c r="C961" s="1" t="s">
        <v>2290</v>
      </c>
      <c r="D961" t="str">
        <f t="shared" si="84"/>
        <v>FFA4D2</v>
      </c>
      <c r="E961" t="str">
        <f t="shared" si="85"/>
        <v>255-164-210</v>
      </c>
      <c r="F961" t="str">
        <f t="shared" si="86"/>
        <v>255164210</v>
      </c>
      <c r="G961">
        <f t="shared" si="87"/>
        <v>255</v>
      </c>
      <c r="H961">
        <f t="shared" si="88"/>
        <v>164</v>
      </c>
      <c r="I961">
        <f t="shared" si="89"/>
        <v>210</v>
      </c>
      <c r="J961" s="1298" t="str" cm="1">
        <f t="array" ref="J961">myRGB(G961,H961,I961)</f>
        <v/>
      </c>
    </row>
    <row r="962" spans="1:10" ht="17" x14ac:dyDescent="0.25">
      <c r="A962" s="1" t="s">
        <v>964</v>
      </c>
      <c r="B962" s="1" t="s">
        <v>3616</v>
      </c>
      <c r="C962" s="1" t="s">
        <v>2291</v>
      </c>
      <c r="D962" t="str">
        <f t="shared" si="84"/>
        <v>FFA5D2</v>
      </c>
      <c r="E962" t="str">
        <f t="shared" si="85"/>
        <v>255-165-210</v>
      </c>
      <c r="F962" t="str">
        <f t="shared" si="86"/>
        <v>255165210</v>
      </c>
      <c r="G962">
        <f t="shared" si="87"/>
        <v>255</v>
      </c>
      <c r="H962">
        <f t="shared" si="88"/>
        <v>165</v>
      </c>
      <c r="I962">
        <f t="shared" si="89"/>
        <v>210</v>
      </c>
      <c r="J962" s="1318" t="str" cm="1">
        <f t="array" ref="J962">myRGB(G962,H962,I962)</f>
        <v/>
      </c>
    </row>
    <row r="963" spans="1:10" ht="17" x14ac:dyDescent="0.25">
      <c r="A963" s="1" t="s">
        <v>965</v>
      </c>
      <c r="B963" s="1" t="s">
        <v>3617</v>
      </c>
      <c r="C963" s="1" t="s">
        <v>2292</v>
      </c>
      <c r="D963" t="str">
        <f t="shared" si="84"/>
        <v>FEA5D2</v>
      </c>
      <c r="E963" t="str">
        <f t="shared" si="85"/>
        <v>254-165-210</v>
      </c>
      <c r="F963" t="str">
        <f t="shared" si="86"/>
        <v>254165210</v>
      </c>
      <c r="G963">
        <f t="shared" si="87"/>
        <v>254</v>
      </c>
      <c r="H963">
        <f t="shared" si="88"/>
        <v>165</v>
      </c>
      <c r="I963">
        <f t="shared" si="89"/>
        <v>210</v>
      </c>
      <c r="J963" s="1134" t="str" cm="1">
        <f t="array" ref="J963">myRGB(G963,H963,I963)</f>
        <v/>
      </c>
    </row>
    <row r="964" spans="1:10" ht="17" x14ac:dyDescent="0.25">
      <c r="A964" s="1" t="s">
        <v>966</v>
      </c>
      <c r="B964" s="1" t="s">
        <v>3618</v>
      </c>
      <c r="C964" s="1" t="s">
        <v>2293</v>
      </c>
      <c r="D964" t="str">
        <f t="shared" ref="D964:D1027" si="90">RIGHT(LEFT(C964,9),6)</f>
        <v>FDA3D1</v>
      </c>
      <c r="E964" t="str">
        <f t="shared" ref="E964:E1027" si="91">HEX2DEC(LEFT(D964,2))&amp;"-"&amp;HEX2DEC(MID(D964,3,2))&amp;"-"&amp;HEX2DEC(RIGHT(D964,2))</f>
        <v>253-163-209</v>
      </c>
      <c r="F964" t="str">
        <f t="shared" ref="F964:F1027" si="92">HEX2DEC(LEFT(D964,2))&amp;HEX2DEC(MID(D964,3,2))&amp;HEX2DEC(RIGHT(D964,2))</f>
        <v>253163209</v>
      </c>
      <c r="G964">
        <f t="shared" ref="G964:G1027" si="93">HEX2DEC(LEFT(D964,2))</f>
        <v>253</v>
      </c>
      <c r="H964">
        <f t="shared" ref="H964:H1027" si="94">HEX2DEC(MID(D964,3,2))</f>
        <v>163</v>
      </c>
      <c r="I964">
        <f t="shared" ref="I964:I1027" si="95">HEX2DEC(RIGHT(D964,2))</f>
        <v>209</v>
      </c>
      <c r="J964" s="537" t="str" cm="1">
        <f t="array" ref="J964">myRGB(G964,H964,I964)</f>
        <v/>
      </c>
    </row>
    <row r="965" spans="1:10" ht="17" x14ac:dyDescent="0.25">
      <c r="A965" s="1" t="s">
        <v>967</v>
      </c>
      <c r="B965" s="1" t="s">
        <v>3619</v>
      </c>
      <c r="C965" s="1" t="s">
        <v>2294</v>
      </c>
      <c r="D965" t="str">
        <f t="shared" si="90"/>
        <v>FFA5CF</v>
      </c>
      <c r="E965" t="str">
        <f t="shared" si="91"/>
        <v>255-165-207</v>
      </c>
      <c r="F965" t="str">
        <f t="shared" si="92"/>
        <v>255165207</v>
      </c>
      <c r="G965">
        <f t="shared" si="93"/>
        <v>255</v>
      </c>
      <c r="H965">
        <f t="shared" si="94"/>
        <v>165</v>
      </c>
      <c r="I965">
        <f t="shared" si="95"/>
        <v>207</v>
      </c>
      <c r="J965" s="1185" t="str" cm="1">
        <f t="array" ref="J965">myRGB(G965,H965,I965)</f>
        <v/>
      </c>
    </row>
    <row r="966" spans="1:10" ht="17" x14ac:dyDescent="0.25">
      <c r="A966" s="1" t="s">
        <v>968</v>
      </c>
      <c r="B966" s="1" t="s">
        <v>3620</v>
      </c>
      <c r="C966" s="1" t="s">
        <v>2295</v>
      </c>
      <c r="D966" t="str">
        <f t="shared" si="90"/>
        <v>FEB2D7</v>
      </c>
      <c r="E966" t="str">
        <f t="shared" si="91"/>
        <v>254-178-215</v>
      </c>
      <c r="F966" t="str">
        <f t="shared" si="92"/>
        <v>254178215</v>
      </c>
      <c r="G966">
        <f t="shared" si="93"/>
        <v>254</v>
      </c>
      <c r="H966">
        <f t="shared" si="94"/>
        <v>178</v>
      </c>
      <c r="I966">
        <f t="shared" si="95"/>
        <v>215</v>
      </c>
      <c r="J966" s="798" t="str" cm="1">
        <f t="array" ref="J966">myRGB(G966,H966,I966)</f>
        <v/>
      </c>
    </row>
    <row r="967" spans="1:10" ht="17" x14ac:dyDescent="0.25">
      <c r="A967" s="1" t="s">
        <v>969</v>
      </c>
      <c r="B967" s="1" t="s">
        <v>3621</v>
      </c>
      <c r="C967" s="1" t="s">
        <v>2296</v>
      </c>
      <c r="D967" t="str">
        <f t="shared" si="90"/>
        <v>FDB1D9</v>
      </c>
      <c r="E967" t="str">
        <f t="shared" si="91"/>
        <v>253-177-217</v>
      </c>
      <c r="F967" t="str">
        <f t="shared" si="92"/>
        <v>253177217</v>
      </c>
      <c r="G967">
        <f t="shared" si="93"/>
        <v>253</v>
      </c>
      <c r="H967">
        <f t="shared" si="94"/>
        <v>177</v>
      </c>
      <c r="I967">
        <f t="shared" si="95"/>
        <v>217</v>
      </c>
      <c r="J967" s="739" t="str" cm="1">
        <f t="array" ref="J967">myRGB(G967,H967,I967)</f>
        <v/>
      </c>
    </row>
    <row r="968" spans="1:10" ht="17" x14ac:dyDescent="0.25">
      <c r="A968" s="1" t="s">
        <v>970</v>
      </c>
      <c r="B968" s="1" t="s">
        <v>3622</v>
      </c>
      <c r="C968" s="1" t="s">
        <v>2297</v>
      </c>
      <c r="D968" t="str">
        <f t="shared" si="90"/>
        <v>FFB1D7</v>
      </c>
      <c r="E968" t="str">
        <f t="shared" si="91"/>
        <v>255-177-215</v>
      </c>
      <c r="F968" t="str">
        <f t="shared" si="92"/>
        <v>255177215</v>
      </c>
      <c r="G968">
        <f t="shared" si="93"/>
        <v>255</v>
      </c>
      <c r="H968">
        <f t="shared" si="94"/>
        <v>177</v>
      </c>
      <c r="I968">
        <f t="shared" si="95"/>
        <v>215</v>
      </c>
      <c r="J968" s="1169" t="str" cm="1">
        <f t="array" ref="J968">myRGB(G968,H968,I968)</f>
        <v/>
      </c>
    </row>
    <row r="969" spans="1:10" ht="17" x14ac:dyDescent="0.25">
      <c r="A969" s="1" t="s">
        <v>971</v>
      </c>
      <c r="B969" s="1" t="s">
        <v>3623</v>
      </c>
      <c r="C969" s="1" t="s">
        <v>2298</v>
      </c>
      <c r="D969" t="str">
        <f t="shared" si="90"/>
        <v>FFB3D6</v>
      </c>
      <c r="E969" t="str">
        <f t="shared" si="91"/>
        <v>255-179-214</v>
      </c>
      <c r="F969" t="str">
        <f t="shared" si="92"/>
        <v>255179214</v>
      </c>
      <c r="G969">
        <f t="shared" si="93"/>
        <v>255</v>
      </c>
      <c r="H969">
        <f t="shared" si="94"/>
        <v>179</v>
      </c>
      <c r="I969">
        <f t="shared" si="95"/>
        <v>214</v>
      </c>
      <c r="J969" s="817" t="str" cm="1">
        <f t="array" ref="J969">myRGB(G969,H969,I969)</f>
        <v/>
      </c>
    </row>
    <row r="970" spans="1:10" ht="17" x14ac:dyDescent="0.25">
      <c r="A970" s="1" t="s">
        <v>972</v>
      </c>
      <c r="B970" s="1" t="s">
        <v>3624</v>
      </c>
      <c r="C970" s="1" t="s">
        <v>2299</v>
      </c>
      <c r="D970" t="str">
        <f t="shared" si="90"/>
        <v>FDB0D9</v>
      </c>
      <c r="E970" t="str">
        <f t="shared" si="91"/>
        <v>253-176-217</v>
      </c>
      <c r="F970" t="str">
        <f t="shared" si="92"/>
        <v>253176217</v>
      </c>
      <c r="G970">
        <f t="shared" si="93"/>
        <v>253</v>
      </c>
      <c r="H970">
        <f t="shared" si="94"/>
        <v>176</v>
      </c>
      <c r="I970">
        <f t="shared" si="95"/>
        <v>217</v>
      </c>
      <c r="J970" s="607" t="str" cm="1">
        <f t="array" ref="J970">myRGB(G970,H970,I970)</f>
        <v/>
      </c>
    </row>
    <row r="971" spans="1:10" ht="17" x14ac:dyDescent="0.25">
      <c r="A971" s="1" t="s">
        <v>973</v>
      </c>
      <c r="B971" s="1" t="s">
        <v>3625</v>
      </c>
      <c r="C971" s="1" t="s">
        <v>2300</v>
      </c>
      <c r="D971" t="str">
        <f t="shared" si="90"/>
        <v>FDB3D7</v>
      </c>
      <c r="E971" t="str">
        <f t="shared" si="91"/>
        <v>253-179-215</v>
      </c>
      <c r="F971" t="str">
        <f t="shared" si="92"/>
        <v>253179215</v>
      </c>
      <c r="G971">
        <f t="shared" si="93"/>
        <v>253</v>
      </c>
      <c r="H971">
        <f t="shared" si="94"/>
        <v>179</v>
      </c>
      <c r="I971">
        <f t="shared" si="95"/>
        <v>215</v>
      </c>
      <c r="J971" s="1319" t="str" cm="1">
        <f t="array" ref="J971">myRGB(G971,H971,I971)</f>
        <v/>
      </c>
    </row>
    <row r="972" spans="1:10" ht="17" x14ac:dyDescent="0.25">
      <c r="A972" s="1" t="s">
        <v>974</v>
      </c>
      <c r="B972" s="1" t="s">
        <v>3626</v>
      </c>
      <c r="C972" s="1" t="s">
        <v>2301</v>
      </c>
      <c r="D972" t="str">
        <f t="shared" si="90"/>
        <v>FEB3D9</v>
      </c>
      <c r="E972" t="str">
        <f t="shared" si="91"/>
        <v>254-179-217</v>
      </c>
      <c r="F972" t="str">
        <f t="shared" si="92"/>
        <v>254179217</v>
      </c>
      <c r="G972">
        <f t="shared" si="93"/>
        <v>254</v>
      </c>
      <c r="H972">
        <f t="shared" si="94"/>
        <v>179</v>
      </c>
      <c r="I972">
        <f t="shared" si="95"/>
        <v>217</v>
      </c>
      <c r="J972" s="609" t="str" cm="1">
        <f t="array" ref="J972">myRGB(G972,H972,I972)</f>
        <v/>
      </c>
    </row>
    <row r="973" spans="1:10" ht="17" x14ac:dyDescent="0.25">
      <c r="A973" s="1" t="s">
        <v>975</v>
      </c>
      <c r="B973" s="1" t="s">
        <v>3627</v>
      </c>
      <c r="C973" s="1" t="s">
        <v>2302</v>
      </c>
      <c r="D973" t="str">
        <f t="shared" si="90"/>
        <v>FEB3D6</v>
      </c>
      <c r="E973" t="str">
        <f t="shared" si="91"/>
        <v>254-179-214</v>
      </c>
      <c r="F973" t="str">
        <f t="shared" si="92"/>
        <v>254179214</v>
      </c>
      <c r="G973">
        <f t="shared" si="93"/>
        <v>254</v>
      </c>
      <c r="H973">
        <f t="shared" si="94"/>
        <v>179</v>
      </c>
      <c r="I973">
        <f t="shared" si="95"/>
        <v>214</v>
      </c>
      <c r="J973" s="819" t="str" cm="1">
        <f t="array" ref="J973">myRGB(G973,H973,I973)</f>
        <v/>
      </c>
    </row>
    <row r="974" spans="1:10" ht="17" x14ac:dyDescent="0.25">
      <c r="A974" s="1" t="s">
        <v>976</v>
      </c>
      <c r="B974" s="1" t="s">
        <v>3628</v>
      </c>
      <c r="C974" s="1" t="s">
        <v>2303</v>
      </c>
      <c r="D974" t="str">
        <f t="shared" si="90"/>
        <v>FEB3D8</v>
      </c>
      <c r="E974" t="str">
        <f t="shared" si="91"/>
        <v>254-179-216</v>
      </c>
      <c r="F974" t="str">
        <f t="shared" si="92"/>
        <v>254179216</v>
      </c>
      <c r="G974">
        <f t="shared" si="93"/>
        <v>254</v>
      </c>
      <c r="H974">
        <f t="shared" si="94"/>
        <v>179</v>
      </c>
      <c r="I974">
        <f t="shared" si="95"/>
        <v>216</v>
      </c>
      <c r="J974" s="845" t="str" cm="1">
        <f t="array" ref="J974">myRGB(G974,H974,I974)</f>
        <v/>
      </c>
    </row>
    <row r="975" spans="1:10" ht="17" x14ac:dyDescent="0.25">
      <c r="A975" s="1" t="s">
        <v>977</v>
      </c>
      <c r="B975" s="1" t="s">
        <v>3629</v>
      </c>
      <c r="C975" s="1" t="s">
        <v>2304</v>
      </c>
      <c r="D975" t="str">
        <f t="shared" si="90"/>
        <v>FDB1D8</v>
      </c>
      <c r="E975" t="str">
        <f t="shared" si="91"/>
        <v>253-177-216</v>
      </c>
      <c r="F975" t="str">
        <f t="shared" si="92"/>
        <v>253177216</v>
      </c>
      <c r="G975">
        <f t="shared" si="93"/>
        <v>253</v>
      </c>
      <c r="H975">
        <f t="shared" si="94"/>
        <v>177</v>
      </c>
      <c r="I975">
        <f t="shared" si="95"/>
        <v>216</v>
      </c>
      <c r="J975" s="797" t="str" cm="1">
        <f t="array" ref="J975">myRGB(G975,H975,I975)</f>
        <v/>
      </c>
    </row>
    <row r="976" spans="1:10" ht="17" x14ac:dyDescent="0.25">
      <c r="A976" s="1" t="s">
        <v>978</v>
      </c>
      <c r="B976" s="1" t="s">
        <v>3630</v>
      </c>
      <c r="C976" s="1" t="s">
        <v>2305</v>
      </c>
      <c r="D976" t="str">
        <f t="shared" si="90"/>
        <v>FEB1D6</v>
      </c>
      <c r="E976" t="str">
        <f t="shared" si="91"/>
        <v>254-177-214</v>
      </c>
      <c r="F976" t="str">
        <f t="shared" si="92"/>
        <v>254177214</v>
      </c>
      <c r="G976">
        <f t="shared" si="93"/>
        <v>254</v>
      </c>
      <c r="H976">
        <f t="shared" si="94"/>
        <v>177</v>
      </c>
      <c r="I976">
        <f t="shared" si="95"/>
        <v>214</v>
      </c>
      <c r="J976" s="1118" t="str" cm="1">
        <f t="array" ref="J976">myRGB(G976,H976,I976)</f>
        <v/>
      </c>
    </row>
    <row r="977" spans="1:10" ht="17" x14ac:dyDescent="0.25">
      <c r="A977" s="1" t="s">
        <v>979</v>
      </c>
      <c r="B977" s="1" t="s">
        <v>3631</v>
      </c>
      <c r="C977" s="1" t="s">
        <v>2306</v>
      </c>
      <c r="D977" t="str">
        <f t="shared" si="90"/>
        <v>FEB0D8</v>
      </c>
      <c r="E977" t="str">
        <f t="shared" si="91"/>
        <v>254-176-216</v>
      </c>
      <c r="F977" t="str">
        <f t="shared" si="92"/>
        <v>254176216</v>
      </c>
      <c r="G977">
        <f t="shared" si="93"/>
        <v>254</v>
      </c>
      <c r="H977">
        <f t="shared" si="94"/>
        <v>176</v>
      </c>
      <c r="I977">
        <f t="shared" si="95"/>
        <v>216</v>
      </c>
      <c r="J977" s="776" t="str" cm="1">
        <f t="array" ref="J977">myRGB(G977,H977,I977)</f>
        <v/>
      </c>
    </row>
    <row r="978" spans="1:10" ht="17" x14ac:dyDescent="0.25">
      <c r="A978" s="1" t="s">
        <v>980</v>
      </c>
      <c r="B978" s="1" t="s">
        <v>3632</v>
      </c>
      <c r="C978" s="1" t="s">
        <v>2307</v>
      </c>
      <c r="D978" t="str">
        <f t="shared" si="90"/>
        <v>FEB1D8</v>
      </c>
      <c r="E978" t="str">
        <f t="shared" si="91"/>
        <v>254-177-216</v>
      </c>
      <c r="F978" t="str">
        <f t="shared" si="92"/>
        <v>254177216</v>
      </c>
      <c r="G978">
        <f t="shared" si="93"/>
        <v>254</v>
      </c>
      <c r="H978">
        <f t="shared" si="94"/>
        <v>177</v>
      </c>
      <c r="I978">
        <f t="shared" si="95"/>
        <v>216</v>
      </c>
      <c r="J978" s="844" t="str" cm="1">
        <f t="array" ref="J978">myRGB(G978,H978,I978)</f>
        <v/>
      </c>
    </row>
    <row r="979" spans="1:10" ht="17" x14ac:dyDescent="0.25">
      <c r="A979" s="1" t="s">
        <v>981</v>
      </c>
      <c r="B979" s="1" t="s">
        <v>3633</v>
      </c>
      <c r="C979" s="1" t="s">
        <v>2308</v>
      </c>
      <c r="D979" t="str">
        <f t="shared" si="90"/>
        <v>FFB3D8</v>
      </c>
      <c r="E979" t="str">
        <f t="shared" si="91"/>
        <v>255-179-216</v>
      </c>
      <c r="F979" t="str">
        <f t="shared" si="92"/>
        <v>255179216</v>
      </c>
      <c r="G979">
        <f t="shared" si="93"/>
        <v>255</v>
      </c>
      <c r="H979">
        <f t="shared" si="94"/>
        <v>179</v>
      </c>
      <c r="I979">
        <f t="shared" si="95"/>
        <v>216</v>
      </c>
      <c r="J979" s="539" t="str" cm="1">
        <f t="array" ref="J979">myRGB(G979,H979,I979)</f>
        <v/>
      </c>
    </row>
    <row r="980" spans="1:10" ht="17" x14ac:dyDescent="0.25">
      <c r="A980" s="1" t="s">
        <v>982</v>
      </c>
      <c r="B980" s="1" t="s">
        <v>3634</v>
      </c>
      <c r="C980" s="1" t="s">
        <v>2309</v>
      </c>
      <c r="D980" t="str">
        <f t="shared" si="90"/>
        <v>FFB2D8</v>
      </c>
      <c r="E980" t="str">
        <f t="shared" si="91"/>
        <v>255-178-216</v>
      </c>
      <c r="F980" t="str">
        <f t="shared" si="92"/>
        <v>255178216</v>
      </c>
      <c r="G980">
        <f t="shared" si="93"/>
        <v>255</v>
      </c>
      <c r="H980">
        <f t="shared" si="94"/>
        <v>178</v>
      </c>
      <c r="I980">
        <f t="shared" si="95"/>
        <v>216</v>
      </c>
      <c r="J980" s="714" t="str" cm="1">
        <f t="array" ref="J980">myRGB(G980,H980,I980)</f>
        <v/>
      </c>
    </row>
    <row r="981" spans="1:10" ht="17" x14ac:dyDescent="0.25">
      <c r="A981" s="1" t="s">
        <v>983</v>
      </c>
      <c r="B981" s="1" t="s">
        <v>3635</v>
      </c>
      <c r="C981" s="1" t="s">
        <v>2310</v>
      </c>
      <c r="D981" t="str">
        <f t="shared" si="90"/>
        <v>FFB2D9</v>
      </c>
      <c r="E981" t="str">
        <f t="shared" si="91"/>
        <v>255-178-217</v>
      </c>
      <c r="F981" t="str">
        <f t="shared" si="92"/>
        <v>255178217</v>
      </c>
      <c r="G981">
        <f t="shared" si="93"/>
        <v>255</v>
      </c>
      <c r="H981">
        <f t="shared" si="94"/>
        <v>178</v>
      </c>
      <c r="I981">
        <f t="shared" si="95"/>
        <v>217</v>
      </c>
      <c r="J981" s="715" t="str" cm="1">
        <f t="array" ref="J981">myRGB(G981,H981,I981)</f>
        <v/>
      </c>
    </row>
    <row r="982" spans="1:10" ht="17" x14ac:dyDescent="0.25">
      <c r="A982" s="1" t="s">
        <v>984</v>
      </c>
      <c r="B982" s="1" t="s">
        <v>3636</v>
      </c>
      <c r="C982" s="1" t="s">
        <v>2311</v>
      </c>
      <c r="D982" t="str">
        <f t="shared" si="90"/>
        <v>FFB1D8</v>
      </c>
      <c r="E982" t="str">
        <f t="shared" si="91"/>
        <v>255-177-216</v>
      </c>
      <c r="F982" t="str">
        <f t="shared" si="92"/>
        <v>255177216</v>
      </c>
      <c r="G982">
        <f t="shared" si="93"/>
        <v>255</v>
      </c>
      <c r="H982">
        <f t="shared" si="94"/>
        <v>177</v>
      </c>
      <c r="I982">
        <f t="shared" si="95"/>
        <v>216</v>
      </c>
      <c r="J982" s="818" t="str" cm="1">
        <f t="array" ref="J982">myRGB(G982,H982,I982)</f>
        <v/>
      </c>
    </row>
    <row r="983" spans="1:10" ht="17" x14ac:dyDescent="0.25">
      <c r="A983" s="1" t="s">
        <v>985</v>
      </c>
      <c r="B983" s="1" t="s">
        <v>3637</v>
      </c>
      <c r="C983" s="1" t="s">
        <v>2312</v>
      </c>
      <c r="D983" t="str">
        <f t="shared" si="90"/>
        <v>FDB3D8</v>
      </c>
      <c r="E983" t="str">
        <f t="shared" si="91"/>
        <v>253-179-216</v>
      </c>
      <c r="F983" t="str">
        <f t="shared" si="92"/>
        <v>253179216</v>
      </c>
      <c r="G983">
        <f t="shared" si="93"/>
        <v>253</v>
      </c>
      <c r="H983">
        <f t="shared" si="94"/>
        <v>179</v>
      </c>
      <c r="I983">
        <f t="shared" si="95"/>
        <v>216</v>
      </c>
      <c r="J983" s="775" t="str" cm="1">
        <f t="array" ref="J983">myRGB(G983,H983,I983)</f>
        <v/>
      </c>
    </row>
    <row r="984" spans="1:10" ht="17" x14ac:dyDescent="0.25">
      <c r="A984" s="1" t="s">
        <v>986</v>
      </c>
      <c r="B984" s="1" t="s">
        <v>3638</v>
      </c>
      <c r="C984" s="1" t="s">
        <v>2313</v>
      </c>
      <c r="D984" t="str">
        <f t="shared" si="90"/>
        <v>FCB3D7</v>
      </c>
      <c r="E984" t="str">
        <f t="shared" si="91"/>
        <v>252-179-215</v>
      </c>
      <c r="F984" t="str">
        <f t="shared" si="92"/>
        <v>252179215</v>
      </c>
      <c r="G984">
        <f t="shared" si="93"/>
        <v>252</v>
      </c>
      <c r="H984">
        <f t="shared" si="94"/>
        <v>179</v>
      </c>
      <c r="I984">
        <f t="shared" si="95"/>
        <v>215</v>
      </c>
      <c r="J984" s="680" t="str" cm="1">
        <f t="array" ref="J984">myRGB(G984,H984,I984)</f>
        <v/>
      </c>
    </row>
    <row r="985" spans="1:10" ht="17" x14ac:dyDescent="0.25">
      <c r="A985" s="1" t="s">
        <v>987</v>
      </c>
      <c r="B985" s="1" t="s">
        <v>3639</v>
      </c>
      <c r="C985" s="1" t="s">
        <v>2314</v>
      </c>
      <c r="D985" t="str">
        <f t="shared" si="90"/>
        <v>FEB0D9</v>
      </c>
      <c r="E985" t="str">
        <f t="shared" si="91"/>
        <v>254-176-217</v>
      </c>
      <c r="F985" t="str">
        <f t="shared" si="92"/>
        <v>254176217</v>
      </c>
      <c r="G985">
        <f t="shared" si="93"/>
        <v>254</v>
      </c>
      <c r="H985">
        <f t="shared" si="94"/>
        <v>176</v>
      </c>
      <c r="I985">
        <f t="shared" si="95"/>
        <v>217</v>
      </c>
      <c r="J985" s="655" t="str" cm="1">
        <f t="array" ref="J985">myRGB(G985,H985,I985)</f>
        <v/>
      </c>
    </row>
    <row r="986" spans="1:10" ht="17" x14ac:dyDescent="0.25">
      <c r="A986" s="1" t="s">
        <v>988</v>
      </c>
      <c r="B986" s="1" t="s">
        <v>3640</v>
      </c>
      <c r="C986" s="1" t="s">
        <v>2315</v>
      </c>
      <c r="D986" t="str">
        <f t="shared" si="90"/>
        <v>FDB2D9</v>
      </c>
      <c r="E986" t="str">
        <f t="shared" si="91"/>
        <v>253-178-217</v>
      </c>
      <c r="F986" t="str">
        <f t="shared" si="92"/>
        <v>253178217</v>
      </c>
      <c r="G986">
        <f t="shared" si="93"/>
        <v>253</v>
      </c>
      <c r="H986">
        <f t="shared" si="94"/>
        <v>178</v>
      </c>
      <c r="I986">
        <f t="shared" si="95"/>
        <v>217</v>
      </c>
      <c r="J986" s="541" t="str" cm="1">
        <f t="array" ref="J986">myRGB(G986,H986,I986)</f>
        <v/>
      </c>
    </row>
    <row r="987" spans="1:10" ht="17" x14ac:dyDescent="0.25">
      <c r="A987" s="1" t="s">
        <v>989</v>
      </c>
      <c r="B987" s="1" t="s">
        <v>3641</v>
      </c>
      <c r="C987" s="1" t="s">
        <v>2316</v>
      </c>
      <c r="D987" t="str">
        <f t="shared" si="90"/>
        <v>FDB2D8</v>
      </c>
      <c r="E987" t="str">
        <f t="shared" si="91"/>
        <v>253-178-216</v>
      </c>
      <c r="F987" t="str">
        <f t="shared" si="92"/>
        <v>253178216</v>
      </c>
      <c r="G987">
        <f t="shared" si="93"/>
        <v>253</v>
      </c>
      <c r="H987">
        <f t="shared" si="94"/>
        <v>178</v>
      </c>
      <c r="I987">
        <f t="shared" si="95"/>
        <v>216</v>
      </c>
      <c r="J987" s="774" t="str" cm="1">
        <f t="array" ref="J987">myRGB(G987,H987,I987)</f>
        <v/>
      </c>
    </row>
    <row r="988" spans="1:10" ht="17" x14ac:dyDescent="0.25">
      <c r="A988" s="1" t="s">
        <v>990</v>
      </c>
      <c r="B988" s="1" t="s">
        <v>3642</v>
      </c>
      <c r="C988" s="1" t="s">
        <v>2317</v>
      </c>
      <c r="D988" t="str">
        <f t="shared" si="90"/>
        <v>FDB1D7</v>
      </c>
      <c r="E988" t="str">
        <f t="shared" si="91"/>
        <v>253-177-215</v>
      </c>
      <c r="F988" t="str">
        <f t="shared" si="92"/>
        <v>253177215</v>
      </c>
      <c r="G988">
        <f t="shared" si="93"/>
        <v>253</v>
      </c>
      <c r="H988">
        <f t="shared" si="94"/>
        <v>177</v>
      </c>
      <c r="I988">
        <f t="shared" si="95"/>
        <v>215</v>
      </c>
      <c r="J988" s="713" t="str" cm="1">
        <f t="array" ref="J988">myRGB(G988,H988,I988)</f>
        <v/>
      </c>
    </row>
    <row r="989" spans="1:10" ht="17" x14ac:dyDescent="0.25">
      <c r="A989" s="1" t="s">
        <v>991</v>
      </c>
      <c r="B989" s="1" t="s">
        <v>3643</v>
      </c>
      <c r="C989" s="1" t="s">
        <v>2318</v>
      </c>
      <c r="D989" t="str">
        <f t="shared" si="90"/>
        <v>FFB1D6</v>
      </c>
      <c r="E989" t="str">
        <f t="shared" si="91"/>
        <v>255-177-214</v>
      </c>
      <c r="F989" t="str">
        <f t="shared" si="92"/>
        <v>255177214</v>
      </c>
      <c r="G989">
        <f t="shared" si="93"/>
        <v>255</v>
      </c>
      <c r="H989">
        <f t="shared" si="94"/>
        <v>177</v>
      </c>
      <c r="I989">
        <f t="shared" si="95"/>
        <v>214</v>
      </c>
      <c r="J989" s="654" t="str" cm="1">
        <f t="array" ref="J989">myRGB(G989,H989,I989)</f>
        <v/>
      </c>
    </row>
    <row r="990" spans="1:10" ht="17" x14ac:dyDescent="0.25">
      <c r="A990" s="1" t="s">
        <v>992</v>
      </c>
      <c r="B990" s="1" t="s">
        <v>3644</v>
      </c>
      <c r="C990" s="1" t="s">
        <v>2319</v>
      </c>
      <c r="D990" t="str">
        <f t="shared" si="90"/>
        <v>FCB3D9</v>
      </c>
      <c r="E990" t="str">
        <f t="shared" si="91"/>
        <v>252-179-217</v>
      </c>
      <c r="F990" t="str">
        <f t="shared" si="92"/>
        <v>252179217</v>
      </c>
      <c r="G990">
        <f t="shared" si="93"/>
        <v>252</v>
      </c>
      <c r="H990">
        <f t="shared" si="94"/>
        <v>179</v>
      </c>
      <c r="I990">
        <f t="shared" si="95"/>
        <v>217</v>
      </c>
      <c r="J990" s="772" t="str" cm="1">
        <f t="array" ref="J990">myRGB(G990,H990,I990)</f>
        <v/>
      </c>
    </row>
    <row r="991" spans="1:10" ht="17" x14ac:dyDescent="0.25">
      <c r="A991" s="1" t="s">
        <v>993</v>
      </c>
      <c r="B991" s="1" t="s">
        <v>3645</v>
      </c>
      <c r="C991" s="1" t="s">
        <v>2320</v>
      </c>
      <c r="D991" t="str">
        <f t="shared" si="90"/>
        <v>FFB2D6</v>
      </c>
      <c r="E991" t="str">
        <f t="shared" si="91"/>
        <v>255-178-214</v>
      </c>
      <c r="F991" t="str">
        <f t="shared" si="92"/>
        <v>255178214</v>
      </c>
      <c r="G991">
        <f t="shared" si="93"/>
        <v>255</v>
      </c>
      <c r="H991">
        <f t="shared" si="94"/>
        <v>178</v>
      </c>
      <c r="I991">
        <f t="shared" si="95"/>
        <v>214</v>
      </c>
      <c r="J991" s="711" t="str" cm="1">
        <f t="array" ref="J991">myRGB(G991,H991,I991)</f>
        <v/>
      </c>
    </row>
    <row r="992" spans="1:10" ht="17" x14ac:dyDescent="0.25">
      <c r="A992" s="1" t="s">
        <v>994</v>
      </c>
      <c r="B992" s="1" t="s">
        <v>3646</v>
      </c>
      <c r="C992" s="1" t="s">
        <v>2321</v>
      </c>
      <c r="D992" t="str">
        <f t="shared" si="90"/>
        <v>FFB0D8</v>
      </c>
      <c r="E992" t="str">
        <f t="shared" si="91"/>
        <v>255-176-216</v>
      </c>
      <c r="F992" t="str">
        <f t="shared" si="92"/>
        <v>255176216</v>
      </c>
      <c r="G992">
        <f t="shared" si="93"/>
        <v>255</v>
      </c>
      <c r="H992">
        <f t="shared" si="94"/>
        <v>176</v>
      </c>
      <c r="I992">
        <f t="shared" si="95"/>
        <v>216</v>
      </c>
      <c r="J992" s="652" t="str" cm="1">
        <f t="array" ref="J992">myRGB(G992,H992,I992)</f>
        <v/>
      </c>
    </row>
    <row r="993" spans="1:10" ht="17" x14ac:dyDescent="0.25">
      <c r="A993" s="1" t="s">
        <v>995</v>
      </c>
      <c r="B993" s="1" t="s">
        <v>3647</v>
      </c>
      <c r="C993" s="1" t="s">
        <v>2322</v>
      </c>
      <c r="D993" t="str">
        <f t="shared" si="90"/>
        <v>FCB3D8</v>
      </c>
      <c r="E993" t="str">
        <f t="shared" si="91"/>
        <v>252-179-216</v>
      </c>
      <c r="F993" t="str">
        <f t="shared" si="92"/>
        <v>252179216</v>
      </c>
      <c r="G993">
        <f t="shared" si="93"/>
        <v>252</v>
      </c>
      <c r="H993">
        <f t="shared" si="94"/>
        <v>179</v>
      </c>
      <c r="I993">
        <f t="shared" si="95"/>
        <v>216</v>
      </c>
      <c r="J993" s="605" t="str" cm="1">
        <f t="array" ref="J993">myRGB(G993,H993,I993)</f>
        <v/>
      </c>
    </row>
    <row r="994" spans="1:10" ht="17" x14ac:dyDescent="0.25">
      <c r="A994" s="1" t="s">
        <v>996</v>
      </c>
      <c r="B994" s="1" t="s">
        <v>3648</v>
      </c>
      <c r="C994" s="1" t="s">
        <v>2323</v>
      </c>
      <c r="D994" t="str">
        <f t="shared" si="90"/>
        <v>FCB2D9</v>
      </c>
      <c r="E994" t="str">
        <f t="shared" si="91"/>
        <v>252-178-217</v>
      </c>
      <c r="F994" t="str">
        <f t="shared" si="92"/>
        <v>252178217</v>
      </c>
      <c r="G994">
        <f t="shared" si="93"/>
        <v>252</v>
      </c>
      <c r="H994">
        <f t="shared" si="94"/>
        <v>178</v>
      </c>
      <c r="I994">
        <f t="shared" si="95"/>
        <v>217</v>
      </c>
      <c r="J994" s="738" t="str" cm="1">
        <f t="array" ref="J994">myRGB(G994,H994,I994)</f>
        <v/>
      </c>
    </row>
    <row r="995" spans="1:10" ht="17" x14ac:dyDescent="0.25">
      <c r="A995" s="1" t="s">
        <v>997</v>
      </c>
      <c r="B995" s="1" t="s">
        <v>3649</v>
      </c>
      <c r="C995" s="1" t="s">
        <v>2324</v>
      </c>
      <c r="D995" t="str">
        <f t="shared" si="90"/>
        <v>FEB2D9</v>
      </c>
      <c r="E995" t="str">
        <f t="shared" si="91"/>
        <v>254-178-217</v>
      </c>
      <c r="F995" t="str">
        <f t="shared" si="92"/>
        <v>254178217</v>
      </c>
      <c r="G995">
        <f t="shared" si="93"/>
        <v>254</v>
      </c>
      <c r="H995">
        <f t="shared" si="94"/>
        <v>178</v>
      </c>
      <c r="I995">
        <f t="shared" si="95"/>
        <v>217</v>
      </c>
      <c r="J995" s="631" t="str" cm="1">
        <f t="array" ref="J995">myRGB(G995,H995,I995)</f>
        <v/>
      </c>
    </row>
    <row r="996" spans="1:10" ht="17" x14ac:dyDescent="0.25">
      <c r="A996" s="1" t="s">
        <v>998</v>
      </c>
      <c r="B996" s="1" t="s">
        <v>3650</v>
      </c>
      <c r="C996" s="1" t="s">
        <v>2325</v>
      </c>
      <c r="D996" t="str">
        <f t="shared" si="90"/>
        <v>FEB2D8</v>
      </c>
      <c r="E996" t="str">
        <f t="shared" si="91"/>
        <v>254-178-216</v>
      </c>
      <c r="F996" t="str">
        <f t="shared" si="92"/>
        <v>254178216</v>
      </c>
      <c r="G996">
        <f t="shared" si="93"/>
        <v>254</v>
      </c>
      <c r="H996">
        <f t="shared" si="94"/>
        <v>178</v>
      </c>
      <c r="I996">
        <f t="shared" si="95"/>
        <v>216</v>
      </c>
      <c r="J996" s="1250" t="str" cm="1">
        <f t="array" ref="J996">myRGB(G996,H996,I996)</f>
        <v/>
      </c>
    </row>
    <row r="997" spans="1:10" ht="17" x14ac:dyDescent="0.25">
      <c r="A997" s="1" t="s">
        <v>999</v>
      </c>
      <c r="B997" s="1" t="s">
        <v>3651</v>
      </c>
      <c r="C997" s="1" t="s">
        <v>2326</v>
      </c>
      <c r="D997" t="str">
        <f t="shared" si="90"/>
        <v>FFB1D9</v>
      </c>
      <c r="E997" t="str">
        <f t="shared" si="91"/>
        <v>255-177-217</v>
      </c>
      <c r="F997" t="str">
        <f t="shared" si="92"/>
        <v>255177217</v>
      </c>
      <c r="G997">
        <f t="shared" si="93"/>
        <v>255</v>
      </c>
      <c r="H997">
        <f t="shared" si="94"/>
        <v>177</v>
      </c>
      <c r="I997">
        <f t="shared" si="95"/>
        <v>217</v>
      </c>
      <c r="J997" s="542" t="str" cm="1">
        <f t="array" ref="J997">myRGB(G997,H997,I997)</f>
        <v/>
      </c>
    </row>
    <row r="998" spans="1:10" ht="17" x14ac:dyDescent="0.25">
      <c r="A998" s="1" t="s">
        <v>1000</v>
      </c>
      <c r="B998" s="1" t="s">
        <v>3652</v>
      </c>
      <c r="C998" s="1" t="s">
        <v>2327</v>
      </c>
      <c r="D998" t="str">
        <f t="shared" si="90"/>
        <v>FFB3D7</v>
      </c>
      <c r="E998" t="str">
        <f t="shared" si="91"/>
        <v>255-179-215</v>
      </c>
      <c r="F998" t="str">
        <f t="shared" si="92"/>
        <v>255179215</v>
      </c>
      <c r="G998">
        <f t="shared" si="93"/>
        <v>255</v>
      </c>
      <c r="H998">
        <f t="shared" si="94"/>
        <v>179</v>
      </c>
      <c r="I998">
        <f t="shared" si="95"/>
        <v>215</v>
      </c>
      <c r="J998" s="608" t="str" cm="1">
        <f t="array" ref="J998">myRGB(G998,H998,I998)</f>
        <v/>
      </c>
    </row>
    <row r="999" spans="1:10" ht="17" x14ac:dyDescent="0.25">
      <c r="A999" s="1" t="s">
        <v>1001</v>
      </c>
      <c r="B999" s="1" t="s">
        <v>3653</v>
      </c>
      <c r="C999" s="1" t="s">
        <v>2328</v>
      </c>
      <c r="D999" t="str">
        <f t="shared" si="90"/>
        <v>FEB2D6</v>
      </c>
      <c r="E999" t="str">
        <f t="shared" si="91"/>
        <v>254-178-214</v>
      </c>
      <c r="F999" t="str">
        <f t="shared" si="92"/>
        <v>254178214</v>
      </c>
      <c r="G999">
        <f t="shared" si="93"/>
        <v>254</v>
      </c>
      <c r="H999">
        <f t="shared" si="94"/>
        <v>178</v>
      </c>
      <c r="I999">
        <f t="shared" si="95"/>
        <v>214</v>
      </c>
      <c r="J999" s="1119" t="str" cm="1">
        <f t="array" ref="J999">myRGB(G999,H999,I999)</f>
        <v/>
      </c>
    </row>
    <row r="1000" spans="1:10" ht="17" x14ac:dyDescent="0.25">
      <c r="A1000" s="1" t="s">
        <v>1002</v>
      </c>
      <c r="B1000" s="1" t="s">
        <v>3654</v>
      </c>
      <c r="C1000" s="1" t="s">
        <v>2329</v>
      </c>
      <c r="D1000" t="str">
        <f t="shared" si="90"/>
        <v>FCB2D8</v>
      </c>
      <c r="E1000" t="str">
        <f t="shared" si="91"/>
        <v>252-178-216</v>
      </c>
      <c r="F1000" t="str">
        <f t="shared" si="92"/>
        <v>252178216</v>
      </c>
      <c r="G1000">
        <f t="shared" si="93"/>
        <v>252</v>
      </c>
      <c r="H1000">
        <f t="shared" si="94"/>
        <v>178</v>
      </c>
      <c r="I1000">
        <f t="shared" si="95"/>
        <v>216</v>
      </c>
      <c r="J1000" s="656" t="str" cm="1">
        <f t="array" ref="J1000">myRGB(G1000,H1000,I1000)</f>
        <v/>
      </c>
    </row>
    <row r="1001" spans="1:10" ht="17" x14ac:dyDescent="0.25">
      <c r="A1001" s="1" t="s">
        <v>1003</v>
      </c>
      <c r="B1001" s="1" t="s">
        <v>3655</v>
      </c>
      <c r="C1001" s="1" t="s">
        <v>2330</v>
      </c>
      <c r="D1001" t="str">
        <f t="shared" si="90"/>
        <v>FDB3D9</v>
      </c>
      <c r="E1001" t="str">
        <f t="shared" si="91"/>
        <v>253-179-217</v>
      </c>
      <c r="F1001" t="str">
        <f t="shared" si="92"/>
        <v>253179217</v>
      </c>
      <c r="G1001">
        <f t="shared" si="93"/>
        <v>253</v>
      </c>
      <c r="H1001">
        <f t="shared" si="94"/>
        <v>179</v>
      </c>
      <c r="I1001">
        <f t="shared" si="95"/>
        <v>217</v>
      </c>
      <c r="J1001" s="1328" t="str" cm="1">
        <f t="array" ref="J1001">myRGB(G1001,H1001,I1001)</f>
        <v/>
      </c>
    </row>
    <row r="1002" spans="1:10" ht="17" x14ac:dyDescent="0.25">
      <c r="A1002" s="1" t="s">
        <v>1004</v>
      </c>
      <c r="B1002" s="1" t="s">
        <v>3656</v>
      </c>
      <c r="C1002" s="1" t="s">
        <v>2331</v>
      </c>
      <c r="D1002" t="str">
        <f t="shared" si="90"/>
        <v>FFB2D7</v>
      </c>
      <c r="E1002" t="str">
        <f t="shared" si="91"/>
        <v>255-178-215</v>
      </c>
      <c r="F1002" t="str">
        <f t="shared" si="92"/>
        <v>255178215</v>
      </c>
      <c r="G1002">
        <f t="shared" si="93"/>
        <v>255</v>
      </c>
      <c r="H1002">
        <f t="shared" si="94"/>
        <v>178</v>
      </c>
      <c r="I1002">
        <f t="shared" si="95"/>
        <v>215</v>
      </c>
      <c r="J1002" s="1204" t="str" cm="1">
        <f t="array" ref="J1002">myRGB(G1002,H1002,I1002)</f>
        <v/>
      </c>
    </row>
    <row r="1003" spans="1:10" ht="17" x14ac:dyDescent="0.25">
      <c r="A1003" s="1" t="s">
        <v>1005</v>
      </c>
      <c r="B1003" s="1" t="s">
        <v>3657</v>
      </c>
      <c r="C1003" s="1" t="s">
        <v>2332</v>
      </c>
      <c r="D1003" t="str">
        <f t="shared" si="90"/>
        <v>FCB1D9</v>
      </c>
      <c r="E1003" t="str">
        <f t="shared" si="91"/>
        <v>252-177-217</v>
      </c>
      <c r="F1003" t="str">
        <f t="shared" si="92"/>
        <v>252177217</v>
      </c>
      <c r="G1003">
        <f t="shared" si="93"/>
        <v>252</v>
      </c>
      <c r="H1003">
        <f t="shared" si="94"/>
        <v>177</v>
      </c>
      <c r="I1003">
        <f t="shared" si="95"/>
        <v>217</v>
      </c>
      <c r="J1003" s="712" t="str" cm="1">
        <f t="array" ref="J1003">myRGB(G1003,H1003,I1003)</f>
        <v/>
      </c>
    </row>
    <row r="1004" spans="1:10" ht="17" x14ac:dyDescent="0.25">
      <c r="A1004" s="1" t="s">
        <v>1006</v>
      </c>
      <c r="B1004" s="1" t="s">
        <v>3658</v>
      </c>
      <c r="C1004" s="1" t="s">
        <v>2333</v>
      </c>
      <c r="D1004" t="str">
        <f t="shared" si="90"/>
        <v>FEB3D7</v>
      </c>
      <c r="E1004" t="str">
        <f t="shared" si="91"/>
        <v>254-179-215</v>
      </c>
      <c r="F1004" t="str">
        <f t="shared" si="92"/>
        <v>254179215</v>
      </c>
      <c r="G1004">
        <f t="shared" si="93"/>
        <v>254</v>
      </c>
      <c r="H1004">
        <f t="shared" si="94"/>
        <v>179</v>
      </c>
      <c r="I1004">
        <f t="shared" si="95"/>
        <v>215</v>
      </c>
      <c r="J1004" s="606" t="str" cm="1">
        <f t="array" ref="J1004">myRGB(G1004,H1004,I1004)</f>
        <v/>
      </c>
    </row>
    <row r="1005" spans="1:10" ht="17" x14ac:dyDescent="0.25">
      <c r="A1005" s="1" t="s">
        <v>1007</v>
      </c>
      <c r="B1005" s="1" t="s">
        <v>3659</v>
      </c>
      <c r="C1005" s="1" t="s">
        <v>2334</v>
      </c>
      <c r="D1005" t="str">
        <f t="shared" si="90"/>
        <v>FFB0D7</v>
      </c>
      <c r="E1005" t="str">
        <f t="shared" si="91"/>
        <v>255-176-215</v>
      </c>
      <c r="F1005" t="str">
        <f t="shared" si="92"/>
        <v>255176215</v>
      </c>
      <c r="G1005">
        <f t="shared" si="93"/>
        <v>255</v>
      </c>
      <c r="H1005">
        <f t="shared" si="94"/>
        <v>176</v>
      </c>
      <c r="I1005">
        <f t="shared" si="95"/>
        <v>215</v>
      </c>
      <c r="J1005" s="571" t="str" cm="1">
        <f t="array" ref="J1005">myRGB(G1005,H1005,I1005)</f>
        <v/>
      </c>
    </row>
    <row r="1006" spans="1:10" ht="17" x14ac:dyDescent="0.25">
      <c r="A1006" s="1" t="s">
        <v>1008</v>
      </c>
      <c r="B1006" s="1" t="s">
        <v>3660</v>
      </c>
      <c r="C1006" s="1" t="s">
        <v>2335</v>
      </c>
      <c r="D1006" t="str">
        <f t="shared" si="90"/>
        <v>FEB1D9</v>
      </c>
      <c r="E1006" t="str">
        <f t="shared" si="91"/>
        <v>254-177-217</v>
      </c>
      <c r="F1006" t="str">
        <f t="shared" si="92"/>
        <v>254177217</v>
      </c>
      <c r="G1006">
        <f t="shared" si="93"/>
        <v>254</v>
      </c>
      <c r="H1006">
        <f t="shared" si="94"/>
        <v>177</v>
      </c>
      <c r="I1006">
        <f t="shared" si="95"/>
        <v>217</v>
      </c>
      <c r="J1006" s="816" t="str" cm="1">
        <f t="array" ref="J1006">myRGB(G1006,H1006,I1006)</f>
        <v/>
      </c>
    </row>
    <row r="1007" spans="1:10" ht="17" x14ac:dyDescent="0.25">
      <c r="A1007" s="1" t="s">
        <v>1009</v>
      </c>
      <c r="B1007" s="1" t="s">
        <v>3661</v>
      </c>
      <c r="C1007" s="1" t="s">
        <v>2336</v>
      </c>
      <c r="D1007" t="str">
        <f t="shared" si="90"/>
        <v>FDB3D6</v>
      </c>
      <c r="E1007" t="str">
        <f t="shared" si="91"/>
        <v>253-179-214</v>
      </c>
      <c r="F1007" t="str">
        <f t="shared" si="92"/>
        <v>253179214</v>
      </c>
      <c r="G1007">
        <f t="shared" si="93"/>
        <v>253</v>
      </c>
      <c r="H1007">
        <f t="shared" si="94"/>
        <v>179</v>
      </c>
      <c r="I1007">
        <f t="shared" si="95"/>
        <v>214</v>
      </c>
      <c r="J1007" s="540" t="str" cm="1">
        <f t="array" ref="J1007">myRGB(G1007,H1007,I1007)</f>
        <v/>
      </c>
    </row>
    <row r="1008" spans="1:10" ht="17" x14ac:dyDescent="0.25">
      <c r="A1008" s="1" t="s">
        <v>1010</v>
      </c>
      <c r="B1008" s="1" t="s">
        <v>3662</v>
      </c>
      <c r="C1008" s="1" t="s">
        <v>2337</v>
      </c>
      <c r="D1008" t="str">
        <f t="shared" si="90"/>
        <v>FFB0D9</v>
      </c>
      <c r="E1008" t="str">
        <f t="shared" si="91"/>
        <v>255-176-217</v>
      </c>
      <c r="F1008" t="str">
        <f t="shared" si="92"/>
        <v>255176217</v>
      </c>
      <c r="G1008">
        <f t="shared" si="93"/>
        <v>255</v>
      </c>
      <c r="H1008">
        <f t="shared" si="94"/>
        <v>176</v>
      </c>
      <c r="I1008">
        <f t="shared" si="95"/>
        <v>217</v>
      </c>
      <c r="J1008" s="773" t="str" cm="1">
        <f t="array" ref="J1008">myRGB(G1008,H1008,I1008)</f>
        <v/>
      </c>
    </row>
    <row r="1009" spans="1:10" ht="17" x14ac:dyDescent="0.25">
      <c r="A1009" s="1" t="s">
        <v>1011</v>
      </c>
      <c r="B1009" s="1" t="s">
        <v>3663</v>
      </c>
      <c r="C1009" s="1" t="s">
        <v>2338</v>
      </c>
      <c r="D1009" t="str">
        <f t="shared" si="90"/>
        <v>FEB1D7</v>
      </c>
      <c r="E1009" t="str">
        <f t="shared" si="91"/>
        <v>254-177-215</v>
      </c>
      <c r="F1009" t="str">
        <f t="shared" si="92"/>
        <v>254177215</v>
      </c>
      <c r="G1009">
        <f t="shared" si="93"/>
        <v>254</v>
      </c>
      <c r="H1009">
        <f t="shared" si="94"/>
        <v>177</v>
      </c>
      <c r="I1009">
        <f t="shared" si="95"/>
        <v>215</v>
      </c>
      <c r="J1009" s="630" t="str" cm="1">
        <f t="array" ref="J1009">myRGB(G1009,H1009,I1009)</f>
        <v/>
      </c>
    </row>
    <row r="1010" spans="1:10" ht="17" x14ac:dyDescent="0.25">
      <c r="A1010" s="1" t="s">
        <v>1012</v>
      </c>
      <c r="B1010" s="1" t="s">
        <v>3664</v>
      </c>
      <c r="C1010" s="1" t="s">
        <v>2339</v>
      </c>
      <c r="D1010" t="str">
        <f t="shared" si="90"/>
        <v>FDB2D7</v>
      </c>
      <c r="E1010" t="str">
        <f t="shared" si="91"/>
        <v>253-178-215</v>
      </c>
      <c r="F1010" t="str">
        <f t="shared" si="92"/>
        <v>253178215</v>
      </c>
      <c r="G1010">
        <f t="shared" si="93"/>
        <v>253</v>
      </c>
      <c r="H1010">
        <f t="shared" si="94"/>
        <v>178</v>
      </c>
      <c r="I1010">
        <f t="shared" si="95"/>
        <v>215</v>
      </c>
      <c r="J1010" s="653" t="str" cm="1">
        <f t="array" ref="J1010">myRGB(G1010,H1010,I1010)</f>
        <v/>
      </c>
    </row>
    <row r="1011" spans="1:10" ht="17" x14ac:dyDescent="0.25">
      <c r="A1011" s="1" t="s">
        <v>1013</v>
      </c>
      <c r="B1011" s="1" t="s">
        <v>3665</v>
      </c>
      <c r="C1011" s="1" t="s">
        <v>2340</v>
      </c>
      <c r="D1011" t="str">
        <f t="shared" si="90"/>
        <v>FFB3D9</v>
      </c>
      <c r="E1011" t="str">
        <f t="shared" si="91"/>
        <v>255-179-217</v>
      </c>
      <c r="F1011" t="str">
        <f t="shared" si="92"/>
        <v>255179217</v>
      </c>
      <c r="G1011">
        <f t="shared" si="93"/>
        <v>255</v>
      </c>
      <c r="H1011">
        <f t="shared" si="94"/>
        <v>179</v>
      </c>
      <c r="I1011">
        <f t="shared" si="95"/>
        <v>217</v>
      </c>
      <c r="J1011" s="1209" t="str" cm="1">
        <f t="array" ref="J1011">myRGB(G1011,H1011,I1011)</f>
        <v/>
      </c>
    </row>
    <row r="1012" spans="1:10" ht="17" x14ac:dyDescent="0.25">
      <c r="A1012" s="1" t="s">
        <v>1014</v>
      </c>
      <c r="B1012" s="1" t="s">
        <v>3666</v>
      </c>
      <c r="C1012" s="1" t="s">
        <v>2341</v>
      </c>
      <c r="D1012" t="str">
        <f t="shared" si="90"/>
        <v>FFC6E1</v>
      </c>
      <c r="E1012" t="str">
        <f t="shared" si="91"/>
        <v>255-198-225</v>
      </c>
      <c r="F1012" t="str">
        <f t="shared" si="92"/>
        <v>255198225</v>
      </c>
      <c r="G1012">
        <f t="shared" si="93"/>
        <v>255</v>
      </c>
      <c r="H1012">
        <f t="shared" si="94"/>
        <v>198</v>
      </c>
      <c r="I1012">
        <f t="shared" si="95"/>
        <v>225</v>
      </c>
      <c r="J1012" s="815" t="str" cm="1">
        <f t="array" ref="J1012">myRGB(G1012,H1012,I1012)</f>
        <v/>
      </c>
    </row>
    <row r="1013" spans="1:10" ht="17" x14ac:dyDescent="0.25">
      <c r="A1013" s="1" t="s">
        <v>1015</v>
      </c>
      <c r="B1013" s="1" t="s">
        <v>3667</v>
      </c>
      <c r="C1013" s="1" t="s">
        <v>2342</v>
      </c>
      <c r="D1013" t="str">
        <f t="shared" si="90"/>
        <v>FFC5E2</v>
      </c>
      <c r="E1013" t="str">
        <f t="shared" si="91"/>
        <v>255-197-226</v>
      </c>
      <c r="F1013" t="str">
        <f t="shared" si="92"/>
        <v>255197226</v>
      </c>
      <c r="G1013">
        <f t="shared" si="93"/>
        <v>255</v>
      </c>
      <c r="H1013">
        <f t="shared" si="94"/>
        <v>197</v>
      </c>
      <c r="I1013">
        <f t="shared" si="95"/>
        <v>226</v>
      </c>
      <c r="J1013" s="710" t="str" cm="1">
        <f t="array" ref="J1013">myRGB(G1013,H1013,I1013)</f>
        <v/>
      </c>
    </row>
    <row r="1014" spans="1:10" ht="17" x14ac:dyDescent="0.25">
      <c r="A1014" s="1" t="s">
        <v>1016</v>
      </c>
      <c r="B1014" s="1" t="s">
        <v>3668</v>
      </c>
      <c r="C1014" s="1" t="s">
        <v>2343</v>
      </c>
      <c r="D1014" t="str">
        <f t="shared" si="90"/>
        <v>FFC6E2</v>
      </c>
      <c r="E1014" t="str">
        <f t="shared" si="91"/>
        <v>255-198-226</v>
      </c>
      <c r="F1014" t="str">
        <f t="shared" si="92"/>
        <v>255198226</v>
      </c>
      <c r="G1014">
        <f t="shared" si="93"/>
        <v>255</v>
      </c>
      <c r="H1014">
        <f t="shared" si="94"/>
        <v>198</v>
      </c>
      <c r="I1014">
        <f t="shared" si="95"/>
        <v>226</v>
      </c>
      <c r="J1014" s="604" t="str" cm="1">
        <f t="array" ref="J1014">myRGB(G1014,H1014,I1014)</f>
        <v/>
      </c>
    </row>
    <row r="1015" spans="1:10" ht="17" x14ac:dyDescent="0.25">
      <c r="A1015" s="1" t="s">
        <v>1017</v>
      </c>
      <c r="B1015" s="1" t="s">
        <v>3669</v>
      </c>
      <c r="C1015" s="1" t="s">
        <v>2344</v>
      </c>
      <c r="D1015" t="str">
        <f t="shared" si="90"/>
        <v>FEC6E2</v>
      </c>
      <c r="E1015" t="str">
        <f t="shared" si="91"/>
        <v>254-198-226</v>
      </c>
      <c r="F1015" t="str">
        <f t="shared" si="92"/>
        <v>254198226</v>
      </c>
      <c r="G1015">
        <f t="shared" si="93"/>
        <v>254</v>
      </c>
      <c r="H1015">
        <f t="shared" si="94"/>
        <v>198</v>
      </c>
      <c r="I1015">
        <f t="shared" si="95"/>
        <v>226</v>
      </c>
      <c r="J1015" s="570" t="str" cm="1">
        <f t="array" ref="J1015">myRGB(G1015,H1015,I1015)</f>
        <v/>
      </c>
    </row>
    <row r="1016" spans="1:10" ht="17" x14ac:dyDescent="0.25">
      <c r="A1016" s="1" t="s">
        <v>1018</v>
      </c>
      <c r="B1016" s="1" t="s">
        <v>3670</v>
      </c>
      <c r="C1016" s="1" t="s">
        <v>2345</v>
      </c>
      <c r="D1016" t="str">
        <f t="shared" si="90"/>
        <v>F0F080</v>
      </c>
      <c r="E1016" t="str">
        <f t="shared" si="91"/>
        <v>240-240-128</v>
      </c>
      <c r="F1016" t="str">
        <f t="shared" si="92"/>
        <v>240240128</v>
      </c>
      <c r="G1016">
        <f t="shared" si="93"/>
        <v>240</v>
      </c>
      <c r="H1016">
        <f t="shared" si="94"/>
        <v>240</v>
      </c>
      <c r="I1016">
        <f t="shared" si="95"/>
        <v>128</v>
      </c>
      <c r="J1016" s="444" t="str" cm="1">
        <f t="array" ref="J1016">myRGB(G1016,H1016,I1016)</f>
        <v/>
      </c>
    </row>
    <row r="1017" spans="1:10" ht="17" x14ac:dyDescent="0.25">
      <c r="A1017" s="1" t="s">
        <v>1019</v>
      </c>
      <c r="B1017" s="1" t="s">
        <v>3671</v>
      </c>
      <c r="C1017" s="1" t="s">
        <v>2346</v>
      </c>
      <c r="D1017" t="str">
        <f t="shared" si="90"/>
        <v>F0EF80</v>
      </c>
      <c r="E1017" t="str">
        <f t="shared" si="91"/>
        <v>240-239-128</v>
      </c>
      <c r="F1017" t="str">
        <f t="shared" si="92"/>
        <v>240239128</v>
      </c>
      <c r="G1017">
        <f t="shared" si="93"/>
        <v>240</v>
      </c>
      <c r="H1017">
        <f t="shared" si="94"/>
        <v>239</v>
      </c>
      <c r="I1017">
        <f t="shared" si="95"/>
        <v>128</v>
      </c>
      <c r="J1017" s="398" t="str" cm="1">
        <f t="array" ref="J1017">myRGB(G1017,H1017,I1017)</f>
        <v/>
      </c>
    </row>
    <row r="1018" spans="1:10" ht="17" x14ac:dyDescent="0.25">
      <c r="A1018" s="1" t="s">
        <v>1020</v>
      </c>
      <c r="B1018" s="1" t="s">
        <v>3672</v>
      </c>
      <c r="C1018" s="1" t="s">
        <v>2347</v>
      </c>
      <c r="D1018" t="str">
        <f t="shared" si="90"/>
        <v>FFFA8E</v>
      </c>
      <c r="E1018" t="str">
        <f t="shared" si="91"/>
        <v>255-250-142</v>
      </c>
      <c r="F1018" t="str">
        <f t="shared" si="92"/>
        <v>255250142</v>
      </c>
      <c r="G1018">
        <f t="shared" si="93"/>
        <v>255</v>
      </c>
      <c r="H1018">
        <f t="shared" si="94"/>
        <v>250</v>
      </c>
      <c r="I1018">
        <f t="shared" si="95"/>
        <v>142</v>
      </c>
      <c r="J1018" s="1135" t="str" cm="1">
        <f t="array" ref="J1018">myRGB(G1018,H1018,I1018)</f>
        <v/>
      </c>
    </row>
    <row r="1019" spans="1:10" ht="17" x14ac:dyDescent="0.25">
      <c r="A1019" s="1" t="s">
        <v>1021</v>
      </c>
      <c r="B1019" s="1" t="s">
        <v>3673</v>
      </c>
      <c r="C1019" s="1" t="s">
        <v>2348</v>
      </c>
      <c r="D1019" t="str">
        <f t="shared" si="90"/>
        <v>FFF98F</v>
      </c>
      <c r="E1019" t="str">
        <f t="shared" si="91"/>
        <v>255-249-143</v>
      </c>
      <c r="F1019" t="str">
        <f t="shared" si="92"/>
        <v>255249143</v>
      </c>
      <c r="G1019">
        <f t="shared" si="93"/>
        <v>255</v>
      </c>
      <c r="H1019">
        <f t="shared" si="94"/>
        <v>249</v>
      </c>
      <c r="I1019">
        <f t="shared" si="95"/>
        <v>143</v>
      </c>
      <c r="J1019" s="1329" t="str" cm="1">
        <f t="array" ref="J1019">myRGB(G1019,H1019,I1019)</f>
        <v/>
      </c>
    </row>
    <row r="1020" spans="1:10" ht="17" x14ac:dyDescent="0.25">
      <c r="A1020" s="1" t="s">
        <v>1022</v>
      </c>
      <c r="B1020" s="1" t="s">
        <v>3674</v>
      </c>
      <c r="C1020" s="1" t="s">
        <v>2349</v>
      </c>
      <c r="D1020" t="str">
        <f t="shared" si="90"/>
        <v>EBE753</v>
      </c>
      <c r="E1020" t="str">
        <f t="shared" si="91"/>
        <v>235-231-83</v>
      </c>
      <c r="F1020" t="str">
        <f t="shared" si="92"/>
        <v>23523183</v>
      </c>
      <c r="G1020">
        <f t="shared" si="93"/>
        <v>235</v>
      </c>
      <c r="H1020">
        <f t="shared" si="94"/>
        <v>231</v>
      </c>
      <c r="I1020">
        <f t="shared" si="95"/>
        <v>83</v>
      </c>
      <c r="J1020" s="1210" t="str" cm="1">
        <f t="array" ref="J1020">myRGB(G1020,H1020,I1020)</f>
        <v/>
      </c>
    </row>
    <row r="1021" spans="1:10" ht="17" x14ac:dyDescent="0.25">
      <c r="A1021" s="1" t="s">
        <v>1023</v>
      </c>
      <c r="B1021" s="1" t="s">
        <v>3675</v>
      </c>
      <c r="C1021" s="1" t="s">
        <v>2350</v>
      </c>
      <c r="D1021" t="str">
        <f t="shared" si="90"/>
        <v>FFFA91</v>
      </c>
      <c r="E1021" t="str">
        <f t="shared" si="91"/>
        <v>255-250-145</v>
      </c>
      <c r="F1021" t="str">
        <f t="shared" si="92"/>
        <v>255250145</v>
      </c>
      <c r="G1021">
        <f t="shared" si="93"/>
        <v>255</v>
      </c>
      <c r="H1021">
        <f t="shared" si="94"/>
        <v>250</v>
      </c>
      <c r="I1021">
        <f t="shared" si="95"/>
        <v>145</v>
      </c>
      <c r="J1021" s="443" t="str" cm="1">
        <f t="array" ref="J1021">myRGB(G1021,H1021,I1021)</f>
        <v/>
      </c>
    </row>
    <row r="1022" spans="1:10" ht="17" x14ac:dyDescent="0.25">
      <c r="A1022" s="1" t="s">
        <v>1024</v>
      </c>
      <c r="B1022" s="1" t="s">
        <v>3676</v>
      </c>
      <c r="C1022" s="1" t="s">
        <v>2351</v>
      </c>
      <c r="D1022" t="str">
        <f t="shared" si="90"/>
        <v>FEFA91</v>
      </c>
      <c r="E1022" t="str">
        <f t="shared" si="91"/>
        <v>254-250-145</v>
      </c>
      <c r="F1022" t="str">
        <f t="shared" si="92"/>
        <v>254250145</v>
      </c>
      <c r="G1022">
        <f t="shared" si="93"/>
        <v>254</v>
      </c>
      <c r="H1022">
        <f t="shared" si="94"/>
        <v>250</v>
      </c>
      <c r="I1022">
        <f t="shared" si="95"/>
        <v>145</v>
      </c>
      <c r="J1022" s="396" t="str" cm="1">
        <f t="array" ref="J1022">myRGB(G1022,H1022,I1022)</f>
        <v/>
      </c>
    </row>
    <row r="1023" spans="1:10" ht="17" x14ac:dyDescent="0.25">
      <c r="A1023" s="1" t="s">
        <v>1025</v>
      </c>
      <c r="B1023" s="1" t="s">
        <v>3677</v>
      </c>
      <c r="C1023" s="1" t="s">
        <v>2352</v>
      </c>
      <c r="D1023" t="str">
        <f t="shared" si="90"/>
        <v>FFFC91</v>
      </c>
      <c r="E1023" t="str">
        <f t="shared" si="91"/>
        <v>255-252-145</v>
      </c>
      <c r="F1023" t="str">
        <f t="shared" si="92"/>
        <v>255252145</v>
      </c>
      <c r="G1023">
        <f t="shared" si="93"/>
        <v>255</v>
      </c>
      <c r="H1023">
        <f t="shared" si="94"/>
        <v>252</v>
      </c>
      <c r="I1023">
        <f t="shared" si="95"/>
        <v>145</v>
      </c>
      <c r="J1023" s="1170" t="str" cm="1">
        <f t="array" ref="J1023">myRGB(G1023,H1023,I1023)</f>
        <v/>
      </c>
    </row>
    <row r="1024" spans="1:10" ht="17" x14ac:dyDescent="0.25">
      <c r="A1024" s="1" t="s">
        <v>1026</v>
      </c>
      <c r="B1024" s="1" t="s">
        <v>3678</v>
      </c>
      <c r="C1024" s="1" t="s">
        <v>2353</v>
      </c>
      <c r="D1024" t="str">
        <f t="shared" si="90"/>
        <v>FEFC90</v>
      </c>
      <c r="E1024" t="str">
        <f t="shared" si="91"/>
        <v>254-252-144</v>
      </c>
      <c r="F1024" t="str">
        <f t="shared" si="92"/>
        <v>254252144</v>
      </c>
      <c r="G1024">
        <f t="shared" si="93"/>
        <v>254</v>
      </c>
      <c r="H1024">
        <f t="shared" si="94"/>
        <v>252</v>
      </c>
      <c r="I1024">
        <f t="shared" si="95"/>
        <v>144</v>
      </c>
      <c r="J1024" s="1281" t="str" cm="1">
        <f t="array" ref="J1024">myRGB(G1024,H1024,I1024)</f>
        <v/>
      </c>
    </row>
    <row r="1025" spans="1:10" ht="17" x14ac:dyDescent="0.25">
      <c r="A1025" s="1" t="s">
        <v>1027</v>
      </c>
      <c r="B1025" s="1" t="s">
        <v>3679</v>
      </c>
      <c r="C1025" s="1" t="s">
        <v>2354</v>
      </c>
      <c r="D1025" t="str">
        <f t="shared" si="90"/>
        <v>EBE553</v>
      </c>
      <c r="E1025" t="str">
        <f t="shared" si="91"/>
        <v>235-229-83</v>
      </c>
      <c r="F1025" t="str">
        <f t="shared" si="92"/>
        <v>23522983</v>
      </c>
      <c r="G1025">
        <f t="shared" si="93"/>
        <v>235</v>
      </c>
      <c r="H1025">
        <f t="shared" si="94"/>
        <v>229</v>
      </c>
      <c r="I1025">
        <f t="shared" si="95"/>
        <v>83</v>
      </c>
      <c r="J1025" s="1299" t="str" cm="1">
        <f t="array" ref="J1025">myRGB(G1025,H1025,I1025)</f>
        <v/>
      </c>
    </row>
    <row r="1026" spans="1:10" ht="17" x14ac:dyDescent="0.25">
      <c r="A1026" s="1" t="s">
        <v>1028</v>
      </c>
      <c r="B1026" s="1" t="s">
        <v>3680</v>
      </c>
      <c r="C1026" s="1" t="s">
        <v>2355</v>
      </c>
      <c r="D1026" t="str">
        <f t="shared" si="90"/>
        <v>FDFB91</v>
      </c>
      <c r="E1026" t="str">
        <f t="shared" si="91"/>
        <v>253-251-145</v>
      </c>
      <c r="F1026" t="str">
        <f t="shared" si="92"/>
        <v>253251145</v>
      </c>
      <c r="G1026">
        <f t="shared" si="93"/>
        <v>253</v>
      </c>
      <c r="H1026">
        <f t="shared" si="94"/>
        <v>251</v>
      </c>
      <c r="I1026">
        <f t="shared" si="95"/>
        <v>145</v>
      </c>
      <c r="J1026" s="308" t="str" cm="1">
        <f t="array" ref="J1026">myRGB(G1026,H1026,I1026)</f>
        <v/>
      </c>
    </row>
    <row r="1027" spans="1:10" ht="17" x14ac:dyDescent="0.25">
      <c r="A1027" s="1" t="s">
        <v>1029</v>
      </c>
      <c r="B1027" s="1" t="s">
        <v>3681</v>
      </c>
      <c r="C1027" s="1" t="s">
        <v>2356</v>
      </c>
      <c r="D1027" t="str">
        <f t="shared" si="90"/>
        <v>FDFA91</v>
      </c>
      <c r="E1027" t="str">
        <f t="shared" si="91"/>
        <v>253-250-145</v>
      </c>
      <c r="F1027" t="str">
        <f t="shared" si="92"/>
        <v>253250145</v>
      </c>
      <c r="G1027">
        <f t="shared" si="93"/>
        <v>253</v>
      </c>
      <c r="H1027">
        <f t="shared" si="94"/>
        <v>250</v>
      </c>
      <c r="I1027">
        <f t="shared" si="95"/>
        <v>145</v>
      </c>
      <c r="J1027" s="804" t="str" cm="1">
        <f t="array" ref="J1027">myRGB(G1027,H1027,I1027)</f>
        <v/>
      </c>
    </row>
    <row r="1028" spans="1:10" ht="17" x14ac:dyDescent="0.25">
      <c r="A1028" s="1" t="s">
        <v>1030</v>
      </c>
      <c r="B1028" s="1" t="s">
        <v>3682</v>
      </c>
      <c r="C1028" s="1" t="s">
        <v>2357</v>
      </c>
      <c r="D1028" t="str">
        <f t="shared" ref="D1028:D1091" si="96">RIGHT(LEFT(C1028,9),6)</f>
        <v>FEF98F</v>
      </c>
      <c r="E1028" t="str">
        <f t="shared" ref="E1028:E1091" si="97">HEX2DEC(LEFT(D1028,2))&amp;"-"&amp;HEX2DEC(MID(D1028,3,2))&amp;"-"&amp;HEX2DEC(RIGHT(D1028,2))</f>
        <v>254-249-143</v>
      </c>
      <c r="F1028" t="str">
        <f t="shared" ref="F1028:F1091" si="98">HEX2DEC(LEFT(D1028,2))&amp;HEX2DEC(MID(D1028,3,2))&amp;HEX2DEC(RIGHT(D1028,2))</f>
        <v>254249143</v>
      </c>
      <c r="G1028">
        <f t="shared" ref="G1028:G1091" si="99">HEX2DEC(LEFT(D1028,2))</f>
        <v>254</v>
      </c>
      <c r="H1028">
        <f t="shared" ref="H1028:H1091" si="100">HEX2DEC(MID(D1028,3,2))</f>
        <v>249</v>
      </c>
      <c r="I1028">
        <f t="shared" ref="I1028:I1091" si="101">HEX2DEC(RIGHT(D1028,2))</f>
        <v>143</v>
      </c>
      <c r="J1028" s="1330" t="str" cm="1">
        <f t="array" ref="J1028">myRGB(G1028,H1028,I1028)</f>
        <v/>
      </c>
    </row>
    <row r="1029" spans="1:10" ht="17" x14ac:dyDescent="0.25">
      <c r="A1029" s="1" t="s">
        <v>1031</v>
      </c>
      <c r="B1029" s="1" t="s">
        <v>3683</v>
      </c>
      <c r="C1029" s="1" t="s">
        <v>2358</v>
      </c>
      <c r="D1029" t="str">
        <f t="shared" si="96"/>
        <v>FEF891</v>
      </c>
      <c r="E1029" t="str">
        <f t="shared" si="97"/>
        <v>254-248-145</v>
      </c>
      <c r="F1029" t="str">
        <f t="shared" si="98"/>
        <v>254248145</v>
      </c>
      <c r="G1029">
        <f t="shared" si="99"/>
        <v>254</v>
      </c>
      <c r="H1029">
        <f t="shared" si="100"/>
        <v>248</v>
      </c>
      <c r="I1029">
        <f t="shared" si="101"/>
        <v>145</v>
      </c>
      <c r="J1029" s="1186" t="str" cm="1">
        <f t="array" ref="J1029">myRGB(G1029,H1029,I1029)</f>
        <v/>
      </c>
    </row>
    <row r="1030" spans="1:10" ht="17" x14ac:dyDescent="0.25">
      <c r="A1030" s="1" t="s">
        <v>1032</v>
      </c>
      <c r="B1030" s="1" t="s">
        <v>3684</v>
      </c>
      <c r="C1030" s="1" t="s">
        <v>2359</v>
      </c>
      <c r="D1030" t="str">
        <f t="shared" si="96"/>
        <v>EBE654</v>
      </c>
      <c r="E1030" t="str">
        <f t="shared" si="97"/>
        <v>235-230-84</v>
      </c>
      <c r="F1030" t="str">
        <f t="shared" si="98"/>
        <v>23523084</v>
      </c>
      <c r="G1030">
        <f t="shared" si="99"/>
        <v>235</v>
      </c>
      <c r="H1030">
        <f t="shared" si="100"/>
        <v>230</v>
      </c>
      <c r="I1030">
        <f t="shared" si="101"/>
        <v>84</v>
      </c>
      <c r="J1030" s="1108" t="str" cm="1">
        <f t="array" ref="J1030">myRGB(G1030,H1030,I1030)</f>
        <v/>
      </c>
    </row>
    <row r="1031" spans="1:10" ht="17" x14ac:dyDescent="0.25">
      <c r="A1031" s="1" t="s">
        <v>1033</v>
      </c>
      <c r="B1031" s="1" t="s">
        <v>3685</v>
      </c>
      <c r="C1031" s="1" t="s">
        <v>2360</v>
      </c>
      <c r="D1031" t="str">
        <f t="shared" si="96"/>
        <v>FFFC8E</v>
      </c>
      <c r="E1031" t="str">
        <f t="shared" si="97"/>
        <v>255-252-142</v>
      </c>
      <c r="F1031" t="str">
        <f t="shared" si="98"/>
        <v>255252142</v>
      </c>
      <c r="G1031">
        <f t="shared" si="99"/>
        <v>255</v>
      </c>
      <c r="H1031">
        <f t="shared" si="100"/>
        <v>252</v>
      </c>
      <c r="I1031">
        <f t="shared" si="101"/>
        <v>142</v>
      </c>
      <c r="J1031" s="496" t="str" cm="1">
        <f t="array" ref="J1031">myRGB(G1031,H1031,I1031)</f>
        <v/>
      </c>
    </row>
    <row r="1032" spans="1:10" ht="17" x14ac:dyDescent="0.25">
      <c r="A1032" s="1" t="s">
        <v>1034</v>
      </c>
      <c r="B1032" s="1" t="s">
        <v>3686</v>
      </c>
      <c r="C1032" s="1" t="s">
        <v>2361</v>
      </c>
      <c r="D1032" t="str">
        <f t="shared" si="96"/>
        <v>FDF98F</v>
      </c>
      <c r="E1032" t="str">
        <f t="shared" si="97"/>
        <v>253-249-143</v>
      </c>
      <c r="F1032" t="str">
        <f t="shared" si="98"/>
        <v>253249143</v>
      </c>
      <c r="G1032">
        <f t="shared" si="99"/>
        <v>253</v>
      </c>
      <c r="H1032">
        <f t="shared" si="100"/>
        <v>249</v>
      </c>
      <c r="I1032">
        <f t="shared" si="101"/>
        <v>143</v>
      </c>
      <c r="J1032" s="1171" t="str" cm="1">
        <f t="array" ref="J1032">myRGB(G1032,H1032,I1032)</f>
        <v/>
      </c>
    </row>
    <row r="1033" spans="1:10" ht="17" x14ac:dyDescent="0.25">
      <c r="A1033" s="1" t="s">
        <v>1035</v>
      </c>
      <c r="B1033" s="1" t="s">
        <v>3687</v>
      </c>
      <c r="C1033" s="1" t="s">
        <v>2362</v>
      </c>
      <c r="D1033" t="str">
        <f t="shared" si="96"/>
        <v>FFFC90</v>
      </c>
      <c r="E1033" t="str">
        <f t="shared" si="97"/>
        <v>255-252-144</v>
      </c>
      <c r="F1033" t="str">
        <f t="shared" si="98"/>
        <v>255252144</v>
      </c>
      <c r="G1033">
        <f t="shared" si="99"/>
        <v>255</v>
      </c>
      <c r="H1033">
        <f t="shared" si="100"/>
        <v>252</v>
      </c>
      <c r="I1033">
        <f t="shared" si="101"/>
        <v>144</v>
      </c>
      <c r="J1033" s="1251" t="str" cm="1">
        <f t="array" ref="J1033">myRGB(G1033,H1033,I1033)</f>
        <v/>
      </c>
    </row>
    <row r="1034" spans="1:10" ht="17" x14ac:dyDescent="0.25">
      <c r="A1034" s="1" t="s">
        <v>1036</v>
      </c>
      <c r="B1034" s="1" t="s">
        <v>3688</v>
      </c>
      <c r="C1034" s="1" t="s">
        <v>2363</v>
      </c>
      <c r="D1034" t="str">
        <f t="shared" si="96"/>
        <v>ECE654</v>
      </c>
      <c r="E1034" t="str">
        <f t="shared" si="97"/>
        <v>236-230-84</v>
      </c>
      <c r="F1034" t="str">
        <f t="shared" si="98"/>
        <v>23623084</v>
      </c>
      <c r="G1034">
        <f t="shared" si="99"/>
        <v>236</v>
      </c>
      <c r="H1034">
        <f t="shared" si="100"/>
        <v>230</v>
      </c>
      <c r="I1034">
        <f t="shared" si="101"/>
        <v>84</v>
      </c>
      <c r="J1034" s="1265" t="str" cm="1">
        <f t="array" ref="J1034">myRGB(G1034,H1034,I1034)</f>
        <v/>
      </c>
    </row>
    <row r="1035" spans="1:10" ht="17" x14ac:dyDescent="0.25">
      <c r="A1035" s="1" t="s">
        <v>1037</v>
      </c>
      <c r="B1035" s="1" t="s">
        <v>3689</v>
      </c>
      <c r="C1035" s="1" t="s">
        <v>2364</v>
      </c>
      <c r="D1035" t="str">
        <f t="shared" si="96"/>
        <v>FEFB8F</v>
      </c>
      <c r="E1035" t="str">
        <f t="shared" si="97"/>
        <v>254-251-143</v>
      </c>
      <c r="F1035" t="str">
        <f t="shared" si="98"/>
        <v>254251143</v>
      </c>
      <c r="G1035">
        <f t="shared" si="99"/>
        <v>254</v>
      </c>
      <c r="H1035">
        <f t="shared" si="100"/>
        <v>251</v>
      </c>
      <c r="I1035">
        <f t="shared" si="101"/>
        <v>143</v>
      </c>
      <c r="J1035" s="481" t="str" cm="1">
        <f t="array" ref="J1035">myRGB(G1035,H1035,I1035)</f>
        <v/>
      </c>
    </row>
    <row r="1036" spans="1:10" ht="17" x14ac:dyDescent="0.25">
      <c r="A1036" s="1" t="s">
        <v>1038</v>
      </c>
      <c r="B1036" s="1" t="s">
        <v>3690</v>
      </c>
      <c r="C1036" s="1" t="s">
        <v>2365</v>
      </c>
      <c r="D1036" t="str">
        <f t="shared" si="96"/>
        <v>FFF991</v>
      </c>
      <c r="E1036" t="str">
        <f t="shared" si="97"/>
        <v>255-249-145</v>
      </c>
      <c r="F1036" t="str">
        <f t="shared" si="98"/>
        <v>255249145</v>
      </c>
      <c r="G1036">
        <f t="shared" si="99"/>
        <v>255</v>
      </c>
      <c r="H1036">
        <f t="shared" si="100"/>
        <v>249</v>
      </c>
      <c r="I1036">
        <f t="shared" si="101"/>
        <v>145</v>
      </c>
      <c r="J1036" s="1136" t="str" cm="1">
        <f t="array" ref="J1036">myRGB(G1036,H1036,I1036)</f>
        <v/>
      </c>
    </row>
    <row r="1037" spans="1:10" ht="17" x14ac:dyDescent="0.25">
      <c r="A1037" s="1" t="s">
        <v>1039</v>
      </c>
      <c r="B1037" s="1" t="s">
        <v>3691</v>
      </c>
      <c r="C1037" s="1" t="s">
        <v>2366</v>
      </c>
      <c r="D1037" t="str">
        <f t="shared" si="96"/>
        <v>FDFA90</v>
      </c>
      <c r="E1037" t="str">
        <f t="shared" si="97"/>
        <v>253-250-144</v>
      </c>
      <c r="F1037" t="str">
        <f t="shared" si="98"/>
        <v>253250144</v>
      </c>
      <c r="G1037">
        <f t="shared" si="99"/>
        <v>253</v>
      </c>
      <c r="H1037">
        <f t="shared" si="100"/>
        <v>250</v>
      </c>
      <c r="I1037">
        <f t="shared" si="101"/>
        <v>144</v>
      </c>
      <c r="J1037" s="1172" t="str" cm="1">
        <f t="array" ref="J1037">myRGB(G1037,H1037,I1037)</f>
        <v/>
      </c>
    </row>
    <row r="1038" spans="1:10" ht="17" x14ac:dyDescent="0.25">
      <c r="A1038" s="1" t="s">
        <v>1040</v>
      </c>
      <c r="B1038" s="1" t="s">
        <v>3692</v>
      </c>
      <c r="C1038" s="1" t="s">
        <v>2367</v>
      </c>
      <c r="D1038" t="str">
        <f t="shared" si="96"/>
        <v>FDFB8E</v>
      </c>
      <c r="E1038" t="str">
        <f t="shared" si="97"/>
        <v>253-251-142</v>
      </c>
      <c r="F1038" t="str">
        <f t="shared" si="98"/>
        <v>253251142</v>
      </c>
      <c r="G1038">
        <f t="shared" si="99"/>
        <v>253</v>
      </c>
      <c r="H1038">
        <f t="shared" si="100"/>
        <v>251</v>
      </c>
      <c r="I1038">
        <f t="shared" si="101"/>
        <v>142</v>
      </c>
      <c r="J1038" s="1187" t="str" cm="1">
        <f t="array" ref="J1038">myRGB(G1038,H1038,I1038)</f>
        <v/>
      </c>
    </row>
    <row r="1039" spans="1:10" ht="17" x14ac:dyDescent="0.25">
      <c r="A1039" s="1" t="s">
        <v>1041</v>
      </c>
      <c r="B1039" s="1" t="s">
        <v>3693</v>
      </c>
      <c r="C1039" s="1" t="s">
        <v>2368</v>
      </c>
      <c r="D1039" t="str">
        <f t="shared" si="96"/>
        <v>ECE754</v>
      </c>
      <c r="E1039" t="str">
        <f t="shared" si="97"/>
        <v>236-231-84</v>
      </c>
      <c r="F1039" t="str">
        <f t="shared" si="98"/>
        <v>23623184</v>
      </c>
      <c r="G1039">
        <f t="shared" si="99"/>
        <v>236</v>
      </c>
      <c r="H1039">
        <f t="shared" si="100"/>
        <v>231</v>
      </c>
      <c r="I1039">
        <f t="shared" si="101"/>
        <v>84</v>
      </c>
      <c r="J1039" s="1109" t="str" cm="1">
        <f t="array" ref="J1039">myRGB(G1039,H1039,I1039)</f>
        <v/>
      </c>
    </row>
    <row r="1040" spans="1:10" ht="17" x14ac:dyDescent="0.25">
      <c r="A1040" s="1" t="s">
        <v>1042</v>
      </c>
      <c r="B1040" s="1" t="s">
        <v>3694</v>
      </c>
      <c r="C1040" s="1" t="s">
        <v>2369</v>
      </c>
      <c r="D1040" t="str">
        <f t="shared" si="96"/>
        <v>FEFA8F</v>
      </c>
      <c r="E1040" t="str">
        <f t="shared" si="97"/>
        <v>254-250-143</v>
      </c>
      <c r="F1040" t="str">
        <f t="shared" si="98"/>
        <v>254250143</v>
      </c>
      <c r="G1040">
        <f t="shared" si="99"/>
        <v>254</v>
      </c>
      <c r="H1040">
        <f t="shared" si="100"/>
        <v>250</v>
      </c>
      <c r="I1040">
        <f t="shared" si="101"/>
        <v>143</v>
      </c>
      <c r="J1040" s="1120" t="str" cm="1">
        <f t="array" ref="J1040">myRGB(G1040,H1040,I1040)</f>
        <v/>
      </c>
    </row>
    <row r="1041" spans="1:10" ht="17" x14ac:dyDescent="0.25">
      <c r="A1041" s="1" t="s">
        <v>1043</v>
      </c>
      <c r="B1041" s="1" t="s">
        <v>3695</v>
      </c>
      <c r="C1041" s="1" t="s">
        <v>2370</v>
      </c>
      <c r="D1041" t="str">
        <f t="shared" si="96"/>
        <v>FEFC8D</v>
      </c>
      <c r="E1041" t="str">
        <f t="shared" si="97"/>
        <v>254-252-141</v>
      </c>
      <c r="F1041" t="str">
        <f t="shared" si="98"/>
        <v>254252141</v>
      </c>
      <c r="G1041">
        <f t="shared" si="99"/>
        <v>254</v>
      </c>
      <c r="H1041">
        <f t="shared" si="100"/>
        <v>252</v>
      </c>
      <c r="I1041">
        <f t="shared" si="101"/>
        <v>141</v>
      </c>
      <c r="J1041" s="1137" t="str" cm="1">
        <f t="array" ref="J1041">myRGB(G1041,H1041,I1041)</f>
        <v/>
      </c>
    </row>
    <row r="1042" spans="1:10" ht="17" x14ac:dyDescent="0.25">
      <c r="A1042" s="1" t="s">
        <v>1044</v>
      </c>
      <c r="B1042" s="1" t="s">
        <v>3696</v>
      </c>
      <c r="C1042" s="1" t="s">
        <v>2371</v>
      </c>
      <c r="D1042" t="str">
        <f t="shared" si="96"/>
        <v>FFF890</v>
      </c>
      <c r="E1042" t="str">
        <f t="shared" si="97"/>
        <v>255-248-144</v>
      </c>
      <c r="F1042" t="str">
        <f t="shared" si="98"/>
        <v>255248144</v>
      </c>
      <c r="G1042">
        <f t="shared" si="99"/>
        <v>255</v>
      </c>
      <c r="H1042">
        <f t="shared" si="100"/>
        <v>248</v>
      </c>
      <c r="I1042">
        <f t="shared" si="101"/>
        <v>144</v>
      </c>
      <c r="J1042" s="1252" t="str" cm="1">
        <f t="array" ref="J1042">myRGB(G1042,H1042,I1042)</f>
        <v/>
      </c>
    </row>
    <row r="1043" spans="1:10" ht="17" x14ac:dyDescent="0.25">
      <c r="A1043" s="1" t="s">
        <v>1045</v>
      </c>
      <c r="B1043" s="1" t="s">
        <v>3697</v>
      </c>
      <c r="C1043" s="1" t="s">
        <v>2372</v>
      </c>
      <c r="D1043" t="str">
        <f t="shared" si="96"/>
        <v>EBE554</v>
      </c>
      <c r="E1043" t="str">
        <f t="shared" si="97"/>
        <v>235-229-84</v>
      </c>
      <c r="F1043" t="str">
        <f t="shared" si="98"/>
        <v>23522984</v>
      </c>
      <c r="G1043">
        <f t="shared" si="99"/>
        <v>235</v>
      </c>
      <c r="H1043">
        <f t="shared" si="100"/>
        <v>229</v>
      </c>
      <c r="I1043">
        <f t="shared" si="101"/>
        <v>84</v>
      </c>
      <c r="J1043" s="1300" t="str" cm="1">
        <f t="array" ref="J1043">myRGB(G1043,H1043,I1043)</f>
        <v/>
      </c>
    </row>
    <row r="1044" spans="1:10" ht="17" x14ac:dyDescent="0.25">
      <c r="A1044" s="1" t="s">
        <v>1046</v>
      </c>
      <c r="B1044" s="1" t="s">
        <v>3698</v>
      </c>
      <c r="C1044" s="1" t="s">
        <v>2373</v>
      </c>
      <c r="D1044" t="str">
        <f t="shared" si="96"/>
        <v>FCFB90</v>
      </c>
      <c r="E1044" t="str">
        <f t="shared" si="97"/>
        <v>252-251-144</v>
      </c>
      <c r="F1044" t="str">
        <f t="shared" si="98"/>
        <v>252251144</v>
      </c>
      <c r="G1044">
        <f t="shared" si="99"/>
        <v>252</v>
      </c>
      <c r="H1044">
        <f t="shared" si="100"/>
        <v>251</v>
      </c>
      <c r="I1044">
        <f t="shared" si="101"/>
        <v>144</v>
      </c>
      <c r="J1044" s="307" t="str" cm="1">
        <f t="array" ref="J1044">myRGB(G1044,H1044,I1044)</f>
        <v/>
      </c>
    </row>
    <row r="1045" spans="1:10" ht="17" x14ac:dyDescent="0.25">
      <c r="A1045" s="1" t="s">
        <v>1047</v>
      </c>
      <c r="B1045" s="1" t="s">
        <v>3699</v>
      </c>
      <c r="C1045" s="1" t="s">
        <v>2374</v>
      </c>
      <c r="D1045" t="str">
        <f t="shared" si="96"/>
        <v>FEFB91</v>
      </c>
      <c r="E1045" t="str">
        <f t="shared" si="97"/>
        <v>254-251-145</v>
      </c>
      <c r="F1045" t="str">
        <f t="shared" si="98"/>
        <v>254251145</v>
      </c>
      <c r="G1045">
        <f t="shared" si="99"/>
        <v>254</v>
      </c>
      <c r="H1045">
        <f t="shared" si="100"/>
        <v>251</v>
      </c>
      <c r="I1045">
        <f t="shared" si="101"/>
        <v>145</v>
      </c>
      <c r="J1045" s="1121" t="str" cm="1">
        <f t="array" ref="J1045">myRGB(G1045,H1045,I1045)</f>
        <v/>
      </c>
    </row>
    <row r="1046" spans="1:10" ht="17" x14ac:dyDescent="0.25">
      <c r="A1046" s="1" t="s">
        <v>1048</v>
      </c>
      <c r="B1046" s="1" t="s">
        <v>3700</v>
      </c>
      <c r="C1046" s="1" t="s">
        <v>2375</v>
      </c>
      <c r="D1046" t="str">
        <f t="shared" si="96"/>
        <v>FCFA90</v>
      </c>
      <c r="E1046" t="str">
        <f t="shared" si="97"/>
        <v>252-250-144</v>
      </c>
      <c r="F1046" t="str">
        <f t="shared" si="98"/>
        <v>252250144</v>
      </c>
      <c r="G1046">
        <f t="shared" si="99"/>
        <v>252</v>
      </c>
      <c r="H1046">
        <f t="shared" si="100"/>
        <v>250</v>
      </c>
      <c r="I1046">
        <f t="shared" si="101"/>
        <v>144</v>
      </c>
      <c r="J1046" s="1173" t="str" cm="1">
        <f t="array" ref="J1046">myRGB(G1046,H1046,I1046)</f>
        <v/>
      </c>
    </row>
    <row r="1047" spans="1:10" ht="17" x14ac:dyDescent="0.25">
      <c r="A1047" s="1" t="s">
        <v>1049</v>
      </c>
      <c r="B1047" s="1" t="s">
        <v>3701</v>
      </c>
      <c r="C1047" s="1" t="s">
        <v>2376</v>
      </c>
      <c r="D1047" t="str">
        <f t="shared" si="96"/>
        <v>EBE754</v>
      </c>
      <c r="E1047" t="str">
        <f t="shared" si="97"/>
        <v>235-231-84</v>
      </c>
      <c r="F1047" t="str">
        <f t="shared" si="98"/>
        <v>23523184</v>
      </c>
      <c r="G1047">
        <f t="shared" si="99"/>
        <v>235</v>
      </c>
      <c r="H1047">
        <f t="shared" si="100"/>
        <v>231</v>
      </c>
      <c r="I1047">
        <f t="shared" si="101"/>
        <v>84</v>
      </c>
      <c r="J1047" s="1188" t="str" cm="1">
        <f t="array" ref="J1047">myRGB(G1047,H1047,I1047)</f>
        <v/>
      </c>
    </row>
    <row r="1048" spans="1:10" ht="17" x14ac:dyDescent="0.25">
      <c r="A1048" s="1" t="s">
        <v>1050</v>
      </c>
      <c r="B1048" s="1" t="s">
        <v>3702</v>
      </c>
      <c r="C1048" s="1" t="s">
        <v>2377</v>
      </c>
      <c r="D1048" t="str">
        <f t="shared" si="96"/>
        <v>FEFA90</v>
      </c>
      <c r="E1048" t="str">
        <f t="shared" si="97"/>
        <v>254-250-144</v>
      </c>
      <c r="F1048" t="str">
        <f t="shared" si="98"/>
        <v>254250144</v>
      </c>
      <c r="G1048">
        <f t="shared" si="99"/>
        <v>254</v>
      </c>
      <c r="H1048">
        <f t="shared" si="100"/>
        <v>250</v>
      </c>
      <c r="I1048">
        <f t="shared" si="101"/>
        <v>144</v>
      </c>
      <c r="J1048" s="395" t="str" cm="1">
        <f t="array" ref="J1048">myRGB(G1048,H1048,I1048)</f>
        <v/>
      </c>
    </row>
    <row r="1049" spans="1:10" ht="17" x14ac:dyDescent="0.25">
      <c r="A1049" s="1" t="s">
        <v>1051</v>
      </c>
      <c r="B1049" s="1" t="s">
        <v>3703</v>
      </c>
      <c r="C1049" s="1" t="s">
        <v>2378</v>
      </c>
      <c r="D1049" t="str">
        <f t="shared" si="96"/>
        <v>FFFB8F</v>
      </c>
      <c r="E1049" t="str">
        <f t="shared" si="97"/>
        <v>255-251-143</v>
      </c>
      <c r="F1049" t="str">
        <f t="shared" si="98"/>
        <v>255251143</v>
      </c>
      <c r="G1049">
        <f t="shared" si="99"/>
        <v>255</v>
      </c>
      <c r="H1049">
        <f t="shared" si="100"/>
        <v>251</v>
      </c>
      <c r="I1049">
        <f t="shared" si="101"/>
        <v>143</v>
      </c>
      <c r="J1049" s="1219" t="str" cm="1">
        <f t="array" ref="J1049">myRGB(G1049,H1049,I1049)</f>
        <v/>
      </c>
    </row>
    <row r="1050" spans="1:10" ht="17" x14ac:dyDescent="0.25">
      <c r="A1050" s="1" t="s">
        <v>1052</v>
      </c>
      <c r="B1050" s="1" t="s">
        <v>3704</v>
      </c>
      <c r="C1050" s="1" t="s">
        <v>2379</v>
      </c>
      <c r="D1050" t="str">
        <f t="shared" si="96"/>
        <v>FCFB91</v>
      </c>
      <c r="E1050" t="str">
        <f t="shared" si="97"/>
        <v>252-251-145</v>
      </c>
      <c r="F1050" t="str">
        <f t="shared" si="98"/>
        <v>252251145</v>
      </c>
      <c r="G1050">
        <f t="shared" si="99"/>
        <v>252</v>
      </c>
      <c r="H1050">
        <f t="shared" si="100"/>
        <v>251</v>
      </c>
      <c r="I1050">
        <f t="shared" si="101"/>
        <v>145</v>
      </c>
      <c r="J1050" s="1138" t="str" cm="1">
        <f t="array" ref="J1050">myRGB(G1050,H1050,I1050)</f>
        <v/>
      </c>
    </row>
    <row r="1051" spans="1:10" ht="17" x14ac:dyDescent="0.25">
      <c r="A1051" s="1" t="s">
        <v>1053</v>
      </c>
      <c r="B1051" s="1" t="s">
        <v>3705</v>
      </c>
      <c r="C1051" s="1" t="s">
        <v>2380</v>
      </c>
      <c r="D1051" t="str">
        <f t="shared" si="96"/>
        <v>ECE553</v>
      </c>
      <c r="E1051" t="str">
        <f t="shared" si="97"/>
        <v>236-229-83</v>
      </c>
      <c r="F1051" t="str">
        <f t="shared" si="98"/>
        <v>23622983</v>
      </c>
      <c r="G1051">
        <f t="shared" si="99"/>
        <v>236</v>
      </c>
      <c r="H1051">
        <f t="shared" si="100"/>
        <v>229</v>
      </c>
      <c r="I1051">
        <f t="shared" si="101"/>
        <v>83</v>
      </c>
      <c r="J1051" s="1253" t="str" cm="1">
        <f t="array" ref="J1051">myRGB(G1051,H1051,I1051)</f>
        <v/>
      </c>
    </row>
    <row r="1052" spans="1:10" ht="17" x14ac:dyDescent="0.25">
      <c r="A1052" s="1" t="s">
        <v>1054</v>
      </c>
      <c r="B1052" s="1" t="s">
        <v>3706</v>
      </c>
      <c r="C1052" s="1" t="s">
        <v>2381</v>
      </c>
      <c r="D1052" t="str">
        <f t="shared" si="96"/>
        <v>FDFB90</v>
      </c>
      <c r="E1052" t="str">
        <f t="shared" si="97"/>
        <v>253-251-144</v>
      </c>
      <c r="F1052" t="str">
        <f t="shared" si="98"/>
        <v>253251144</v>
      </c>
      <c r="G1052">
        <f t="shared" si="99"/>
        <v>253</v>
      </c>
      <c r="H1052">
        <f t="shared" si="100"/>
        <v>251</v>
      </c>
      <c r="I1052">
        <f t="shared" si="101"/>
        <v>144</v>
      </c>
      <c r="J1052" s="379" t="str" cm="1">
        <f t="array" ref="J1052">myRGB(G1052,H1052,I1052)</f>
        <v/>
      </c>
    </row>
    <row r="1053" spans="1:10" ht="17" x14ac:dyDescent="0.25">
      <c r="A1053" s="1" t="s">
        <v>1055</v>
      </c>
      <c r="B1053" s="1" t="s">
        <v>3707</v>
      </c>
      <c r="C1053" s="1" t="s">
        <v>2382</v>
      </c>
      <c r="D1053" t="str">
        <f t="shared" si="96"/>
        <v>FDF991</v>
      </c>
      <c r="E1053" t="str">
        <f t="shared" si="97"/>
        <v>253-249-145</v>
      </c>
      <c r="F1053" t="str">
        <f t="shared" si="98"/>
        <v>253249145</v>
      </c>
      <c r="G1053">
        <f t="shared" si="99"/>
        <v>253</v>
      </c>
      <c r="H1053">
        <f t="shared" si="100"/>
        <v>249</v>
      </c>
      <c r="I1053">
        <f t="shared" si="101"/>
        <v>145</v>
      </c>
      <c r="J1053" s="1110" t="str" cm="1">
        <f t="array" ref="J1053">myRGB(G1053,H1053,I1053)</f>
        <v/>
      </c>
    </row>
    <row r="1054" spans="1:10" ht="17" x14ac:dyDescent="0.25">
      <c r="A1054" s="1" t="s">
        <v>1056</v>
      </c>
      <c r="B1054" s="1" t="s">
        <v>3708</v>
      </c>
      <c r="C1054" s="1" t="s">
        <v>2383</v>
      </c>
      <c r="D1054" t="str">
        <f t="shared" si="96"/>
        <v>FDFA8F</v>
      </c>
      <c r="E1054" t="str">
        <f t="shared" si="97"/>
        <v>253-250-143</v>
      </c>
      <c r="F1054" t="str">
        <f t="shared" si="98"/>
        <v>253250143</v>
      </c>
      <c r="G1054">
        <f t="shared" si="99"/>
        <v>253</v>
      </c>
      <c r="H1054">
        <f t="shared" si="100"/>
        <v>250</v>
      </c>
      <c r="I1054">
        <f t="shared" si="101"/>
        <v>143</v>
      </c>
      <c r="J1054" s="1122" t="str" cm="1">
        <f t="array" ref="J1054">myRGB(G1054,H1054,I1054)</f>
        <v/>
      </c>
    </row>
    <row r="1055" spans="1:10" ht="17" x14ac:dyDescent="0.25">
      <c r="A1055" s="1" t="s">
        <v>1057</v>
      </c>
      <c r="B1055" s="1" t="s">
        <v>3709</v>
      </c>
      <c r="C1055" s="1" t="s">
        <v>2384</v>
      </c>
      <c r="D1055" t="str">
        <f t="shared" si="96"/>
        <v>EAE753</v>
      </c>
      <c r="E1055" t="str">
        <f t="shared" si="97"/>
        <v>234-231-83</v>
      </c>
      <c r="F1055" t="str">
        <f t="shared" si="98"/>
        <v>23423183</v>
      </c>
      <c r="G1055">
        <f t="shared" si="99"/>
        <v>234</v>
      </c>
      <c r="H1055">
        <f t="shared" si="100"/>
        <v>231</v>
      </c>
      <c r="I1055">
        <f t="shared" si="101"/>
        <v>83</v>
      </c>
      <c r="J1055" s="1174" t="str" cm="1">
        <f t="array" ref="J1055">myRGB(G1055,H1055,I1055)</f>
        <v/>
      </c>
    </row>
    <row r="1056" spans="1:10" ht="17" x14ac:dyDescent="0.25">
      <c r="A1056" s="1" t="s">
        <v>1058</v>
      </c>
      <c r="B1056" s="1" t="s">
        <v>3710</v>
      </c>
      <c r="C1056" s="1" t="s">
        <v>2385</v>
      </c>
      <c r="D1056" t="str">
        <f t="shared" si="96"/>
        <v>FBFC91</v>
      </c>
      <c r="E1056" t="str">
        <f t="shared" si="97"/>
        <v>251-252-145</v>
      </c>
      <c r="F1056" t="str">
        <f t="shared" si="98"/>
        <v>251252145</v>
      </c>
      <c r="G1056">
        <f t="shared" si="99"/>
        <v>251</v>
      </c>
      <c r="H1056">
        <f t="shared" si="100"/>
        <v>252</v>
      </c>
      <c r="I1056">
        <f t="shared" si="101"/>
        <v>145</v>
      </c>
      <c r="J1056" s="746" t="str" cm="1">
        <f t="array" ref="J1056">myRGB(G1056,H1056,I1056)</f>
        <v/>
      </c>
    </row>
    <row r="1057" spans="1:10" ht="17" x14ac:dyDescent="0.25">
      <c r="A1057" s="1" t="s">
        <v>1059</v>
      </c>
      <c r="B1057" s="1" t="s">
        <v>3711</v>
      </c>
      <c r="C1057" s="1" t="s">
        <v>2386</v>
      </c>
      <c r="D1057" t="str">
        <f t="shared" si="96"/>
        <v>FFFB8D</v>
      </c>
      <c r="E1057" t="str">
        <f t="shared" si="97"/>
        <v>255-251-141</v>
      </c>
      <c r="F1057" t="str">
        <f t="shared" si="98"/>
        <v>255251141</v>
      </c>
      <c r="G1057">
        <f t="shared" si="99"/>
        <v>255</v>
      </c>
      <c r="H1057">
        <f t="shared" si="100"/>
        <v>251</v>
      </c>
      <c r="I1057">
        <f t="shared" si="101"/>
        <v>141</v>
      </c>
      <c r="J1057" s="1211" t="str" cm="1">
        <f t="array" ref="J1057">myRGB(G1057,H1057,I1057)</f>
        <v/>
      </c>
    </row>
    <row r="1058" spans="1:10" ht="17" x14ac:dyDescent="0.25">
      <c r="A1058" s="1" t="s">
        <v>1060</v>
      </c>
      <c r="B1058" s="1" t="s">
        <v>3712</v>
      </c>
      <c r="C1058" s="1" t="s">
        <v>2387</v>
      </c>
      <c r="D1058" t="str">
        <f t="shared" si="96"/>
        <v>FEFB90</v>
      </c>
      <c r="E1058" t="str">
        <f t="shared" si="97"/>
        <v>254-251-144</v>
      </c>
      <c r="F1058" t="str">
        <f t="shared" si="98"/>
        <v>254251144</v>
      </c>
      <c r="G1058">
        <f t="shared" si="99"/>
        <v>254</v>
      </c>
      <c r="H1058">
        <f t="shared" si="100"/>
        <v>251</v>
      </c>
      <c r="I1058">
        <f t="shared" si="101"/>
        <v>144</v>
      </c>
      <c r="J1058" s="1220" t="str" cm="1">
        <f t="array" ref="J1058">myRGB(G1058,H1058,I1058)</f>
        <v/>
      </c>
    </row>
    <row r="1059" spans="1:10" ht="17" x14ac:dyDescent="0.25">
      <c r="A1059" s="1" t="s">
        <v>1061</v>
      </c>
      <c r="B1059" s="1" t="s">
        <v>3713</v>
      </c>
      <c r="C1059" s="1" t="s">
        <v>2388</v>
      </c>
      <c r="D1059" t="str">
        <f t="shared" si="96"/>
        <v>ECE752</v>
      </c>
      <c r="E1059" t="str">
        <f t="shared" si="97"/>
        <v>236-231-82</v>
      </c>
      <c r="F1059" t="str">
        <f t="shared" si="98"/>
        <v>23623182</v>
      </c>
      <c r="G1059">
        <f t="shared" si="99"/>
        <v>236</v>
      </c>
      <c r="H1059">
        <f t="shared" si="100"/>
        <v>231</v>
      </c>
      <c r="I1059">
        <f t="shared" si="101"/>
        <v>82</v>
      </c>
      <c r="J1059" s="1139" t="str" cm="1">
        <f t="array" ref="J1059">myRGB(G1059,H1059,I1059)</f>
        <v/>
      </c>
    </row>
    <row r="1060" spans="1:10" ht="17" x14ac:dyDescent="0.25">
      <c r="A1060" s="1" t="s">
        <v>1062</v>
      </c>
      <c r="B1060" s="1" t="s">
        <v>3714</v>
      </c>
      <c r="C1060" s="1" t="s">
        <v>2389</v>
      </c>
      <c r="D1060" t="str">
        <f t="shared" si="96"/>
        <v>FFFA8F</v>
      </c>
      <c r="E1060" t="str">
        <f t="shared" si="97"/>
        <v>255-250-143</v>
      </c>
      <c r="F1060" t="str">
        <f t="shared" si="98"/>
        <v>255250143</v>
      </c>
      <c r="G1060">
        <f t="shared" si="99"/>
        <v>255</v>
      </c>
      <c r="H1060">
        <f t="shared" si="100"/>
        <v>250</v>
      </c>
      <c r="I1060">
        <f t="shared" si="101"/>
        <v>143</v>
      </c>
      <c r="J1060" s="306" t="str" cm="1">
        <f t="array" ref="J1060">myRGB(G1060,H1060,I1060)</f>
        <v/>
      </c>
    </row>
    <row r="1061" spans="1:10" ht="17" x14ac:dyDescent="0.25">
      <c r="A1061" s="1" t="s">
        <v>1063</v>
      </c>
      <c r="B1061" s="1" t="s">
        <v>3715</v>
      </c>
      <c r="C1061" s="1" t="s">
        <v>2390</v>
      </c>
      <c r="D1061" t="str">
        <f t="shared" si="96"/>
        <v>FDFC90</v>
      </c>
      <c r="E1061" t="str">
        <f t="shared" si="97"/>
        <v>253-252-144</v>
      </c>
      <c r="F1061" t="str">
        <f t="shared" si="98"/>
        <v>253252144</v>
      </c>
      <c r="G1061">
        <f t="shared" si="99"/>
        <v>253</v>
      </c>
      <c r="H1061">
        <f t="shared" si="100"/>
        <v>252</v>
      </c>
      <c r="I1061">
        <f t="shared" si="101"/>
        <v>144</v>
      </c>
      <c r="J1061" s="1301" t="str" cm="1">
        <f t="array" ref="J1061">myRGB(G1061,H1061,I1061)</f>
        <v/>
      </c>
    </row>
    <row r="1062" spans="1:10" ht="17" x14ac:dyDescent="0.25">
      <c r="A1062" s="1" t="s">
        <v>1064</v>
      </c>
      <c r="B1062" s="1" t="s">
        <v>3716</v>
      </c>
      <c r="C1062" s="1" t="s">
        <v>2391</v>
      </c>
      <c r="D1062" t="str">
        <f t="shared" si="96"/>
        <v>FEFC8F</v>
      </c>
      <c r="E1062" t="str">
        <f t="shared" si="97"/>
        <v>254-252-143</v>
      </c>
      <c r="F1062" t="str">
        <f t="shared" si="98"/>
        <v>254252143</v>
      </c>
      <c r="G1062">
        <f t="shared" si="99"/>
        <v>254</v>
      </c>
      <c r="H1062">
        <f t="shared" si="100"/>
        <v>252</v>
      </c>
      <c r="I1062">
        <f t="shared" si="101"/>
        <v>143</v>
      </c>
      <c r="J1062" s="1271" t="str" cm="1">
        <f t="array" ref="J1062">myRGB(G1062,H1062,I1062)</f>
        <v/>
      </c>
    </row>
    <row r="1063" spans="1:10" ht="17" x14ac:dyDescent="0.25">
      <c r="A1063" s="1" t="s">
        <v>1065</v>
      </c>
      <c r="B1063" s="1" t="s">
        <v>3717</v>
      </c>
      <c r="C1063" s="1" t="s">
        <v>2392</v>
      </c>
      <c r="D1063" t="str">
        <f t="shared" si="96"/>
        <v>EBE652</v>
      </c>
      <c r="E1063" t="str">
        <f t="shared" si="97"/>
        <v>235-230-82</v>
      </c>
      <c r="F1063" t="str">
        <f t="shared" si="98"/>
        <v>23523082</v>
      </c>
      <c r="G1063">
        <f t="shared" si="99"/>
        <v>235</v>
      </c>
      <c r="H1063">
        <f t="shared" si="100"/>
        <v>230</v>
      </c>
      <c r="I1063">
        <f t="shared" si="101"/>
        <v>82</v>
      </c>
      <c r="J1063" s="1140" t="str" cm="1">
        <f t="array" ref="J1063">myRGB(G1063,H1063,I1063)</f>
        <v/>
      </c>
    </row>
    <row r="1064" spans="1:10" ht="17" x14ac:dyDescent="0.25">
      <c r="A1064" s="1" t="s">
        <v>1066</v>
      </c>
      <c r="B1064" s="1" t="s">
        <v>3718</v>
      </c>
      <c r="C1064" s="1" t="s">
        <v>2393</v>
      </c>
      <c r="D1064" t="str">
        <f t="shared" si="96"/>
        <v>FDFC8F</v>
      </c>
      <c r="E1064" t="str">
        <f t="shared" si="97"/>
        <v>253-252-143</v>
      </c>
      <c r="F1064" t="str">
        <f t="shared" si="98"/>
        <v>253252143</v>
      </c>
      <c r="G1064">
        <f t="shared" si="99"/>
        <v>253</v>
      </c>
      <c r="H1064">
        <f t="shared" si="100"/>
        <v>252</v>
      </c>
      <c r="I1064">
        <f t="shared" si="101"/>
        <v>143</v>
      </c>
      <c r="J1064" s="480" t="str" cm="1">
        <f t="array" ref="J1064">myRGB(G1064,H1064,I1064)</f>
        <v/>
      </c>
    </row>
    <row r="1065" spans="1:10" ht="17" x14ac:dyDescent="0.25">
      <c r="A1065" s="1" t="s">
        <v>1067</v>
      </c>
      <c r="B1065" s="1" t="s">
        <v>3719</v>
      </c>
      <c r="C1065" s="1" t="s">
        <v>2394</v>
      </c>
      <c r="D1065" t="str">
        <f t="shared" si="96"/>
        <v>FCFA8F</v>
      </c>
      <c r="E1065" t="str">
        <f t="shared" si="97"/>
        <v>252-250-143</v>
      </c>
      <c r="F1065" t="str">
        <f t="shared" si="98"/>
        <v>252250143</v>
      </c>
      <c r="G1065">
        <f t="shared" si="99"/>
        <v>252</v>
      </c>
      <c r="H1065">
        <f t="shared" si="100"/>
        <v>250</v>
      </c>
      <c r="I1065">
        <f t="shared" si="101"/>
        <v>143</v>
      </c>
      <c r="J1065" s="1212" t="str" cm="1">
        <f t="array" ref="J1065">myRGB(G1065,H1065,I1065)</f>
        <v/>
      </c>
    </row>
    <row r="1066" spans="1:10" ht="17" x14ac:dyDescent="0.25">
      <c r="A1066" s="1" t="s">
        <v>1068</v>
      </c>
      <c r="B1066" s="1" t="s">
        <v>3720</v>
      </c>
      <c r="C1066" s="1" t="s">
        <v>2395</v>
      </c>
      <c r="D1066" t="str">
        <f t="shared" si="96"/>
        <v>FFFA90</v>
      </c>
      <c r="E1066" t="str">
        <f t="shared" si="97"/>
        <v>255-250-144</v>
      </c>
      <c r="F1066" t="str">
        <f t="shared" si="98"/>
        <v>255250144</v>
      </c>
      <c r="G1066">
        <f t="shared" si="99"/>
        <v>255</v>
      </c>
      <c r="H1066">
        <f t="shared" si="100"/>
        <v>250</v>
      </c>
      <c r="I1066">
        <f t="shared" si="101"/>
        <v>144</v>
      </c>
      <c r="J1066" s="1221" t="str" cm="1">
        <f t="array" ref="J1066">myRGB(G1066,H1066,I1066)</f>
        <v/>
      </c>
    </row>
    <row r="1067" spans="1:10" ht="17" x14ac:dyDescent="0.25">
      <c r="A1067" s="1" t="s">
        <v>1069</v>
      </c>
      <c r="B1067" s="1" t="s">
        <v>3721</v>
      </c>
      <c r="C1067" s="1" t="s">
        <v>2396</v>
      </c>
      <c r="D1067" t="str">
        <f t="shared" si="96"/>
        <v>ECE653</v>
      </c>
      <c r="E1067" t="str">
        <f t="shared" si="97"/>
        <v>236-230-83</v>
      </c>
      <c r="F1067" t="str">
        <f t="shared" si="98"/>
        <v>23623083</v>
      </c>
      <c r="G1067">
        <f t="shared" si="99"/>
        <v>236</v>
      </c>
      <c r="H1067">
        <f t="shared" si="100"/>
        <v>230</v>
      </c>
      <c r="I1067">
        <f t="shared" si="101"/>
        <v>83</v>
      </c>
      <c r="J1067" s="1141" t="str" cm="1">
        <f t="array" ref="J1067">myRGB(G1067,H1067,I1067)</f>
        <v/>
      </c>
    </row>
    <row r="1068" spans="1:10" ht="17" x14ac:dyDescent="0.25">
      <c r="A1068" s="1" t="s">
        <v>1070</v>
      </c>
      <c r="B1068" s="1" t="s">
        <v>3722</v>
      </c>
      <c r="C1068" s="1" t="s">
        <v>2397</v>
      </c>
      <c r="D1068" t="str">
        <f t="shared" si="96"/>
        <v>FEF990</v>
      </c>
      <c r="E1068" t="str">
        <f t="shared" si="97"/>
        <v>254-249-144</v>
      </c>
      <c r="F1068" t="str">
        <f t="shared" si="98"/>
        <v>254249144</v>
      </c>
      <c r="G1068">
        <f t="shared" si="99"/>
        <v>254</v>
      </c>
      <c r="H1068">
        <f t="shared" si="100"/>
        <v>249</v>
      </c>
      <c r="I1068">
        <f t="shared" si="101"/>
        <v>144</v>
      </c>
      <c r="J1068" s="623" t="str" cm="1">
        <f t="array" ref="J1068">myRGB(G1068,H1068,I1068)</f>
        <v/>
      </c>
    </row>
    <row r="1069" spans="1:10" ht="17" x14ac:dyDescent="0.25">
      <c r="A1069" s="1" t="s">
        <v>1071</v>
      </c>
      <c r="B1069" s="1" t="s">
        <v>3723</v>
      </c>
      <c r="C1069" s="1" t="s">
        <v>2398</v>
      </c>
      <c r="D1069" t="str">
        <f t="shared" si="96"/>
        <v>FDFB8F</v>
      </c>
      <c r="E1069" t="str">
        <f t="shared" si="97"/>
        <v>253-251-143</v>
      </c>
      <c r="F1069" t="str">
        <f t="shared" si="98"/>
        <v>253251143</v>
      </c>
      <c r="G1069">
        <f t="shared" si="99"/>
        <v>253</v>
      </c>
      <c r="H1069">
        <f t="shared" si="100"/>
        <v>251</v>
      </c>
      <c r="I1069">
        <f t="shared" si="101"/>
        <v>143</v>
      </c>
      <c r="J1069" s="640" t="str" cm="1">
        <f t="array" ref="J1069">myRGB(G1069,H1069,I1069)</f>
        <v/>
      </c>
    </row>
    <row r="1070" spans="1:10" ht="17" x14ac:dyDescent="0.25">
      <c r="A1070" s="1" t="s">
        <v>1072</v>
      </c>
      <c r="B1070" s="1" t="s">
        <v>3724</v>
      </c>
      <c r="C1070" s="1" t="s">
        <v>2399</v>
      </c>
      <c r="D1070" t="str">
        <f t="shared" si="96"/>
        <v>FEFB8E</v>
      </c>
      <c r="E1070" t="str">
        <f t="shared" si="97"/>
        <v>254-251-142</v>
      </c>
      <c r="F1070" t="str">
        <f t="shared" si="98"/>
        <v>254251142</v>
      </c>
      <c r="G1070">
        <f t="shared" si="99"/>
        <v>254</v>
      </c>
      <c r="H1070">
        <f t="shared" si="100"/>
        <v>251</v>
      </c>
      <c r="I1070">
        <f t="shared" si="101"/>
        <v>142</v>
      </c>
      <c r="J1070" s="1305" t="str" cm="1">
        <f t="array" ref="J1070">myRGB(G1070,H1070,I1070)</f>
        <v/>
      </c>
    </row>
    <row r="1071" spans="1:10" ht="17" x14ac:dyDescent="0.25">
      <c r="A1071" s="1" t="s">
        <v>1073</v>
      </c>
      <c r="B1071" s="1" t="s">
        <v>3725</v>
      </c>
      <c r="C1071" s="1" t="s">
        <v>2400</v>
      </c>
      <c r="D1071" t="str">
        <f t="shared" si="96"/>
        <v>FEFC8E</v>
      </c>
      <c r="E1071" t="str">
        <f t="shared" si="97"/>
        <v>254-252-142</v>
      </c>
      <c r="F1071" t="str">
        <f t="shared" si="98"/>
        <v>254252142</v>
      </c>
      <c r="G1071">
        <f t="shared" si="99"/>
        <v>254</v>
      </c>
      <c r="H1071">
        <f t="shared" si="100"/>
        <v>252</v>
      </c>
      <c r="I1071">
        <f t="shared" si="101"/>
        <v>142</v>
      </c>
      <c r="J1071" s="1142" t="str" cm="1">
        <f t="array" ref="J1071">myRGB(G1071,H1071,I1071)</f>
        <v/>
      </c>
    </row>
    <row r="1072" spans="1:10" ht="17" x14ac:dyDescent="0.25">
      <c r="A1072" s="1" t="s">
        <v>1074</v>
      </c>
      <c r="B1072" s="1" t="s">
        <v>3726</v>
      </c>
      <c r="C1072" s="1" t="s">
        <v>2401</v>
      </c>
      <c r="D1072" t="str">
        <f t="shared" si="96"/>
        <v>EAE654</v>
      </c>
      <c r="E1072" t="str">
        <f t="shared" si="97"/>
        <v>234-230-84</v>
      </c>
      <c r="F1072" t="str">
        <f t="shared" si="98"/>
        <v>23423084</v>
      </c>
      <c r="G1072">
        <f t="shared" si="99"/>
        <v>234</v>
      </c>
      <c r="H1072">
        <f t="shared" si="100"/>
        <v>230</v>
      </c>
      <c r="I1072">
        <f t="shared" si="101"/>
        <v>84</v>
      </c>
      <c r="J1072" s="1331" t="str" cm="1">
        <f t="array" ref="J1072">myRGB(G1072,H1072,I1072)</f>
        <v/>
      </c>
    </row>
    <row r="1073" spans="1:10" ht="17" x14ac:dyDescent="0.25">
      <c r="A1073" s="1" t="s">
        <v>1075</v>
      </c>
      <c r="B1073" s="1" t="s">
        <v>3727</v>
      </c>
      <c r="C1073" s="1" t="s">
        <v>2402</v>
      </c>
      <c r="D1073" t="str">
        <f t="shared" si="96"/>
        <v>FCFC91</v>
      </c>
      <c r="E1073" t="str">
        <f t="shared" si="97"/>
        <v>252-252-145</v>
      </c>
      <c r="F1073" t="str">
        <f t="shared" si="98"/>
        <v>252252145</v>
      </c>
      <c r="G1073">
        <f t="shared" si="99"/>
        <v>252</v>
      </c>
      <c r="H1073">
        <f t="shared" si="100"/>
        <v>252</v>
      </c>
      <c r="I1073">
        <f t="shared" si="101"/>
        <v>145</v>
      </c>
      <c r="J1073" s="498" t="str" cm="1">
        <f t="array" ref="J1073">myRGB(G1073,H1073,I1073)</f>
        <v/>
      </c>
    </row>
    <row r="1074" spans="1:10" ht="17" x14ac:dyDescent="0.25">
      <c r="A1074" s="1" t="s">
        <v>1076</v>
      </c>
      <c r="B1074" s="1" t="s">
        <v>3728</v>
      </c>
      <c r="C1074" s="1" t="s">
        <v>2403</v>
      </c>
      <c r="D1074" t="str">
        <f t="shared" si="96"/>
        <v>FCFC90</v>
      </c>
      <c r="E1074" t="str">
        <f t="shared" si="97"/>
        <v>252-252-144</v>
      </c>
      <c r="F1074" t="str">
        <f t="shared" si="98"/>
        <v>252252144</v>
      </c>
      <c r="G1074">
        <f t="shared" si="99"/>
        <v>252</v>
      </c>
      <c r="H1074">
        <f t="shared" si="100"/>
        <v>252</v>
      </c>
      <c r="I1074">
        <f t="shared" si="101"/>
        <v>144</v>
      </c>
      <c r="J1074" s="460" t="str" cm="1">
        <f t="array" ref="J1074">myRGB(G1074,H1074,I1074)</f>
        <v/>
      </c>
    </row>
    <row r="1075" spans="1:10" ht="17" x14ac:dyDescent="0.25">
      <c r="A1075" s="1" t="s">
        <v>1077</v>
      </c>
      <c r="B1075" s="1" t="s">
        <v>3729</v>
      </c>
      <c r="C1075" s="1" t="s">
        <v>2404</v>
      </c>
      <c r="D1075" t="str">
        <f t="shared" si="96"/>
        <v>FDFC8E</v>
      </c>
      <c r="E1075" t="str">
        <f t="shared" si="97"/>
        <v>253-252-142</v>
      </c>
      <c r="F1075" t="str">
        <f t="shared" si="98"/>
        <v>253252142</v>
      </c>
      <c r="G1075">
        <f t="shared" si="99"/>
        <v>253</v>
      </c>
      <c r="H1075">
        <f t="shared" si="100"/>
        <v>252</v>
      </c>
      <c r="I1075">
        <f t="shared" si="101"/>
        <v>142</v>
      </c>
      <c r="J1075" s="1143" t="str" cm="1">
        <f t="array" ref="J1075">myRGB(G1075,H1075,I1075)</f>
        <v/>
      </c>
    </row>
    <row r="1076" spans="1:10" ht="17" x14ac:dyDescent="0.25">
      <c r="A1076" s="1" t="s">
        <v>1078</v>
      </c>
      <c r="B1076" s="1" t="s">
        <v>3730</v>
      </c>
      <c r="C1076" s="1" t="s">
        <v>2405</v>
      </c>
      <c r="D1076" t="str">
        <f t="shared" si="96"/>
        <v>FFFB91</v>
      </c>
      <c r="E1076" t="str">
        <f t="shared" si="97"/>
        <v>255-251-145</v>
      </c>
      <c r="F1076" t="str">
        <f t="shared" si="98"/>
        <v>255251145</v>
      </c>
      <c r="G1076">
        <f t="shared" si="99"/>
        <v>255</v>
      </c>
      <c r="H1076">
        <f t="shared" si="100"/>
        <v>251</v>
      </c>
      <c r="I1076">
        <f t="shared" si="101"/>
        <v>145</v>
      </c>
      <c r="J1076" s="1254" t="str" cm="1">
        <f t="array" ref="J1076">myRGB(G1076,H1076,I1076)</f>
        <v/>
      </c>
    </row>
    <row r="1077" spans="1:10" ht="17" x14ac:dyDescent="0.25">
      <c r="A1077" s="1" t="s">
        <v>1079</v>
      </c>
      <c r="B1077" s="1" t="s">
        <v>3731</v>
      </c>
      <c r="C1077" s="1" t="s">
        <v>2406</v>
      </c>
      <c r="D1077" t="str">
        <f t="shared" si="96"/>
        <v>ECE753</v>
      </c>
      <c r="E1077" t="str">
        <f t="shared" si="97"/>
        <v>236-231-83</v>
      </c>
      <c r="F1077" t="str">
        <f t="shared" si="98"/>
        <v>23623183</v>
      </c>
      <c r="G1077">
        <f t="shared" si="99"/>
        <v>236</v>
      </c>
      <c r="H1077">
        <f t="shared" si="100"/>
        <v>231</v>
      </c>
      <c r="I1077">
        <f t="shared" si="101"/>
        <v>83</v>
      </c>
      <c r="J1077" s="1302" t="str" cm="1">
        <f t="array" ref="J1077">myRGB(G1077,H1077,I1077)</f>
        <v/>
      </c>
    </row>
    <row r="1078" spans="1:10" ht="17" x14ac:dyDescent="0.25">
      <c r="A1078" s="1" t="s">
        <v>1080</v>
      </c>
      <c r="B1078" s="1" t="s">
        <v>3732</v>
      </c>
      <c r="C1078" s="1" t="s">
        <v>2407</v>
      </c>
      <c r="D1078" t="str">
        <f t="shared" si="96"/>
        <v>FCFA91</v>
      </c>
      <c r="E1078" t="str">
        <f t="shared" si="97"/>
        <v>252-250-145</v>
      </c>
      <c r="F1078" t="str">
        <f t="shared" si="98"/>
        <v>252250145</v>
      </c>
      <c r="G1078">
        <f t="shared" si="99"/>
        <v>252</v>
      </c>
      <c r="H1078">
        <f t="shared" si="100"/>
        <v>250</v>
      </c>
      <c r="I1078">
        <f t="shared" si="101"/>
        <v>145</v>
      </c>
      <c r="J1078" s="397" t="str" cm="1">
        <f t="array" ref="J1078">myRGB(G1078,H1078,I1078)</f>
        <v/>
      </c>
    </row>
    <row r="1079" spans="1:10" ht="17" x14ac:dyDescent="0.25">
      <c r="A1079" s="1" t="s">
        <v>1081</v>
      </c>
      <c r="B1079" s="1" t="s">
        <v>3733</v>
      </c>
      <c r="C1079" s="1" t="s">
        <v>2408</v>
      </c>
      <c r="D1079" t="str">
        <f t="shared" si="96"/>
        <v>FEFA8E</v>
      </c>
      <c r="E1079" t="str">
        <f t="shared" si="97"/>
        <v>254-250-142</v>
      </c>
      <c r="F1079" t="str">
        <f t="shared" si="98"/>
        <v>254250142</v>
      </c>
      <c r="G1079">
        <f t="shared" si="99"/>
        <v>254</v>
      </c>
      <c r="H1079">
        <f t="shared" si="100"/>
        <v>250</v>
      </c>
      <c r="I1079">
        <f t="shared" si="101"/>
        <v>142</v>
      </c>
      <c r="J1079" s="1144" t="str" cm="1">
        <f t="array" ref="J1079">myRGB(G1079,H1079,I1079)</f>
        <v/>
      </c>
    </row>
    <row r="1080" spans="1:10" ht="17" x14ac:dyDescent="0.25">
      <c r="A1080" s="1" t="s">
        <v>1082</v>
      </c>
      <c r="B1080" s="1" t="s">
        <v>3734</v>
      </c>
      <c r="C1080" s="1" t="s">
        <v>2409</v>
      </c>
      <c r="D1080" t="str">
        <f t="shared" si="96"/>
        <v>FCFC8F</v>
      </c>
      <c r="E1080" t="str">
        <f t="shared" si="97"/>
        <v>252-252-143</v>
      </c>
      <c r="F1080" t="str">
        <f t="shared" si="98"/>
        <v>252252143</v>
      </c>
      <c r="G1080">
        <f t="shared" si="99"/>
        <v>252</v>
      </c>
      <c r="H1080">
        <f t="shared" si="100"/>
        <v>252</v>
      </c>
      <c r="I1080">
        <f t="shared" si="101"/>
        <v>143</v>
      </c>
      <c r="J1080" s="1332" t="str" cm="1">
        <f t="array" ref="J1080">myRGB(G1080,H1080,I1080)</f>
        <v/>
      </c>
    </row>
    <row r="1081" spans="1:10" ht="17" x14ac:dyDescent="0.25">
      <c r="A1081" s="1" t="s">
        <v>1083</v>
      </c>
      <c r="B1081" s="1" t="s">
        <v>3735</v>
      </c>
      <c r="C1081" s="1" t="s">
        <v>2410</v>
      </c>
      <c r="D1081" t="str">
        <f t="shared" si="96"/>
        <v>EBE653</v>
      </c>
      <c r="E1081" t="str">
        <f t="shared" si="97"/>
        <v>235-230-83</v>
      </c>
      <c r="F1081" t="str">
        <f t="shared" si="98"/>
        <v>23523083</v>
      </c>
      <c r="G1081">
        <f t="shared" si="99"/>
        <v>235</v>
      </c>
      <c r="H1081">
        <f t="shared" si="100"/>
        <v>230</v>
      </c>
      <c r="I1081">
        <f t="shared" si="101"/>
        <v>83</v>
      </c>
      <c r="J1081" s="1213" t="str" cm="1">
        <f t="array" ref="J1081">myRGB(G1081,H1081,I1081)</f>
        <v/>
      </c>
    </row>
    <row r="1082" spans="1:10" ht="17" x14ac:dyDescent="0.25">
      <c r="A1082" s="1" t="s">
        <v>1084</v>
      </c>
      <c r="B1082" s="1" t="s">
        <v>3736</v>
      </c>
      <c r="C1082" s="1" t="s">
        <v>2411</v>
      </c>
      <c r="D1082" t="str">
        <f t="shared" si="96"/>
        <v>FFFB8E</v>
      </c>
      <c r="E1082" t="str">
        <f t="shared" si="97"/>
        <v>255-251-142</v>
      </c>
      <c r="F1082" t="str">
        <f t="shared" si="98"/>
        <v>255251142</v>
      </c>
      <c r="G1082">
        <f t="shared" si="99"/>
        <v>255</v>
      </c>
      <c r="H1082">
        <f t="shared" si="100"/>
        <v>251</v>
      </c>
      <c r="I1082">
        <f t="shared" si="101"/>
        <v>142</v>
      </c>
      <c r="J1082" s="380" t="str" cm="1">
        <f t="array" ref="J1082">myRGB(G1082,H1082,I1082)</f>
        <v/>
      </c>
    </row>
    <row r="1083" spans="1:10" ht="17" x14ac:dyDescent="0.25">
      <c r="A1083" s="1" t="s">
        <v>1085</v>
      </c>
      <c r="B1083" s="1" t="s">
        <v>3737</v>
      </c>
      <c r="C1083" s="1" t="s">
        <v>2412</v>
      </c>
      <c r="D1083" t="str">
        <f t="shared" si="96"/>
        <v>FEFC91</v>
      </c>
      <c r="E1083" t="str">
        <f t="shared" si="97"/>
        <v>254-252-145</v>
      </c>
      <c r="F1083" t="str">
        <f t="shared" si="98"/>
        <v>254252145</v>
      </c>
      <c r="G1083">
        <f t="shared" si="99"/>
        <v>254</v>
      </c>
      <c r="H1083">
        <f t="shared" si="100"/>
        <v>252</v>
      </c>
      <c r="I1083">
        <f t="shared" si="101"/>
        <v>145</v>
      </c>
      <c r="J1083" s="1145" t="str" cm="1">
        <f t="array" ref="J1083">myRGB(G1083,H1083,I1083)</f>
        <v/>
      </c>
    </row>
    <row r="1084" spans="1:10" ht="17" x14ac:dyDescent="0.25">
      <c r="A1084" s="1" t="s">
        <v>1086</v>
      </c>
      <c r="B1084" s="1" t="s">
        <v>3738</v>
      </c>
      <c r="C1084" s="1" t="s">
        <v>2413</v>
      </c>
      <c r="D1084" t="str">
        <f t="shared" si="96"/>
        <v>FDF990</v>
      </c>
      <c r="E1084" t="str">
        <f t="shared" si="97"/>
        <v>253-249-144</v>
      </c>
      <c r="F1084" t="str">
        <f t="shared" si="98"/>
        <v>253249144</v>
      </c>
      <c r="G1084">
        <f t="shared" si="99"/>
        <v>253</v>
      </c>
      <c r="H1084">
        <f t="shared" si="100"/>
        <v>249</v>
      </c>
      <c r="I1084">
        <f t="shared" si="101"/>
        <v>144</v>
      </c>
      <c r="J1084" s="1255" t="str" cm="1">
        <f t="array" ref="J1084">myRGB(G1084,H1084,I1084)</f>
        <v/>
      </c>
    </row>
    <row r="1085" spans="1:10" ht="17" x14ac:dyDescent="0.25">
      <c r="A1085" s="1" t="s">
        <v>1087</v>
      </c>
      <c r="B1085" s="1" t="s">
        <v>3739</v>
      </c>
      <c r="C1085" s="1" t="s">
        <v>2414</v>
      </c>
      <c r="D1085" t="str">
        <f t="shared" si="96"/>
        <v>ECE554</v>
      </c>
      <c r="E1085" t="str">
        <f t="shared" si="97"/>
        <v>236-229-84</v>
      </c>
      <c r="F1085" t="str">
        <f t="shared" si="98"/>
        <v>23622984</v>
      </c>
      <c r="G1085">
        <f t="shared" si="99"/>
        <v>236</v>
      </c>
      <c r="H1085">
        <f t="shared" si="100"/>
        <v>229</v>
      </c>
      <c r="I1085">
        <f t="shared" si="101"/>
        <v>84</v>
      </c>
      <c r="J1085" s="1311" t="str" cm="1">
        <f t="array" ref="J1085">myRGB(G1085,H1085,I1085)</f>
        <v/>
      </c>
    </row>
    <row r="1086" spans="1:10" ht="17" x14ac:dyDescent="0.25">
      <c r="A1086" s="1" t="s">
        <v>1088</v>
      </c>
      <c r="B1086" s="1" t="s">
        <v>3740</v>
      </c>
      <c r="C1086" s="1" t="s">
        <v>2415</v>
      </c>
      <c r="D1086" t="str">
        <f t="shared" si="96"/>
        <v>FFF990</v>
      </c>
      <c r="E1086" t="str">
        <f t="shared" si="97"/>
        <v>255-249-144</v>
      </c>
      <c r="F1086" t="str">
        <f t="shared" si="98"/>
        <v>255249144</v>
      </c>
      <c r="G1086">
        <f t="shared" si="99"/>
        <v>255</v>
      </c>
      <c r="H1086">
        <f t="shared" si="100"/>
        <v>249</v>
      </c>
      <c r="I1086">
        <f t="shared" si="101"/>
        <v>144</v>
      </c>
      <c r="J1086" s="581" t="str" cm="1">
        <f t="array" ref="J1086">myRGB(G1086,H1086,I1086)</f>
        <v/>
      </c>
    </row>
    <row r="1087" spans="1:10" ht="17" x14ac:dyDescent="0.25">
      <c r="A1087" s="1" t="s">
        <v>1089</v>
      </c>
      <c r="B1087" s="1" t="s">
        <v>3741</v>
      </c>
      <c r="C1087" s="1" t="s">
        <v>2416</v>
      </c>
      <c r="D1087" t="str">
        <f t="shared" si="96"/>
        <v>FDFA8E</v>
      </c>
      <c r="E1087" t="str">
        <f t="shared" si="97"/>
        <v>253-250-142</v>
      </c>
      <c r="F1087" t="str">
        <f t="shared" si="98"/>
        <v>253250142</v>
      </c>
      <c r="G1087">
        <f t="shared" si="99"/>
        <v>253</v>
      </c>
      <c r="H1087">
        <f t="shared" si="100"/>
        <v>250</v>
      </c>
      <c r="I1087">
        <f t="shared" si="101"/>
        <v>142</v>
      </c>
      <c r="J1087" s="1146" t="str" cm="1">
        <f t="array" ref="J1087">myRGB(G1087,H1087,I1087)</f>
        <v/>
      </c>
    </row>
    <row r="1088" spans="1:10" ht="17" x14ac:dyDescent="0.25">
      <c r="A1088" s="1" t="s">
        <v>1090</v>
      </c>
      <c r="B1088" s="1" t="s">
        <v>3742</v>
      </c>
      <c r="C1088" s="1" t="s">
        <v>2417</v>
      </c>
      <c r="D1088" t="str">
        <f t="shared" si="96"/>
        <v>FCFB8F</v>
      </c>
      <c r="E1088" t="str">
        <f t="shared" si="97"/>
        <v>252-251-143</v>
      </c>
      <c r="F1088" t="str">
        <f t="shared" si="98"/>
        <v>252251143</v>
      </c>
      <c r="G1088">
        <f t="shared" si="99"/>
        <v>252</v>
      </c>
      <c r="H1088">
        <f t="shared" si="100"/>
        <v>251</v>
      </c>
      <c r="I1088">
        <f t="shared" si="101"/>
        <v>143</v>
      </c>
      <c r="J1088" s="1333" t="str" cm="1">
        <f t="array" ref="J1088">myRGB(G1088,H1088,I1088)</f>
        <v/>
      </c>
    </row>
    <row r="1089" spans="1:10" ht="17" x14ac:dyDescent="0.25">
      <c r="A1089" s="1" t="s">
        <v>1091</v>
      </c>
      <c r="B1089" s="1" t="s">
        <v>3743</v>
      </c>
      <c r="C1089" s="1" t="s">
        <v>2418</v>
      </c>
      <c r="D1089" t="str">
        <f t="shared" si="96"/>
        <v>EAE754</v>
      </c>
      <c r="E1089" t="str">
        <f t="shared" si="97"/>
        <v>234-231-84</v>
      </c>
      <c r="F1089" t="str">
        <f t="shared" si="98"/>
        <v>23423184</v>
      </c>
      <c r="G1089">
        <f t="shared" si="99"/>
        <v>234</v>
      </c>
      <c r="H1089">
        <f t="shared" si="100"/>
        <v>231</v>
      </c>
      <c r="I1089">
        <f t="shared" si="101"/>
        <v>84</v>
      </c>
      <c r="J1089" s="1214" t="str" cm="1">
        <f t="array" ref="J1089">myRGB(G1089,H1089,I1089)</f>
        <v/>
      </c>
    </row>
    <row r="1090" spans="1:10" ht="17" x14ac:dyDescent="0.25">
      <c r="A1090" s="1" t="s">
        <v>1092</v>
      </c>
      <c r="B1090" s="1" t="s">
        <v>3744</v>
      </c>
      <c r="C1090" s="1" t="s">
        <v>2419</v>
      </c>
      <c r="D1090" t="str">
        <f t="shared" si="96"/>
        <v>FFFC8D</v>
      </c>
      <c r="E1090" t="str">
        <f t="shared" si="97"/>
        <v>255-252-141</v>
      </c>
      <c r="F1090" t="str">
        <f t="shared" si="98"/>
        <v>255252141</v>
      </c>
      <c r="G1090">
        <f t="shared" si="99"/>
        <v>255</v>
      </c>
      <c r="H1090">
        <f t="shared" si="100"/>
        <v>252</v>
      </c>
      <c r="I1090">
        <f t="shared" si="101"/>
        <v>141</v>
      </c>
      <c r="J1090" s="497" t="str" cm="1">
        <f t="array" ref="J1090">myRGB(G1090,H1090,I1090)</f>
        <v/>
      </c>
    </row>
    <row r="1091" spans="1:10" ht="17" x14ac:dyDescent="0.25">
      <c r="A1091" s="1" t="s">
        <v>1093</v>
      </c>
      <c r="B1091" s="1" t="s">
        <v>3745</v>
      </c>
      <c r="C1091" s="1" t="s">
        <v>2420</v>
      </c>
      <c r="D1091" t="str">
        <f t="shared" si="96"/>
        <v>FFFB90</v>
      </c>
      <c r="E1091" t="str">
        <f t="shared" si="97"/>
        <v>255-251-144</v>
      </c>
      <c r="F1091" t="str">
        <f t="shared" si="98"/>
        <v>255251144</v>
      </c>
      <c r="G1091">
        <f t="shared" si="99"/>
        <v>255</v>
      </c>
      <c r="H1091">
        <f t="shared" si="100"/>
        <v>251</v>
      </c>
      <c r="I1091">
        <f t="shared" si="101"/>
        <v>144</v>
      </c>
      <c r="J1091" s="1147" t="str" cm="1">
        <f t="array" ref="J1091">myRGB(G1091,H1091,I1091)</f>
        <v/>
      </c>
    </row>
    <row r="1092" spans="1:10" ht="17" x14ac:dyDescent="0.25">
      <c r="A1092" s="1" t="s">
        <v>1094</v>
      </c>
      <c r="B1092" s="1" t="s">
        <v>3746</v>
      </c>
      <c r="C1092" s="1" t="s">
        <v>2421</v>
      </c>
      <c r="D1092" t="str">
        <f t="shared" ref="D1092:D1155" si="102">RIGHT(LEFT(C1092,9),6)</f>
        <v>FFFC8F</v>
      </c>
      <c r="E1092" t="str">
        <f t="shared" ref="E1092:E1155" si="103">HEX2DEC(LEFT(D1092,2))&amp;"-"&amp;HEX2DEC(MID(D1092,3,2))&amp;"-"&amp;HEX2DEC(RIGHT(D1092,2))</f>
        <v>255-252-143</v>
      </c>
      <c r="F1092" t="str">
        <f t="shared" ref="F1092:F1155" si="104">HEX2DEC(LEFT(D1092,2))&amp;HEX2DEC(MID(D1092,3,2))&amp;HEX2DEC(RIGHT(D1092,2))</f>
        <v>255252143</v>
      </c>
      <c r="G1092">
        <f t="shared" ref="G1092:G1155" si="105">HEX2DEC(LEFT(D1092,2))</f>
        <v>255</v>
      </c>
      <c r="H1092">
        <f t="shared" ref="H1092:H1155" si="106">HEX2DEC(MID(D1092,3,2))</f>
        <v>252</v>
      </c>
      <c r="I1092">
        <f t="shared" ref="I1092:I1155" si="107">HEX2DEC(RIGHT(D1092,2))</f>
        <v>143</v>
      </c>
      <c r="J1092" s="1256" t="str" cm="1">
        <f t="array" ref="J1092">myRGB(G1092,H1092,I1092)</f>
        <v/>
      </c>
    </row>
    <row r="1093" spans="1:10" ht="17" x14ac:dyDescent="0.25">
      <c r="A1093" s="1" t="s">
        <v>1095</v>
      </c>
      <c r="B1093" s="1" t="s">
        <v>3747</v>
      </c>
      <c r="C1093" s="1" t="s">
        <v>2422</v>
      </c>
      <c r="D1093" t="str">
        <f t="shared" si="102"/>
        <v>ECE652</v>
      </c>
      <c r="E1093" t="str">
        <f t="shared" si="103"/>
        <v>236-230-82</v>
      </c>
      <c r="F1093" t="str">
        <f t="shared" si="104"/>
        <v>23623082</v>
      </c>
      <c r="G1093">
        <f t="shared" si="105"/>
        <v>236</v>
      </c>
      <c r="H1093">
        <f t="shared" si="106"/>
        <v>230</v>
      </c>
      <c r="I1093">
        <f t="shared" si="107"/>
        <v>82</v>
      </c>
      <c r="J1093" s="1266" t="str" cm="1">
        <f t="array" ref="J1093">myRGB(G1093,H1093,I1093)</f>
        <v/>
      </c>
    </row>
    <row r="1094" spans="1:10" ht="17" x14ac:dyDescent="0.25">
      <c r="A1094" s="1" t="s">
        <v>1096</v>
      </c>
      <c r="B1094" s="1" t="s">
        <v>3748</v>
      </c>
      <c r="C1094" s="1" t="s">
        <v>2423</v>
      </c>
      <c r="D1094" t="str">
        <f t="shared" si="102"/>
        <v>FEF991</v>
      </c>
      <c r="E1094" t="str">
        <f t="shared" si="103"/>
        <v>254-249-145</v>
      </c>
      <c r="F1094" t="str">
        <f t="shared" si="104"/>
        <v>254249145</v>
      </c>
      <c r="G1094">
        <f t="shared" si="105"/>
        <v>254</v>
      </c>
      <c r="H1094">
        <f t="shared" si="106"/>
        <v>249</v>
      </c>
      <c r="I1094">
        <f t="shared" si="107"/>
        <v>145</v>
      </c>
      <c r="J1094" s="459" t="str" cm="1">
        <f t="array" ref="J1094">myRGB(G1094,H1094,I1094)</f>
        <v/>
      </c>
    </row>
    <row r="1095" spans="1:10" ht="17" x14ac:dyDescent="0.25">
      <c r="A1095" s="1" t="s">
        <v>1097</v>
      </c>
      <c r="B1095" s="1" t="s">
        <v>3749</v>
      </c>
      <c r="C1095" s="1" t="s">
        <v>2424</v>
      </c>
      <c r="D1095" t="str">
        <f t="shared" si="102"/>
        <v>FDFC91</v>
      </c>
      <c r="E1095" t="str">
        <f t="shared" si="103"/>
        <v>253-252-145</v>
      </c>
      <c r="F1095" t="str">
        <f t="shared" si="104"/>
        <v>253252145</v>
      </c>
      <c r="G1095">
        <f t="shared" si="105"/>
        <v>253</v>
      </c>
      <c r="H1095">
        <f t="shared" si="106"/>
        <v>252</v>
      </c>
      <c r="I1095">
        <f t="shared" si="107"/>
        <v>145</v>
      </c>
      <c r="J1095" s="1148" t="str" cm="1">
        <f t="array" ref="J1095">myRGB(G1095,H1095,I1095)</f>
        <v/>
      </c>
    </row>
    <row r="1096" spans="1:10" ht="17" x14ac:dyDescent="0.25">
      <c r="A1096" s="1" t="s">
        <v>1098</v>
      </c>
      <c r="B1096" s="1" t="s">
        <v>3750</v>
      </c>
      <c r="C1096" s="1" t="s">
        <v>2425</v>
      </c>
      <c r="D1096" t="str">
        <f t="shared" si="102"/>
        <v>FFF891</v>
      </c>
      <c r="E1096" t="str">
        <f t="shared" si="103"/>
        <v>255-248-145</v>
      </c>
      <c r="F1096" t="str">
        <f t="shared" si="104"/>
        <v>255248145</v>
      </c>
      <c r="G1096">
        <f t="shared" si="105"/>
        <v>255</v>
      </c>
      <c r="H1096">
        <f t="shared" si="106"/>
        <v>248</v>
      </c>
      <c r="I1096">
        <f t="shared" si="107"/>
        <v>145</v>
      </c>
      <c r="J1096" s="1334" t="str" cm="1">
        <f t="array" ref="J1096">myRGB(G1096,H1096,I1096)</f>
        <v/>
      </c>
    </row>
    <row r="1097" spans="1:10" ht="17" x14ac:dyDescent="0.25">
      <c r="A1097" s="1" t="s">
        <v>1099</v>
      </c>
      <c r="B1097" s="1" t="s">
        <v>3751</v>
      </c>
      <c r="C1097" s="1" t="s">
        <v>2426</v>
      </c>
      <c r="D1097" t="str">
        <f t="shared" si="102"/>
        <v>EBE752</v>
      </c>
      <c r="E1097" t="str">
        <f t="shared" si="103"/>
        <v>235-231-82</v>
      </c>
      <c r="F1097" t="str">
        <f t="shared" si="104"/>
        <v>23523182</v>
      </c>
      <c r="G1097">
        <f t="shared" si="105"/>
        <v>235</v>
      </c>
      <c r="H1097">
        <f t="shared" si="106"/>
        <v>231</v>
      </c>
      <c r="I1097">
        <f t="shared" si="107"/>
        <v>82</v>
      </c>
      <c r="J1097" s="1205" t="str" cm="1">
        <f t="array" ref="J1097">myRGB(G1097,H1097,I1097)</f>
        <v/>
      </c>
    </row>
    <row r="1098" spans="1:10" ht="17" x14ac:dyDescent="0.25">
      <c r="A1098" s="1" t="s">
        <v>1100</v>
      </c>
      <c r="B1098" s="1" t="s">
        <v>3752</v>
      </c>
      <c r="C1098" s="1" t="s">
        <v>2427</v>
      </c>
      <c r="D1098" t="str">
        <f t="shared" si="102"/>
        <v>F0F07F</v>
      </c>
      <c r="E1098" t="str">
        <f t="shared" si="103"/>
        <v>240-240-127</v>
      </c>
      <c r="F1098" t="str">
        <f t="shared" si="104"/>
        <v>240240127</v>
      </c>
      <c r="G1098">
        <f t="shared" si="105"/>
        <v>240</v>
      </c>
      <c r="H1098">
        <f t="shared" si="106"/>
        <v>240</v>
      </c>
      <c r="I1098">
        <f t="shared" si="107"/>
        <v>127</v>
      </c>
      <c r="J1098" s="399" t="str" cm="1">
        <f t="array" ref="J1098">myRGB(G1098,H1098,I1098)</f>
        <v/>
      </c>
    </row>
    <row r="1099" spans="1:10" ht="17" x14ac:dyDescent="0.25">
      <c r="A1099" s="1" t="s">
        <v>1101</v>
      </c>
      <c r="B1099" s="1" t="s">
        <v>3753</v>
      </c>
      <c r="C1099" s="1" t="s">
        <v>2428</v>
      </c>
      <c r="D1099" t="str">
        <f t="shared" si="102"/>
        <v>FFFCBC</v>
      </c>
      <c r="E1099" t="str">
        <f t="shared" si="103"/>
        <v>255-252-188</v>
      </c>
      <c r="F1099" t="str">
        <f t="shared" si="104"/>
        <v>255252188</v>
      </c>
      <c r="G1099">
        <f t="shared" si="105"/>
        <v>255</v>
      </c>
      <c r="H1099">
        <f t="shared" si="106"/>
        <v>252</v>
      </c>
      <c r="I1099">
        <f t="shared" si="107"/>
        <v>188</v>
      </c>
      <c r="J1099" s="461" t="str" cm="1">
        <f t="array" ref="J1099">myRGB(G1099,H1099,I1099)</f>
        <v/>
      </c>
    </row>
    <row r="1100" spans="1:10" ht="17" x14ac:dyDescent="0.25">
      <c r="A1100" s="1" t="s">
        <v>1102</v>
      </c>
      <c r="B1100" s="1" t="s">
        <v>3754</v>
      </c>
      <c r="C1100" s="1" t="s">
        <v>2429</v>
      </c>
      <c r="D1100" t="str">
        <f t="shared" si="102"/>
        <v>FFFDBC</v>
      </c>
      <c r="E1100" t="str">
        <f t="shared" si="103"/>
        <v>255-253-188</v>
      </c>
      <c r="F1100" t="str">
        <f t="shared" si="104"/>
        <v>255253188</v>
      </c>
      <c r="G1100">
        <f t="shared" si="105"/>
        <v>255</v>
      </c>
      <c r="H1100">
        <f t="shared" si="106"/>
        <v>253</v>
      </c>
      <c r="I1100">
        <f t="shared" si="107"/>
        <v>188</v>
      </c>
      <c r="J1100" s="482" t="str" cm="1">
        <f t="array" ref="J1100">myRGB(G1100,H1100,I1100)</f>
        <v/>
      </c>
    </row>
    <row r="1101" spans="1:10" ht="17" x14ac:dyDescent="0.25">
      <c r="A1101" s="1" t="s">
        <v>1103</v>
      </c>
      <c r="B1101" s="1" t="s">
        <v>3755</v>
      </c>
      <c r="C1101" s="1" t="s">
        <v>2430</v>
      </c>
      <c r="D1101" t="str">
        <f t="shared" si="102"/>
        <v>FFFDBB</v>
      </c>
      <c r="E1101" t="str">
        <f t="shared" si="103"/>
        <v>255-253-187</v>
      </c>
      <c r="F1101" t="str">
        <f t="shared" si="104"/>
        <v>255253187</v>
      </c>
      <c r="G1101">
        <f t="shared" si="105"/>
        <v>255</v>
      </c>
      <c r="H1101">
        <f t="shared" si="106"/>
        <v>253</v>
      </c>
      <c r="I1101">
        <f t="shared" si="107"/>
        <v>187</v>
      </c>
      <c r="J1101" s="499" t="str" cm="1">
        <f t="array" ref="J1101">myRGB(G1101,H1101,I1101)</f>
        <v/>
      </c>
    </row>
    <row r="1102" spans="1:10" ht="17" x14ac:dyDescent="0.25">
      <c r="A1102" s="1" t="s">
        <v>1104</v>
      </c>
      <c r="B1102" s="1" t="s">
        <v>3756</v>
      </c>
      <c r="C1102" s="1" t="s">
        <v>2431</v>
      </c>
      <c r="D1102" t="str">
        <f t="shared" si="102"/>
        <v>FEFDBC</v>
      </c>
      <c r="E1102" t="str">
        <f t="shared" si="103"/>
        <v>254-253-188</v>
      </c>
      <c r="F1102" t="str">
        <f t="shared" si="104"/>
        <v>254253188</v>
      </c>
      <c r="G1102">
        <f t="shared" si="105"/>
        <v>254</v>
      </c>
      <c r="H1102">
        <f t="shared" si="106"/>
        <v>253</v>
      </c>
      <c r="I1102">
        <f t="shared" si="107"/>
        <v>188</v>
      </c>
      <c r="J1102" s="747" t="str" cm="1">
        <f t="array" ref="J1102">myRGB(G1102,H1102,I1102)</f>
        <v/>
      </c>
    </row>
    <row r="1103" spans="1:10" ht="17" x14ac:dyDescent="0.25">
      <c r="A1103" s="1" t="s">
        <v>1105</v>
      </c>
      <c r="B1103" s="1" t="s">
        <v>1105</v>
      </c>
      <c r="C1103" s="1" t="s">
        <v>2432</v>
      </c>
      <c r="D1103" t="str">
        <f t="shared" si="102"/>
        <v>CAC7CB</v>
      </c>
      <c r="E1103" t="str">
        <f t="shared" si="103"/>
        <v>202-199-203</v>
      </c>
      <c r="F1103" t="str">
        <f t="shared" si="104"/>
        <v>202199203</v>
      </c>
      <c r="G1103">
        <f t="shared" si="105"/>
        <v>202</v>
      </c>
      <c r="H1103">
        <f t="shared" si="106"/>
        <v>199</v>
      </c>
      <c r="I1103">
        <f t="shared" si="107"/>
        <v>203</v>
      </c>
      <c r="J1103" s="744" t="str" cm="1">
        <f t="array" ref="J1103">myRGB(G1103,H1103,I1103)</f>
        <v/>
      </c>
    </row>
    <row r="1104" spans="1:10" ht="17" x14ac:dyDescent="0.25">
      <c r="A1104" s="1" t="s">
        <v>1106</v>
      </c>
      <c r="B1104" s="1" t="s">
        <v>3757</v>
      </c>
      <c r="C1104" s="1" t="s">
        <v>2433</v>
      </c>
      <c r="D1104" t="str">
        <f t="shared" si="102"/>
        <v>C8CAC9</v>
      </c>
      <c r="E1104" t="str">
        <f t="shared" si="103"/>
        <v>200-202-201</v>
      </c>
      <c r="F1104" t="str">
        <f t="shared" si="104"/>
        <v>200202201</v>
      </c>
      <c r="G1104">
        <f t="shared" si="105"/>
        <v>200</v>
      </c>
      <c r="H1104">
        <f t="shared" si="106"/>
        <v>202</v>
      </c>
      <c r="I1104">
        <f t="shared" si="107"/>
        <v>201</v>
      </c>
      <c r="J1104" s="727" t="str" cm="1">
        <f t="array" ref="J1104">myRGB(G1104,H1104,I1104)</f>
        <v/>
      </c>
    </row>
    <row r="1105" spans="1:10" ht="17" x14ac:dyDescent="0.25">
      <c r="A1105" s="1" t="s">
        <v>1107</v>
      </c>
      <c r="B1105" s="1" t="s">
        <v>3758</v>
      </c>
      <c r="C1105" s="1" t="s">
        <v>2434</v>
      </c>
      <c r="D1105" t="str">
        <f t="shared" si="102"/>
        <v>C7CCC9</v>
      </c>
      <c r="E1105" t="str">
        <f t="shared" si="103"/>
        <v>199-204-201</v>
      </c>
      <c r="F1105" t="str">
        <f t="shared" si="104"/>
        <v>199204201</v>
      </c>
      <c r="G1105">
        <f t="shared" si="105"/>
        <v>199</v>
      </c>
      <c r="H1105">
        <f t="shared" si="106"/>
        <v>204</v>
      </c>
      <c r="I1105">
        <f t="shared" si="107"/>
        <v>201</v>
      </c>
      <c r="J1105" s="1215" t="str" cm="1">
        <f t="array" ref="J1105">myRGB(G1105,H1105,I1105)</f>
        <v/>
      </c>
    </row>
    <row r="1106" spans="1:10" ht="17" x14ac:dyDescent="0.25">
      <c r="A1106" s="1" t="s">
        <v>1108</v>
      </c>
      <c r="B1106" s="1" t="s">
        <v>3759</v>
      </c>
      <c r="C1106" s="1" t="s">
        <v>2435</v>
      </c>
      <c r="D1106" t="str">
        <f t="shared" si="102"/>
        <v>CAC8C9</v>
      </c>
      <c r="E1106" t="str">
        <f t="shared" si="103"/>
        <v>202-200-201</v>
      </c>
      <c r="F1106" t="str">
        <f t="shared" si="104"/>
        <v>202200201</v>
      </c>
      <c r="G1106">
        <f t="shared" si="105"/>
        <v>202</v>
      </c>
      <c r="H1106">
        <f t="shared" si="106"/>
        <v>200</v>
      </c>
      <c r="I1106">
        <f t="shared" si="107"/>
        <v>201</v>
      </c>
      <c r="J1106" s="634" t="str" cm="1">
        <f t="array" ref="J1106">myRGB(G1106,H1106,I1106)</f>
        <v/>
      </c>
    </row>
    <row r="1107" spans="1:10" ht="17" x14ac:dyDescent="0.25">
      <c r="A1107" s="1" t="s">
        <v>1109</v>
      </c>
      <c r="B1107" s="1" t="s">
        <v>3760</v>
      </c>
      <c r="C1107" s="1" t="s">
        <v>2436</v>
      </c>
      <c r="D1107" t="str">
        <f t="shared" si="102"/>
        <v>CCCBC7</v>
      </c>
      <c r="E1107" t="str">
        <f t="shared" si="103"/>
        <v>204-203-199</v>
      </c>
      <c r="F1107" t="str">
        <f t="shared" si="104"/>
        <v>204203199</v>
      </c>
      <c r="G1107">
        <f t="shared" si="105"/>
        <v>204</v>
      </c>
      <c r="H1107">
        <f t="shared" si="106"/>
        <v>203</v>
      </c>
      <c r="I1107">
        <f t="shared" si="107"/>
        <v>199</v>
      </c>
      <c r="J1107" s="558" t="str" cm="1">
        <f t="array" ref="J1107">myRGB(G1107,H1107,I1107)</f>
        <v/>
      </c>
    </row>
    <row r="1108" spans="1:10" ht="17" x14ac:dyDescent="0.25">
      <c r="A1108" s="1" t="s">
        <v>1110</v>
      </c>
      <c r="B1108" s="1" t="s">
        <v>3761</v>
      </c>
      <c r="C1108" s="1" t="s">
        <v>2437</v>
      </c>
      <c r="D1108" t="str">
        <f t="shared" si="102"/>
        <v>C7CBCA</v>
      </c>
      <c r="E1108" t="str">
        <f t="shared" si="103"/>
        <v>199-203-202</v>
      </c>
      <c r="F1108" t="str">
        <f t="shared" si="104"/>
        <v>199203202</v>
      </c>
      <c r="G1108">
        <f t="shared" si="105"/>
        <v>199</v>
      </c>
      <c r="H1108">
        <f t="shared" si="106"/>
        <v>203</v>
      </c>
      <c r="I1108">
        <f t="shared" si="107"/>
        <v>202</v>
      </c>
      <c r="J1108" s="743" t="str" cm="1">
        <f t="array" ref="J1108">myRGB(G1108,H1108,I1108)</f>
        <v/>
      </c>
    </row>
    <row r="1109" spans="1:10" ht="17" x14ac:dyDescent="0.25">
      <c r="A1109" s="1" t="s">
        <v>1111</v>
      </c>
      <c r="B1109" s="1" t="s">
        <v>3762</v>
      </c>
      <c r="C1109" s="1" t="s">
        <v>2438</v>
      </c>
      <c r="D1109" t="str">
        <f t="shared" si="102"/>
        <v>CCCCCB</v>
      </c>
      <c r="E1109" t="str">
        <f t="shared" si="103"/>
        <v>204-204-203</v>
      </c>
      <c r="F1109" t="str">
        <f t="shared" si="104"/>
        <v>204204203</v>
      </c>
      <c r="G1109">
        <f t="shared" si="105"/>
        <v>204</v>
      </c>
      <c r="H1109">
        <f t="shared" si="106"/>
        <v>204</v>
      </c>
      <c r="I1109">
        <f t="shared" si="107"/>
        <v>203</v>
      </c>
      <c r="J1109" s="787" t="str" cm="1">
        <f t="array" ref="J1109">myRGB(G1109,H1109,I1109)</f>
        <v/>
      </c>
    </row>
    <row r="1110" spans="1:10" ht="17" x14ac:dyDescent="0.25">
      <c r="A1110" s="1" t="s">
        <v>1112</v>
      </c>
      <c r="B1110" s="1" t="s">
        <v>3763</v>
      </c>
      <c r="C1110" s="1" t="s">
        <v>2439</v>
      </c>
      <c r="D1110" t="str">
        <f t="shared" si="102"/>
        <v>CAC8C7</v>
      </c>
      <c r="E1110" t="str">
        <f t="shared" si="103"/>
        <v>202-200-199</v>
      </c>
      <c r="F1110" t="str">
        <f t="shared" si="104"/>
        <v>202200199</v>
      </c>
      <c r="G1110">
        <f t="shared" si="105"/>
        <v>202</v>
      </c>
      <c r="H1110">
        <f t="shared" si="106"/>
        <v>200</v>
      </c>
      <c r="I1110">
        <f t="shared" si="107"/>
        <v>199</v>
      </c>
      <c r="J1110" s="667" t="str" cm="1">
        <f t="array" ref="J1110">myRGB(G1110,H1110,I1110)</f>
        <v/>
      </c>
    </row>
    <row r="1111" spans="1:10" ht="17" x14ac:dyDescent="0.25">
      <c r="A1111" s="1" t="s">
        <v>1113</v>
      </c>
      <c r="B1111" s="1" t="s">
        <v>3764</v>
      </c>
      <c r="C1111" s="1" t="s">
        <v>2440</v>
      </c>
      <c r="D1111" t="str">
        <f t="shared" si="102"/>
        <v>CACAC9</v>
      </c>
      <c r="E1111" t="str">
        <f t="shared" si="103"/>
        <v>202-202-201</v>
      </c>
      <c r="F1111" t="str">
        <f t="shared" si="104"/>
        <v>202202201</v>
      </c>
      <c r="G1111">
        <f t="shared" si="105"/>
        <v>202</v>
      </c>
      <c r="H1111">
        <f t="shared" si="106"/>
        <v>202</v>
      </c>
      <c r="I1111">
        <f t="shared" si="107"/>
        <v>201</v>
      </c>
      <c r="J1111" s="725" t="str" cm="1">
        <f t="array" ref="J1111">myRGB(G1111,H1111,I1111)</f>
        <v/>
      </c>
    </row>
    <row r="1112" spans="1:10" ht="17" x14ac:dyDescent="0.25">
      <c r="A1112" s="1" t="s">
        <v>1114</v>
      </c>
      <c r="B1112" s="1" t="s">
        <v>3765</v>
      </c>
      <c r="C1112" s="1" t="s">
        <v>2441</v>
      </c>
      <c r="D1112" t="str">
        <f t="shared" si="102"/>
        <v>C9CAC7</v>
      </c>
      <c r="E1112" t="str">
        <f t="shared" si="103"/>
        <v>201-202-199</v>
      </c>
      <c r="F1112" t="str">
        <f t="shared" si="104"/>
        <v>201202199</v>
      </c>
      <c r="G1112">
        <f t="shared" si="105"/>
        <v>201</v>
      </c>
      <c r="H1112">
        <f t="shared" si="106"/>
        <v>202</v>
      </c>
      <c r="I1112">
        <f t="shared" si="107"/>
        <v>199</v>
      </c>
      <c r="J1112" s="1335" t="str" cm="1">
        <f t="array" ref="J1112">myRGB(G1112,H1112,I1112)</f>
        <v/>
      </c>
    </row>
    <row r="1113" spans="1:10" ht="17" x14ac:dyDescent="0.25">
      <c r="A1113" s="1" t="s">
        <v>1115</v>
      </c>
      <c r="B1113" s="1" t="s">
        <v>3766</v>
      </c>
      <c r="C1113" s="1" t="s">
        <v>2442</v>
      </c>
      <c r="D1113" t="str">
        <f t="shared" si="102"/>
        <v>CBCBC7</v>
      </c>
      <c r="E1113" t="str">
        <f t="shared" si="103"/>
        <v>203-203-199</v>
      </c>
      <c r="F1113" t="str">
        <f t="shared" si="104"/>
        <v>203203199</v>
      </c>
      <c r="G1113">
        <f t="shared" si="105"/>
        <v>203</v>
      </c>
      <c r="H1113">
        <f t="shared" si="106"/>
        <v>203</v>
      </c>
      <c r="I1113">
        <f t="shared" si="107"/>
        <v>199</v>
      </c>
      <c r="J1113" s="554" t="str" cm="1">
        <f t="array" ref="J1113">myRGB(G1113,H1113,I1113)</f>
        <v/>
      </c>
    </row>
    <row r="1114" spans="1:10" ht="17" x14ac:dyDescent="0.25">
      <c r="A1114" s="1" t="s">
        <v>1116</v>
      </c>
      <c r="B1114" s="1" t="s">
        <v>3767</v>
      </c>
      <c r="C1114" s="1" t="s">
        <v>2443</v>
      </c>
      <c r="D1114" t="str">
        <f t="shared" si="102"/>
        <v>CBCCC7</v>
      </c>
      <c r="E1114" t="str">
        <f t="shared" si="103"/>
        <v>203-204-199</v>
      </c>
      <c r="F1114" t="str">
        <f t="shared" si="104"/>
        <v>203204199</v>
      </c>
      <c r="G1114">
        <f t="shared" si="105"/>
        <v>203</v>
      </c>
      <c r="H1114">
        <f t="shared" si="106"/>
        <v>204</v>
      </c>
      <c r="I1114">
        <f t="shared" si="107"/>
        <v>199</v>
      </c>
      <c r="J1114" s="830" t="str" cm="1">
        <f t="array" ref="J1114">myRGB(G1114,H1114,I1114)</f>
        <v/>
      </c>
    </row>
    <row r="1115" spans="1:10" ht="17" x14ac:dyDescent="0.25">
      <c r="A1115" s="1" t="s">
        <v>1117</v>
      </c>
      <c r="B1115" s="1" t="s">
        <v>3768</v>
      </c>
      <c r="C1115" s="1" t="s">
        <v>2444</v>
      </c>
      <c r="D1115" t="str">
        <f t="shared" si="102"/>
        <v>C9C8CB</v>
      </c>
      <c r="E1115" t="str">
        <f t="shared" si="103"/>
        <v>201-200-203</v>
      </c>
      <c r="F1115" t="str">
        <f t="shared" si="104"/>
        <v>201200203</v>
      </c>
      <c r="G1115">
        <f t="shared" si="105"/>
        <v>201</v>
      </c>
      <c r="H1115">
        <f t="shared" si="106"/>
        <v>200</v>
      </c>
      <c r="I1115">
        <f t="shared" si="107"/>
        <v>203</v>
      </c>
      <c r="J1115" s="1149" t="str" cm="1">
        <f t="array" ref="J1115">myRGB(G1115,H1115,I1115)</f>
        <v/>
      </c>
    </row>
    <row r="1116" spans="1:10" ht="17" x14ac:dyDescent="0.25">
      <c r="A1116" s="1" t="s">
        <v>1118</v>
      </c>
      <c r="B1116" s="1" t="s">
        <v>3769</v>
      </c>
      <c r="C1116" s="1" t="s">
        <v>2445</v>
      </c>
      <c r="D1116" t="str">
        <f t="shared" si="102"/>
        <v>C7CBCB</v>
      </c>
      <c r="E1116" t="str">
        <f t="shared" si="103"/>
        <v>199-203-203</v>
      </c>
      <c r="F1116" t="str">
        <f t="shared" si="104"/>
        <v>199203203</v>
      </c>
      <c r="G1116">
        <f t="shared" si="105"/>
        <v>199</v>
      </c>
      <c r="H1116">
        <f t="shared" si="106"/>
        <v>203</v>
      </c>
      <c r="I1116">
        <f t="shared" si="107"/>
        <v>203</v>
      </c>
      <c r="J1116" s="801" t="str" cm="1">
        <f t="array" ref="J1116">myRGB(G1116,H1116,I1116)</f>
        <v/>
      </c>
    </row>
    <row r="1117" spans="1:10" ht="17" x14ac:dyDescent="0.25">
      <c r="A1117" s="1" t="s">
        <v>1119</v>
      </c>
      <c r="B1117" s="1" t="s">
        <v>3770</v>
      </c>
      <c r="C1117" s="1" t="s">
        <v>2446</v>
      </c>
      <c r="D1117" t="str">
        <f t="shared" si="102"/>
        <v>C9CBCB</v>
      </c>
      <c r="E1117" t="str">
        <f t="shared" si="103"/>
        <v>201-203-203</v>
      </c>
      <c r="F1117" t="str">
        <f t="shared" si="104"/>
        <v>201203203</v>
      </c>
      <c r="G1117">
        <f t="shared" si="105"/>
        <v>201</v>
      </c>
      <c r="H1117">
        <f t="shared" si="106"/>
        <v>203</v>
      </c>
      <c r="I1117">
        <f t="shared" si="107"/>
        <v>203</v>
      </c>
      <c r="J1117" s="618" t="str" cm="1">
        <f t="array" ref="J1117">myRGB(G1117,H1117,I1117)</f>
        <v/>
      </c>
    </row>
    <row r="1118" spans="1:10" ht="17" x14ac:dyDescent="0.25">
      <c r="A1118" s="1" t="s">
        <v>1120</v>
      </c>
      <c r="B1118" s="1" t="s">
        <v>3771</v>
      </c>
      <c r="C1118" s="1" t="s">
        <v>2447</v>
      </c>
      <c r="D1118" t="str">
        <f t="shared" si="102"/>
        <v>CBCACC</v>
      </c>
      <c r="E1118" t="str">
        <f t="shared" si="103"/>
        <v>203-202-204</v>
      </c>
      <c r="F1118" t="str">
        <f t="shared" si="104"/>
        <v>203202204</v>
      </c>
      <c r="G1118">
        <f t="shared" si="105"/>
        <v>203</v>
      </c>
      <c r="H1118">
        <f t="shared" si="106"/>
        <v>202</v>
      </c>
      <c r="I1118">
        <f t="shared" si="107"/>
        <v>204</v>
      </c>
      <c r="J1118" s="786" t="str" cm="1">
        <f t="array" ref="J1118">myRGB(G1118,H1118,I1118)</f>
        <v/>
      </c>
    </row>
    <row r="1119" spans="1:10" ht="17" x14ac:dyDescent="0.25">
      <c r="A1119" s="1" t="s">
        <v>1121</v>
      </c>
      <c r="B1119" s="1" t="s">
        <v>3772</v>
      </c>
      <c r="C1119" s="1" t="s">
        <v>2448</v>
      </c>
      <c r="D1119" t="str">
        <f t="shared" si="102"/>
        <v>CACCCB</v>
      </c>
      <c r="E1119" t="str">
        <f t="shared" si="103"/>
        <v>202-204-203</v>
      </c>
      <c r="F1119" t="str">
        <f t="shared" si="104"/>
        <v>202204203</v>
      </c>
      <c r="G1119">
        <f t="shared" si="105"/>
        <v>202</v>
      </c>
      <c r="H1119">
        <f t="shared" si="106"/>
        <v>204</v>
      </c>
      <c r="I1119">
        <f t="shared" si="107"/>
        <v>203</v>
      </c>
      <c r="J1119" s="575" t="str" cm="1">
        <f t="array" ref="J1119">myRGB(G1119,H1119,I1119)</f>
        <v/>
      </c>
    </row>
    <row r="1120" spans="1:10" ht="17" x14ac:dyDescent="0.25">
      <c r="A1120" s="1" t="s">
        <v>1122</v>
      </c>
      <c r="B1120" s="1" t="s">
        <v>3773</v>
      </c>
      <c r="C1120" s="1" t="s">
        <v>2449</v>
      </c>
      <c r="D1120" t="str">
        <f t="shared" si="102"/>
        <v>C9CACC</v>
      </c>
      <c r="E1120" t="str">
        <f t="shared" si="103"/>
        <v>201-202-204</v>
      </c>
      <c r="F1120" t="str">
        <f t="shared" si="104"/>
        <v>201202204</v>
      </c>
      <c r="G1120">
        <f t="shared" si="105"/>
        <v>201</v>
      </c>
      <c r="H1120">
        <f t="shared" si="106"/>
        <v>202</v>
      </c>
      <c r="I1120">
        <f t="shared" si="107"/>
        <v>204</v>
      </c>
      <c r="J1120" s="1336" t="str" cm="1">
        <f t="array" ref="J1120">myRGB(G1120,H1120,I1120)</f>
        <v/>
      </c>
    </row>
    <row r="1121" spans="1:10" ht="17" x14ac:dyDescent="0.25">
      <c r="A1121" s="1" t="s">
        <v>1123</v>
      </c>
      <c r="B1121" s="1" t="s">
        <v>3774</v>
      </c>
      <c r="C1121" s="1" t="s">
        <v>2450</v>
      </c>
      <c r="D1121" t="str">
        <f t="shared" si="102"/>
        <v>C7CCCC</v>
      </c>
      <c r="E1121" t="str">
        <f t="shared" si="103"/>
        <v>199-204-204</v>
      </c>
      <c r="F1121" t="str">
        <f t="shared" si="104"/>
        <v>199204204</v>
      </c>
      <c r="G1121">
        <f t="shared" si="105"/>
        <v>199</v>
      </c>
      <c r="H1121">
        <f t="shared" si="106"/>
        <v>204</v>
      </c>
      <c r="I1121">
        <f t="shared" si="107"/>
        <v>204</v>
      </c>
      <c r="J1121" s="831" t="str" cm="1">
        <f t="array" ref="J1121">myRGB(G1121,H1121,I1121)</f>
        <v/>
      </c>
    </row>
    <row r="1122" spans="1:10" ht="17" x14ac:dyDescent="0.25">
      <c r="A1122" s="1" t="s">
        <v>1124</v>
      </c>
      <c r="B1122" s="1" t="s">
        <v>3775</v>
      </c>
      <c r="C1122" s="1" t="s">
        <v>2451</v>
      </c>
      <c r="D1122" t="str">
        <f t="shared" si="102"/>
        <v>CBCBCC</v>
      </c>
      <c r="E1122" t="str">
        <f t="shared" si="103"/>
        <v>203-203-204</v>
      </c>
      <c r="F1122" t="str">
        <f t="shared" si="104"/>
        <v>203203204</v>
      </c>
      <c r="G1122">
        <f t="shared" si="105"/>
        <v>203</v>
      </c>
      <c r="H1122">
        <f t="shared" si="106"/>
        <v>203</v>
      </c>
      <c r="I1122">
        <f t="shared" si="107"/>
        <v>204</v>
      </c>
      <c r="J1122" s="685" t="str" cm="1">
        <f t="array" ref="J1122">myRGB(G1122,H1122,I1122)</f>
        <v/>
      </c>
    </row>
    <row r="1123" spans="1:10" ht="17" x14ac:dyDescent="0.25">
      <c r="A1123" s="1" t="s">
        <v>1125</v>
      </c>
      <c r="B1123" s="1" t="s">
        <v>3776</v>
      </c>
      <c r="C1123" s="1" t="s">
        <v>2452</v>
      </c>
      <c r="D1123" t="str">
        <f t="shared" si="102"/>
        <v>CCCACA</v>
      </c>
      <c r="E1123" t="str">
        <f t="shared" si="103"/>
        <v>204-202-202</v>
      </c>
      <c r="F1123" t="str">
        <f t="shared" si="104"/>
        <v>204202202</v>
      </c>
      <c r="G1123">
        <f t="shared" si="105"/>
        <v>204</v>
      </c>
      <c r="H1123">
        <f t="shared" si="106"/>
        <v>202</v>
      </c>
      <c r="I1123">
        <f t="shared" si="107"/>
        <v>202</v>
      </c>
      <c r="J1123" s="726" t="str" cm="1">
        <f t="array" ref="J1123">myRGB(G1123,H1123,I1123)</f>
        <v/>
      </c>
    </row>
    <row r="1124" spans="1:10" ht="17" x14ac:dyDescent="0.25">
      <c r="A1124" s="1" t="s">
        <v>1126</v>
      </c>
      <c r="B1124" s="1" t="s">
        <v>3777</v>
      </c>
      <c r="C1124" s="1" t="s">
        <v>2453</v>
      </c>
      <c r="D1124" t="str">
        <f t="shared" si="102"/>
        <v>C8C9C8</v>
      </c>
      <c r="E1124" t="str">
        <f t="shared" si="103"/>
        <v>200-201-200</v>
      </c>
      <c r="F1124" t="str">
        <f t="shared" si="104"/>
        <v>200201200</v>
      </c>
      <c r="G1124">
        <f t="shared" si="105"/>
        <v>200</v>
      </c>
      <c r="H1124">
        <f t="shared" si="106"/>
        <v>201</v>
      </c>
      <c r="I1124">
        <f t="shared" si="107"/>
        <v>200</v>
      </c>
      <c r="J1124" s="848" t="str" cm="1">
        <f t="array" ref="J1124">myRGB(G1124,H1124,I1124)</f>
        <v/>
      </c>
    </row>
    <row r="1125" spans="1:10" ht="17" x14ac:dyDescent="0.25">
      <c r="A1125" s="1" t="s">
        <v>1127</v>
      </c>
      <c r="B1125" s="1" t="s">
        <v>3778</v>
      </c>
      <c r="C1125" s="1" t="s">
        <v>2454</v>
      </c>
      <c r="D1125" t="str">
        <f t="shared" si="102"/>
        <v>C9CCCA</v>
      </c>
      <c r="E1125" t="str">
        <f t="shared" si="103"/>
        <v>201-204-202</v>
      </c>
      <c r="F1125" t="str">
        <f t="shared" si="104"/>
        <v>201204202</v>
      </c>
      <c r="G1125">
        <f t="shared" si="105"/>
        <v>201</v>
      </c>
      <c r="H1125">
        <f t="shared" si="106"/>
        <v>204</v>
      </c>
      <c r="I1125">
        <f t="shared" si="107"/>
        <v>202</v>
      </c>
      <c r="J1125" s="1267" t="str" cm="1">
        <f t="array" ref="J1125">myRGB(G1125,H1125,I1125)</f>
        <v/>
      </c>
    </row>
    <row r="1126" spans="1:10" ht="17" x14ac:dyDescent="0.25">
      <c r="A1126" s="1" t="s">
        <v>1128</v>
      </c>
      <c r="B1126" s="1" t="s">
        <v>3779</v>
      </c>
      <c r="C1126" s="1" t="s">
        <v>2455</v>
      </c>
      <c r="D1126" t="str">
        <f t="shared" si="102"/>
        <v>CBCACB</v>
      </c>
      <c r="E1126" t="str">
        <f t="shared" si="103"/>
        <v>203-202-203</v>
      </c>
      <c r="F1126" t="str">
        <f t="shared" si="104"/>
        <v>203202203</v>
      </c>
      <c r="G1126">
        <f t="shared" si="105"/>
        <v>203</v>
      </c>
      <c r="H1126">
        <f t="shared" si="106"/>
        <v>202</v>
      </c>
      <c r="I1126">
        <f t="shared" si="107"/>
        <v>203</v>
      </c>
      <c r="J1126" s="1320" t="str" cm="1">
        <f t="array" ref="J1126">myRGB(G1126,H1126,I1126)</f>
        <v/>
      </c>
    </row>
    <row r="1127" spans="1:10" ht="17" x14ac:dyDescent="0.25">
      <c r="A1127" s="1" t="s">
        <v>1129</v>
      </c>
      <c r="B1127" s="1" t="s">
        <v>3780</v>
      </c>
      <c r="C1127" s="1" t="s">
        <v>2456</v>
      </c>
      <c r="D1127" t="str">
        <f t="shared" si="102"/>
        <v>CBC7CB</v>
      </c>
      <c r="E1127" t="str">
        <f t="shared" si="103"/>
        <v>203-199-203</v>
      </c>
      <c r="F1127" t="str">
        <f t="shared" si="104"/>
        <v>203199203</v>
      </c>
      <c r="G1127">
        <f t="shared" si="105"/>
        <v>203</v>
      </c>
      <c r="H1127">
        <f t="shared" si="106"/>
        <v>199</v>
      </c>
      <c r="I1127">
        <f t="shared" si="107"/>
        <v>203</v>
      </c>
      <c r="J1127" s="829" t="str" cm="1">
        <f t="array" ref="J1127">myRGB(G1127,H1127,I1127)</f>
        <v/>
      </c>
    </row>
    <row r="1128" spans="1:10" ht="17" x14ac:dyDescent="0.25">
      <c r="A1128" s="1" t="s">
        <v>1130</v>
      </c>
      <c r="B1128" s="1" t="s">
        <v>3781</v>
      </c>
      <c r="C1128" s="1" t="s">
        <v>2457</v>
      </c>
      <c r="D1128" t="str">
        <f t="shared" si="102"/>
        <v>CCCBCA</v>
      </c>
      <c r="E1128" t="str">
        <f t="shared" si="103"/>
        <v>204-203-202</v>
      </c>
      <c r="F1128" t="str">
        <f t="shared" si="104"/>
        <v>204203202</v>
      </c>
      <c r="G1128">
        <f t="shared" si="105"/>
        <v>204</v>
      </c>
      <c r="H1128">
        <f t="shared" si="106"/>
        <v>203</v>
      </c>
      <c r="I1128">
        <f t="shared" si="107"/>
        <v>202</v>
      </c>
      <c r="J1128" s="553" t="str" cm="1">
        <f t="array" ref="J1128">myRGB(G1128,H1128,I1128)</f>
        <v/>
      </c>
    </row>
    <row r="1129" spans="1:10" ht="17" x14ac:dyDescent="0.25">
      <c r="A1129" s="1" t="s">
        <v>1131</v>
      </c>
      <c r="B1129" s="1" t="s">
        <v>3782</v>
      </c>
      <c r="C1129" s="1" t="s">
        <v>2458</v>
      </c>
      <c r="D1129" t="str">
        <f t="shared" si="102"/>
        <v>CACACB</v>
      </c>
      <c r="E1129" t="str">
        <f t="shared" si="103"/>
        <v>202-202-203</v>
      </c>
      <c r="F1129" t="str">
        <f t="shared" si="104"/>
        <v>202202203</v>
      </c>
      <c r="G1129">
        <f t="shared" si="105"/>
        <v>202</v>
      </c>
      <c r="H1129">
        <f t="shared" si="106"/>
        <v>202</v>
      </c>
      <c r="I1129">
        <f t="shared" si="107"/>
        <v>203</v>
      </c>
      <c r="J1129" s="724" t="str" cm="1">
        <f t="array" ref="J1129">myRGB(G1129,H1129,I1129)</f>
        <v/>
      </c>
    </row>
    <row r="1130" spans="1:10" ht="17" x14ac:dyDescent="0.25">
      <c r="A1130" s="1" t="s">
        <v>1132</v>
      </c>
      <c r="B1130" s="1" t="s">
        <v>3783</v>
      </c>
      <c r="C1130" s="1" t="s">
        <v>2459</v>
      </c>
      <c r="D1130" t="str">
        <f t="shared" si="102"/>
        <v>C8C8CA</v>
      </c>
      <c r="E1130" t="str">
        <f t="shared" si="103"/>
        <v>200-200-202</v>
      </c>
      <c r="F1130" t="str">
        <f t="shared" si="104"/>
        <v>200200202</v>
      </c>
      <c r="G1130">
        <f t="shared" si="105"/>
        <v>200</v>
      </c>
      <c r="H1130">
        <f t="shared" si="106"/>
        <v>200</v>
      </c>
      <c r="I1130">
        <f t="shared" si="107"/>
        <v>202</v>
      </c>
      <c r="J1130" s="1222" t="str" cm="1">
        <f t="array" ref="J1130">myRGB(G1130,H1130,I1130)</f>
        <v/>
      </c>
    </row>
    <row r="1131" spans="1:10" ht="17" x14ac:dyDescent="0.25">
      <c r="A1131" s="1" t="s">
        <v>1133</v>
      </c>
      <c r="B1131" s="1" t="s">
        <v>3784</v>
      </c>
      <c r="C1131" s="1" t="s">
        <v>2460</v>
      </c>
      <c r="D1131" t="str">
        <f t="shared" si="102"/>
        <v>C8CACA</v>
      </c>
      <c r="E1131" t="str">
        <f t="shared" si="103"/>
        <v>200-202-202</v>
      </c>
      <c r="F1131" t="str">
        <f t="shared" si="104"/>
        <v>200202202</v>
      </c>
      <c r="G1131">
        <f t="shared" si="105"/>
        <v>200</v>
      </c>
      <c r="H1131">
        <f t="shared" si="106"/>
        <v>202</v>
      </c>
      <c r="I1131">
        <f t="shared" si="107"/>
        <v>202</v>
      </c>
      <c r="J1131" s="666" t="str" cm="1">
        <f t="array" ref="J1131">myRGB(G1131,H1131,I1131)</f>
        <v/>
      </c>
    </row>
    <row r="1132" spans="1:10" ht="17" x14ac:dyDescent="0.25">
      <c r="A1132" s="1" t="s">
        <v>1134</v>
      </c>
      <c r="B1132" s="1" t="s">
        <v>3785</v>
      </c>
      <c r="C1132" s="1" t="s">
        <v>2461</v>
      </c>
      <c r="D1132" t="str">
        <f t="shared" si="102"/>
        <v>CCCCC7</v>
      </c>
      <c r="E1132" t="str">
        <f t="shared" si="103"/>
        <v>204-204-199</v>
      </c>
      <c r="F1132" t="str">
        <f t="shared" si="104"/>
        <v>204204199</v>
      </c>
      <c r="G1132">
        <f t="shared" si="105"/>
        <v>204</v>
      </c>
      <c r="H1132">
        <f t="shared" si="106"/>
        <v>204</v>
      </c>
      <c r="I1132">
        <f t="shared" si="107"/>
        <v>199</v>
      </c>
      <c r="J1132" s="668" t="str" cm="1">
        <f t="array" ref="J1132">myRGB(G1132,H1132,I1132)</f>
        <v/>
      </c>
    </row>
    <row r="1133" spans="1:10" ht="17" x14ac:dyDescent="0.25">
      <c r="A1133" s="1" t="s">
        <v>1135</v>
      </c>
      <c r="B1133" s="1" t="s">
        <v>3786</v>
      </c>
      <c r="C1133" s="1" t="s">
        <v>2462</v>
      </c>
      <c r="D1133" t="str">
        <f t="shared" si="102"/>
        <v>C9C8C9</v>
      </c>
      <c r="E1133" t="str">
        <f t="shared" si="103"/>
        <v>201-200-201</v>
      </c>
      <c r="F1133" t="str">
        <f t="shared" si="104"/>
        <v>201200201</v>
      </c>
      <c r="G1133">
        <f t="shared" si="105"/>
        <v>201</v>
      </c>
      <c r="H1133">
        <f t="shared" si="106"/>
        <v>200</v>
      </c>
      <c r="I1133">
        <f t="shared" si="107"/>
        <v>201</v>
      </c>
      <c r="J1133" s="1303" t="str" cm="1">
        <f t="array" ref="J1133">myRGB(G1133,H1133,I1133)</f>
        <v/>
      </c>
    </row>
    <row r="1134" spans="1:10" ht="17" x14ac:dyDescent="0.25">
      <c r="A1134" s="1" t="s">
        <v>1136</v>
      </c>
      <c r="B1134" s="1" t="s">
        <v>3787</v>
      </c>
      <c r="C1134" s="1" t="s">
        <v>2463</v>
      </c>
      <c r="D1134" t="str">
        <f t="shared" si="102"/>
        <v>C9CCC7</v>
      </c>
      <c r="E1134" t="str">
        <f t="shared" si="103"/>
        <v>201-204-199</v>
      </c>
      <c r="F1134" t="str">
        <f t="shared" si="104"/>
        <v>201204199</v>
      </c>
      <c r="G1134">
        <f t="shared" si="105"/>
        <v>201</v>
      </c>
      <c r="H1134">
        <f t="shared" si="106"/>
        <v>204</v>
      </c>
      <c r="I1134">
        <f t="shared" si="107"/>
        <v>199</v>
      </c>
      <c r="J1134" s="555" t="str" cm="1">
        <f t="array" ref="J1134">myRGB(G1134,H1134,I1134)</f>
        <v/>
      </c>
    </row>
    <row r="1135" spans="1:10" ht="17" x14ac:dyDescent="0.25">
      <c r="A1135" s="1" t="s">
        <v>1137</v>
      </c>
      <c r="B1135" s="1" t="s">
        <v>3788</v>
      </c>
      <c r="C1135" s="1" t="s">
        <v>2464</v>
      </c>
      <c r="D1135" t="str">
        <f t="shared" si="102"/>
        <v>C9C7CA</v>
      </c>
      <c r="E1135" t="str">
        <f t="shared" si="103"/>
        <v>201-199-202</v>
      </c>
      <c r="F1135" t="str">
        <f t="shared" si="104"/>
        <v>201199202</v>
      </c>
      <c r="G1135">
        <f t="shared" si="105"/>
        <v>201</v>
      </c>
      <c r="H1135">
        <f t="shared" si="106"/>
        <v>199</v>
      </c>
      <c r="I1135">
        <f t="shared" si="107"/>
        <v>202</v>
      </c>
      <c r="J1135" s="557" t="str" cm="1">
        <f t="array" ref="J1135">myRGB(G1135,H1135,I1135)</f>
        <v/>
      </c>
    </row>
    <row r="1136" spans="1:10" ht="17" x14ac:dyDescent="0.25">
      <c r="A1136" s="1" t="s">
        <v>1138</v>
      </c>
      <c r="B1136" s="1" t="s">
        <v>3789</v>
      </c>
      <c r="C1136" s="1" t="s">
        <v>2465</v>
      </c>
      <c r="D1136" t="str">
        <f t="shared" si="102"/>
        <v>C8CBC8</v>
      </c>
      <c r="E1136" t="str">
        <f t="shared" si="103"/>
        <v>200-203-200</v>
      </c>
      <c r="F1136" t="str">
        <f t="shared" si="104"/>
        <v>200203200</v>
      </c>
      <c r="G1136">
        <f t="shared" si="105"/>
        <v>200</v>
      </c>
      <c r="H1136">
        <f t="shared" si="106"/>
        <v>203</v>
      </c>
      <c r="I1136">
        <f t="shared" si="107"/>
        <v>200</v>
      </c>
      <c r="J1136" s="1337" t="str" cm="1">
        <f t="array" ref="J1136">myRGB(G1136,H1136,I1136)</f>
        <v/>
      </c>
    </row>
    <row r="1137" spans="1:10" ht="17" x14ac:dyDescent="0.25">
      <c r="A1137" s="1" t="s">
        <v>1139</v>
      </c>
      <c r="B1137" s="1" t="s">
        <v>3790</v>
      </c>
      <c r="C1137" s="1" t="s">
        <v>2466</v>
      </c>
      <c r="D1137" t="str">
        <f t="shared" si="102"/>
        <v>C9CACB</v>
      </c>
      <c r="E1137" t="str">
        <f t="shared" si="103"/>
        <v>201-202-203</v>
      </c>
      <c r="F1137" t="str">
        <f t="shared" si="104"/>
        <v>201202203</v>
      </c>
      <c r="G1137">
        <f t="shared" si="105"/>
        <v>201</v>
      </c>
      <c r="H1137">
        <f t="shared" si="106"/>
        <v>202</v>
      </c>
      <c r="I1137">
        <f t="shared" si="107"/>
        <v>203</v>
      </c>
      <c r="J1137" s="552" t="str" cm="1">
        <f t="array" ref="J1137">myRGB(G1137,H1137,I1137)</f>
        <v/>
      </c>
    </row>
    <row r="1138" spans="1:10" ht="17" x14ac:dyDescent="0.25">
      <c r="A1138" s="1" t="s">
        <v>1140</v>
      </c>
      <c r="B1138" s="1" t="s">
        <v>3791</v>
      </c>
      <c r="C1138" s="1" t="s">
        <v>2467</v>
      </c>
      <c r="D1138" t="str">
        <f t="shared" si="102"/>
        <v>CAC9C8</v>
      </c>
      <c r="E1138" t="str">
        <f t="shared" si="103"/>
        <v>202-201-200</v>
      </c>
      <c r="F1138" t="str">
        <f t="shared" si="104"/>
        <v>202201200</v>
      </c>
      <c r="G1138">
        <f t="shared" si="105"/>
        <v>202</v>
      </c>
      <c r="H1138">
        <f t="shared" si="106"/>
        <v>201</v>
      </c>
      <c r="I1138">
        <f t="shared" si="107"/>
        <v>200</v>
      </c>
      <c r="J1138" s="828" t="str" cm="1">
        <f t="array" ref="J1138">myRGB(G1138,H1138,I1138)</f>
        <v/>
      </c>
    </row>
    <row r="1139" spans="1:10" ht="17" x14ac:dyDescent="0.25">
      <c r="A1139" s="1" t="s">
        <v>1141</v>
      </c>
      <c r="B1139" s="1" t="s">
        <v>3792</v>
      </c>
      <c r="C1139" s="1" t="s">
        <v>2468</v>
      </c>
      <c r="D1139" t="str">
        <f t="shared" si="102"/>
        <v>CCC7CB</v>
      </c>
      <c r="E1139" t="str">
        <f t="shared" si="103"/>
        <v>204-199-203</v>
      </c>
      <c r="F1139" t="str">
        <f t="shared" si="104"/>
        <v>204199203</v>
      </c>
      <c r="G1139">
        <f t="shared" si="105"/>
        <v>204</v>
      </c>
      <c r="H1139">
        <f t="shared" si="106"/>
        <v>199</v>
      </c>
      <c r="I1139">
        <f t="shared" si="107"/>
        <v>203</v>
      </c>
      <c r="J1139" s="784" t="str" cm="1">
        <f t="array" ref="J1139">myRGB(G1139,H1139,I1139)</f>
        <v/>
      </c>
    </row>
    <row r="1140" spans="1:10" ht="17" x14ac:dyDescent="0.25">
      <c r="A1140" s="1" t="s">
        <v>1142</v>
      </c>
      <c r="B1140" s="1" t="s">
        <v>3793</v>
      </c>
      <c r="C1140" s="1" t="s">
        <v>2469</v>
      </c>
      <c r="D1140" t="str">
        <f t="shared" si="102"/>
        <v>CBC7C8</v>
      </c>
      <c r="E1140" t="str">
        <f t="shared" si="103"/>
        <v>203-199-200</v>
      </c>
      <c r="F1140" t="str">
        <f t="shared" si="104"/>
        <v>203199200</v>
      </c>
      <c r="G1140">
        <f t="shared" si="105"/>
        <v>203</v>
      </c>
      <c r="H1140">
        <f t="shared" si="106"/>
        <v>199</v>
      </c>
      <c r="I1140">
        <f t="shared" si="107"/>
        <v>200</v>
      </c>
      <c r="J1140" s="1257" t="str" cm="1">
        <f t="array" ref="J1140">myRGB(G1140,H1140,I1140)</f>
        <v/>
      </c>
    </row>
    <row r="1141" spans="1:10" ht="17" x14ac:dyDescent="0.25">
      <c r="A1141" s="1" t="s">
        <v>1143</v>
      </c>
      <c r="B1141" s="1" t="s">
        <v>3794</v>
      </c>
      <c r="C1141" s="1" t="s">
        <v>2470</v>
      </c>
      <c r="D1141" t="str">
        <f t="shared" si="102"/>
        <v>CCCBC8</v>
      </c>
      <c r="E1141" t="str">
        <f t="shared" si="103"/>
        <v>204-203-200</v>
      </c>
      <c r="F1141" t="str">
        <f t="shared" si="104"/>
        <v>204203200</v>
      </c>
      <c r="G1141">
        <f t="shared" si="105"/>
        <v>204</v>
      </c>
      <c r="H1141">
        <f t="shared" si="106"/>
        <v>203</v>
      </c>
      <c r="I1141">
        <f t="shared" si="107"/>
        <v>200</v>
      </c>
      <c r="J1141" s="665" t="str" cm="1">
        <f t="array" ref="J1141">myRGB(G1141,H1141,I1141)</f>
        <v/>
      </c>
    </row>
    <row r="1142" spans="1:10" ht="17" x14ac:dyDescent="0.25">
      <c r="A1142" s="1" t="s">
        <v>1144</v>
      </c>
      <c r="B1142" s="1" t="s">
        <v>3795</v>
      </c>
      <c r="C1142" s="1" t="s">
        <v>2471</v>
      </c>
      <c r="D1142" t="str">
        <f t="shared" si="102"/>
        <v>C9C9CB</v>
      </c>
      <c r="E1142" t="str">
        <f t="shared" si="103"/>
        <v>201-201-203</v>
      </c>
      <c r="F1142" t="str">
        <f t="shared" si="104"/>
        <v>201201203</v>
      </c>
      <c r="G1142">
        <f t="shared" si="105"/>
        <v>201</v>
      </c>
      <c r="H1142">
        <f t="shared" si="106"/>
        <v>201</v>
      </c>
      <c r="I1142">
        <f t="shared" si="107"/>
        <v>203</v>
      </c>
      <c r="J1142" s="742" t="str" cm="1">
        <f t="array" ref="J1142">myRGB(G1142,H1142,I1142)</f>
        <v/>
      </c>
    </row>
    <row r="1143" spans="1:10" ht="17" x14ac:dyDescent="0.25">
      <c r="A1143" s="1" t="s">
        <v>1145</v>
      </c>
      <c r="B1143" s="1" t="s">
        <v>3796</v>
      </c>
      <c r="C1143" s="1" t="s">
        <v>2472</v>
      </c>
      <c r="D1143" t="str">
        <f t="shared" si="102"/>
        <v>CBC9C9</v>
      </c>
      <c r="E1143" t="str">
        <f t="shared" si="103"/>
        <v>203-201-201</v>
      </c>
      <c r="F1143" t="str">
        <f t="shared" si="104"/>
        <v>203201201</v>
      </c>
      <c r="G1143">
        <f t="shared" si="105"/>
        <v>203</v>
      </c>
      <c r="H1143">
        <f t="shared" si="106"/>
        <v>201</v>
      </c>
      <c r="I1143">
        <f t="shared" si="107"/>
        <v>201</v>
      </c>
      <c r="J1143" s="617" t="str" cm="1">
        <f t="array" ref="J1143">myRGB(G1143,H1143,I1143)</f>
        <v/>
      </c>
    </row>
    <row r="1144" spans="1:10" ht="17" x14ac:dyDescent="0.25">
      <c r="A1144" s="1" t="s">
        <v>1146</v>
      </c>
      <c r="B1144" s="1" t="s">
        <v>3797</v>
      </c>
      <c r="C1144" s="1" t="s">
        <v>2473</v>
      </c>
      <c r="D1144" t="str">
        <f t="shared" si="102"/>
        <v>C9C8C8</v>
      </c>
      <c r="E1144" t="str">
        <f t="shared" si="103"/>
        <v>201-200-200</v>
      </c>
      <c r="F1144" t="str">
        <f t="shared" si="104"/>
        <v>201200200</v>
      </c>
      <c r="G1144">
        <f t="shared" si="105"/>
        <v>201</v>
      </c>
      <c r="H1144">
        <f t="shared" si="106"/>
        <v>200</v>
      </c>
      <c r="I1144">
        <f t="shared" si="107"/>
        <v>200</v>
      </c>
      <c r="J1144" s="723" t="str" cm="1">
        <f t="array" ref="J1144">myRGB(G1144,H1144,I1144)</f>
        <v/>
      </c>
    </row>
    <row r="1145" spans="1:10" ht="17" x14ac:dyDescent="0.25">
      <c r="A1145" s="1" t="s">
        <v>1147</v>
      </c>
      <c r="B1145" s="1" t="s">
        <v>3798</v>
      </c>
      <c r="C1145" s="1" t="s">
        <v>2474</v>
      </c>
      <c r="D1145" t="str">
        <f t="shared" si="102"/>
        <v>CCC8C9</v>
      </c>
      <c r="E1145" t="str">
        <f t="shared" si="103"/>
        <v>204-200-201</v>
      </c>
      <c r="F1145" t="str">
        <f t="shared" si="104"/>
        <v>204200201</v>
      </c>
      <c r="G1145">
        <f t="shared" si="105"/>
        <v>204</v>
      </c>
      <c r="H1145">
        <f t="shared" si="106"/>
        <v>200</v>
      </c>
      <c r="I1145">
        <f t="shared" si="107"/>
        <v>201</v>
      </c>
      <c r="J1145" s="1206" t="str" cm="1">
        <f t="array" ref="J1145">myRGB(G1145,H1145,I1145)</f>
        <v/>
      </c>
    </row>
    <row r="1146" spans="1:10" ht="17" x14ac:dyDescent="0.25">
      <c r="A1146" s="1" t="s">
        <v>1148</v>
      </c>
      <c r="B1146" s="1" t="s">
        <v>3799</v>
      </c>
      <c r="C1146" s="1" t="s">
        <v>2475</v>
      </c>
      <c r="D1146" t="str">
        <f t="shared" si="102"/>
        <v>C7C9CB</v>
      </c>
      <c r="E1146" t="str">
        <f t="shared" si="103"/>
        <v>199-201-203</v>
      </c>
      <c r="F1146" t="str">
        <f t="shared" si="104"/>
        <v>199201203</v>
      </c>
      <c r="G1146">
        <f t="shared" si="105"/>
        <v>199</v>
      </c>
      <c r="H1146">
        <f t="shared" si="106"/>
        <v>201</v>
      </c>
      <c r="I1146">
        <f t="shared" si="107"/>
        <v>203</v>
      </c>
      <c r="J1146" s="785" t="str" cm="1">
        <f t="array" ref="J1146">myRGB(G1146,H1146,I1146)</f>
        <v/>
      </c>
    </row>
    <row r="1147" spans="1:10" ht="17" x14ac:dyDescent="0.25">
      <c r="A1147" s="1" t="s">
        <v>1149</v>
      </c>
      <c r="B1147" s="1" t="s">
        <v>3800</v>
      </c>
      <c r="C1147" s="1" t="s">
        <v>2476</v>
      </c>
      <c r="D1147" t="str">
        <f t="shared" si="102"/>
        <v>C8CAC7</v>
      </c>
      <c r="E1147" t="str">
        <f t="shared" si="103"/>
        <v>200-202-199</v>
      </c>
      <c r="F1147" t="str">
        <f t="shared" si="104"/>
        <v>200202199</v>
      </c>
      <c r="G1147">
        <f t="shared" si="105"/>
        <v>200</v>
      </c>
      <c r="H1147">
        <f t="shared" si="106"/>
        <v>202</v>
      </c>
      <c r="I1147">
        <f t="shared" si="107"/>
        <v>199</v>
      </c>
      <c r="J1147" s="684" t="str" cm="1">
        <f t="array" ref="J1147">myRGB(G1147,H1147,I1147)</f>
        <v/>
      </c>
    </row>
    <row r="1148" spans="1:10" ht="17" x14ac:dyDescent="0.25">
      <c r="A1148" s="1" t="s">
        <v>1150</v>
      </c>
      <c r="B1148" s="1" t="s">
        <v>3801</v>
      </c>
      <c r="C1148" s="1" t="s">
        <v>2477</v>
      </c>
      <c r="D1148" t="str">
        <f t="shared" si="102"/>
        <v>CAC8CC</v>
      </c>
      <c r="E1148" t="str">
        <f t="shared" si="103"/>
        <v>202-200-204</v>
      </c>
      <c r="F1148" t="str">
        <f t="shared" si="104"/>
        <v>202200204</v>
      </c>
      <c r="G1148">
        <f t="shared" si="105"/>
        <v>202</v>
      </c>
      <c r="H1148">
        <f t="shared" si="106"/>
        <v>200</v>
      </c>
      <c r="I1148">
        <f t="shared" si="107"/>
        <v>204</v>
      </c>
      <c r="J1148" s="1258" t="str" cm="1">
        <f t="array" ref="J1148">myRGB(G1148,H1148,I1148)</f>
        <v/>
      </c>
    </row>
    <row r="1149" spans="1:10" ht="17" x14ac:dyDescent="0.25">
      <c r="A1149" s="1" t="s">
        <v>1151</v>
      </c>
      <c r="B1149" s="1" t="s">
        <v>3802</v>
      </c>
      <c r="C1149" s="1" t="s">
        <v>2478</v>
      </c>
      <c r="D1149" t="str">
        <f t="shared" si="102"/>
        <v>C9CCC8</v>
      </c>
      <c r="E1149" t="str">
        <f t="shared" si="103"/>
        <v>201-204-200</v>
      </c>
      <c r="F1149" t="str">
        <f t="shared" si="104"/>
        <v>201204200</v>
      </c>
      <c r="G1149">
        <f t="shared" si="105"/>
        <v>201</v>
      </c>
      <c r="H1149">
        <f t="shared" si="106"/>
        <v>204</v>
      </c>
      <c r="I1149">
        <f t="shared" si="107"/>
        <v>200</v>
      </c>
      <c r="J1149" s="1304" t="str" cm="1">
        <f t="array" ref="J1149">myRGB(G1149,H1149,I1149)</f>
        <v/>
      </c>
    </row>
    <row r="1150" spans="1:10" ht="17" x14ac:dyDescent="0.25">
      <c r="A1150" s="1" t="s">
        <v>1152</v>
      </c>
      <c r="B1150" s="1" t="s">
        <v>3803</v>
      </c>
      <c r="C1150" s="1" t="s">
        <v>2479</v>
      </c>
      <c r="D1150" t="str">
        <f t="shared" si="102"/>
        <v>CAC7C9</v>
      </c>
      <c r="E1150" t="str">
        <f t="shared" si="103"/>
        <v>202-199-201</v>
      </c>
      <c r="F1150" t="str">
        <f t="shared" si="104"/>
        <v>202199201</v>
      </c>
      <c r="G1150">
        <f t="shared" si="105"/>
        <v>202</v>
      </c>
      <c r="H1150">
        <f t="shared" si="106"/>
        <v>199</v>
      </c>
      <c r="I1150">
        <f t="shared" si="107"/>
        <v>201</v>
      </c>
      <c r="J1150" s="1306" t="str" cm="1">
        <f t="array" ref="J1150">myRGB(G1150,H1150,I1150)</f>
        <v/>
      </c>
    </row>
    <row r="1151" spans="1:10" ht="17" x14ac:dyDescent="0.25">
      <c r="A1151" s="1" t="s">
        <v>1153</v>
      </c>
      <c r="B1151" s="1" t="s">
        <v>3804</v>
      </c>
      <c r="C1151" s="1" t="s">
        <v>2480</v>
      </c>
      <c r="D1151" t="str">
        <f t="shared" si="102"/>
        <v>CAC8CA</v>
      </c>
      <c r="E1151" t="str">
        <f t="shared" si="103"/>
        <v>202-200-202</v>
      </c>
      <c r="F1151" t="str">
        <f t="shared" si="104"/>
        <v>202200202</v>
      </c>
      <c r="G1151">
        <f t="shared" si="105"/>
        <v>202</v>
      </c>
      <c r="H1151">
        <f t="shared" si="106"/>
        <v>200</v>
      </c>
      <c r="I1151">
        <f t="shared" si="107"/>
        <v>202</v>
      </c>
      <c r="J1151" s="622" t="str" cm="1">
        <f t="array" ref="J1151">myRGB(G1151,H1151,I1151)</f>
        <v/>
      </c>
    </row>
    <row r="1152" spans="1:10" ht="17" x14ac:dyDescent="0.25">
      <c r="A1152" s="1" t="s">
        <v>1154</v>
      </c>
      <c r="B1152" s="1" t="s">
        <v>3805</v>
      </c>
      <c r="C1152" s="1" t="s">
        <v>2481</v>
      </c>
      <c r="D1152" t="str">
        <f t="shared" si="102"/>
        <v>CCC7CA</v>
      </c>
      <c r="E1152" t="str">
        <f t="shared" si="103"/>
        <v>204-199-202</v>
      </c>
      <c r="F1152" t="str">
        <f t="shared" si="104"/>
        <v>204199202</v>
      </c>
      <c r="G1152">
        <f t="shared" si="105"/>
        <v>204</v>
      </c>
      <c r="H1152">
        <f t="shared" si="106"/>
        <v>199</v>
      </c>
      <c r="I1152">
        <f t="shared" si="107"/>
        <v>202</v>
      </c>
      <c r="J1152" s="559" t="str" cm="1">
        <f t="array" ref="J1152">myRGB(G1152,H1152,I1152)</f>
        <v/>
      </c>
    </row>
    <row r="1153" spans="1:10" ht="17" x14ac:dyDescent="0.25">
      <c r="A1153" s="1" t="s">
        <v>1155</v>
      </c>
      <c r="B1153" s="1" t="s">
        <v>3806</v>
      </c>
      <c r="C1153" s="1" t="s">
        <v>2482</v>
      </c>
      <c r="D1153" t="str">
        <f t="shared" si="102"/>
        <v>C8CCCB</v>
      </c>
      <c r="E1153" t="str">
        <f t="shared" si="103"/>
        <v>200-204-203</v>
      </c>
      <c r="F1153" t="str">
        <f t="shared" si="104"/>
        <v>200204203</v>
      </c>
      <c r="G1153">
        <f t="shared" si="105"/>
        <v>200</v>
      </c>
      <c r="H1153">
        <f t="shared" si="106"/>
        <v>204</v>
      </c>
      <c r="I1153">
        <f t="shared" si="107"/>
        <v>203</v>
      </c>
      <c r="J1153" s="1216" t="str" cm="1">
        <f t="array" ref="J1153">myRGB(G1153,H1153,I1153)</f>
        <v/>
      </c>
    </row>
    <row r="1154" spans="1:10" ht="17" x14ac:dyDescent="0.25">
      <c r="A1154" s="1" t="s">
        <v>1156</v>
      </c>
      <c r="B1154" s="1" t="s">
        <v>3807</v>
      </c>
      <c r="C1154" s="1" t="s">
        <v>2483</v>
      </c>
      <c r="D1154" t="str">
        <f t="shared" si="102"/>
        <v>CBCCC8</v>
      </c>
      <c r="E1154" t="str">
        <f t="shared" si="103"/>
        <v>203-204-200</v>
      </c>
      <c r="F1154" t="str">
        <f t="shared" si="104"/>
        <v>203204200</v>
      </c>
      <c r="G1154">
        <f t="shared" si="105"/>
        <v>203</v>
      </c>
      <c r="H1154">
        <f t="shared" si="106"/>
        <v>204</v>
      </c>
      <c r="I1154">
        <f t="shared" si="107"/>
        <v>200</v>
      </c>
      <c r="J1154" s="1223" t="str" cm="1">
        <f t="array" ref="J1154">myRGB(G1154,H1154,I1154)</f>
        <v/>
      </c>
    </row>
    <row r="1155" spans="1:10" ht="17" x14ac:dyDescent="0.25">
      <c r="A1155" s="1" t="s">
        <v>1157</v>
      </c>
      <c r="B1155" s="1" t="s">
        <v>3808</v>
      </c>
      <c r="C1155" s="1" t="s">
        <v>2484</v>
      </c>
      <c r="D1155" t="str">
        <f t="shared" si="102"/>
        <v>CBC8C9</v>
      </c>
      <c r="E1155" t="str">
        <f t="shared" si="103"/>
        <v>203-200-201</v>
      </c>
      <c r="F1155" t="str">
        <f t="shared" si="104"/>
        <v>203200201</v>
      </c>
      <c r="G1155">
        <f t="shared" si="105"/>
        <v>203</v>
      </c>
      <c r="H1155">
        <f t="shared" si="106"/>
        <v>200</v>
      </c>
      <c r="I1155">
        <f t="shared" si="107"/>
        <v>201</v>
      </c>
      <c r="J1155" s="1150" t="str" cm="1">
        <f t="array" ref="J1155">myRGB(G1155,H1155,I1155)</f>
        <v/>
      </c>
    </row>
    <row r="1156" spans="1:10" ht="17" x14ac:dyDescent="0.25">
      <c r="A1156" s="1" t="s">
        <v>1158</v>
      </c>
      <c r="B1156" s="1" t="s">
        <v>3809</v>
      </c>
      <c r="C1156" s="1" t="s">
        <v>2485</v>
      </c>
      <c r="D1156" t="str">
        <f t="shared" ref="D1156:D1219" si="108">RIGHT(LEFT(C1156,9),6)</f>
        <v>CCC9C9</v>
      </c>
      <c r="E1156" t="str">
        <f t="shared" ref="E1156:E1219" si="109">HEX2DEC(LEFT(D1156,2))&amp;"-"&amp;HEX2DEC(MID(D1156,3,2))&amp;"-"&amp;HEX2DEC(RIGHT(D1156,2))</f>
        <v>204-201-201</v>
      </c>
      <c r="F1156" t="str">
        <f t="shared" ref="F1156:F1219" si="110">HEX2DEC(LEFT(D1156,2))&amp;HEX2DEC(MID(D1156,3,2))&amp;HEX2DEC(RIGHT(D1156,2))</f>
        <v>204201201</v>
      </c>
      <c r="G1156">
        <f t="shared" ref="G1156:G1219" si="111">HEX2DEC(LEFT(D1156,2))</f>
        <v>204</v>
      </c>
      <c r="H1156">
        <f t="shared" ref="H1156:H1219" si="112">HEX2DEC(MID(D1156,3,2))</f>
        <v>201</v>
      </c>
      <c r="I1156">
        <f t="shared" ref="I1156:I1219" si="113">HEX2DEC(RIGHT(D1156,2))</f>
        <v>201</v>
      </c>
      <c r="J1156" s="1259" t="str" cm="1">
        <f t="array" ref="J1156">myRGB(G1156,H1156,I1156)</f>
        <v/>
      </c>
    </row>
    <row r="1157" spans="1:10" ht="17" x14ac:dyDescent="0.25">
      <c r="A1157" s="1" t="s">
        <v>1159</v>
      </c>
      <c r="B1157" s="1" t="s">
        <v>3810</v>
      </c>
      <c r="C1157" s="1" t="s">
        <v>2486</v>
      </c>
      <c r="D1157" t="str">
        <f t="shared" si="108"/>
        <v>CCC8CB</v>
      </c>
      <c r="E1157" t="str">
        <f t="shared" si="109"/>
        <v>204-200-203</v>
      </c>
      <c r="F1157" t="str">
        <f t="shared" si="110"/>
        <v>204200203</v>
      </c>
      <c r="G1157">
        <f t="shared" si="111"/>
        <v>204</v>
      </c>
      <c r="H1157">
        <f t="shared" si="112"/>
        <v>200</v>
      </c>
      <c r="I1157">
        <f t="shared" si="113"/>
        <v>203</v>
      </c>
      <c r="J1157" s="849" t="str" cm="1">
        <f t="array" ref="J1157">myRGB(G1157,H1157,I1157)</f>
        <v/>
      </c>
    </row>
    <row r="1158" spans="1:10" ht="17" x14ac:dyDescent="0.25">
      <c r="A1158" s="1" t="s">
        <v>1160</v>
      </c>
      <c r="B1158" s="1" t="s">
        <v>3811</v>
      </c>
      <c r="C1158" s="1" t="s">
        <v>2487</v>
      </c>
      <c r="D1158" t="str">
        <f t="shared" si="108"/>
        <v>CAC9CC</v>
      </c>
      <c r="E1158" t="str">
        <f t="shared" si="109"/>
        <v>202-201-204</v>
      </c>
      <c r="F1158" t="str">
        <f t="shared" si="110"/>
        <v>202201204</v>
      </c>
      <c r="G1158">
        <f t="shared" si="111"/>
        <v>202</v>
      </c>
      <c r="H1158">
        <f t="shared" si="112"/>
        <v>201</v>
      </c>
      <c r="I1158">
        <f t="shared" si="113"/>
        <v>204</v>
      </c>
      <c r="J1158" s="788" t="str" cm="1">
        <f t="array" ref="J1158">myRGB(G1158,H1158,I1158)</f>
        <v/>
      </c>
    </row>
    <row r="1159" spans="1:10" ht="17" x14ac:dyDescent="0.25">
      <c r="A1159" s="1" t="s">
        <v>1161</v>
      </c>
      <c r="B1159" s="1" t="s">
        <v>3812</v>
      </c>
      <c r="C1159" s="1" t="s">
        <v>2488</v>
      </c>
      <c r="D1159" t="str">
        <f t="shared" si="108"/>
        <v>CAC8C8</v>
      </c>
      <c r="E1159" t="str">
        <f t="shared" si="109"/>
        <v>202-200-200</v>
      </c>
      <c r="F1159" t="str">
        <f t="shared" si="110"/>
        <v>202200200</v>
      </c>
      <c r="G1159">
        <f t="shared" si="111"/>
        <v>202</v>
      </c>
      <c r="H1159">
        <f t="shared" si="112"/>
        <v>200</v>
      </c>
      <c r="I1159">
        <f t="shared" si="113"/>
        <v>200</v>
      </c>
      <c r="J1159" s="1151" t="str" cm="1">
        <f t="array" ref="J1159">myRGB(G1159,H1159,I1159)</f>
        <v/>
      </c>
    </row>
    <row r="1160" spans="1:10" ht="17" x14ac:dyDescent="0.25">
      <c r="A1160" s="1" t="s">
        <v>1162</v>
      </c>
      <c r="B1160" s="1" t="s">
        <v>3813</v>
      </c>
      <c r="C1160" s="1" t="s">
        <v>2489</v>
      </c>
      <c r="D1160" t="str">
        <f t="shared" si="108"/>
        <v>CBC9CA</v>
      </c>
      <c r="E1160" t="str">
        <f t="shared" si="109"/>
        <v>203-201-202</v>
      </c>
      <c r="F1160" t="str">
        <f t="shared" si="110"/>
        <v>203201202</v>
      </c>
      <c r="G1160">
        <f t="shared" si="111"/>
        <v>203</v>
      </c>
      <c r="H1160">
        <f t="shared" si="112"/>
        <v>201</v>
      </c>
      <c r="I1160">
        <f t="shared" si="113"/>
        <v>202</v>
      </c>
      <c r="J1160" s="1310" t="str" cm="1">
        <f t="array" ref="J1160">myRGB(G1160,H1160,I1160)</f>
        <v/>
      </c>
    </row>
    <row r="1161" spans="1:10" ht="17" x14ac:dyDescent="0.25">
      <c r="A1161" s="1" t="s">
        <v>1163</v>
      </c>
      <c r="B1161" s="1" t="s">
        <v>3814</v>
      </c>
      <c r="C1161" s="1" t="s">
        <v>2490</v>
      </c>
      <c r="D1161" t="str">
        <f t="shared" si="108"/>
        <v>CACCC8</v>
      </c>
      <c r="E1161" t="str">
        <f t="shared" si="109"/>
        <v>202-204-200</v>
      </c>
      <c r="F1161" t="str">
        <f t="shared" si="110"/>
        <v>202204200</v>
      </c>
      <c r="G1161">
        <f t="shared" si="111"/>
        <v>202</v>
      </c>
      <c r="H1161">
        <f t="shared" si="112"/>
        <v>204</v>
      </c>
      <c r="I1161">
        <f t="shared" si="113"/>
        <v>200</v>
      </c>
      <c r="J1161" s="635" t="str" cm="1">
        <f t="array" ref="J1161">myRGB(G1161,H1161,I1161)</f>
        <v/>
      </c>
    </row>
    <row r="1162" spans="1:10" ht="17" x14ac:dyDescent="0.25">
      <c r="A1162" s="1" t="s">
        <v>1164</v>
      </c>
      <c r="B1162" s="1" t="s">
        <v>3815</v>
      </c>
      <c r="C1162" s="1" t="s">
        <v>2491</v>
      </c>
      <c r="D1162" t="str">
        <f t="shared" si="108"/>
        <v>C9CBC8</v>
      </c>
      <c r="E1162" t="str">
        <f t="shared" si="109"/>
        <v>201-203-200</v>
      </c>
      <c r="F1162" t="str">
        <f t="shared" si="110"/>
        <v>201203200</v>
      </c>
      <c r="G1162">
        <f t="shared" si="111"/>
        <v>201</v>
      </c>
      <c r="H1162">
        <f t="shared" si="112"/>
        <v>203</v>
      </c>
      <c r="I1162">
        <f t="shared" si="113"/>
        <v>200</v>
      </c>
      <c r="J1162" s="1224" t="str" cm="1">
        <f t="array" ref="J1162">myRGB(G1162,H1162,I1162)</f>
        <v/>
      </c>
    </row>
    <row r="1163" spans="1:10" ht="17" x14ac:dyDescent="0.25">
      <c r="A1163" s="1" t="s">
        <v>1165</v>
      </c>
      <c r="B1163" s="1" t="s">
        <v>3816</v>
      </c>
      <c r="C1163" s="1" t="s">
        <v>2492</v>
      </c>
      <c r="D1163" t="str">
        <f t="shared" si="108"/>
        <v>CCCBCC</v>
      </c>
      <c r="E1163" t="str">
        <f t="shared" si="109"/>
        <v>204-203-204</v>
      </c>
      <c r="F1163" t="str">
        <f t="shared" si="110"/>
        <v>204203204</v>
      </c>
      <c r="G1163">
        <f t="shared" si="111"/>
        <v>204</v>
      </c>
      <c r="H1163">
        <f t="shared" si="112"/>
        <v>203</v>
      </c>
      <c r="I1163">
        <f t="shared" si="113"/>
        <v>204</v>
      </c>
      <c r="J1163" s="1152" t="str" cm="1">
        <f t="array" ref="J1163">myRGB(G1163,H1163,I1163)</f>
        <v/>
      </c>
    </row>
    <row r="1164" spans="1:10" ht="17" x14ac:dyDescent="0.25">
      <c r="A1164" s="1" t="s">
        <v>1166</v>
      </c>
      <c r="B1164" s="1" t="s">
        <v>3817</v>
      </c>
      <c r="C1164" s="1" t="s">
        <v>2493</v>
      </c>
      <c r="D1164" t="str">
        <f t="shared" si="108"/>
        <v>CBCAC9</v>
      </c>
      <c r="E1164" t="str">
        <f t="shared" si="109"/>
        <v>203-202-201</v>
      </c>
      <c r="F1164" t="str">
        <f t="shared" si="110"/>
        <v>203202201</v>
      </c>
      <c r="G1164">
        <f t="shared" si="111"/>
        <v>203</v>
      </c>
      <c r="H1164">
        <f t="shared" si="112"/>
        <v>202</v>
      </c>
      <c r="I1164">
        <f t="shared" si="113"/>
        <v>201</v>
      </c>
      <c r="J1164" s="1282" t="str" cm="1">
        <f t="array" ref="J1164">myRGB(G1164,H1164,I1164)</f>
        <v/>
      </c>
    </row>
    <row r="1165" spans="1:10" ht="17" x14ac:dyDescent="0.25">
      <c r="A1165" s="1" t="s">
        <v>1167</v>
      </c>
      <c r="B1165" s="1" t="s">
        <v>3818</v>
      </c>
      <c r="C1165" s="1" t="s">
        <v>2494</v>
      </c>
      <c r="D1165" t="str">
        <f t="shared" si="108"/>
        <v>C9CCCC</v>
      </c>
      <c r="E1165" t="str">
        <f t="shared" si="109"/>
        <v>201-204-204</v>
      </c>
      <c r="F1165" t="str">
        <f t="shared" si="110"/>
        <v>201204204</v>
      </c>
      <c r="G1165">
        <f t="shared" si="111"/>
        <v>201</v>
      </c>
      <c r="H1165">
        <f t="shared" si="112"/>
        <v>204</v>
      </c>
      <c r="I1165">
        <f t="shared" si="113"/>
        <v>204</v>
      </c>
      <c r="J1165" s="1321" t="str" cm="1">
        <f t="array" ref="J1165">myRGB(G1165,H1165,I1165)</f>
        <v/>
      </c>
    </row>
    <row r="1166" spans="1:10" ht="17" x14ac:dyDescent="0.25">
      <c r="A1166" s="1" t="s">
        <v>1168</v>
      </c>
      <c r="B1166" s="1" t="s">
        <v>3819</v>
      </c>
      <c r="C1166" s="1" t="s">
        <v>2495</v>
      </c>
      <c r="D1166" t="str">
        <f t="shared" si="108"/>
        <v>CCC7C8</v>
      </c>
      <c r="E1166" t="str">
        <f t="shared" si="109"/>
        <v>204-199-200</v>
      </c>
      <c r="F1166" t="str">
        <f t="shared" si="110"/>
        <v>204199200</v>
      </c>
      <c r="G1166">
        <f t="shared" si="111"/>
        <v>204</v>
      </c>
      <c r="H1166">
        <f t="shared" si="112"/>
        <v>199</v>
      </c>
      <c r="I1166">
        <f t="shared" si="113"/>
        <v>200</v>
      </c>
      <c r="J1166" s="1189" t="str" cm="1">
        <f t="array" ref="J1166">myRGB(G1166,H1166,I1166)</f>
        <v/>
      </c>
    </row>
    <row r="1167" spans="1:10" ht="17" x14ac:dyDescent="0.25">
      <c r="A1167" s="1" t="s">
        <v>1169</v>
      </c>
      <c r="B1167" s="1" t="s">
        <v>3820</v>
      </c>
      <c r="C1167" s="1" t="s">
        <v>2496</v>
      </c>
      <c r="D1167" t="str">
        <f t="shared" si="108"/>
        <v>CBCCC9</v>
      </c>
      <c r="E1167" t="str">
        <f t="shared" si="109"/>
        <v>203-204-201</v>
      </c>
      <c r="F1167" t="str">
        <f t="shared" si="110"/>
        <v>203204201</v>
      </c>
      <c r="G1167">
        <f t="shared" si="111"/>
        <v>203</v>
      </c>
      <c r="H1167">
        <f t="shared" si="112"/>
        <v>204</v>
      </c>
      <c r="I1167">
        <f t="shared" si="113"/>
        <v>201</v>
      </c>
      <c r="J1167" s="1153" t="str" cm="1">
        <f t="array" ref="J1167">myRGB(G1167,H1167,I1167)</f>
        <v/>
      </c>
    </row>
    <row r="1168" spans="1:10" ht="17" x14ac:dyDescent="0.25">
      <c r="A1168" s="1" t="s">
        <v>1170</v>
      </c>
      <c r="B1168" s="1" t="s">
        <v>3821</v>
      </c>
      <c r="C1168" s="1" t="s">
        <v>2497</v>
      </c>
      <c r="D1168" t="str">
        <f t="shared" si="108"/>
        <v>C9CBCC</v>
      </c>
      <c r="E1168" t="str">
        <f t="shared" si="109"/>
        <v>201-203-204</v>
      </c>
      <c r="F1168" t="str">
        <f t="shared" si="110"/>
        <v>201203204</v>
      </c>
      <c r="G1168">
        <f t="shared" si="111"/>
        <v>201</v>
      </c>
      <c r="H1168">
        <f t="shared" si="112"/>
        <v>203</v>
      </c>
      <c r="I1168">
        <f t="shared" si="113"/>
        <v>204</v>
      </c>
      <c r="J1168" s="1225" t="str" cm="1">
        <f t="array" ref="J1168">myRGB(G1168,H1168,I1168)</f>
        <v/>
      </c>
    </row>
    <row r="1169" spans="1:10" ht="17" x14ac:dyDescent="0.25">
      <c r="A1169" s="1" t="s">
        <v>1171</v>
      </c>
      <c r="B1169" s="1" t="s">
        <v>3822</v>
      </c>
      <c r="C1169" s="1" t="s">
        <v>2498</v>
      </c>
      <c r="D1169" t="str">
        <f t="shared" si="108"/>
        <v>C9CCCB</v>
      </c>
      <c r="E1169" t="str">
        <f t="shared" si="109"/>
        <v>201-204-203</v>
      </c>
      <c r="F1169" t="str">
        <f t="shared" si="110"/>
        <v>201204203</v>
      </c>
      <c r="G1169">
        <f t="shared" si="111"/>
        <v>201</v>
      </c>
      <c r="H1169">
        <f t="shared" si="112"/>
        <v>204</v>
      </c>
      <c r="I1169">
        <f t="shared" si="113"/>
        <v>203</v>
      </c>
      <c r="J1169" s="1283" t="str" cm="1">
        <f t="array" ref="J1169">myRGB(G1169,H1169,I1169)</f>
        <v/>
      </c>
    </row>
    <row r="1170" spans="1:10" ht="17" x14ac:dyDescent="0.25">
      <c r="A1170" s="1" t="s">
        <v>1172</v>
      </c>
      <c r="B1170" s="1" t="s">
        <v>3823</v>
      </c>
      <c r="C1170" s="1" t="s">
        <v>2499</v>
      </c>
      <c r="D1170" t="str">
        <f t="shared" si="108"/>
        <v>CCCBC9</v>
      </c>
      <c r="E1170" t="str">
        <f t="shared" si="109"/>
        <v>204-203-201</v>
      </c>
      <c r="F1170" t="str">
        <f t="shared" si="110"/>
        <v>204203201</v>
      </c>
      <c r="G1170">
        <f t="shared" si="111"/>
        <v>204</v>
      </c>
      <c r="H1170">
        <f t="shared" si="112"/>
        <v>203</v>
      </c>
      <c r="I1170">
        <f t="shared" si="113"/>
        <v>201</v>
      </c>
      <c r="J1170" s="1243" t="str" cm="1">
        <f t="array" ref="J1170">myRGB(G1170,H1170,I1170)</f>
        <v/>
      </c>
    </row>
    <row r="1171" spans="1:10" ht="17" x14ac:dyDescent="0.25">
      <c r="A1171" s="1" t="s">
        <v>1173</v>
      </c>
      <c r="B1171" s="1" t="s">
        <v>3824</v>
      </c>
      <c r="C1171" s="1" t="s">
        <v>2500</v>
      </c>
      <c r="D1171" t="str">
        <f t="shared" si="108"/>
        <v>C7CCC8</v>
      </c>
      <c r="E1171" t="str">
        <f t="shared" si="109"/>
        <v>199-204-200</v>
      </c>
      <c r="F1171" t="str">
        <f t="shared" si="110"/>
        <v>199204200</v>
      </c>
      <c r="G1171">
        <f t="shared" si="111"/>
        <v>199</v>
      </c>
      <c r="H1171">
        <f t="shared" si="112"/>
        <v>204</v>
      </c>
      <c r="I1171">
        <f t="shared" si="113"/>
        <v>200</v>
      </c>
      <c r="J1171" s="1154" t="str" cm="1">
        <f t="array" ref="J1171">myRGB(G1171,H1171,I1171)</f>
        <v/>
      </c>
    </row>
    <row r="1172" spans="1:10" ht="17" x14ac:dyDescent="0.25">
      <c r="A1172" s="1" t="s">
        <v>1174</v>
      </c>
      <c r="B1172" s="1" t="s">
        <v>3825</v>
      </c>
      <c r="C1172" s="1" t="s">
        <v>2501</v>
      </c>
      <c r="D1172" t="str">
        <f t="shared" si="108"/>
        <v>C8CBCB</v>
      </c>
      <c r="E1172" t="str">
        <f t="shared" si="109"/>
        <v>200-203-203</v>
      </c>
      <c r="F1172" t="str">
        <f t="shared" si="110"/>
        <v>200203203</v>
      </c>
      <c r="G1172">
        <f t="shared" si="111"/>
        <v>200</v>
      </c>
      <c r="H1172">
        <f t="shared" si="112"/>
        <v>203</v>
      </c>
      <c r="I1172">
        <f t="shared" si="113"/>
        <v>203</v>
      </c>
      <c r="J1172" s="1190" t="str" cm="1">
        <f t="array" ref="J1172">myRGB(G1172,H1172,I1172)</f>
        <v/>
      </c>
    </row>
    <row r="1173" spans="1:10" ht="17" x14ac:dyDescent="0.25">
      <c r="A1173" s="1" t="s">
        <v>1175</v>
      </c>
      <c r="B1173" s="1" t="s">
        <v>3826</v>
      </c>
      <c r="C1173" s="1" t="s">
        <v>2502</v>
      </c>
      <c r="D1173" t="str">
        <f t="shared" si="108"/>
        <v>C9CAC8</v>
      </c>
      <c r="E1173" t="str">
        <f t="shared" si="109"/>
        <v>201-202-200</v>
      </c>
      <c r="F1173" t="str">
        <f t="shared" si="110"/>
        <v>201202200</v>
      </c>
      <c r="G1173">
        <f t="shared" si="111"/>
        <v>201</v>
      </c>
      <c r="H1173">
        <f t="shared" si="112"/>
        <v>202</v>
      </c>
      <c r="I1173">
        <f t="shared" si="113"/>
        <v>200</v>
      </c>
      <c r="J1173" s="620" t="str" cm="1">
        <f t="array" ref="J1173">myRGB(G1173,H1173,I1173)</f>
        <v/>
      </c>
    </row>
    <row r="1174" spans="1:10" ht="17" x14ac:dyDescent="0.25">
      <c r="A1174" s="1" t="s">
        <v>1176</v>
      </c>
      <c r="B1174" s="1" t="s">
        <v>3827</v>
      </c>
      <c r="C1174" s="1" t="s">
        <v>2503</v>
      </c>
      <c r="D1174" t="str">
        <f t="shared" si="108"/>
        <v>CBC8CA</v>
      </c>
      <c r="E1174" t="str">
        <f t="shared" si="109"/>
        <v>203-200-202</v>
      </c>
      <c r="F1174" t="str">
        <f t="shared" si="110"/>
        <v>203200202</v>
      </c>
      <c r="G1174">
        <f t="shared" si="111"/>
        <v>203</v>
      </c>
      <c r="H1174">
        <f t="shared" si="112"/>
        <v>200</v>
      </c>
      <c r="I1174">
        <f t="shared" si="113"/>
        <v>202</v>
      </c>
      <c r="J1174" s="728" t="str" cm="1">
        <f t="array" ref="J1174">myRGB(G1174,H1174,I1174)</f>
        <v/>
      </c>
    </row>
    <row r="1175" spans="1:10" ht="17" x14ac:dyDescent="0.25">
      <c r="A1175" s="1" t="s">
        <v>1177</v>
      </c>
      <c r="B1175" s="1" t="s">
        <v>3828</v>
      </c>
      <c r="C1175" s="1" t="s">
        <v>2504</v>
      </c>
      <c r="D1175" t="str">
        <f t="shared" si="108"/>
        <v>CAC8CB</v>
      </c>
      <c r="E1175" t="str">
        <f t="shared" si="109"/>
        <v>202-200-203</v>
      </c>
      <c r="F1175" t="str">
        <f t="shared" si="110"/>
        <v>202200203</v>
      </c>
      <c r="G1175">
        <f t="shared" si="111"/>
        <v>202</v>
      </c>
      <c r="H1175">
        <f t="shared" si="112"/>
        <v>200</v>
      </c>
      <c r="I1175">
        <f t="shared" si="113"/>
        <v>203</v>
      </c>
      <c r="J1175" s="686" t="str" cm="1">
        <f t="array" ref="J1175">myRGB(G1175,H1175,I1175)</f>
        <v/>
      </c>
    </row>
    <row r="1176" spans="1:10" ht="17" x14ac:dyDescent="0.25">
      <c r="A1176" s="1" t="s">
        <v>1178</v>
      </c>
      <c r="B1176" s="1" t="s">
        <v>3829</v>
      </c>
      <c r="C1176" s="1" t="s">
        <v>2505</v>
      </c>
      <c r="D1176" t="str">
        <f t="shared" si="108"/>
        <v>CBC9CB</v>
      </c>
      <c r="E1176" t="str">
        <f t="shared" si="109"/>
        <v>203-201-203</v>
      </c>
      <c r="F1176" t="str">
        <f t="shared" si="110"/>
        <v>203201203</v>
      </c>
      <c r="G1176">
        <f t="shared" si="111"/>
        <v>203</v>
      </c>
      <c r="H1176">
        <f t="shared" si="112"/>
        <v>201</v>
      </c>
      <c r="I1176">
        <f t="shared" si="113"/>
        <v>203</v>
      </c>
      <c r="J1176" s="789" t="str" cm="1">
        <f t="array" ref="J1176">myRGB(G1176,H1176,I1176)</f>
        <v/>
      </c>
    </row>
    <row r="1177" spans="1:10" ht="17" x14ac:dyDescent="0.25">
      <c r="A1177" s="1" t="s">
        <v>1179</v>
      </c>
      <c r="B1177" s="1" t="s">
        <v>3830</v>
      </c>
      <c r="C1177" s="1" t="s">
        <v>2506</v>
      </c>
      <c r="D1177" t="str">
        <f t="shared" si="108"/>
        <v>CCC7CC</v>
      </c>
      <c r="E1177" t="str">
        <f t="shared" si="109"/>
        <v>204-199-204</v>
      </c>
      <c r="F1177" t="str">
        <f t="shared" si="110"/>
        <v>204199204</v>
      </c>
      <c r="G1177">
        <f t="shared" si="111"/>
        <v>204</v>
      </c>
      <c r="H1177">
        <f t="shared" si="112"/>
        <v>199</v>
      </c>
      <c r="I1177">
        <f t="shared" si="113"/>
        <v>204</v>
      </c>
      <c r="J1177" s="576" t="str" cm="1">
        <f t="array" ref="J1177">myRGB(G1177,H1177,I1177)</f>
        <v/>
      </c>
    </row>
    <row r="1178" spans="1:10" ht="17" x14ac:dyDescent="0.25">
      <c r="A1178" s="1" t="s">
        <v>1180</v>
      </c>
      <c r="B1178" s="1" t="s">
        <v>3831</v>
      </c>
      <c r="C1178" s="1" t="s">
        <v>2507</v>
      </c>
      <c r="D1178" t="str">
        <f t="shared" si="108"/>
        <v>CCCACC</v>
      </c>
      <c r="E1178" t="str">
        <f t="shared" si="109"/>
        <v>204-202-204</v>
      </c>
      <c r="F1178" t="str">
        <f t="shared" si="110"/>
        <v>204202204</v>
      </c>
      <c r="G1178">
        <f t="shared" si="111"/>
        <v>204</v>
      </c>
      <c r="H1178">
        <f t="shared" si="112"/>
        <v>202</v>
      </c>
      <c r="I1178">
        <f t="shared" si="113"/>
        <v>204</v>
      </c>
      <c r="J1178" s="1226" t="str" cm="1">
        <f t="array" ref="J1178">myRGB(G1178,H1178,I1178)</f>
        <v/>
      </c>
    </row>
    <row r="1179" spans="1:10" ht="17" x14ac:dyDescent="0.25">
      <c r="A1179" s="1" t="s">
        <v>1181</v>
      </c>
      <c r="B1179" s="1" t="s">
        <v>3832</v>
      </c>
      <c r="C1179" s="1" t="s">
        <v>2508</v>
      </c>
      <c r="D1179" t="str">
        <f t="shared" si="108"/>
        <v>CBC9C8</v>
      </c>
      <c r="E1179" t="str">
        <f t="shared" si="109"/>
        <v>203-201-200</v>
      </c>
      <c r="F1179" t="str">
        <f t="shared" si="110"/>
        <v>203201200</v>
      </c>
      <c r="G1179">
        <f t="shared" si="111"/>
        <v>203</v>
      </c>
      <c r="H1179">
        <f t="shared" si="112"/>
        <v>201</v>
      </c>
      <c r="I1179">
        <f t="shared" si="113"/>
        <v>200</v>
      </c>
      <c r="J1179" s="619" t="str" cm="1">
        <f t="array" ref="J1179">myRGB(G1179,H1179,I1179)</f>
        <v/>
      </c>
    </row>
    <row r="1180" spans="1:10" ht="17" x14ac:dyDescent="0.25">
      <c r="A1180" s="1" t="s">
        <v>1182</v>
      </c>
      <c r="B1180" s="1" t="s">
        <v>3833</v>
      </c>
      <c r="C1180" s="1" t="s">
        <v>2509</v>
      </c>
      <c r="D1180" t="str">
        <f t="shared" si="108"/>
        <v>CBC7CC</v>
      </c>
      <c r="E1180" t="str">
        <f t="shared" si="109"/>
        <v>203-199-204</v>
      </c>
      <c r="F1180" t="str">
        <f t="shared" si="110"/>
        <v>203199204</v>
      </c>
      <c r="G1180">
        <f t="shared" si="111"/>
        <v>203</v>
      </c>
      <c r="H1180">
        <f t="shared" si="112"/>
        <v>199</v>
      </c>
      <c r="I1180">
        <f t="shared" si="113"/>
        <v>204</v>
      </c>
      <c r="J1180" s="556" t="str" cm="1">
        <f t="array" ref="J1180">myRGB(G1180,H1180,I1180)</f>
        <v/>
      </c>
    </row>
    <row r="1181" spans="1:10" ht="17" x14ac:dyDescent="0.25">
      <c r="A1181" s="1" t="s">
        <v>1183</v>
      </c>
      <c r="B1181" s="1" t="s">
        <v>3834</v>
      </c>
      <c r="C1181" s="1" t="s">
        <v>2510</v>
      </c>
      <c r="D1181" t="str">
        <f t="shared" si="108"/>
        <v>CCCCCA</v>
      </c>
      <c r="E1181" t="str">
        <f t="shared" si="109"/>
        <v>204-204-202</v>
      </c>
      <c r="F1181" t="str">
        <f t="shared" si="110"/>
        <v>204204202</v>
      </c>
      <c r="G1181">
        <f t="shared" si="111"/>
        <v>204</v>
      </c>
      <c r="H1181">
        <f t="shared" si="112"/>
        <v>204</v>
      </c>
      <c r="I1181">
        <f t="shared" si="113"/>
        <v>202</v>
      </c>
      <c r="J1181" s="832" t="str" cm="1">
        <f t="array" ref="J1181">myRGB(G1181,H1181,I1181)</f>
        <v/>
      </c>
    </row>
    <row r="1182" spans="1:10" ht="17" x14ac:dyDescent="0.25">
      <c r="A1182" s="1" t="s">
        <v>1184</v>
      </c>
      <c r="B1182" s="1" t="s">
        <v>3835</v>
      </c>
      <c r="C1182" s="1" t="s">
        <v>2511</v>
      </c>
      <c r="D1182" t="str">
        <f t="shared" si="108"/>
        <v>C9C9C8</v>
      </c>
      <c r="E1182" t="str">
        <f t="shared" si="109"/>
        <v>201-201-200</v>
      </c>
      <c r="F1182" t="str">
        <f t="shared" si="110"/>
        <v>201201200</v>
      </c>
      <c r="G1182">
        <f t="shared" si="111"/>
        <v>201</v>
      </c>
      <c r="H1182">
        <f t="shared" si="112"/>
        <v>201</v>
      </c>
      <c r="I1182">
        <f t="shared" si="113"/>
        <v>200</v>
      </c>
      <c r="J1182" s="560" t="str" cm="1">
        <f t="array" ref="J1182">myRGB(G1182,H1182,I1182)</f>
        <v/>
      </c>
    </row>
    <row r="1183" spans="1:10" ht="17" x14ac:dyDescent="0.25">
      <c r="A1183" s="1" t="s">
        <v>1185</v>
      </c>
      <c r="B1183" s="1" t="s">
        <v>3836</v>
      </c>
      <c r="C1183" s="1" t="s">
        <v>2512</v>
      </c>
      <c r="D1183" t="str">
        <f t="shared" si="108"/>
        <v>C9CACA</v>
      </c>
      <c r="E1183" t="str">
        <f t="shared" si="109"/>
        <v>201-202-202</v>
      </c>
      <c r="F1183" t="str">
        <f t="shared" si="110"/>
        <v>201202202</v>
      </c>
      <c r="G1183">
        <f t="shared" si="111"/>
        <v>201</v>
      </c>
      <c r="H1183">
        <f t="shared" si="112"/>
        <v>202</v>
      </c>
      <c r="I1183">
        <f t="shared" si="113"/>
        <v>202</v>
      </c>
      <c r="J1183" s="637" t="str" cm="1">
        <f t="array" ref="J1183">myRGB(G1183,H1183,I1183)</f>
        <v/>
      </c>
    </row>
    <row r="1184" spans="1:10" ht="17" x14ac:dyDescent="0.25">
      <c r="A1184" s="1" t="s">
        <v>1186</v>
      </c>
      <c r="B1184" s="1" t="s">
        <v>3837</v>
      </c>
      <c r="C1184" s="1" t="s">
        <v>2513</v>
      </c>
      <c r="D1184" t="str">
        <f t="shared" si="108"/>
        <v>C8CCCC</v>
      </c>
      <c r="E1184" t="str">
        <f t="shared" si="109"/>
        <v>200-204-204</v>
      </c>
      <c r="F1184" t="str">
        <f t="shared" si="110"/>
        <v>200204204</v>
      </c>
      <c r="G1184">
        <f t="shared" si="111"/>
        <v>200</v>
      </c>
      <c r="H1184">
        <f t="shared" si="112"/>
        <v>204</v>
      </c>
      <c r="I1184">
        <f t="shared" si="113"/>
        <v>204</v>
      </c>
      <c r="J1184" s="1227" t="str" cm="1">
        <f t="array" ref="J1184">myRGB(G1184,H1184,I1184)</f>
        <v/>
      </c>
    </row>
    <row r="1185" spans="1:10" ht="17" x14ac:dyDescent="0.25">
      <c r="A1185" s="1" t="s">
        <v>1187</v>
      </c>
      <c r="B1185" s="1" t="s">
        <v>3838</v>
      </c>
      <c r="C1185" s="1" t="s">
        <v>2514</v>
      </c>
      <c r="D1185" t="str">
        <f t="shared" si="108"/>
        <v>C9CBC9</v>
      </c>
      <c r="E1185" t="str">
        <f t="shared" si="109"/>
        <v>201-203-201</v>
      </c>
      <c r="F1185" t="str">
        <f t="shared" si="110"/>
        <v>201203201</v>
      </c>
      <c r="G1185">
        <f t="shared" si="111"/>
        <v>201</v>
      </c>
      <c r="H1185">
        <f t="shared" si="112"/>
        <v>203</v>
      </c>
      <c r="I1185">
        <f t="shared" si="113"/>
        <v>201</v>
      </c>
      <c r="J1185" s="1284" t="str" cm="1">
        <f t="array" ref="J1185">myRGB(G1185,H1185,I1185)</f>
        <v/>
      </c>
    </row>
    <row r="1186" spans="1:10" ht="17" x14ac:dyDescent="0.25">
      <c r="A1186" s="1" t="s">
        <v>1188</v>
      </c>
      <c r="B1186" s="1" t="s">
        <v>3839</v>
      </c>
      <c r="C1186" s="1" t="s">
        <v>2515</v>
      </c>
      <c r="D1186" t="str">
        <f t="shared" si="108"/>
        <v>C9C9C7</v>
      </c>
      <c r="E1186" t="str">
        <f t="shared" si="109"/>
        <v>201-201-199</v>
      </c>
      <c r="F1186" t="str">
        <f t="shared" si="110"/>
        <v>201201199</v>
      </c>
      <c r="G1186">
        <f t="shared" si="111"/>
        <v>201</v>
      </c>
      <c r="H1186">
        <f t="shared" si="112"/>
        <v>201</v>
      </c>
      <c r="I1186">
        <f t="shared" si="113"/>
        <v>199</v>
      </c>
      <c r="J1186" s="1272" t="str" cm="1">
        <f t="array" ref="J1186">myRGB(G1186,H1186,I1186)</f>
        <v/>
      </c>
    </row>
    <row r="1187" spans="1:10" ht="17" x14ac:dyDescent="0.25">
      <c r="A1187" s="1" t="s">
        <v>1189</v>
      </c>
      <c r="B1187" s="1" t="s">
        <v>3840</v>
      </c>
      <c r="C1187" s="1" t="s">
        <v>2516</v>
      </c>
      <c r="D1187" t="str">
        <f t="shared" si="108"/>
        <v>CAC9CB</v>
      </c>
      <c r="E1187" t="str">
        <f t="shared" si="109"/>
        <v>202-201-203</v>
      </c>
      <c r="F1187" t="str">
        <f t="shared" si="110"/>
        <v>202201203</v>
      </c>
      <c r="G1187">
        <f t="shared" si="111"/>
        <v>202</v>
      </c>
      <c r="H1187">
        <f t="shared" si="112"/>
        <v>201</v>
      </c>
      <c r="I1187">
        <f t="shared" si="113"/>
        <v>203</v>
      </c>
      <c r="J1187" s="1155" t="str" cm="1">
        <f t="array" ref="J1187">myRGB(G1187,H1187,I1187)</f>
        <v/>
      </c>
    </row>
    <row r="1188" spans="1:10" ht="17" x14ac:dyDescent="0.25">
      <c r="A1188" s="1" t="s">
        <v>1190</v>
      </c>
      <c r="B1188" s="1" t="s">
        <v>3841</v>
      </c>
      <c r="C1188" s="1" t="s">
        <v>2517</v>
      </c>
      <c r="D1188" t="str">
        <f t="shared" si="108"/>
        <v>C9CBCA</v>
      </c>
      <c r="E1188" t="str">
        <f t="shared" si="109"/>
        <v>201-203-202</v>
      </c>
      <c r="F1188" t="str">
        <f t="shared" si="110"/>
        <v>201203202</v>
      </c>
      <c r="G1188">
        <f t="shared" si="111"/>
        <v>201</v>
      </c>
      <c r="H1188">
        <f t="shared" si="112"/>
        <v>203</v>
      </c>
      <c r="I1188">
        <f t="shared" si="113"/>
        <v>202</v>
      </c>
      <c r="J1188" s="1191" t="str" cm="1">
        <f t="array" ref="J1188">myRGB(G1188,H1188,I1188)</f>
        <v/>
      </c>
    </row>
    <row r="1189" spans="1:10" ht="17" x14ac:dyDescent="0.25">
      <c r="A1189" s="1" t="s">
        <v>1191</v>
      </c>
      <c r="B1189" s="1" t="s">
        <v>3842</v>
      </c>
      <c r="C1189" s="1" t="s">
        <v>2518</v>
      </c>
      <c r="D1189" t="str">
        <f t="shared" si="108"/>
        <v>CACCC9</v>
      </c>
      <c r="E1189" t="str">
        <f t="shared" si="109"/>
        <v>202-204-201</v>
      </c>
      <c r="F1189" t="str">
        <f t="shared" si="110"/>
        <v>202204201</v>
      </c>
      <c r="G1189">
        <f t="shared" si="111"/>
        <v>202</v>
      </c>
      <c r="H1189">
        <f t="shared" si="112"/>
        <v>204</v>
      </c>
      <c r="I1189">
        <f t="shared" si="113"/>
        <v>201</v>
      </c>
      <c r="J1189" s="1228" t="str" cm="1">
        <f t="array" ref="J1189">myRGB(G1189,H1189,I1189)</f>
        <v/>
      </c>
    </row>
    <row r="1190" spans="1:10" ht="17" x14ac:dyDescent="0.25">
      <c r="A1190" s="1" t="s">
        <v>1192</v>
      </c>
      <c r="B1190" s="1" t="s">
        <v>3843</v>
      </c>
      <c r="C1190" s="1" t="s">
        <v>2519</v>
      </c>
      <c r="D1190" t="str">
        <f t="shared" si="108"/>
        <v>CBC9CC</v>
      </c>
      <c r="E1190" t="str">
        <f t="shared" si="109"/>
        <v>203-201-204</v>
      </c>
      <c r="F1190" t="str">
        <f t="shared" si="110"/>
        <v>203201204</v>
      </c>
      <c r="G1190">
        <f t="shared" si="111"/>
        <v>203</v>
      </c>
      <c r="H1190">
        <f t="shared" si="112"/>
        <v>201</v>
      </c>
      <c r="I1190">
        <f t="shared" si="113"/>
        <v>204</v>
      </c>
      <c r="J1190" s="802" t="str" cm="1">
        <f t="array" ref="J1190">myRGB(G1190,H1190,I1190)</f>
        <v/>
      </c>
    </row>
    <row r="1191" spans="1:10" ht="17" x14ac:dyDescent="0.25">
      <c r="A1191" s="1" t="s">
        <v>1193</v>
      </c>
      <c r="B1191" s="1" t="s">
        <v>3844</v>
      </c>
      <c r="C1191" s="1" t="s">
        <v>2520</v>
      </c>
      <c r="D1191" t="str">
        <f t="shared" si="108"/>
        <v>C9C9CA</v>
      </c>
      <c r="E1191" t="str">
        <f t="shared" si="109"/>
        <v>201-201-202</v>
      </c>
      <c r="F1191" t="str">
        <f t="shared" si="110"/>
        <v>201201202</v>
      </c>
      <c r="G1191">
        <f t="shared" si="111"/>
        <v>201</v>
      </c>
      <c r="H1191">
        <f t="shared" si="112"/>
        <v>201</v>
      </c>
      <c r="I1191">
        <f t="shared" si="113"/>
        <v>202</v>
      </c>
      <c r="J1191" s="577" t="str" cm="1">
        <f t="array" ref="J1191">myRGB(G1191,H1191,I1191)</f>
        <v/>
      </c>
    </row>
    <row r="1192" spans="1:10" ht="17" x14ac:dyDescent="0.25">
      <c r="A1192" s="1" t="s">
        <v>1194</v>
      </c>
      <c r="B1192" s="1" t="s">
        <v>3845</v>
      </c>
      <c r="C1192" s="1" t="s">
        <v>2521</v>
      </c>
      <c r="D1192" t="str">
        <f t="shared" si="108"/>
        <v>C7CCCA</v>
      </c>
      <c r="E1192" t="str">
        <f t="shared" si="109"/>
        <v>199-204-202</v>
      </c>
      <c r="F1192" t="str">
        <f t="shared" si="110"/>
        <v>199204202</v>
      </c>
      <c r="G1192">
        <f t="shared" si="111"/>
        <v>199</v>
      </c>
      <c r="H1192">
        <f t="shared" si="112"/>
        <v>204</v>
      </c>
      <c r="I1192">
        <f t="shared" si="113"/>
        <v>202</v>
      </c>
      <c r="J1192" s="664" t="str" cm="1">
        <f t="array" ref="J1192">myRGB(G1192,H1192,I1192)</f>
        <v/>
      </c>
    </row>
    <row r="1193" spans="1:10" ht="17" x14ac:dyDescent="0.25">
      <c r="A1193" s="1" t="s">
        <v>1195</v>
      </c>
      <c r="B1193" s="1" t="s">
        <v>3846</v>
      </c>
      <c r="C1193" s="1" t="s">
        <v>2522</v>
      </c>
      <c r="D1193" t="str">
        <f t="shared" si="108"/>
        <v>C7C9CA</v>
      </c>
      <c r="E1193" t="str">
        <f t="shared" si="109"/>
        <v>199-201-202</v>
      </c>
      <c r="F1193" t="str">
        <f t="shared" si="110"/>
        <v>199201202</v>
      </c>
      <c r="G1193">
        <f t="shared" si="111"/>
        <v>199</v>
      </c>
      <c r="H1193">
        <f t="shared" si="112"/>
        <v>201</v>
      </c>
      <c r="I1193">
        <f t="shared" si="113"/>
        <v>202</v>
      </c>
      <c r="J1193" s="551" t="str" cm="1">
        <f t="array" ref="J1193">myRGB(G1193,H1193,I1193)</f>
        <v/>
      </c>
    </row>
    <row r="1194" spans="1:10" ht="17" x14ac:dyDescent="0.25">
      <c r="A1194" s="1" t="s">
        <v>1196</v>
      </c>
      <c r="B1194" s="1" t="s">
        <v>3847</v>
      </c>
      <c r="C1194" s="1" t="s">
        <v>2523</v>
      </c>
      <c r="D1194" t="str">
        <f t="shared" si="108"/>
        <v>CAC7CC</v>
      </c>
      <c r="E1194" t="str">
        <f t="shared" si="109"/>
        <v>202-199-204</v>
      </c>
      <c r="F1194" t="str">
        <f t="shared" si="110"/>
        <v>202199204</v>
      </c>
      <c r="G1194">
        <f t="shared" si="111"/>
        <v>202</v>
      </c>
      <c r="H1194">
        <f t="shared" si="112"/>
        <v>199</v>
      </c>
      <c r="I1194">
        <f t="shared" si="113"/>
        <v>204</v>
      </c>
      <c r="J1194" s="683" t="str" cm="1">
        <f t="array" ref="J1194">myRGB(G1194,H1194,I1194)</f>
        <v/>
      </c>
    </row>
    <row r="1195" spans="1:10" ht="17" x14ac:dyDescent="0.25">
      <c r="A1195" s="1" t="s">
        <v>1197</v>
      </c>
      <c r="B1195" s="1" t="s">
        <v>3848</v>
      </c>
      <c r="C1195" s="1" t="s">
        <v>2524</v>
      </c>
      <c r="D1195" t="str">
        <f t="shared" si="108"/>
        <v>C8CBCC</v>
      </c>
      <c r="E1195" t="str">
        <f t="shared" si="109"/>
        <v>200-203-204</v>
      </c>
      <c r="F1195" t="str">
        <f t="shared" si="110"/>
        <v>200203204</v>
      </c>
      <c r="G1195">
        <f t="shared" si="111"/>
        <v>200</v>
      </c>
      <c r="H1195">
        <f t="shared" si="112"/>
        <v>203</v>
      </c>
      <c r="I1195">
        <f t="shared" si="113"/>
        <v>204</v>
      </c>
      <c r="J1195" s="616" t="str" cm="1">
        <f t="array" ref="J1195">myRGB(G1195,H1195,I1195)</f>
        <v/>
      </c>
    </row>
    <row r="1196" spans="1:10" ht="17" x14ac:dyDescent="0.25">
      <c r="A1196" s="1" t="s">
        <v>1198</v>
      </c>
      <c r="B1196" s="1" t="s">
        <v>3849</v>
      </c>
      <c r="C1196" s="1" t="s">
        <v>2525</v>
      </c>
      <c r="D1196" t="str">
        <f t="shared" si="108"/>
        <v>C9C8CA</v>
      </c>
      <c r="E1196" t="str">
        <f t="shared" si="109"/>
        <v>201-200-202</v>
      </c>
      <c r="F1196" t="str">
        <f t="shared" si="110"/>
        <v>201200202</v>
      </c>
      <c r="G1196">
        <f t="shared" si="111"/>
        <v>201</v>
      </c>
      <c r="H1196">
        <f t="shared" si="112"/>
        <v>200</v>
      </c>
      <c r="I1196">
        <f t="shared" si="113"/>
        <v>202</v>
      </c>
      <c r="J1196" s="550" t="str" cm="1">
        <f t="array" ref="J1196">myRGB(G1196,H1196,I1196)</f>
        <v/>
      </c>
    </row>
    <row r="1197" spans="1:10" ht="17" x14ac:dyDescent="0.25">
      <c r="A1197" s="1" t="s">
        <v>1199</v>
      </c>
      <c r="B1197" s="1" t="s">
        <v>3850</v>
      </c>
      <c r="C1197" s="1" t="s">
        <v>2526</v>
      </c>
      <c r="D1197" t="str">
        <f t="shared" si="108"/>
        <v>CCC7C9</v>
      </c>
      <c r="E1197" t="str">
        <f t="shared" si="109"/>
        <v>204-199-201</v>
      </c>
      <c r="F1197" t="str">
        <f t="shared" si="110"/>
        <v>204199201</v>
      </c>
      <c r="G1197">
        <f t="shared" si="111"/>
        <v>204</v>
      </c>
      <c r="H1197">
        <f t="shared" si="112"/>
        <v>199</v>
      </c>
      <c r="I1197">
        <f t="shared" si="113"/>
        <v>201</v>
      </c>
      <c r="J1197" s="827" t="str" cm="1">
        <f t="array" ref="J1197">myRGB(G1197,H1197,I1197)</f>
        <v/>
      </c>
    </row>
    <row r="1198" spans="1:10" ht="17" x14ac:dyDescent="0.25">
      <c r="A1198" s="1" t="s">
        <v>1200</v>
      </c>
      <c r="B1198" s="1" t="s">
        <v>3851</v>
      </c>
      <c r="C1198" s="1" t="s">
        <v>2527</v>
      </c>
      <c r="D1198" t="str">
        <f t="shared" si="108"/>
        <v>C8C9CA</v>
      </c>
      <c r="E1198" t="str">
        <f t="shared" si="109"/>
        <v>200-201-202</v>
      </c>
      <c r="F1198" t="str">
        <f t="shared" si="110"/>
        <v>200201202</v>
      </c>
      <c r="G1198">
        <f t="shared" si="111"/>
        <v>200</v>
      </c>
      <c r="H1198">
        <f t="shared" si="112"/>
        <v>201</v>
      </c>
      <c r="I1198">
        <f t="shared" si="113"/>
        <v>202</v>
      </c>
      <c r="J1198" s="826" t="str" cm="1">
        <f t="array" ref="J1198">myRGB(G1198,H1198,I1198)</f>
        <v/>
      </c>
    </row>
    <row r="1199" spans="1:10" ht="17" x14ac:dyDescent="0.25">
      <c r="A1199" s="1" t="s">
        <v>1201</v>
      </c>
      <c r="B1199" s="1" t="s">
        <v>3852</v>
      </c>
      <c r="C1199" s="1" t="s">
        <v>2528</v>
      </c>
      <c r="D1199" t="str">
        <f t="shared" si="108"/>
        <v>CBC8C7</v>
      </c>
      <c r="E1199" t="str">
        <f t="shared" si="109"/>
        <v>203-200-199</v>
      </c>
      <c r="F1199" t="str">
        <f t="shared" si="110"/>
        <v>203200199</v>
      </c>
      <c r="G1199">
        <f t="shared" si="111"/>
        <v>203</v>
      </c>
      <c r="H1199">
        <f t="shared" si="112"/>
        <v>200</v>
      </c>
      <c r="I1199">
        <f t="shared" si="113"/>
        <v>199</v>
      </c>
      <c r="J1199" s="1156" t="str" cm="1">
        <f t="array" ref="J1199">myRGB(G1199,H1199,I1199)</f>
        <v/>
      </c>
    </row>
    <row r="1200" spans="1:10" ht="17" x14ac:dyDescent="0.25">
      <c r="A1200" s="1" t="s">
        <v>1202</v>
      </c>
      <c r="B1200" s="1" t="s">
        <v>3853</v>
      </c>
      <c r="C1200" s="1" t="s">
        <v>2529</v>
      </c>
      <c r="D1200" t="str">
        <f t="shared" si="108"/>
        <v>C9C7C9</v>
      </c>
      <c r="E1200" t="str">
        <f t="shared" si="109"/>
        <v>201-199-201</v>
      </c>
      <c r="F1200" t="str">
        <f t="shared" si="110"/>
        <v>201199201</v>
      </c>
      <c r="G1200">
        <f t="shared" si="111"/>
        <v>201</v>
      </c>
      <c r="H1200">
        <f t="shared" si="112"/>
        <v>199</v>
      </c>
      <c r="I1200">
        <f t="shared" si="113"/>
        <v>201</v>
      </c>
      <c r="J1200" s="722" t="str" cm="1">
        <f t="array" ref="J1200">myRGB(G1200,H1200,I1200)</f>
        <v/>
      </c>
    </row>
    <row r="1201" spans="1:10" ht="17" x14ac:dyDescent="0.25">
      <c r="A1201" s="1" t="s">
        <v>1203</v>
      </c>
      <c r="B1201" s="1" t="s">
        <v>3854</v>
      </c>
      <c r="C1201" s="1" t="s">
        <v>2530</v>
      </c>
      <c r="D1201" t="str">
        <f t="shared" si="108"/>
        <v>C7CACC</v>
      </c>
      <c r="E1201" t="str">
        <f t="shared" si="109"/>
        <v>199-202-204</v>
      </c>
      <c r="F1201" t="str">
        <f t="shared" si="110"/>
        <v>199202204</v>
      </c>
      <c r="G1201">
        <f t="shared" si="111"/>
        <v>199</v>
      </c>
      <c r="H1201">
        <f t="shared" si="112"/>
        <v>202</v>
      </c>
      <c r="I1201">
        <f t="shared" si="113"/>
        <v>204</v>
      </c>
      <c r="J1201" s="783" t="str" cm="1">
        <f t="array" ref="J1201">myRGB(G1201,H1201,I1201)</f>
        <v/>
      </c>
    </row>
    <row r="1202" spans="1:10" ht="17" x14ac:dyDescent="0.25">
      <c r="A1202" s="1" t="s">
        <v>1204</v>
      </c>
      <c r="B1202" s="1" t="s">
        <v>3855</v>
      </c>
      <c r="C1202" s="1" t="s">
        <v>2531</v>
      </c>
      <c r="D1202" t="str">
        <f t="shared" si="108"/>
        <v>C8C7CC</v>
      </c>
      <c r="E1202" t="str">
        <f t="shared" si="109"/>
        <v>200-199-204</v>
      </c>
      <c r="F1202" t="str">
        <f t="shared" si="110"/>
        <v>200199204</v>
      </c>
      <c r="G1202">
        <f t="shared" si="111"/>
        <v>200</v>
      </c>
      <c r="H1202">
        <f t="shared" si="112"/>
        <v>199</v>
      </c>
      <c r="I1202">
        <f t="shared" si="113"/>
        <v>204</v>
      </c>
      <c r="J1202" s="574" t="str" cm="1">
        <f t="array" ref="J1202">myRGB(G1202,H1202,I1202)</f>
        <v/>
      </c>
    </row>
    <row r="1203" spans="1:10" ht="17" x14ac:dyDescent="0.25">
      <c r="A1203" s="1" t="s">
        <v>1205</v>
      </c>
      <c r="B1203" s="1" t="s">
        <v>3856</v>
      </c>
      <c r="C1203" s="1" t="s">
        <v>2532</v>
      </c>
      <c r="D1203" t="str">
        <f t="shared" si="108"/>
        <v>CCCCCC</v>
      </c>
      <c r="E1203" t="str">
        <f t="shared" si="109"/>
        <v>204-204-204</v>
      </c>
      <c r="F1203" t="str">
        <f t="shared" si="110"/>
        <v>204204204</v>
      </c>
      <c r="G1203">
        <f t="shared" si="111"/>
        <v>204</v>
      </c>
      <c r="H1203">
        <f t="shared" si="112"/>
        <v>204</v>
      </c>
      <c r="I1203">
        <f t="shared" si="113"/>
        <v>204</v>
      </c>
      <c r="J1203" s="847" t="str" cm="1">
        <f t="array" ref="J1203">myRGB(G1203,H1203,I1203)</f>
        <v/>
      </c>
    </row>
    <row r="1204" spans="1:10" ht="17" x14ac:dyDescent="0.25">
      <c r="A1204" s="1" t="s">
        <v>1206</v>
      </c>
      <c r="B1204" s="1" t="s">
        <v>3857</v>
      </c>
      <c r="C1204" s="1" t="s">
        <v>2533</v>
      </c>
      <c r="D1204" t="str">
        <f t="shared" si="108"/>
        <v>CCCAC7</v>
      </c>
      <c r="E1204" t="str">
        <f t="shared" si="109"/>
        <v>204-202-199</v>
      </c>
      <c r="F1204" t="str">
        <f t="shared" si="110"/>
        <v>204202199</v>
      </c>
      <c r="G1204">
        <f t="shared" si="111"/>
        <v>204</v>
      </c>
      <c r="H1204">
        <f t="shared" si="112"/>
        <v>202</v>
      </c>
      <c r="I1204">
        <f t="shared" si="113"/>
        <v>199</v>
      </c>
      <c r="J1204" s="782" t="str" cm="1">
        <f t="array" ref="J1204">myRGB(G1204,H1204,I1204)</f>
        <v/>
      </c>
    </row>
    <row r="1205" spans="1:10" ht="17" x14ac:dyDescent="0.25">
      <c r="A1205" s="1" t="s">
        <v>1207</v>
      </c>
      <c r="B1205" s="1" t="s">
        <v>3858</v>
      </c>
      <c r="C1205" s="1" t="s">
        <v>2534</v>
      </c>
      <c r="D1205" t="str">
        <f t="shared" si="108"/>
        <v>C8CCC8</v>
      </c>
      <c r="E1205" t="str">
        <f t="shared" si="109"/>
        <v>200-204-200</v>
      </c>
      <c r="F1205" t="str">
        <f t="shared" si="110"/>
        <v>200204200</v>
      </c>
      <c r="G1205">
        <f t="shared" si="111"/>
        <v>200</v>
      </c>
      <c r="H1205">
        <f t="shared" si="112"/>
        <v>204</v>
      </c>
      <c r="I1205">
        <f t="shared" si="113"/>
        <v>200</v>
      </c>
      <c r="J1205" s="1229" t="str" cm="1">
        <f t="array" ref="J1205">myRGB(G1205,H1205,I1205)</f>
        <v/>
      </c>
    </row>
    <row r="1206" spans="1:10" ht="17" x14ac:dyDescent="0.25">
      <c r="A1206" s="1" t="s">
        <v>1208</v>
      </c>
      <c r="B1206" s="1" t="s">
        <v>3859</v>
      </c>
      <c r="C1206" s="1" t="s">
        <v>2535</v>
      </c>
      <c r="D1206" t="str">
        <f t="shared" si="108"/>
        <v>C8C7CA</v>
      </c>
      <c r="E1206" t="str">
        <f t="shared" si="109"/>
        <v>200-199-202</v>
      </c>
      <c r="F1206" t="str">
        <f t="shared" si="110"/>
        <v>200199202</v>
      </c>
      <c r="G1206">
        <f t="shared" si="111"/>
        <v>200</v>
      </c>
      <c r="H1206">
        <f t="shared" si="112"/>
        <v>199</v>
      </c>
      <c r="I1206">
        <f t="shared" si="113"/>
        <v>202</v>
      </c>
      <c r="J1206" s="1285" t="str" cm="1">
        <f t="array" ref="J1206">myRGB(G1206,H1206,I1206)</f>
        <v/>
      </c>
    </row>
    <row r="1207" spans="1:10" ht="17" x14ac:dyDescent="0.25">
      <c r="A1207" s="1" t="s">
        <v>1209</v>
      </c>
      <c r="B1207" s="1" t="s">
        <v>3860</v>
      </c>
      <c r="C1207" s="1" t="s">
        <v>2536</v>
      </c>
      <c r="D1207" t="str">
        <f t="shared" si="108"/>
        <v>C7C8CB</v>
      </c>
      <c r="E1207" t="str">
        <f t="shared" si="109"/>
        <v>199-200-203</v>
      </c>
      <c r="F1207" t="str">
        <f t="shared" si="110"/>
        <v>199200203</v>
      </c>
      <c r="G1207">
        <f t="shared" si="111"/>
        <v>199</v>
      </c>
      <c r="H1207">
        <f t="shared" si="112"/>
        <v>200</v>
      </c>
      <c r="I1207">
        <f t="shared" si="113"/>
        <v>203</v>
      </c>
      <c r="J1207" s="1157" t="str" cm="1">
        <f t="array" ref="J1207">myRGB(G1207,H1207,I1207)</f>
        <v/>
      </c>
    </row>
    <row r="1208" spans="1:10" ht="17" x14ac:dyDescent="0.25">
      <c r="A1208" s="1" t="s">
        <v>1210</v>
      </c>
      <c r="B1208" s="1" t="s">
        <v>3861</v>
      </c>
      <c r="C1208" s="1" t="s">
        <v>2537</v>
      </c>
      <c r="D1208" t="str">
        <f t="shared" si="108"/>
        <v>CBC7CA</v>
      </c>
      <c r="E1208" t="str">
        <f t="shared" si="109"/>
        <v>203-199-202</v>
      </c>
      <c r="F1208" t="str">
        <f t="shared" si="110"/>
        <v>203199202</v>
      </c>
      <c r="G1208">
        <f t="shared" si="111"/>
        <v>203</v>
      </c>
      <c r="H1208">
        <f t="shared" si="112"/>
        <v>199</v>
      </c>
      <c r="I1208">
        <f t="shared" si="113"/>
        <v>202</v>
      </c>
      <c r="J1208" s="1322" t="str" cm="1">
        <f t="array" ref="J1208">myRGB(G1208,H1208,I1208)</f>
        <v/>
      </c>
    </row>
    <row r="1209" spans="1:10" ht="17" x14ac:dyDescent="0.25">
      <c r="A1209" s="1" t="s">
        <v>1211</v>
      </c>
      <c r="B1209" s="1" t="s">
        <v>3862</v>
      </c>
      <c r="C1209" s="1" t="s">
        <v>2538</v>
      </c>
      <c r="D1209" t="str">
        <f t="shared" si="108"/>
        <v>C7C9C9</v>
      </c>
      <c r="E1209" t="str">
        <f t="shared" si="109"/>
        <v>199-201-201</v>
      </c>
      <c r="F1209" t="str">
        <f t="shared" si="110"/>
        <v>199201201</v>
      </c>
      <c r="G1209">
        <f t="shared" si="111"/>
        <v>199</v>
      </c>
      <c r="H1209">
        <f t="shared" si="112"/>
        <v>201</v>
      </c>
      <c r="I1209">
        <f t="shared" si="113"/>
        <v>201</v>
      </c>
      <c r="J1209" s="663" t="str" cm="1">
        <f t="array" ref="J1209">myRGB(G1209,H1209,I1209)</f>
        <v/>
      </c>
    </row>
    <row r="1210" spans="1:10" ht="17" x14ac:dyDescent="0.25">
      <c r="A1210" s="1" t="s">
        <v>1212</v>
      </c>
      <c r="B1210" s="1" t="s">
        <v>3863</v>
      </c>
      <c r="C1210" s="1" t="s">
        <v>2539</v>
      </c>
      <c r="D1210" t="str">
        <f t="shared" si="108"/>
        <v>C9C7CC</v>
      </c>
      <c r="E1210" t="str">
        <f t="shared" si="109"/>
        <v>201-199-204</v>
      </c>
      <c r="F1210" t="str">
        <f t="shared" si="110"/>
        <v>201199204</v>
      </c>
      <c r="G1210">
        <f t="shared" si="111"/>
        <v>201</v>
      </c>
      <c r="H1210">
        <f t="shared" si="112"/>
        <v>199</v>
      </c>
      <c r="I1210">
        <f t="shared" si="113"/>
        <v>204</v>
      </c>
      <c r="J1210" s="549" t="str" cm="1">
        <f t="array" ref="J1210">myRGB(G1210,H1210,I1210)</f>
        <v/>
      </c>
    </row>
    <row r="1211" spans="1:10" ht="17" x14ac:dyDescent="0.25">
      <c r="A1211" s="1" t="s">
        <v>1213</v>
      </c>
      <c r="B1211" s="1" t="s">
        <v>3864</v>
      </c>
      <c r="C1211" s="1" t="s">
        <v>2540</v>
      </c>
      <c r="D1211" t="str">
        <f t="shared" si="108"/>
        <v>C7CACB</v>
      </c>
      <c r="E1211" t="str">
        <f t="shared" si="109"/>
        <v>199-202-203</v>
      </c>
      <c r="F1211" t="str">
        <f t="shared" si="110"/>
        <v>199202203</v>
      </c>
      <c r="G1211">
        <f t="shared" si="111"/>
        <v>199</v>
      </c>
      <c r="H1211">
        <f t="shared" si="112"/>
        <v>202</v>
      </c>
      <c r="I1211">
        <f t="shared" si="113"/>
        <v>203</v>
      </c>
      <c r="J1211" s="1158" t="str" cm="1">
        <f t="array" ref="J1211">myRGB(G1211,H1211,I1211)</f>
        <v/>
      </c>
    </row>
    <row r="1212" spans="1:10" ht="17" x14ac:dyDescent="0.25">
      <c r="A1212" s="1" t="s">
        <v>1214</v>
      </c>
      <c r="B1212" s="1" t="s">
        <v>3865</v>
      </c>
      <c r="C1212" s="1" t="s">
        <v>2541</v>
      </c>
      <c r="D1212" t="str">
        <f t="shared" si="108"/>
        <v>CCC8C8</v>
      </c>
      <c r="E1212" t="str">
        <f t="shared" si="109"/>
        <v>204-200-200</v>
      </c>
      <c r="F1212" t="str">
        <f t="shared" si="110"/>
        <v>204200200</v>
      </c>
      <c r="G1212">
        <f t="shared" si="111"/>
        <v>204</v>
      </c>
      <c r="H1212">
        <f t="shared" si="112"/>
        <v>200</v>
      </c>
      <c r="I1212">
        <f t="shared" si="113"/>
        <v>200</v>
      </c>
      <c r="J1212" s="1286" t="str" cm="1">
        <f t="array" ref="J1212">myRGB(G1212,H1212,I1212)</f>
        <v/>
      </c>
    </row>
    <row r="1213" spans="1:10" ht="17" x14ac:dyDescent="0.25">
      <c r="A1213" s="1" t="s">
        <v>1215</v>
      </c>
      <c r="B1213" s="1" t="s">
        <v>3866</v>
      </c>
      <c r="C1213" s="1" t="s">
        <v>2542</v>
      </c>
      <c r="D1213" t="str">
        <f t="shared" si="108"/>
        <v>C7CBCC</v>
      </c>
      <c r="E1213" t="str">
        <f t="shared" si="109"/>
        <v>199-203-204</v>
      </c>
      <c r="F1213" t="str">
        <f t="shared" si="110"/>
        <v>199203204</v>
      </c>
      <c r="G1213">
        <f t="shared" si="111"/>
        <v>199</v>
      </c>
      <c r="H1213">
        <f t="shared" si="112"/>
        <v>203</v>
      </c>
      <c r="I1213">
        <f t="shared" si="113"/>
        <v>204</v>
      </c>
      <c r="J1213" s="721" t="str" cm="1">
        <f t="array" ref="J1213">myRGB(G1213,H1213,I1213)</f>
        <v/>
      </c>
    </row>
    <row r="1214" spans="1:10" ht="17" x14ac:dyDescent="0.25">
      <c r="A1214" s="1" t="s">
        <v>1216</v>
      </c>
      <c r="B1214" s="1" t="s">
        <v>3867</v>
      </c>
      <c r="C1214" s="1" t="s">
        <v>2543</v>
      </c>
      <c r="D1214" t="str">
        <f t="shared" si="108"/>
        <v>C7CACA</v>
      </c>
      <c r="E1214" t="str">
        <f t="shared" si="109"/>
        <v>199-202-202</v>
      </c>
      <c r="F1214" t="str">
        <f t="shared" si="110"/>
        <v>199202202</v>
      </c>
      <c r="G1214">
        <f t="shared" si="111"/>
        <v>199</v>
      </c>
      <c r="H1214">
        <f t="shared" si="112"/>
        <v>202</v>
      </c>
      <c r="I1214">
        <f t="shared" si="113"/>
        <v>202</v>
      </c>
      <c r="J1214" s="662" t="str" cm="1">
        <f t="array" ref="J1214">myRGB(G1214,H1214,I1214)</f>
        <v/>
      </c>
    </row>
    <row r="1215" spans="1:10" ht="17" x14ac:dyDescent="0.25">
      <c r="A1215" s="1" t="s">
        <v>1217</v>
      </c>
      <c r="B1215" s="1" t="s">
        <v>3868</v>
      </c>
      <c r="C1215" s="1" t="s">
        <v>2544</v>
      </c>
      <c r="D1215" t="str">
        <f t="shared" si="108"/>
        <v>CACCCA</v>
      </c>
      <c r="E1215" t="str">
        <f t="shared" si="109"/>
        <v>202-204-202</v>
      </c>
      <c r="F1215" t="str">
        <f t="shared" si="110"/>
        <v>202204202</v>
      </c>
      <c r="G1215">
        <f t="shared" si="111"/>
        <v>202</v>
      </c>
      <c r="H1215">
        <f t="shared" si="112"/>
        <v>204</v>
      </c>
      <c r="I1215">
        <f t="shared" si="113"/>
        <v>202</v>
      </c>
      <c r="J1215" s="1159" t="str" cm="1">
        <f t="array" ref="J1215">myRGB(G1215,H1215,I1215)</f>
        <v/>
      </c>
    </row>
    <row r="1216" spans="1:10" ht="17" x14ac:dyDescent="0.25">
      <c r="A1216" s="1" t="s">
        <v>1218</v>
      </c>
      <c r="B1216" s="1" t="s">
        <v>3869</v>
      </c>
      <c r="C1216" s="1" t="s">
        <v>2545</v>
      </c>
      <c r="D1216" t="str">
        <f t="shared" si="108"/>
        <v>CACCCC</v>
      </c>
      <c r="E1216" t="str">
        <f t="shared" si="109"/>
        <v>202-204-204</v>
      </c>
      <c r="F1216" t="str">
        <f t="shared" si="110"/>
        <v>202204204</v>
      </c>
      <c r="G1216">
        <f t="shared" si="111"/>
        <v>202</v>
      </c>
      <c r="H1216">
        <f t="shared" si="112"/>
        <v>204</v>
      </c>
      <c r="I1216">
        <f t="shared" si="113"/>
        <v>204</v>
      </c>
      <c r="J1216" s="1230" t="str" cm="1">
        <f t="array" ref="J1216">myRGB(G1216,H1216,I1216)</f>
        <v/>
      </c>
    </row>
    <row r="1217" spans="1:10" ht="17" x14ac:dyDescent="0.25">
      <c r="A1217" s="1" t="s">
        <v>1219</v>
      </c>
      <c r="B1217" s="1" t="s">
        <v>3870</v>
      </c>
      <c r="C1217" s="1" t="s">
        <v>2546</v>
      </c>
      <c r="D1217" t="str">
        <f t="shared" si="108"/>
        <v>CCC9CA</v>
      </c>
      <c r="E1217" t="str">
        <f t="shared" si="109"/>
        <v>204-201-202</v>
      </c>
      <c r="F1217" t="str">
        <f t="shared" si="110"/>
        <v>204201202</v>
      </c>
      <c r="G1217">
        <f t="shared" si="111"/>
        <v>204</v>
      </c>
      <c r="H1217">
        <f t="shared" si="112"/>
        <v>201</v>
      </c>
      <c r="I1217">
        <f t="shared" si="113"/>
        <v>202</v>
      </c>
      <c r="J1217" s="1287" t="str" cm="1">
        <f t="array" ref="J1217">myRGB(G1217,H1217,I1217)</f>
        <v/>
      </c>
    </row>
    <row r="1218" spans="1:10" ht="17" x14ac:dyDescent="0.25">
      <c r="A1218" s="1" t="s">
        <v>1220</v>
      </c>
      <c r="B1218" s="1" t="s">
        <v>3871</v>
      </c>
      <c r="C1218" s="1" t="s">
        <v>2547</v>
      </c>
      <c r="D1218" t="str">
        <f t="shared" si="108"/>
        <v>CBC9C7</v>
      </c>
      <c r="E1218" t="str">
        <f t="shared" si="109"/>
        <v>203-201-199</v>
      </c>
      <c r="F1218" t="str">
        <f t="shared" si="110"/>
        <v>203201199</v>
      </c>
      <c r="G1218">
        <f t="shared" si="111"/>
        <v>203</v>
      </c>
      <c r="H1218">
        <f t="shared" si="112"/>
        <v>201</v>
      </c>
      <c r="I1218">
        <f t="shared" si="113"/>
        <v>199</v>
      </c>
      <c r="J1218" s="615" t="str" cm="1">
        <f t="array" ref="J1218">myRGB(G1218,H1218,I1218)</f>
        <v/>
      </c>
    </row>
    <row r="1219" spans="1:10" ht="17" x14ac:dyDescent="0.25">
      <c r="A1219" s="1" t="s">
        <v>1221</v>
      </c>
      <c r="B1219" s="1" t="s">
        <v>3872</v>
      </c>
      <c r="C1219" s="1" t="s">
        <v>2548</v>
      </c>
      <c r="D1219" t="str">
        <f t="shared" si="108"/>
        <v>CCC8CA</v>
      </c>
      <c r="E1219" t="str">
        <f t="shared" si="109"/>
        <v>204-200-202</v>
      </c>
      <c r="F1219" t="str">
        <f t="shared" si="110"/>
        <v>204200202</v>
      </c>
      <c r="G1219">
        <f t="shared" si="111"/>
        <v>204</v>
      </c>
      <c r="H1219">
        <f t="shared" si="112"/>
        <v>200</v>
      </c>
      <c r="I1219">
        <f t="shared" si="113"/>
        <v>202</v>
      </c>
      <c r="J1219" s="800" t="str" cm="1">
        <f t="array" ref="J1219">myRGB(G1219,H1219,I1219)</f>
        <v/>
      </c>
    </row>
    <row r="1220" spans="1:10" ht="17" x14ac:dyDescent="0.25">
      <c r="A1220" s="1" t="s">
        <v>1222</v>
      </c>
      <c r="B1220" s="1" t="s">
        <v>3873</v>
      </c>
      <c r="C1220" s="1" t="s">
        <v>2549</v>
      </c>
      <c r="D1220" t="str">
        <f t="shared" ref="D1220:D1283" si="114">RIGHT(LEFT(C1220,9),6)</f>
        <v>CACBC7</v>
      </c>
      <c r="E1220" t="str">
        <f t="shared" ref="E1220:E1283" si="115">HEX2DEC(LEFT(D1220,2))&amp;"-"&amp;HEX2DEC(MID(D1220,3,2))&amp;"-"&amp;HEX2DEC(RIGHT(D1220,2))</f>
        <v>202-203-199</v>
      </c>
      <c r="F1220" t="str">
        <f t="shared" ref="F1220:F1283" si="116">HEX2DEC(LEFT(D1220,2))&amp;HEX2DEC(MID(D1220,3,2))&amp;HEX2DEC(RIGHT(D1220,2))</f>
        <v>202203199</v>
      </c>
      <c r="G1220">
        <f t="shared" ref="G1220:G1283" si="117">HEX2DEC(LEFT(D1220,2))</f>
        <v>202</v>
      </c>
      <c r="H1220">
        <f t="shared" ref="H1220:H1283" si="118">HEX2DEC(MID(D1220,3,2))</f>
        <v>203</v>
      </c>
      <c r="I1220">
        <f t="shared" ref="I1220:I1283" si="119">HEX2DEC(RIGHT(D1220,2))</f>
        <v>199</v>
      </c>
      <c r="J1220" s="730" t="str" cm="1">
        <f t="array" ref="J1220">myRGB(G1220,H1220,I1220)</f>
        <v/>
      </c>
    </row>
    <row r="1221" spans="1:10" ht="17" x14ac:dyDescent="0.25">
      <c r="A1221" s="1" t="s">
        <v>1223</v>
      </c>
      <c r="B1221" s="1" t="s">
        <v>3874</v>
      </c>
      <c r="C1221" s="1" t="s">
        <v>2550</v>
      </c>
      <c r="D1221" t="str">
        <f t="shared" si="114"/>
        <v>C8CACB</v>
      </c>
      <c r="E1221" t="str">
        <f t="shared" si="115"/>
        <v>200-202-203</v>
      </c>
      <c r="F1221" t="str">
        <f t="shared" si="116"/>
        <v>200202203</v>
      </c>
      <c r="G1221">
        <f t="shared" si="117"/>
        <v>200</v>
      </c>
      <c r="H1221">
        <f t="shared" si="118"/>
        <v>202</v>
      </c>
      <c r="I1221">
        <f t="shared" si="119"/>
        <v>203</v>
      </c>
      <c r="J1221" s="687" t="str" cm="1">
        <f t="array" ref="J1221">myRGB(G1221,H1221,I1221)</f>
        <v/>
      </c>
    </row>
    <row r="1222" spans="1:10" ht="17" x14ac:dyDescent="0.25">
      <c r="A1222" s="1" t="s">
        <v>1224</v>
      </c>
      <c r="B1222" s="1" t="s">
        <v>3875</v>
      </c>
      <c r="C1222" s="1" t="s">
        <v>2551</v>
      </c>
      <c r="D1222" t="str">
        <f t="shared" si="114"/>
        <v>CBCBCA</v>
      </c>
      <c r="E1222" t="str">
        <f t="shared" si="115"/>
        <v>203-203-202</v>
      </c>
      <c r="F1222" t="str">
        <f t="shared" si="116"/>
        <v>203203202</v>
      </c>
      <c r="G1222">
        <f t="shared" si="117"/>
        <v>203</v>
      </c>
      <c r="H1222">
        <f t="shared" si="118"/>
        <v>203</v>
      </c>
      <c r="I1222">
        <f t="shared" si="119"/>
        <v>202</v>
      </c>
      <c r="J1222" s="1288" t="str" cm="1">
        <f t="array" ref="J1222">myRGB(G1222,H1222,I1222)</f>
        <v/>
      </c>
    </row>
    <row r="1223" spans="1:10" ht="17" x14ac:dyDescent="0.25">
      <c r="A1223" s="1" t="s">
        <v>1225</v>
      </c>
      <c r="B1223" s="1" t="s">
        <v>3876</v>
      </c>
      <c r="C1223" s="1" t="s">
        <v>2552</v>
      </c>
      <c r="D1223" t="str">
        <f t="shared" si="114"/>
        <v>CCCACB</v>
      </c>
      <c r="E1223" t="str">
        <f t="shared" si="115"/>
        <v>204-202-203</v>
      </c>
      <c r="F1223" t="str">
        <f t="shared" si="116"/>
        <v>204202203</v>
      </c>
      <c r="G1223">
        <f t="shared" si="117"/>
        <v>204</v>
      </c>
      <c r="H1223">
        <f t="shared" si="118"/>
        <v>202</v>
      </c>
      <c r="I1223">
        <f t="shared" si="119"/>
        <v>203</v>
      </c>
      <c r="J1223" s="621" t="str" cm="1">
        <f t="array" ref="J1223">myRGB(G1223,H1223,I1223)</f>
        <v/>
      </c>
    </row>
    <row r="1224" spans="1:10" ht="17" x14ac:dyDescent="0.25">
      <c r="A1224" s="1" t="s">
        <v>1226</v>
      </c>
      <c r="B1224" s="1" t="s">
        <v>3877</v>
      </c>
      <c r="C1224" s="1" t="s">
        <v>2553</v>
      </c>
      <c r="D1224" t="str">
        <f t="shared" si="114"/>
        <v>CBCCCA</v>
      </c>
      <c r="E1224" t="str">
        <f t="shared" si="115"/>
        <v>203-204-202</v>
      </c>
      <c r="F1224" t="str">
        <f t="shared" si="116"/>
        <v>203204202</v>
      </c>
      <c r="G1224">
        <f t="shared" si="117"/>
        <v>203</v>
      </c>
      <c r="H1224">
        <f t="shared" si="118"/>
        <v>204</v>
      </c>
      <c r="I1224">
        <f t="shared" si="119"/>
        <v>202</v>
      </c>
      <c r="J1224" s="1244" t="str" cm="1">
        <f t="array" ref="J1224">myRGB(G1224,H1224,I1224)</f>
        <v/>
      </c>
    </row>
    <row r="1225" spans="1:10" ht="17" x14ac:dyDescent="0.25">
      <c r="A1225" s="1" t="s">
        <v>1227</v>
      </c>
      <c r="B1225" s="1" t="s">
        <v>3878</v>
      </c>
      <c r="C1225" s="1" t="s">
        <v>2554</v>
      </c>
      <c r="D1225" t="str">
        <f t="shared" si="114"/>
        <v>CACBCC</v>
      </c>
      <c r="E1225" t="str">
        <f t="shared" si="115"/>
        <v>202-203-204</v>
      </c>
      <c r="F1225" t="str">
        <f t="shared" si="116"/>
        <v>202203204</v>
      </c>
      <c r="G1225">
        <f t="shared" si="117"/>
        <v>202</v>
      </c>
      <c r="H1225">
        <f t="shared" si="118"/>
        <v>203</v>
      </c>
      <c r="I1225">
        <f t="shared" si="119"/>
        <v>204</v>
      </c>
      <c r="J1225" s="1192" t="str" cm="1">
        <f t="array" ref="J1225">myRGB(G1225,H1225,I1225)</f>
        <v/>
      </c>
    </row>
    <row r="1226" spans="1:10" ht="17" x14ac:dyDescent="0.25">
      <c r="A1226" s="1" t="s">
        <v>1228</v>
      </c>
      <c r="B1226" s="1" t="s">
        <v>3879</v>
      </c>
      <c r="C1226" s="1" t="s">
        <v>2555</v>
      </c>
      <c r="D1226" t="str">
        <f t="shared" si="114"/>
        <v>C7CBC9</v>
      </c>
      <c r="E1226" t="str">
        <f t="shared" si="115"/>
        <v>199-203-201</v>
      </c>
      <c r="F1226" t="str">
        <f t="shared" si="116"/>
        <v>199203201</v>
      </c>
      <c r="G1226">
        <f t="shared" si="117"/>
        <v>199</v>
      </c>
      <c r="H1226">
        <f t="shared" si="118"/>
        <v>203</v>
      </c>
      <c r="I1226">
        <f t="shared" si="119"/>
        <v>201</v>
      </c>
      <c r="J1226" s="1231" t="str" cm="1">
        <f t="array" ref="J1226">myRGB(G1226,H1226,I1226)</f>
        <v/>
      </c>
    </row>
    <row r="1227" spans="1:10" ht="17" x14ac:dyDescent="0.25">
      <c r="A1227" s="1" t="s">
        <v>1229</v>
      </c>
      <c r="B1227" s="1" t="s">
        <v>3880</v>
      </c>
      <c r="C1227" s="1" t="s">
        <v>2556</v>
      </c>
      <c r="D1227" t="str">
        <f t="shared" si="114"/>
        <v>CBCBC9</v>
      </c>
      <c r="E1227" t="str">
        <f t="shared" si="115"/>
        <v>203-203-201</v>
      </c>
      <c r="F1227" t="str">
        <f t="shared" si="116"/>
        <v>203203201</v>
      </c>
      <c r="G1227">
        <f t="shared" si="117"/>
        <v>203</v>
      </c>
      <c r="H1227">
        <f t="shared" si="118"/>
        <v>203</v>
      </c>
      <c r="I1227">
        <f t="shared" si="119"/>
        <v>201</v>
      </c>
      <c r="J1227" s="1160" t="str" cm="1">
        <f t="array" ref="J1227">myRGB(G1227,H1227,I1227)</f>
        <v/>
      </c>
    </row>
    <row r="1228" spans="1:10" ht="17" x14ac:dyDescent="0.25">
      <c r="A1228" s="1" t="s">
        <v>1230</v>
      </c>
      <c r="B1228" s="1" t="s">
        <v>3881</v>
      </c>
      <c r="C1228" s="1" t="s">
        <v>2557</v>
      </c>
      <c r="D1228" t="str">
        <f t="shared" si="114"/>
        <v>C8CBC9</v>
      </c>
      <c r="E1228" t="str">
        <f t="shared" si="115"/>
        <v>200-203-201</v>
      </c>
      <c r="F1228" t="str">
        <f t="shared" si="116"/>
        <v>200203201</v>
      </c>
      <c r="G1228">
        <f t="shared" si="117"/>
        <v>200</v>
      </c>
      <c r="H1228">
        <f t="shared" si="118"/>
        <v>203</v>
      </c>
      <c r="I1228">
        <f t="shared" si="119"/>
        <v>201</v>
      </c>
      <c r="J1228" s="636" t="str" cm="1">
        <f t="array" ref="J1228">myRGB(G1228,H1228,I1228)</f>
        <v/>
      </c>
    </row>
    <row r="1229" spans="1:10" ht="17" x14ac:dyDescent="0.25">
      <c r="A1229" s="1" t="s">
        <v>1231</v>
      </c>
      <c r="B1229" s="1" t="s">
        <v>3882</v>
      </c>
      <c r="C1229" s="1" t="s">
        <v>2558</v>
      </c>
      <c r="D1229" t="str">
        <f t="shared" si="114"/>
        <v>CBC8C8</v>
      </c>
      <c r="E1229" t="str">
        <f t="shared" si="115"/>
        <v>203-200-200</v>
      </c>
      <c r="F1229" t="str">
        <f t="shared" si="116"/>
        <v>203200200</v>
      </c>
      <c r="G1229">
        <f t="shared" si="117"/>
        <v>203</v>
      </c>
      <c r="H1229">
        <f t="shared" si="118"/>
        <v>200</v>
      </c>
      <c r="I1229">
        <f t="shared" si="119"/>
        <v>200</v>
      </c>
      <c r="J1229" s="578" t="str" cm="1">
        <f t="array" ref="J1229">myRGB(G1229,H1229,I1229)</f>
        <v/>
      </c>
    </row>
    <row r="1230" spans="1:10" ht="17" x14ac:dyDescent="0.25">
      <c r="A1230" s="1" t="s">
        <v>1232</v>
      </c>
      <c r="B1230" s="1" t="s">
        <v>3883</v>
      </c>
      <c r="C1230" s="1" t="s">
        <v>2559</v>
      </c>
      <c r="D1230" t="str">
        <f t="shared" si="114"/>
        <v>CACAC7</v>
      </c>
      <c r="E1230" t="str">
        <f t="shared" si="115"/>
        <v>202-202-199</v>
      </c>
      <c r="F1230" t="str">
        <f t="shared" si="116"/>
        <v>202202199</v>
      </c>
      <c r="G1230">
        <f t="shared" si="117"/>
        <v>202</v>
      </c>
      <c r="H1230">
        <f t="shared" si="118"/>
        <v>202</v>
      </c>
      <c r="I1230">
        <f t="shared" si="119"/>
        <v>199</v>
      </c>
      <c r="J1230" s="790" t="str" cm="1">
        <f t="array" ref="J1230">myRGB(G1230,H1230,I1230)</f>
        <v/>
      </c>
    </row>
    <row r="1231" spans="1:10" ht="17" x14ac:dyDescent="0.25">
      <c r="A1231" s="1" t="s">
        <v>1233</v>
      </c>
      <c r="B1231" s="1" t="s">
        <v>3884</v>
      </c>
      <c r="C1231" s="1" t="s">
        <v>2560</v>
      </c>
      <c r="D1231" t="str">
        <f t="shared" si="114"/>
        <v>C8C8CC</v>
      </c>
      <c r="E1231" t="str">
        <f t="shared" si="115"/>
        <v>200-200-204</v>
      </c>
      <c r="F1231" t="str">
        <f t="shared" si="116"/>
        <v>200200204</v>
      </c>
      <c r="G1231">
        <f t="shared" si="117"/>
        <v>200</v>
      </c>
      <c r="H1231">
        <f t="shared" si="118"/>
        <v>200</v>
      </c>
      <c r="I1231">
        <f t="shared" si="119"/>
        <v>204</v>
      </c>
      <c r="J1231" s="561" t="str" cm="1">
        <f t="array" ref="J1231">myRGB(G1231,H1231,I1231)</f>
        <v/>
      </c>
    </row>
    <row r="1232" spans="1:10" ht="17" x14ac:dyDescent="0.25">
      <c r="A1232" s="1" t="s">
        <v>1234</v>
      </c>
      <c r="B1232" s="1" t="s">
        <v>3885</v>
      </c>
      <c r="C1232" s="1" t="s">
        <v>2561</v>
      </c>
      <c r="D1232" t="str">
        <f t="shared" si="114"/>
        <v>C8C8CB</v>
      </c>
      <c r="E1232" t="str">
        <f t="shared" si="115"/>
        <v>200-200-203</v>
      </c>
      <c r="F1232" t="str">
        <f t="shared" si="116"/>
        <v>200200203</v>
      </c>
      <c r="G1232">
        <f t="shared" si="117"/>
        <v>200</v>
      </c>
      <c r="H1232">
        <f t="shared" si="118"/>
        <v>200</v>
      </c>
      <c r="I1232">
        <f t="shared" si="119"/>
        <v>203</v>
      </c>
      <c r="J1232" s="688" t="str" cm="1">
        <f t="array" ref="J1232">myRGB(G1232,H1232,I1232)</f>
        <v/>
      </c>
    </row>
    <row r="1233" spans="1:10" ht="17" x14ac:dyDescent="0.25">
      <c r="A1233" s="1" t="s">
        <v>1235</v>
      </c>
      <c r="B1233" s="1" t="s">
        <v>3886</v>
      </c>
      <c r="C1233" s="1" t="s">
        <v>2562</v>
      </c>
      <c r="D1233" t="str">
        <f t="shared" si="114"/>
        <v>CACBC9</v>
      </c>
      <c r="E1233" t="str">
        <f t="shared" si="115"/>
        <v>202-203-201</v>
      </c>
      <c r="F1233" t="str">
        <f t="shared" si="116"/>
        <v>202203201</v>
      </c>
      <c r="G1233">
        <f t="shared" si="117"/>
        <v>202</v>
      </c>
      <c r="H1233">
        <f t="shared" si="118"/>
        <v>203</v>
      </c>
      <c r="I1233">
        <f t="shared" si="119"/>
        <v>201</v>
      </c>
      <c r="J1233" s="729" t="str" cm="1">
        <f t="array" ref="J1233">myRGB(G1233,H1233,I1233)</f>
        <v/>
      </c>
    </row>
    <row r="1234" spans="1:10" ht="17" x14ac:dyDescent="0.25">
      <c r="A1234" s="1" t="s">
        <v>1236</v>
      </c>
      <c r="B1234" s="1" t="s">
        <v>3887</v>
      </c>
      <c r="C1234" s="1" t="s">
        <v>2563</v>
      </c>
      <c r="D1234" t="str">
        <f t="shared" si="114"/>
        <v>CACBCA</v>
      </c>
      <c r="E1234" t="str">
        <f t="shared" si="115"/>
        <v>202-203-202</v>
      </c>
      <c r="F1234" t="str">
        <f t="shared" si="116"/>
        <v>202203202</v>
      </c>
      <c r="G1234">
        <f t="shared" si="117"/>
        <v>202</v>
      </c>
      <c r="H1234">
        <f t="shared" si="118"/>
        <v>203</v>
      </c>
      <c r="I1234">
        <f t="shared" si="119"/>
        <v>202</v>
      </c>
      <c r="J1234" s="1307" t="str" cm="1">
        <f t="array" ref="J1234">myRGB(G1234,H1234,I1234)</f>
        <v/>
      </c>
    </row>
    <row r="1235" spans="1:10" ht="17" x14ac:dyDescent="0.25">
      <c r="A1235" s="1" t="s">
        <v>1237</v>
      </c>
      <c r="B1235" s="1" t="s">
        <v>3888</v>
      </c>
      <c r="C1235" s="1" t="s">
        <v>2564</v>
      </c>
      <c r="D1235" t="str">
        <f t="shared" si="114"/>
        <v>CBCAC8</v>
      </c>
      <c r="E1235" t="str">
        <f t="shared" si="115"/>
        <v>203-202-200</v>
      </c>
      <c r="F1235" t="str">
        <f t="shared" si="116"/>
        <v>203202200</v>
      </c>
      <c r="G1235">
        <f t="shared" si="117"/>
        <v>203</v>
      </c>
      <c r="H1235">
        <f t="shared" si="118"/>
        <v>202</v>
      </c>
      <c r="I1235">
        <f t="shared" si="119"/>
        <v>200</v>
      </c>
      <c r="J1235" s="1161" t="str" cm="1">
        <f t="array" ref="J1235">myRGB(G1235,H1235,I1235)</f>
        <v/>
      </c>
    </row>
    <row r="1236" spans="1:10" ht="17" x14ac:dyDescent="0.25">
      <c r="A1236" s="1" t="s">
        <v>1238</v>
      </c>
      <c r="B1236" s="1" t="s">
        <v>3889</v>
      </c>
      <c r="C1236" s="1" t="s">
        <v>2565</v>
      </c>
      <c r="D1236" t="str">
        <f t="shared" si="114"/>
        <v>C8CAC8</v>
      </c>
      <c r="E1236" t="str">
        <f t="shared" si="115"/>
        <v>200-202-200</v>
      </c>
      <c r="F1236" t="str">
        <f t="shared" si="116"/>
        <v>200202200</v>
      </c>
      <c r="G1236">
        <f t="shared" si="117"/>
        <v>200</v>
      </c>
      <c r="H1236">
        <f t="shared" si="118"/>
        <v>202</v>
      </c>
      <c r="I1236">
        <f t="shared" si="119"/>
        <v>200</v>
      </c>
      <c r="J1236" s="1193" t="str" cm="1">
        <f t="array" ref="J1236">myRGB(G1236,H1236,I1236)</f>
        <v/>
      </c>
    </row>
    <row r="1237" spans="1:10" ht="17" x14ac:dyDescent="0.25">
      <c r="A1237" s="1" t="s">
        <v>1239</v>
      </c>
      <c r="B1237" s="1" t="s">
        <v>3890</v>
      </c>
      <c r="C1237" s="1" t="s">
        <v>2566</v>
      </c>
      <c r="D1237" t="str">
        <f t="shared" si="114"/>
        <v>CCC9CC</v>
      </c>
      <c r="E1237" t="str">
        <f t="shared" si="115"/>
        <v>204-201-204</v>
      </c>
      <c r="F1237" t="str">
        <f t="shared" si="116"/>
        <v>204201204</v>
      </c>
      <c r="G1237">
        <f t="shared" si="117"/>
        <v>204</v>
      </c>
      <c r="H1237">
        <f t="shared" si="118"/>
        <v>201</v>
      </c>
      <c r="I1237">
        <f t="shared" si="119"/>
        <v>204</v>
      </c>
      <c r="J1237" s="1232" t="str" cm="1">
        <f t="array" ref="J1237">myRGB(G1237,H1237,I1237)</f>
        <v/>
      </c>
    </row>
    <row r="1238" spans="1:10" ht="17" x14ac:dyDescent="0.25">
      <c r="A1238" s="1" t="s">
        <v>1240</v>
      </c>
      <c r="B1238" s="1" t="s">
        <v>3891</v>
      </c>
      <c r="C1238" s="1" t="s">
        <v>2567</v>
      </c>
      <c r="D1238" t="str">
        <f t="shared" si="114"/>
        <v>CBCACA</v>
      </c>
      <c r="E1238" t="str">
        <f t="shared" si="115"/>
        <v>203-202-202</v>
      </c>
      <c r="F1238" t="str">
        <f t="shared" si="116"/>
        <v>203202202</v>
      </c>
      <c r="G1238">
        <f t="shared" si="117"/>
        <v>203</v>
      </c>
      <c r="H1238">
        <f t="shared" si="118"/>
        <v>202</v>
      </c>
      <c r="I1238">
        <f t="shared" si="119"/>
        <v>202</v>
      </c>
      <c r="J1238" s="1289" t="str" cm="1">
        <f t="array" ref="J1238">myRGB(G1238,H1238,I1238)</f>
        <v/>
      </c>
    </row>
    <row r="1239" spans="1:10" ht="17" x14ac:dyDescent="0.25">
      <c r="A1239" s="1" t="s">
        <v>1241</v>
      </c>
      <c r="B1239" s="1" t="s">
        <v>3892</v>
      </c>
      <c r="C1239" s="1" t="s">
        <v>2568</v>
      </c>
      <c r="D1239" t="str">
        <f t="shared" si="114"/>
        <v>CCC8C7</v>
      </c>
      <c r="E1239" t="str">
        <f t="shared" si="115"/>
        <v>204-200-199</v>
      </c>
      <c r="F1239" t="str">
        <f t="shared" si="116"/>
        <v>204200199</v>
      </c>
      <c r="G1239">
        <f t="shared" si="117"/>
        <v>204</v>
      </c>
      <c r="H1239">
        <f t="shared" si="118"/>
        <v>200</v>
      </c>
      <c r="I1239">
        <f t="shared" si="119"/>
        <v>199</v>
      </c>
      <c r="J1239" s="1162" t="str" cm="1">
        <f t="array" ref="J1239">myRGB(G1239,H1239,I1239)</f>
        <v/>
      </c>
    </row>
    <row r="1240" spans="1:10" ht="17" x14ac:dyDescent="0.25">
      <c r="A1240" s="1" t="s">
        <v>1242</v>
      </c>
      <c r="B1240" s="1" t="s">
        <v>3893</v>
      </c>
      <c r="C1240" s="1" t="s">
        <v>2569</v>
      </c>
      <c r="D1240" t="str">
        <f t="shared" si="114"/>
        <v>CBCAC7</v>
      </c>
      <c r="E1240" t="str">
        <f t="shared" si="115"/>
        <v>203-202-199</v>
      </c>
      <c r="F1240" t="str">
        <f t="shared" si="116"/>
        <v>203202199</v>
      </c>
      <c r="G1240">
        <f t="shared" si="117"/>
        <v>203</v>
      </c>
      <c r="H1240">
        <f t="shared" si="118"/>
        <v>202</v>
      </c>
      <c r="I1240">
        <f t="shared" si="119"/>
        <v>199</v>
      </c>
      <c r="J1240" s="825" t="str" cm="1">
        <f t="array" ref="J1240">myRGB(G1240,H1240,I1240)</f>
        <v/>
      </c>
    </row>
    <row r="1241" spans="1:10" ht="17" x14ac:dyDescent="0.25">
      <c r="A1241" s="1" t="s">
        <v>1243</v>
      </c>
      <c r="B1241" s="1" t="s">
        <v>3894</v>
      </c>
      <c r="C1241" s="1" t="s">
        <v>2570</v>
      </c>
      <c r="D1241" t="str">
        <f t="shared" si="114"/>
        <v>C9CBC7</v>
      </c>
      <c r="E1241" t="str">
        <f t="shared" si="115"/>
        <v>201-203-199</v>
      </c>
      <c r="F1241" t="str">
        <f t="shared" si="116"/>
        <v>201203199</v>
      </c>
      <c r="G1241">
        <f t="shared" si="117"/>
        <v>201</v>
      </c>
      <c r="H1241">
        <f t="shared" si="118"/>
        <v>203</v>
      </c>
      <c r="I1241">
        <f t="shared" si="119"/>
        <v>199</v>
      </c>
      <c r="J1241" s="720" t="str" cm="1">
        <f t="array" ref="J1241">myRGB(G1241,H1241,I1241)</f>
        <v/>
      </c>
    </row>
    <row r="1242" spans="1:10" ht="17" x14ac:dyDescent="0.25">
      <c r="A1242" s="1" t="s">
        <v>1244</v>
      </c>
      <c r="B1242" s="1" t="s">
        <v>3895</v>
      </c>
      <c r="C1242" s="1" t="s">
        <v>2571</v>
      </c>
      <c r="D1242" t="str">
        <f t="shared" si="114"/>
        <v>C8C9CB</v>
      </c>
      <c r="E1242" t="str">
        <f t="shared" si="115"/>
        <v>200-201-203</v>
      </c>
      <c r="F1242" t="str">
        <f t="shared" si="116"/>
        <v>200201203</v>
      </c>
      <c r="G1242">
        <f t="shared" si="117"/>
        <v>200</v>
      </c>
      <c r="H1242">
        <f t="shared" si="118"/>
        <v>201</v>
      </c>
      <c r="I1242">
        <f t="shared" si="119"/>
        <v>203</v>
      </c>
      <c r="J1242" s="613" t="str" cm="1">
        <f t="array" ref="J1242">myRGB(G1242,H1242,I1242)</f>
        <v/>
      </c>
    </row>
    <row r="1243" spans="1:10" ht="17" x14ac:dyDescent="0.25">
      <c r="A1243" s="1" t="s">
        <v>1245</v>
      </c>
      <c r="B1243" s="1" t="s">
        <v>3896</v>
      </c>
      <c r="C1243" s="1" t="s">
        <v>2572</v>
      </c>
      <c r="D1243" t="str">
        <f t="shared" si="114"/>
        <v>C7CCCB</v>
      </c>
      <c r="E1243" t="str">
        <f t="shared" si="115"/>
        <v>199-204-203</v>
      </c>
      <c r="F1243" t="str">
        <f t="shared" si="116"/>
        <v>199204203</v>
      </c>
      <c r="G1243">
        <f t="shared" si="117"/>
        <v>199</v>
      </c>
      <c r="H1243">
        <f t="shared" si="118"/>
        <v>204</v>
      </c>
      <c r="I1243">
        <f t="shared" si="119"/>
        <v>203</v>
      </c>
      <c r="J1243" s="1163" t="str" cm="1">
        <f t="array" ref="J1243">myRGB(G1243,H1243,I1243)</f>
        <v/>
      </c>
    </row>
    <row r="1244" spans="1:10" ht="17" x14ac:dyDescent="0.25">
      <c r="A1244" s="1" t="s">
        <v>1246</v>
      </c>
      <c r="B1244" s="1" t="s">
        <v>3897</v>
      </c>
      <c r="C1244" s="1" t="s">
        <v>2573</v>
      </c>
      <c r="D1244" t="str">
        <f t="shared" si="114"/>
        <v>C9C9C9</v>
      </c>
      <c r="E1244" t="str">
        <f t="shared" si="115"/>
        <v>201-201-201</v>
      </c>
      <c r="F1244" t="str">
        <f t="shared" si="116"/>
        <v>201201201</v>
      </c>
      <c r="G1244">
        <f t="shared" si="117"/>
        <v>201</v>
      </c>
      <c r="H1244">
        <f t="shared" si="118"/>
        <v>201</v>
      </c>
      <c r="I1244">
        <f t="shared" si="119"/>
        <v>201</v>
      </c>
      <c r="J1244" s="846" t="str" cm="1">
        <f t="array" ref="J1244">myRGB(G1244,H1244,I1244)</f>
        <v/>
      </c>
    </row>
    <row r="1245" spans="1:10" ht="17" x14ac:dyDescent="0.25">
      <c r="A1245" s="1" t="s">
        <v>1247</v>
      </c>
      <c r="B1245" s="1" t="s">
        <v>3898</v>
      </c>
      <c r="C1245" s="1" t="s">
        <v>2574</v>
      </c>
      <c r="D1245" t="str">
        <f t="shared" si="114"/>
        <v>CACCC7</v>
      </c>
      <c r="E1245" t="str">
        <f t="shared" si="115"/>
        <v>202-204-199</v>
      </c>
      <c r="F1245" t="str">
        <f t="shared" si="116"/>
        <v>202204199</v>
      </c>
      <c r="G1245">
        <f t="shared" si="117"/>
        <v>202</v>
      </c>
      <c r="H1245">
        <f t="shared" si="118"/>
        <v>204</v>
      </c>
      <c r="I1245">
        <f t="shared" si="119"/>
        <v>199</v>
      </c>
      <c r="J1245" s="823" t="str" cm="1">
        <f t="array" ref="J1245">myRGB(G1245,H1245,I1245)</f>
        <v/>
      </c>
    </row>
    <row r="1246" spans="1:10" ht="17" x14ac:dyDescent="0.25">
      <c r="A1246" s="1" t="s">
        <v>1248</v>
      </c>
      <c r="B1246" s="1" t="s">
        <v>3899</v>
      </c>
      <c r="C1246" s="1" t="s">
        <v>2575</v>
      </c>
      <c r="D1246" t="str">
        <f t="shared" si="114"/>
        <v>CCC9C7</v>
      </c>
      <c r="E1246" t="str">
        <f t="shared" si="115"/>
        <v>204-201-199</v>
      </c>
      <c r="F1246" t="str">
        <f t="shared" si="116"/>
        <v>204201199</v>
      </c>
      <c r="G1246">
        <f t="shared" si="117"/>
        <v>204</v>
      </c>
      <c r="H1246">
        <f t="shared" si="118"/>
        <v>201</v>
      </c>
      <c r="I1246">
        <f t="shared" si="119"/>
        <v>199</v>
      </c>
      <c r="J1246" s="633" t="str" cm="1">
        <f t="array" ref="J1246">myRGB(G1246,H1246,I1246)</f>
        <v/>
      </c>
    </row>
    <row r="1247" spans="1:10" ht="17" x14ac:dyDescent="0.25">
      <c r="A1247" s="1" t="s">
        <v>1249</v>
      </c>
      <c r="B1247" s="1" t="s">
        <v>3900</v>
      </c>
      <c r="C1247" s="1" t="s">
        <v>2576</v>
      </c>
      <c r="D1247" t="str">
        <f t="shared" si="114"/>
        <v>C7C8CC</v>
      </c>
      <c r="E1247" t="str">
        <f t="shared" si="115"/>
        <v>199-200-204</v>
      </c>
      <c r="F1247" t="str">
        <f t="shared" si="116"/>
        <v>199200204</v>
      </c>
      <c r="G1247">
        <f t="shared" si="117"/>
        <v>199</v>
      </c>
      <c r="H1247">
        <f t="shared" si="118"/>
        <v>200</v>
      </c>
      <c r="I1247">
        <f t="shared" si="119"/>
        <v>204</v>
      </c>
      <c r="J1247" s="614" t="str" cm="1">
        <f t="array" ref="J1247">myRGB(G1247,H1247,I1247)</f>
        <v/>
      </c>
    </row>
    <row r="1248" spans="1:10" ht="17" x14ac:dyDescent="0.25">
      <c r="A1248" s="1" t="s">
        <v>1250</v>
      </c>
      <c r="B1248" s="1" t="s">
        <v>3901</v>
      </c>
      <c r="C1248" s="1" t="s">
        <v>2577</v>
      </c>
      <c r="D1248" t="str">
        <f t="shared" si="114"/>
        <v>CBC8CC</v>
      </c>
      <c r="E1248" t="str">
        <f t="shared" si="115"/>
        <v>203-200-204</v>
      </c>
      <c r="F1248" t="str">
        <f t="shared" si="116"/>
        <v>203200204</v>
      </c>
      <c r="G1248">
        <f t="shared" si="117"/>
        <v>203</v>
      </c>
      <c r="H1248">
        <f t="shared" si="118"/>
        <v>200</v>
      </c>
      <c r="I1248">
        <f t="shared" si="119"/>
        <v>204</v>
      </c>
      <c r="J1248" s="548" t="str" cm="1">
        <f t="array" ref="J1248">myRGB(G1248,H1248,I1248)</f>
        <v/>
      </c>
    </row>
    <row r="1249" spans="1:10" ht="17" x14ac:dyDescent="0.25">
      <c r="A1249" s="1" t="s">
        <v>1251</v>
      </c>
      <c r="B1249" s="1" t="s">
        <v>3902</v>
      </c>
      <c r="C1249" s="1" t="s">
        <v>2578</v>
      </c>
      <c r="D1249" t="str">
        <f t="shared" si="114"/>
        <v>CBC8CB</v>
      </c>
      <c r="E1249" t="str">
        <f t="shared" si="115"/>
        <v>203-200-203</v>
      </c>
      <c r="F1249" t="str">
        <f t="shared" si="116"/>
        <v>203200203</v>
      </c>
      <c r="G1249">
        <f t="shared" si="117"/>
        <v>203</v>
      </c>
      <c r="H1249">
        <f t="shared" si="118"/>
        <v>200</v>
      </c>
      <c r="I1249">
        <f t="shared" si="119"/>
        <v>203</v>
      </c>
      <c r="J1249" s="824" t="str" cm="1">
        <f t="array" ref="J1249">myRGB(G1249,H1249,I1249)</f>
        <v/>
      </c>
    </row>
    <row r="1250" spans="1:10" ht="17" x14ac:dyDescent="0.25">
      <c r="A1250" s="1" t="s">
        <v>1252</v>
      </c>
      <c r="B1250" s="1" t="s">
        <v>3903</v>
      </c>
      <c r="C1250" s="1" t="s">
        <v>2579</v>
      </c>
      <c r="D1250" t="str">
        <f t="shared" si="114"/>
        <v>CACBC8</v>
      </c>
      <c r="E1250" t="str">
        <f t="shared" si="115"/>
        <v>202-203-200</v>
      </c>
      <c r="F1250" t="str">
        <f t="shared" si="116"/>
        <v>202203200</v>
      </c>
      <c r="G1250">
        <f t="shared" si="117"/>
        <v>202</v>
      </c>
      <c r="H1250">
        <f t="shared" si="118"/>
        <v>203</v>
      </c>
      <c r="I1250">
        <f t="shared" si="119"/>
        <v>200</v>
      </c>
      <c r="J1250" s="1248" t="str" cm="1">
        <f t="array" ref="J1250">myRGB(G1250,H1250,I1250)</f>
        <v/>
      </c>
    </row>
    <row r="1251" spans="1:10" ht="17" x14ac:dyDescent="0.25">
      <c r="A1251" s="1" t="s">
        <v>1253</v>
      </c>
      <c r="B1251" s="1" t="s">
        <v>3904</v>
      </c>
      <c r="C1251" s="1" t="s">
        <v>2580</v>
      </c>
      <c r="D1251" t="str">
        <f t="shared" si="114"/>
        <v>CCCCC8</v>
      </c>
      <c r="E1251" t="str">
        <f t="shared" si="115"/>
        <v>204-204-200</v>
      </c>
      <c r="F1251" t="str">
        <f t="shared" si="116"/>
        <v>204204200</v>
      </c>
      <c r="G1251">
        <f t="shared" si="117"/>
        <v>204</v>
      </c>
      <c r="H1251">
        <f t="shared" si="118"/>
        <v>204</v>
      </c>
      <c r="I1251">
        <f t="shared" si="119"/>
        <v>200</v>
      </c>
      <c r="J1251" s="1194" t="str" cm="1">
        <f t="array" ref="J1251">myRGB(G1251,H1251,I1251)</f>
        <v/>
      </c>
    </row>
    <row r="1252" spans="1:10" ht="17" x14ac:dyDescent="0.25">
      <c r="A1252" s="1" t="s">
        <v>1254</v>
      </c>
      <c r="B1252" s="1" t="s">
        <v>3905</v>
      </c>
      <c r="C1252" s="1" t="s">
        <v>2581</v>
      </c>
      <c r="D1252" t="str">
        <f t="shared" si="114"/>
        <v>C8C8C9</v>
      </c>
      <c r="E1252" t="str">
        <f t="shared" si="115"/>
        <v>200-200-201</v>
      </c>
      <c r="F1252" t="str">
        <f t="shared" si="116"/>
        <v>200200201</v>
      </c>
      <c r="G1252">
        <f t="shared" si="117"/>
        <v>200</v>
      </c>
      <c r="H1252">
        <f t="shared" si="118"/>
        <v>200</v>
      </c>
      <c r="I1252">
        <f t="shared" si="119"/>
        <v>201</v>
      </c>
      <c r="J1252" s="547" t="str" cm="1">
        <f t="array" ref="J1252">myRGB(G1252,H1252,I1252)</f>
        <v/>
      </c>
    </row>
    <row r="1253" spans="1:10" ht="17" x14ac:dyDescent="0.25">
      <c r="A1253" s="1" t="s">
        <v>1255</v>
      </c>
      <c r="B1253" s="1" t="s">
        <v>3906</v>
      </c>
      <c r="C1253" s="1" t="s">
        <v>2582</v>
      </c>
      <c r="D1253" t="str">
        <f t="shared" si="114"/>
        <v>CCC8CC</v>
      </c>
      <c r="E1253" t="str">
        <f t="shared" si="115"/>
        <v>204-200-204</v>
      </c>
      <c r="F1253" t="str">
        <f t="shared" si="116"/>
        <v>204200204</v>
      </c>
      <c r="G1253">
        <f t="shared" si="117"/>
        <v>204</v>
      </c>
      <c r="H1253">
        <f t="shared" si="118"/>
        <v>200</v>
      </c>
      <c r="I1253">
        <f t="shared" si="119"/>
        <v>204</v>
      </c>
      <c r="J1253" s="741" t="str" cm="1">
        <f t="array" ref="J1253">myRGB(G1253,H1253,I1253)</f>
        <v/>
      </c>
    </row>
    <row r="1254" spans="1:10" ht="17" x14ac:dyDescent="0.25">
      <c r="A1254" s="1" t="s">
        <v>1256</v>
      </c>
      <c r="B1254" s="1" t="s">
        <v>3907</v>
      </c>
      <c r="C1254" s="1" t="s">
        <v>2583</v>
      </c>
      <c r="D1254" t="str">
        <f t="shared" si="114"/>
        <v>C7C8CA</v>
      </c>
      <c r="E1254" t="str">
        <f t="shared" si="115"/>
        <v>199-200-202</v>
      </c>
      <c r="F1254" t="str">
        <f t="shared" si="116"/>
        <v>199200202</v>
      </c>
      <c r="G1254">
        <f t="shared" si="117"/>
        <v>199</v>
      </c>
      <c r="H1254">
        <f t="shared" si="118"/>
        <v>200</v>
      </c>
      <c r="I1254">
        <f t="shared" si="119"/>
        <v>202</v>
      </c>
      <c r="J1254" s="780" t="str" cm="1">
        <f t="array" ref="J1254">myRGB(G1254,H1254,I1254)</f>
        <v/>
      </c>
    </row>
    <row r="1255" spans="1:10" ht="17" x14ac:dyDescent="0.25">
      <c r="A1255" s="1" t="s">
        <v>1257</v>
      </c>
      <c r="B1255" s="1" t="s">
        <v>3908</v>
      </c>
      <c r="C1255" s="1" t="s">
        <v>2584</v>
      </c>
      <c r="D1255" t="str">
        <f t="shared" si="114"/>
        <v>C9C9CC</v>
      </c>
      <c r="E1255" t="str">
        <f t="shared" si="115"/>
        <v>201-201-204</v>
      </c>
      <c r="F1255" t="str">
        <f t="shared" si="116"/>
        <v>201201204</v>
      </c>
      <c r="G1255">
        <f t="shared" si="117"/>
        <v>201</v>
      </c>
      <c r="H1255">
        <f t="shared" si="118"/>
        <v>201</v>
      </c>
      <c r="I1255">
        <f t="shared" si="119"/>
        <v>204</v>
      </c>
      <c r="J1255" s="781" t="str" cm="1">
        <f t="array" ref="J1255">myRGB(G1255,H1255,I1255)</f>
        <v/>
      </c>
    </row>
    <row r="1256" spans="1:10" ht="17" x14ac:dyDescent="0.25">
      <c r="A1256" s="1" t="s">
        <v>1258</v>
      </c>
      <c r="B1256" s="1" t="s">
        <v>3909</v>
      </c>
      <c r="C1256" s="1" t="s">
        <v>2585</v>
      </c>
      <c r="D1256" t="str">
        <f t="shared" si="114"/>
        <v>C9CCC9</v>
      </c>
      <c r="E1256" t="str">
        <f t="shared" si="115"/>
        <v>201-204-201</v>
      </c>
      <c r="F1256" t="str">
        <f t="shared" si="116"/>
        <v>201204201</v>
      </c>
      <c r="G1256">
        <f t="shared" si="117"/>
        <v>201</v>
      </c>
      <c r="H1256">
        <f t="shared" si="118"/>
        <v>204</v>
      </c>
      <c r="I1256">
        <f t="shared" si="119"/>
        <v>201</v>
      </c>
      <c r="J1256" s="682" t="str" cm="1">
        <f t="array" ref="J1256">myRGB(G1256,H1256,I1256)</f>
        <v/>
      </c>
    </row>
    <row r="1257" spans="1:10" ht="17" x14ac:dyDescent="0.25">
      <c r="A1257" s="1" t="s">
        <v>1259</v>
      </c>
      <c r="B1257" s="1" t="s">
        <v>3910</v>
      </c>
      <c r="C1257" s="1" t="s">
        <v>2586</v>
      </c>
      <c r="D1257" t="str">
        <f t="shared" si="114"/>
        <v>C8C9C9</v>
      </c>
      <c r="E1257" t="str">
        <f t="shared" si="115"/>
        <v>200-201-201</v>
      </c>
      <c r="F1257" t="str">
        <f t="shared" si="116"/>
        <v>200201201</v>
      </c>
      <c r="G1257">
        <f t="shared" si="117"/>
        <v>200</v>
      </c>
      <c r="H1257">
        <f t="shared" si="118"/>
        <v>201</v>
      </c>
      <c r="I1257">
        <f t="shared" si="119"/>
        <v>201</v>
      </c>
      <c r="J1257" s="661" t="str" cm="1">
        <f t="array" ref="J1257">myRGB(G1257,H1257,I1257)</f>
        <v/>
      </c>
    </row>
    <row r="1258" spans="1:10" ht="17" x14ac:dyDescent="0.25">
      <c r="A1258" s="1" t="s">
        <v>1260</v>
      </c>
      <c r="B1258" s="1" t="s">
        <v>3911</v>
      </c>
      <c r="C1258" s="1" t="s">
        <v>2587</v>
      </c>
      <c r="D1258" t="str">
        <f t="shared" si="114"/>
        <v>CBCBC8</v>
      </c>
      <c r="E1258" t="str">
        <f t="shared" si="115"/>
        <v>203-203-200</v>
      </c>
      <c r="F1258" t="str">
        <f t="shared" si="116"/>
        <v>203203200</v>
      </c>
      <c r="G1258">
        <f t="shared" si="117"/>
        <v>203</v>
      </c>
      <c r="H1258">
        <f t="shared" si="118"/>
        <v>203</v>
      </c>
      <c r="I1258">
        <f t="shared" si="119"/>
        <v>200</v>
      </c>
      <c r="J1258" s="1268" t="str" cm="1">
        <f t="array" ref="J1258">myRGB(G1258,H1258,I1258)</f>
        <v/>
      </c>
    </row>
    <row r="1259" spans="1:10" ht="17" x14ac:dyDescent="0.25">
      <c r="A1259" s="1" t="s">
        <v>1261</v>
      </c>
      <c r="B1259" s="1" t="s">
        <v>3912</v>
      </c>
      <c r="C1259" s="1" t="s">
        <v>2588</v>
      </c>
      <c r="D1259" t="str">
        <f t="shared" si="114"/>
        <v>CAC7C8</v>
      </c>
      <c r="E1259" t="str">
        <f t="shared" si="115"/>
        <v>202-199-200</v>
      </c>
      <c r="F1259" t="str">
        <f t="shared" si="116"/>
        <v>202199200</v>
      </c>
      <c r="G1259">
        <f t="shared" si="117"/>
        <v>202</v>
      </c>
      <c r="H1259">
        <f t="shared" si="118"/>
        <v>199</v>
      </c>
      <c r="I1259">
        <f t="shared" si="119"/>
        <v>200</v>
      </c>
      <c r="J1259" s="1308" t="str" cm="1">
        <f t="array" ref="J1259">myRGB(G1259,H1259,I1259)</f>
        <v/>
      </c>
    </row>
    <row r="1260" spans="1:10" ht="17" x14ac:dyDescent="0.25">
      <c r="A1260" s="1" t="s">
        <v>1262</v>
      </c>
      <c r="B1260" s="1" t="s">
        <v>3913</v>
      </c>
      <c r="C1260" s="1" t="s">
        <v>2589</v>
      </c>
      <c r="D1260" t="str">
        <f t="shared" si="114"/>
        <v>CBCCCC</v>
      </c>
      <c r="E1260" t="str">
        <f t="shared" si="115"/>
        <v>203-204-204</v>
      </c>
      <c r="F1260" t="str">
        <f t="shared" si="116"/>
        <v>203204204</v>
      </c>
      <c r="G1260">
        <f t="shared" si="117"/>
        <v>203</v>
      </c>
      <c r="H1260">
        <f t="shared" si="118"/>
        <v>204</v>
      </c>
      <c r="I1260">
        <f t="shared" si="119"/>
        <v>204</v>
      </c>
      <c r="J1260" s="1195" t="str" cm="1">
        <f t="array" ref="J1260">myRGB(G1260,H1260,I1260)</f>
        <v/>
      </c>
    </row>
    <row r="1261" spans="1:10" ht="17" x14ac:dyDescent="0.25">
      <c r="A1261" s="1" t="s">
        <v>1263</v>
      </c>
      <c r="B1261" s="1" t="s">
        <v>3914</v>
      </c>
      <c r="C1261" s="1" t="s">
        <v>2590</v>
      </c>
      <c r="D1261" t="str">
        <f t="shared" si="114"/>
        <v>C8CBC7</v>
      </c>
      <c r="E1261" t="str">
        <f t="shared" si="115"/>
        <v>200-203-199</v>
      </c>
      <c r="F1261" t="str">
        <f t="shared" si="116"/>
        <v>200203199</v>
      </c>
      <c r="G1261">
        <f t="shared" si="117"/>
        <v>200</v>
      </c>
      <c r="H1261">
        <f t="shared" si="118"/>
        <v>203</v>
      </c>
      <c r="I1261">
        <f t="shared" si="119"/>
        <v>199</v>
      </c>
      <c r="J1261" s="719" t="str" cm="1">
        <f t="array" ref="J1261">myRGB(G1261,H1261,I1261)</f>
        <v/>
      </c>
    </row>
    <row r="1262" spans="1:10" ht="17" x14ac:dyDescent="0.25">
      <c r="A1262" s="1" t="s">
        <v>1264</v>
      </c>
      <c r="B1262" s="1" t="s">
        <v>3915</v>
      </c>
      <c r="C1262" s="1" t="s">
        <v>2591</v>
      </c>
      <c r="D1262" t="str">
        <f t="shared" si="114"/>
        <v>C7CAC8</v>
      </c>
      <c r="E1262" t="str">
        <f t="shared" si="115"/>
        <v>199-202-200</v>
      </c>
      <c r="F1262" t="str">
        <f t="shared" si="116"/>
        <v>199202200</v>
      </c>
      <c r="G1262">
        <f t="shared" si="117"/>
        <v>199</v>
      </c>
      <c r="H1262">
        <f t="shared" si="118"/>
        <v>202</v>
      </c>
      <c r="I1262">
        <f t="shared" si="119"/>
        <v>200</v>
      </c>
      <c r="J1262" s="660" t="str" cm="1">
        <f t="array" ref="J1262">myRGB(G1262,H1262,I1262)</f>
        <v/>
      </c>
    </row>
    <row r="1263" spans="1:10" ht="17" x14ac:dyDescent="0.25">
      <c r="A1263" s="1" t="s">
        <v>1265</v>
      </c>
      <c r="B1263" s="1" t="s">
        <v>3916</v>
      </c>
      <c r="C1263" s="1" t="s">
        <v>2592</v>
      </c>
      <c r="D1263" t="str">
        <f t="shared" si="114"/>
        <v>C8CCC9</v>
      </c>
      <c r="E1263" t="str">
        <f t="shared" si="115"/>
        <v>200-204-201</v>
      </c>
      <c r="F1263" t="str">
        <f t="shared" si="116"/>
        <v>200204201</v>
      </c>
      <c r="G1263">
        <f t="shared" si="117"/>
        <v>200</v>
      </c>
      <c r="H1263">
        <f t="shared" si="118"/>
        <v>204</v>
      </c>
      <c r="I1263">
        <f t="shared" si="119"/>
        <v>201</v>
      </c>
      <c r="J1263" s="718" t="str" cm="1">
        <f t="array" ref="J1263">myRGB(G1263,H1263,I1263)</f>
        <v/>
      </c>
    </row>
    <row r="1264" spans="1:10" ht="17" x14ac:dyDescent="0.25">
      <c r="A1264" s="1" t="s">
        <v>1266</v>
      </c>
      <c r="B1264" s="1" t="s">
        <v>3917</v>
      </c>
      <c r="C1264" s="1" t="s">
        <v>2593</v>
      </c>
      <c r="D1264" t="str">
        <f t="shared" si="114"/>
        <v>CBCCCB</v>
      </c>
      <c r="E1264" t="str">
        <f t="shared" si="115"/>
        <v>203-204-203</v>
      </c>
      <c r="F1264" t="str">
        <f t="shared" si="116"/>
        <v>203204203</v>
      </c>
      <c r="G1264">
        <f t="shared" si="117"/>
        <v>203</v>
      </c>
      <c r="H1264">
        <f t="shared" si="118"/>
        <v>204</v>
      </c>
      <c r="I1264">
        <f t="shared" si="119"/>
        <v>203</v>
      </c>
      <c r="J1264" s="717" t="str" cm="1">
        <f t="array" ref="J1264">myRGB(G1264,H1264,I1264)</f>
        <v/>
      </c>
    </row>
    <row r="1265" spans="1:10" ht="17" x14ac:dyDescent="0.25">
      <c r="A1265" s="1" t="s">
        <v>1267</v>
      </c>
      <c r="B1265" s="1" t="s">
        <v>3918</v>
      </c>
      <c r="C1265" s="1" t="s">
        <v>2594</v>
      </c>
      <c r="D1265" t="str">
        <f t="shared" si="114"/>
        <v>CAC9C7</v>
      </c>
      <c r="E1265" t="str">
        <f t="shared" si="115"/>
        <v>202-201-199</v>
      </c>
      <c r="F1265" t="str">
        <f t="shared" si="116"/>
        <v>202201199</v>
      </c>
      <c r="G1265">
        <f t="shared" si="117"/>
        <v>202</v>
      </c>
      <c r="H1265">
        <f t="shared" si="118"/>
        <v>201</v>
      </c>
      <c r="I1265">
        <f t="shared" si="119"/>
        <v>199</v>
      </c>
      <c r="J1265" s="1207" t="str" cm="1">
        <f t="array" ref="J1265">myRGB(G1265,H1265,I1265)</f>
        <v/>
      </c>
    </row>
    <row r="1266" spans="1:10" ht="17" x14ac:dyDescent="0.25">
      <c r="A1266" s="1" t="s">
        <v>1268</v>
      </c>
      <c r="B1266" s="1" t="s">
        <v>3919</v>
      </c>
      <c r="C1266" s="1" t="s">
        <v>2595</v>
      </c>
      <c r="D1266" t="str">
        <f t="shared" si="114"/>
        <v>CACACC</v>
      </c>
      <c r="E1266" t="str">
        <f t="shared" si="115"/>
        <v>202-202-204</v>
      </c>
      <c r="F1266" t="str">
        <f t="shared" si="116"/>
        <v>202202204</v>
      </c>
      <c r="G1266">
        <f t="shared" si="117"/>
        <v>202</v>
      </c>
      <c r="H1266">
        <f t="shared" si="118"/>
        <v>202</v>
      </c>
      <c r="I1266">
        <f t="shared" si="119"/>
        <v>204</v>
      </c>
      <c r="J1266" s="1260" t="str" cm="1">
        <f t="array" ref="J1266">myRGB(G1266,H1266,I1266)</f>
        <v/>
      </c>
    </row>
    <row r="1267" spans="1:10" ht="17" x14ac:dyDescent="0.25">
      <c r="A1267" s="1" t="s">
        <v>1269</v>
      </c>
      <c r="B1267" s="1" t="s">
        <v>3920</v>
      </c>
      <c r="C1267" s="1" t="s">
        <v>2596</v>
      </c>
      <c r="D1267" t="str">
        <f t="shared" si="114"/>
        <v>CCCAC9</v>
      </c>
      <c r="E1267" t="str">
        <f t="shared" si="115"/>
        <v>204-202-201</v>
      </c>
      <c r="F1267" t="str">
        <f t="shared" si="116"/>
        <v>204202201</v>
      </c>
      <c r="G1267">
        <f t="shared" si="117"/>
        <v>204</v>
      </c>
      <c r="H1267">
        <f t="shared" si="118"/>
        <v>202</v>
      </c>
      <c r="I1267">
        <f t="shared" si="119"/>
        <v>201</v>
      </c>
      <c r="J1267" s="779" t="str" cm="1">
        <f t="array" ref="J1267">myRGB(G1267,H1267,I1267)</f>
        <v/>
      </c>
    </row>
    <row r="1268" spans="1:10" ht="17" x14ac:dyDescent="0.25">
      <c r="A1268" s="1" t="s">
        <v>1270</v>
      </c>
      <c r="B1268" s="1" t="s">
        <v>3921</v>
      </c>
      <c r="C1268" s="1" t="s">
        <v>2597</v>
      </c>
      <c r="D1268" t="str">
        <f t="shared" si="114"/>
        <v>C9C8CC</v>
      </c>
      <c r="E1268" t="str">
        <f t="shared" si="115"/>
        <v>201-200-204</v>
      </c>
      <c r="F1268" t="str">
        <f t="shared" si="116"/>
        <v>201200204</v>
      </c>
      <c r="G1268">
        <f t="shared" si="117"/>
        <v>201</v>
      </c>
      <c r="H1268">
        <f t="shared" si="118"/>
        <v>200</v>
      </c>
      <c r="I1268">
        <f t="shared" si="119"/>
        <v>204</v>
      </c>
      <c r="J1268" s="1312" t="str" cm="1">
        <f t="array" ref="J1268">myRGB(G1268,H1268,I1268)</f>
        <v/>
      </c>
    </row>
    <row r="1269" spans="1:10" ht="17" x14ac:dyDescent="0.25">
      <c r="A1269" s="1" t="s">
        <v>1271</v>
      </c>
      <c r="B1269" s="1" t="s">
        <v>3922</v>
      </c>
      <c r="C1269" s="1" t="s">
        <v>2598</v>
      </c>
      <c r="D1269" t="str">
        <f t="shared" si="114"/>
        <v>C8C9CC</v>
      </c>
      <c r="E1269" t="str">
        <f t="shared" si="115"/>
        <v>200-201-204</v>
      </c>
      <c r="F1269" t="str">
        <f t="shared" si="116"/>
        <v>200201204</v>
      </c>
      <c r="G1269">
        <f t="shared" si="117"/>
        <v>200</v>
      </c>
      <c r="H1269">
        <f t="shared" si="118"/>
        <v>201</v>
      </c>
      <c r="I1269">
        <f t="shared" si="119"/>
        <v>204</v>
      </c>
      <c r="J1269" s="1196" t="str" cm="1">
        <f t="array" ref="J1269">myRGB(G1269,H1269,I1269)</f>
        <v/>
      </c>
    </row>
    <row r="1270" spans="1:10" ht="17" x14ac:dyDescent="0.25">
      <c r="A1270" s="1" t="s">
        <v>1272</v>
      </c>
      <c r="B1270" s="1" t="s">
        <v>3923</v>
      </c>
      <c r="C1270" s="1" t="s">
        <v>2599</v>
      </c>
      <c r="D1270" t="str">
        <f t="shared" si="114"/>
        <v>CBC7C9</v>
      </c>
      <c r="E1270" t="str">
        <f t="shared" si="115"/>
        <v>203-199-201</v>
      </c>
      <c r="F1270" t="str">
        <f t="shared" si="116"/>
        <v>203199201</v>
      </c>
      <c r="G1270">
        <f t="shared" si="117"/>
        <v>203</v>
      </c>
      <c r="H1270">
        <f t="shared" si="118"/>
        <v>199</v>
      </c>
      <c r="I1270">
        <f t="shared" si="119"/>
        <v>201</v>
      </c>
      <c r="J1270" s="1233" t="str" cm="1">
        <f t="array" ref="J1270">myRGB(G1270,H1270,I1270)</f>
        <v/>
      </c>
    </row>
    <row r="1271" spans="1:10" ht="17" x14ac:dyDescent="0.25">
      <c r="A1271" s="1" t="s">
        <v>1273</v>
      </c>
      <c r="B1271" s="1" t="s">
        <v>3924</v>
      </c>
      <c r="C1271" s="1" t="s">
        <v>2600</v>
      </c>
      <c r="D1271" t="str">
        <f t="shared" si="114"/>
        <v>C7CBC8</v>
      </c>
      <c r="E1271" t="str">
        <f t="shared" si="115"/>
        <v>199-203-200</v>
      </c>
      <c r="F1271" t="str">
        <f t="shared" si="116"/>
        <v>199203200</v>
      </c>
      <c r="G1271">
        <f t="shared" si="117"/>
        <v>199</v>
      </c>
      <c r="H1271">
        <f t="shared" si="118"/>
        <v>203</v>
      </c>
      <c r="I1271">
        <f t="shared" si="119"/>
        <v>200</v>
      </c>
      <c r="J1271" s="1261" t="str" cm="1">
        <f t="array" ref="J1271">myRGB(G1271,H1271,I1271)</f>
        <v/>
      </c>
    </row>
    <row r="1272" spans="1:10" ht="17" x14ac:dyDescent="0.25">
      <c r="A1272" s="1" t="s">
        <v>1274</v>
      </c>
      <c r="B1272" s="1" t="s">
        <v>3925</v>
      </c>
      <c r="C1272" s="1" t="s">
        <v>2601</v>
      </c>
      <c r="D1272" t="str">
        <f t="shared" si="114"/>
        <v>CACACA</v>
      </c>
      <c r="E1272" t="str">
        <f t="shared" si="115"/>
        <v>202-202-202</v>
      </c>
      <c r="F1272" t="str">
        <f t="shared" si="116"/>
        <v>202202202</v>
      </c>
      <c r="G1272">
        <f t="shared" si="117"/>
        <v>202</v>
      </c>
      <c r="H1272">
        <f t="shared" si="118"/>
        <v>202</v>
      </c>
      <c r="I1272">
        <f t="shared" si="119"/>
        <v>202</v>
      </c>
      <c r="J1272" s="1269" t="str" cm="1">
        <f t="array" ref="J1272">myRGB(G1272,H1272,I1272)</f>
        <v/>
      </c>
    </row>
    <row r="1273" spans="1:10" ht="17" x14ac:dyDescent="0.25">
      <c r="A1273" s="1" t="s">
        <v>1275</v>
      </c>
      <c r="B1273" s="1" t="s">
        <v>3926</v>
      </c>
      <c r="C1273" s="1" t="s">
        <v>2602</v>
      </c>
      <c r="D1273" t="str">
        <f t="shared" si="114"/>
        <v>CCCCC9</v>
      </c>
      <c r="E1273" t="str">
        <f t="shared" si="115"/>
        <v>204-204-201</v>
      </c>
      <c r="F1273" t="str">
        <f t="shared" si="116"/>
        <v>204204201</v>
      </c>
      <c r="G1273">
        <f t="shared" si="117"/>
        <v>204</v>
      </c>
      <c r="H1273">
        <f t="shared" si="118"/>
        <v>204</v>
      </c>
      <c r="I1273">
        <f t="shared" si="119"/>
        <v>201</v>
      </c>
      <c r="J1273" s="1325" t="str" cm="1">
        <f t="array" ref="J1273">myRGB(G1273,H1273,I1273)</f>
        <v/>
      </c>
    </row>
    <row r="1274" spans="1:10" ht="17" x14ac:dyDescent="0.25">
      <c r="A1274" s="1" t="s">
        <v>1276</v>
      </c>
      <c r="B1274" s="1" t="s">
        <v>3927</v>
      </c>
      <c r="C1274" s="1" t="s">
        <v>2603</v>
      </c>
      <c r="D1274" t="str">
        <f t="shared" si="114"/>
        <v>CAC9C9</v>
      </c>
      <c r="E1274" t="str">
        <f t="shared" si="115"/>
        <v>202-201-201</v>
      </c>
      <c r="F1274" t="str">
        <f t="shared" si="116"/>
        <v>202201201</v>
      </c>
      <c r="G1274">
        <f t="shared" si="117"/>
        <v>202</v>
      </c>
      <c r="H1274">
        <f t="shared" si="118"/>
        <v>201</v>
      </c>
      <c r="I1274">
        <f t="shared" si="119"/>
        <v>201</v>
      </c>
      <c r="J1274" s="1217" t="str" cm="1">
        <f t="array" ref="J1274">myRGB(G1274,H1274,I1274)</f>
        <v/>
      </c>
    </row>
    <row r="1275" spans="1:10" ht="17" x14ac:dyDescent="0.25">
      <c r="A1275" s="1" t="s">
        <v>1277</v>
      </c>
      <c r="B1275" s="1" t="s">
        <v>3928</v>
      </c>
      <c r="C1275" s="1" t="s">
        <v>2604</v>
      </c>
      <c r="D1275" t="str">
        <f t="shared" si="114"/>
        <v>C9CAC9</v>
      </c>
      <c r="E1275" t="str">
        <f t="shared" si="115"/>
        <v>201-202-201</v>
      </c>
      <c r="F1275" t="str">
        <f t="shared" si="116"/>
        <v>201202201</v>
      </c>
      <c r="G1275">
        <f t="shared" si="117"/>
        <v>201</v>
      </c>
      <c r="H1275">
        <f t="shared" si="118"/>
        <v>202</v>
      </c>
      <c r="I1275">
        <f t="shared" si="119"/>
        <v>201</v>
      </c>
      <c r="J1275" s="1234" t="str" cm="1">
        <f t="array" ref="J1275">myRGB(G1275,H1275,I1275)</f>
        <v/>
      </c>
    </row>
    <row r="1276" spans="1:10" ht="17" x14ac:dyDescent="0.25">
      <c r="A1276" s="1" t="s">
        <v>1278</v>
      </c>
      <c r="B1276" s="1" t="s">
        <v>3929</v>
      </c>
      <c r="C1276" s="1" t="s">
        <v>2605</v>
      </c>
      <c r="D1276" t="str">
        <f t="shared" si="114"/>
        <v>CCC9CB</v>
      </c>
      <c r="E1276" t="str">
        <f t="shared" si="115"/>
        <v>204-201-203</v>
      </c>
      <c r="F1276" t="str">
        <f t="shared" si="116"/>
        <v>204201203</v>
      </c>
      <c r="G1276">
        <f t="shared" si="117"/>
        <v>204</v>
      </c>
      <c r="H1276">
        <f t="shared" si="118"/>
        <v>201</v>
      </c>
      <c r="I1276">
        <f t="shared" si="119"/>
        <v>203</v>
      </c>
      <c r="J1276" s="1290" t="str" cm="1">
        <f t="array" ref="J1276">myRGB(G1276,H1276,I1276)</f>
        <v/>
      </c>
    </row>
    <row r="1277" spans="1:10" ht="17" x14ac:dyDescent="0.25">
      <c r="A1277" s="1" t="s">
        <v>1279</v>
      </c>
      <c r="B1277" s="1" t="s">
        <v>3930</v>
      </c>
      <c r="C1277" s="1" t="s">
        <v>2606</v>
      </c>
      <c r="D1277" t="str">
        <f t="shared" si="114"/>
        <v>CACAC8</v>
      </c>
      <c r="E1277" t="str">
        <f t="shared" si="115"/>
        <v>202-202-200</v>
      </c>
      <c r="F1277" t="str">
        <f t="shared" si="116"/>
        <v>202202200</v>
      </c>
      <c r="G1277">
        <f t="shared" si="117"/>
        <v>202</v>
      </c>
      <c r="H1277">
        <f t="shared" si="118"/>
        <v>202</v>
      </c>
      <c r="I1277">
        <f t="shared" si="119"/>
        <v>200</v>
      </c>
      <c r="J1277" s="1245" t="str" cm="1">
        <f t="array" ref="J1277">myRGB(G1277,H1277,I1277)</f>
        <v/>
      </c>
    </row>
    <row r="1278" spans="1:10" ht="17" x14ac:dyDescent="0.25">
      <c r="A1278" s="1" t="s">
        <v>1280</v>
      </c>
      <c r="B1278" s="1" t="s">
        <v>3931</v>
      </c>
      <c r="C1278" s="1" t="s">
        <v>2607</v>
      </c>
      <c r="D1278" t="str">
        <f t="shared" si="114"/>
        <v>CACBCB</v>
      </c>
      <c r="E1278" t="str">
        <f t="shared" si="115"/>
        <v>202-203-203</v>
      </c>
      <c r="F1278" t="str">
        <f t="shared" si="116"/>
        <v>202203203</v>
      </c>
      <c r="G1278">
        <f t="shared" si="117"/>
        <v>202</v>
      </c>
      <c r="H1278">
        <f t="shared" si="118"/>
        <v>203</v>
      </c>
      <c r="I1278">
        <f t="shared" si="119"/>
        <v>203</v>
      </c>
      <c r="J1278" s="1197" t="str" cm="1">
        <f t="array" ref="J1278">myRGB(G1278,H1278,I1278)</f>
        <v/>
      </c>
    </row>
    <row r="1279" spans="1:10" ht="17" x14ac:dyDescent="0.25">
      <c r="A1279" s="1" t="s">
        <v>1281</v>
      </c>
      <c r="B1279" s="1" t="s">
        <v>3932</v>
      </c>
      <c r="C1279" s="1" t="s">
        <v>2608</v>
      </c>
      <c r="D1279" t="str">
        <f t="shared" si="114"/>
        <v>CCCBCB</v>
      </c>
      <c r="E1279" t="str">
        <f t="shared" si="115"/>
        <v>204-203-203</v>
      </c>
      <c r="F1279" t="str">
        <f t="shared" si="116"/>
        <v>204203203</v>
      </c>
      <c r="G1279">
        <f t="shared" si="117"/>
        <v>204</v>
      </c>
      <c r="H1279">
        <f t="shared" si="118"/>
        <v>203</v>
      </c>
      <c r="I1279">
        <f t="shared" si="119"/>
        <v>203</v>
      </c>
      <c r="J1279" s="573" t="str" cm="1">
        <f t="array" ref="J1279">myRGB(G1279,H1279,I1279)</f>
        <v/>
      </c>
    </row>
    <row r="1280" spans="1:10" ht="17" x14ac:dyDescent="0.25">
      <c r="A1280" s="1" t="s">
        <v>1282</v>
      </c>
      <c r="B1280" s="1" t="s">
        <v>3933</v>
      </c>
      <c r="C1280" s="1" t="s">
        <v>2609</v>
      </c>
      <c r="D1280" t="str">
        <f t="shared" si="114"/>
        <v>C8CBCA</v>
      </c>
      <c r="E1280" t="str">
        <f t="shared" si="115"/>
        <v>200-203-202</v>
      </c>
      <c r="F1280" t="str">
        <f t="shared" si="116"/>
        <v>200203202</v>
      </c>
      <c r="G1280">
        <f t="shared" si="117"/>
        <v>200</v>
      </c>
      <c r="H1280">
        <f t="shared" si="118"/>
        <v>203</v>
      </c>
      <c r="I1280">
        <f t="shared" si="119"/>
        <v>202</v>
      </c>
      <c r="J1280" s="778" t="str" cm="1">
        <f t="array" ref="J1280">myRGB(G1280,H1280,I1280)</f>
        <v/>
      </c>
    </row>
    <row r="1281" spans="1:10" ht="17" x14ac:dyDescent="0.25">
      <c r="A1281" s="1" t="s">
        <v>1283</v>
      </c>
      <c r="B1281" s="1" t="s">
        <v>3934</v>
      </c>
      <c r="C1281" s="1" t="s">
        <v>2610</v>
      </c>
      <c r="D1281" t="str">
        <f t="shared" si="114"/>
        <v>C7C9CC</v>
      </c>
      <c r="E1281" t="str">
        <f t="shared" si="115"/>
        <v>199-201-204</v>
      </c>
      <c r="F1281" t="str">
        <f t="shared" si="116"/>
        <v>199201204</v>
      </c>
      <c r="G1281">
        <f t="shared" si="117"/>
        <v>199</v>
      </c>
      <c r="H1281">
        <f t="shared" si="118"/>
        <v>201</v>
      </c>
      <c r="I1281">
        <f t="shared" si="119"/>
        <v>204</v>
      </c>
      <c r="J1281" s="740" t="str" cm="1">
        <f t="array" ref="J1281">myRGB(G1281,H1281,I1281)</f>
        <v/>
      </c>
    </row>
    <row r="1282" spans="1:10" ht="17" x14ac:dyDescent="0.25">
      <c r="A1282" s="1" t="s">
        <v>1284</v>
      </c>
      <c r="B1282" s="1" t="s">
        <v>3935</v>
      </c>
      <c r="C1282" s="1" t="s">
        <v>2611</v>
      </c>
      <c r="D1282" t="str">
        <f t="shared" si="114"/>
        <v>C8C8C8</v>
      </c>
      <c r="E1282" t="str">
        <f t="shared" si="115"/>
        <v>200-200-200</v>
      </c>
      <c r="F1282" t="str">
        <f t="shared" si="116"/>
        <v>200200200</v>
      </c>
      <c r="G1282">
        <f t="shared" si="117"/>
        <v>200</v>
      </c>
      <c r="H1282">
        <f t="shared" si="118"/>
        <v>200</v>
      </c>
      <c r="I1282">
        <f t="shared" si="119"/>
        <v>200</v>
      </c>
      <c r="J1282" s="545" t="str" cm="1">
        <f t="array" ref="J1282">myRGB(G1282,H1282,I1282)</f>
        <v/>
      </c>
    </row>
    <row r="1283" spans="1:10" ht="17" x14ac:dyDescent="0.25">
      <c r="A1283" s="1" t="s">
        <v>1285</v>
      </c>
      <c r="B1283" s="1" t="s">
        <v>3936</v>
      </c>
      <c r="C1283" s="1" t="s">
        <v>2612</v>
      </c>
      <c r="D1283" t="str">
        <f t="shared" si="114"/>
        <v>CCCAC8</v>
      </c>
      <c r="E1283" t="str">
        <f t="shared" si="115"/>
        <v>204-202-200</v>
      </c>
      <c r="F1283" t="str">
        <f t="shared" si="116"/>
        <v>204202200</v>
      </c>
      <c r="G1283">
        <f t="shared" si="117"/>
        <v>204</v>
      </c>
      <c r="H1283">
        <f t="shared" si="118"/>
        <v>202</v>
      </c>
      <c r="I1283">
        <f t="shared" si="119"/>
        <v>200</v>
      </c>
      <c r="J1283" s="659" t="str" cm="1">
        <f t="array" ref="J1283">myRGB(G1283,H1283,I1283)</f>
        <v/>
      </c>
    </row>
    <row r="1284" spans="1:10" ht="17" x14ac:dyDescent="0.25">
      <c r="A1284" s="1" t="s">
        <v>1286</v>
      </c>
      <c r="B1284" s="1" t="s">
        <v>3937</v>
      </c>
      <c r="C1284" s="1" t="s">
        <v>2613</v>
      </c>
      <c r="D1284" t="str">
        <f t="shared" ref="D1284:D1328" si="120">RIGHT(LEFT(C1284,9),6)</f>
        <v>CAC7CA</v>
      </c>
      <c r="E1284" t="str">
        <f t="shared" ref="E1284:E1328" si="121">HEX2DEC(LEFT(D1284,2))&amp;"-"&amp;HEX2DEC(MID(D1284,3,2))&amp;"-"&amp;HEX2DEC(RIGHT(D1284,2))</f>
        <v>202-199-202</v>
      </c>
      <c r="F1284" t="str">
        <f t="shared" ref="F1284:F1328" si="122">HEX2DEC(LEFT(D1284,2))&amp;HEX2DEC(MID(D1284,3,2))&amp;HEX2DEC(RIGHT(D1284,2))</f>
        <v>202199202</v>
      </c>
      <c r="G1284">
        <f t="shared" ref="G1284:G1328" si="123">HEX2DEC(LEFT(D1284,2))</f>
        <v>202</v>
      </c>
      <c r="H1284">
        <f t="shared" ref="H1284:H1328" si="124">HEX2DEC(MID(D1284,3,2))</f>
        <v>199</v>
      </c>
      <c r="I1284">
        <f t="shared" ref="I1284:I1328" si="125">HEX2DEC(RIGHT(D1284,2))</f>
        <v>202</v>
      </c>
      <c r="J1284" s="1235" t="str" cm="1">
        <f t="array" ref="J1284">myRGB(G1284,H1284,I1284)</f>
        <v/>
      </c>
    </row>
    <row r="1285" spans="1:10" ht="17" x14ac:dyDescent="0.25">
      <c r="A1285" s="1" t="s">
        <v>1287</v>
      </c>
      <c r="B1285" s="1" t="s">
        <v>3938</v>
      </c>
      <c r="C1285" s="1" t="s">
        <v>2614</v>
      </c>
      <c r="D1285" t="str">
        <f t="shared" si="120"/>
        <v>C8CCCA</v>
      </c>
      <c r="E1285" t="str">
        <f t="shared" si="121"/>
        <v>200-204-202</v>
      </c>
      <c r="F1285" t="str">
        <f t="shared" si="122"/>
        <v>200204202</v>
      </c>
      <c r="G1285">
        <f t="shared" si="123"/>
        <v>200</v>
      </c>
      <c r="H1285">
        <f t="shared" si="124"/>
        <v>204</v>
      </c>
      <c r="I1285">
        <f t="shared" si="125"/>
        <v>202</v>
      </c>
      <c r="J1285" s="1291" t="str" cm="1">
        <f t="array" ref="J1285">myRGB(G1285,H1285,I1285)</f>
        <v/>
      </c>
    </row>
    <row r="1286" spans="1:10" ht="17" x14ac:dyDescent="0.25">
      <c r="A1286" s="1" t="s">
        <v>1288</v>
      </c>
      <c r="B1286" s="1" t="s">
        <v>3939</v>
      </c>
      <c r="C1286" s="1" t="s">
        <v>2615</v>
      </c>
      <c r="D1286" t="str">
        <f t="shared" si="120"/>
        <v>C8C7CB</v>
      </c>
      <c r="E1286" t="str">
        <f t="shared" si="121"/>
        <v>200-199-203</v>
      </c>
      <c r="F1286" t="str">
        <f t="shared" si="122"/>
        <v>200199203</v>
      </c>
      <c r="G1286">
        <f t="shared" si="123"/>
        <v>200</v>
      </c>
      <c r="H1286">
        <f t="shared" si="124"/>
        <v>199</v>
      </c>
      <c r="I1286">
        <f t="shared" si="125"/>
        <v>203</v>
      </c>
      <c r="J1286" s="632" t="str" cm="1">
        <f t="array" ref="J1286">myRGB(G1286,H1286,I1286)</f>
        <v/>
      </c>
    </row>
    <row r="1287" spans="1:10" ht="17" x14ac:dyDescent="0.25">
      <c r="A1287" s="1" t="s">
        <v>1289</v>
      </c>
      <c r="B1287" s="1" t="s">
        <v>3940</v>
      </c>
      <c r="C1287" s="1" t="s">
        <v>2616</v>
      </c>
      <c r="D1287" t="str">
        <f t="shared" si="120"/>
        <v>CCC9C8</v>
      </c>
      <c r="E1287" t="str">
        <f t="shared" si="121"/>
        <v>204-201-200</v>
      </c>
      <c r="F1287" t="str">
        <f t="shared" si="122"/>
        <v>204201200</v>
      </c>
      <c r="G1287">
        <f t="shared" si="123"/>
        <v>204</v>
      </c>
      <c r="H1287">
        <f t="shared" si="124"/>
        <v>201</v>
      </c>
      <c r="I1287">
        <f t="shared" si="125"/>
        <v>200</v>
      </c>
      <c r="J1287" s="822" t="str" cm="1">
        <f t="array" ref="J1287">myRGB(G1287,H1287,I1287)</f>
        <v/>
      </c>
    </row>
    <row r="1288" spans="1:10" ht="17" x14ac:dyDescent="0.25">
      <c r="A1288" s="1" t="s">
        <v>1290</v>
      </c>
      <c r="B1288" s="1" t="s">
        <v>3941</v>
      </c>
      <c r="C1288" s="1" t="s">
        <v>2617</v>
      </c>
      <c r="D1288" t="str">
        <f t="shared" si="120"/>
        <v>C7CAC9</v>
      </c>
      <c r="E1288" t="str">
        <f t="shared" si="121"/>
        <v>199-202-201</v>
      </c>
      <c r="F1288" t="str">
        <f t="shared" si="122"/>
        <v>199202201</v>
      </c>
      <c r="G1288">
        <f t="shared" si="123"/>
        <v>199</v>
      </c>
      <c r="H1288">
        <f t="shared" si="124"/>
        <v>202</v>
      </c>
      <c r="I1288">
        <f t="shared" si="125"/>
        <v>201</v>
      </c>
      <c r="J1288" s="612" t="str" cm="1">
        <f t="array" ref="J1288">myRGB(G1288,H1288,I1288)</f>
        <v/>
      </c>
    </row>
    <row r="1289" spans="1:10" ht="17" x14ac:dyDescent="0.25">
      <c r="A1289" s="1" t="s">
        <v>1291</v>
      </c>
      <c r="B1289" s="1" t="s">
        <v>3942</v>
      </c>
      <c r="C1289" s="1" t="s">
        <v>2618</v>
      </c>
      <c r="D1289" t="str">
        <f t="shared" si="120"/>
        <v>C8CCC7</v>
      </c>
      <c r="E1289" t="str">
        <f t="shared" si="121"/>
        <v>200-204-199</v>
      </c>
      <c r="F1289" t="str">
        <f t="shared" si="122"/>
        <v>200204199</v>
      </c>
      <c r="G1289">
        <f t="shared" si="123"/>
        <v>200</v>
      </c>
      <c r="H1289">
        <f t="shared" si="124"/>
        <v>204</v>
      </c>
      <c r="I1289">
        <f t="shared" si="125"/>
        <v>199</v>
      </c>
      <c r="J1289" s="546" t="str" cm="1">
        <f t="array" ref="J1289">myRGB(G1289,H1289,I1289)</f>
        <v/>
      </c>
    </row>
    <row r="1290" spans="1:10" ht="17" x14ac:dyDescent="0.25">
      <c r="A1290" s="1" t="s">
        <v>1292</v>
      </c>
      <c r="B1290" s="1" t="s">
        <v>3943</v>
      </c>
      <c r="C1290" s="1" t="s">
        <v>2619</v>
      </c>
      <c r="D1290" t="str">
        <f t="shared" si="120"/>
        <v>C8CACC</v>
      </c>
      <c r="E1290" t="str">
        <f t="shared" si="121"/>
        <v>200-202-204</v>
      </c>
      <c r="F1290" t="str">
        <f t="shared" si="122"/>
        <v>200202204</v>
      </c>
      <c r="G1290">
        <f t="shared" si="123"/>
        <v>200</v>
      </c>
      <c r="H1290">
        <f t="shared" si="124"/>
        <v>202</v>
      </c>
      <c r="I1290">
        <f t="shared" si="125"/>
        <v>204</v>
      </c>
      <c r="J1290" s="1270" t="str" cm="1">
        <f t="array" ref="J1290">myRGB(G1290,H1290,I1290)</f>
        <v/>
      </c>
    </row>
    <row r="1291" spans="1:10" ht="17" x14ac:dyDescent="0.25">
      <c r="A1291" s="1" t="s">
        <v>1293</v>
      </c>
      <c r="B1291" s="1" t="s">
        <v>3944</v>
      </c>
      <c r="C1291" s="1" t="s">
        <v>2620</v>
      </c>
      <c r="D1291" t="str">
        <f t="shared" si="120"/>
        <v>CBCBCB</v>
      </c>
      <c r="E1291" t="str">
        <f t="shared" si="121"/>
        <v>203-203-203</v>
      </c>
      <c r="F1291" t="str">
        <f t="shared" si="122"/>
        <v>203203203</v>
      </c>
      <c r="G1291">
        <f t="shared" si="123"/>
        <v>203</v>
      </c>
      <c r="H1291">
        <f t="shared" si="124"/>
        <v>203</v>
      </c>
      <c r="I1291">
        <f t="shared" si="125"/>
        <v>203</v>
      </c>
      <c r="J1291" s="1323" t="str" cm="1">
        <f t="array" ref="J1291">myRGB(G1291,H1291,I1291)</f>
        <v/>
      </c>
    </row>
    <row r="1292" spans="1:10" ht="17" x14ac:dyDescent="0.25">
      <c r="A1292" s="1" t="s">
        <v>1294</v>
      </c>
      <c r="B1292" s="1" t="s">
        <v>3945</v>
      </c>
      <c r="C1292" s="1" t="s">
        <v>2621</v>
      </c>
      <c r="D1292" t="str">
        <f t="shared" si="120"/>
        <v>CAC9CA</v>
      </c>
      <c r="E1292" t="str">
        <f t="shared" si="121"/>
        <v>202-201-202</v>
      </c>
      <c r="F1292" t="str">
        <f t="shared" si="122"/>
        <v>202201202</v>
      </c>
      <c r="G1292">
        <f t="shared" si="123"/>
        <v>202</v>
      </c>
      <c r="H1292">
        <f t="shared" si="124"/>
        <v>201</v>
      </c>
      <c r="I1292">
        <f t="shared" si="125"/>
        <v>202</v>
      </c>
      <c r="J1292" s="1198" t="str" cm="1">
        <f t="array" ref="J1292">myRGB(G1292,H1292,I1292)</f>
        <v/>
      </c>
    </row>
    <row r="1293" spans="1:10" ht="17" x14ac:dyDescent="0.25">
      <c r="A1293" s="1" t="s">
        <v>1295</v>
      </c>
      <c r="B1293" s="1" t="s">
        <v>3946</v>
      </c>
      <c r="C1293" s="1" t="s">
        <v>2622</v>
      </c>
      <c r="D1293" t="str">
        <f t="shared" si="120"/>
        <v>C9C7CB</v>
      </c>
      <c r="E1293" t="str">
        <f t="shared" si="121"/>
        <v>201-199-203</v>
      </c>
      <c r="F1293" t="str">
        <f t="shared" si="122"/>
        <v>201199203</v>
      </c>
      <c r="G1293">
        <f t="shared" si="123"/>
        <v>201</v>
      </c>
      <c r="H1293">
        <f t="shared" si="124"/>
        <v>199</v>
      </c>
      <c r="I1293">
        <f t="shared" si="125"/>
        <v>203</v>
      </c>
      <c r="J1293" s="1236" t="str" cm="1">
        <f t="array" ref="J1293">myRGB(G1293,H1293,I1293)</f>
        <v/>
      </c>
    </row>
    <row r="1294" spans="1:10" ht="17" x14ac:dyDescent="0.25">
      <c r="A1294" s="1" t="s">
        <v>1296</v>
      </c>
      <c r="B1294" s="1" t="s">
        <v>3947</v>
      </c>
      <c r="C1294" s="1" t="s">
        <v>2623</v>
      </c>
      <c r="D1294" t="str">
        <f t="shared" si="120"/>
        <v>AAA8AA</v>
      </c>
      <c r="E1294" t="str">
        <f t="shared" si="121"/>
        <v>170-168-170</v>
      </c>
      <c r="F1294" t="str">
        <f t="shared" si="122"/>
        <v>170168170</v>
      </c>
      <c r="G1294">
        <f t="shared" si="123"/>
        <v>170</v>
      </c>
      <c r="H1294">
        <f t="shared" si="124"/>
        <v>168</v>
      </c>
      <c r="I1294">
        <f t="shared" si="125"/>
        <v>170</v>
      </c>
      <c r="J1294" s="658" t="str" cm="1">
        <f t="array" ref="J1294">myRGB(G1294,H1294,I1294)</f>
        <v/>
      </c>
    </row>
    <row r="1295" spans="1:10" ht="17" x14ac:dyDescent="0.25">
      <c r="A1295" s="1" t="s">
        <v>1297</v>
      </c>
      <c r="B1295" s="1" t="s">
        <v>3948</v>
      </c>
      <c r="C1295" s="1" t="s">
        <v>2624</v>
      </c>
      <c r="D1295" t="str">
        <f t="shared" si="120"/>
        <v>A8AAAA</v>
      </c>
      <c r="E1295" t="str">
        <f t="shared" si="121"/>
        <v>168-170-170</v>
      </c>
      <c r="F1295" t="str">
        <f t="shared" si="122"/>
        <v>168170170</v>
      </c>
      <c r="G1295">
        <f t="shared" si="123"/>
        <v>168</v>
      </c>
      <c r="H1295">
        <f t="shared" si="124"/>
        <v>170</v>
      </c>
      <c r="I1295">
        <f t="shared" si="125"/>
        <v>170</v>
      </c>
      <c r="J1295" s="610" t="str" cm="1">
        <f t="array" ref="J1295">myRGB(G1295,H1295,I1295)</f>
        <v/>
      </c>
    </row>
    <row r="1296" spans="1:10" ht="17" x14ac:dyDescent="0.25">
      <c r="A1296" s="1" t="s">
        <v>1298</v>
      </c>
      <c r="B1296" s="1" t="s">
        <v>3949</v>
      </c>
      <c r="C1296" s="1" t="s">
        <v>2625</v>
      </c>
      <c r="D1296" t="str">
        <f t="shared" si="120"/>
        <v>AAA9A8</v>
      </c>
      <c r="E1296" t="str">
        <f t="shared" si="121"/>
        <v>170-169-168</v>
      </c>
      <c r="F1296" t="str">
        <f t="shared" si="122"/>
        <v>170169168</v>
      </c>
      <c r="G1296">
        <f t="shared" si="123"/>
        <v>170</v>
      </c>
      <c r="H1296">
        <f t="shared" si="124"/>
        <v>169</v>
      </c>
      <c r="I1296">
        <f t="shared" si="125"/>
        <v>168</v>
      </c>
      <c r="J1296" s="1275" t="str" cm="1">
        <f t="array" ref="J1296">myRGB(G1296,H1296,I1296)</f>
        <v/>
      </c>
    </row>
    <row r="1297" spans="1:10" ht="17" x14ac:dyDescent="0.25">
      <c r="A1297" s="1" t="s">
        <v>1299</v>
      </c>
      <c r="B1297" s="1" t="s">
        <v>3950</v>
      </c>
      <c r="C1297" s="1" t="s">
        <v>2626</v>
      </c>
      <c r="D1297" t="str">
        <f t="shared" si="120"/>
        <v>AAA8A9</v>
      </c>
      <c r="E1297" t="str">
        <f t="shared" si="121"/>
        <v>170-168-169</v>
      </c>
      <c r="F1297" t="str">
        <f t="shared" si="122"/>
        <v>170168169</v>
      </c>
      <c r="G1297">
        <f t="shared" si="123"/>
        <v>170</v>
      </c>
      <c r="H1297">
        <f t="shared" si="124"/>
        <v>168</v>
      </c>
      <c r="I1297">
        <f t="shared" si="125"/>
        <v>169</v>
      </c>
      <c r="J1297" s="820" t="str" cm="1">
        <f t="array" ref="J1297">myRGB(G1297,H1297,I1297)</f>
        <v/>
      </c>
    </row>
    <row r="1298" spans="1:10" ht="17" x14ac:dyDescent="0.25">
      <c r="A1298" s="1" t="s">
        <v>1300</v>
      </c>
      <c r="B1298" s="1" t="s">
        <v>3951</v>
      </c>
      <c r="C1298" s="1" t="s">
        <v>2627</v>
      </c>
      <c r="D1298" t="str">
        <f t="shared" si="120"/>
        <v>A9AAA8</v>
      </c>
      <c r="E1298" t="str">
        <f t="shared" si="121"/>
        <v>169-170-168</v>
      </c>
      <c r="F1298" t="str">
        <f t="shared" si="122"/>
        <v>169170168</v>
      </c>
      <c r="G1298">
        <f t="shared" si="123"/>
        <v>169</v>
      </c>
      <c r="H1298">
        <f t="shared" si="124"/>
        <v>170</v>
      </c>
      <c r="I1298">
        <f t="shared" si="125"/>
        <v>168</v>
      </c>
      <c r="J1298" s="544" t="str" cm="1">
        <f t="array" ref="J1298">myRGB(G1298,H1298,I1298)</f>
        <v/>
      </c>
    </row>
    <row r="1299" spans="1:10" ht="17" x14ac:dyDescent="0.25">
      <c r="A1299" s="1" t="s">
        <v>1301</v>
      </c>
      <c r="B1299" s="1" t="s">
        <v>3952</v>
      </c>
      <c r="C1299" s="1" t="s">
        <v>2628</v>
      </c>
      <c r="D1299" t="str">
        <f t="shared" si="120"/>
        <v>A9A8AA</v>
      </c>
      <c r="E1299" t="str">
        <f t="shared" si="121"/>
        <v>169-168-170</v>
      </c>
      <c r="F1299" t="str">
        <f t="shared" si="122"/>
        <v>169168170</v>
      </c>
      <c r="G1299">
        <f t="shared" si="123"/>
        <v>169</v>
      </c>
      <c r="H1299">
        <f t="shared" si="124"/>
        <v>168</v>
      </c>
      <c r="I1299">
        <f t="shared" si="125"/>
        <v>170</v>
      </c>
      <c r="J1299" s="1292" t="str" cm="1">
        <f t="array" ref="J1299">myRGB(G1299,H1299,I1299)</f>
        <v/>
      </c>
    </row>
    <row r="1300" spans="1:10" ht="17" x14ac:dyDescent="0.25">
      <c r="A1300" s="1" t="s">
        <v>1302</v>
      </c>
      <c r="B1300" s="1" t="s">
        <v>3953</v>
      </c>
      <c r="C1300" s="1" t="s">
        <v>2629</v>
      </c>
      <c r="D1300" t="str">
        <f t="shared" si="120"/>
        <v>A8AAA9</v>
      </c>
      <c r="E1300" t="str">
        <f t="shared" si="121"/>
        <v>168-170-169</v>
      </c>
      <c r="F1300" t="str">
        <f t="shared" si="122"/>
        <v>168170169</v>
      </c>
      <c r="G1300">
        <f t="shared" si="123"/>
        <v>168</v>
      </c>
      <c r="H1300">
        <f t="shared" si="124"/>
        <v>170</v>
      </c>
      <c r="I1300">
        <f t="shared" si="125"/>
        <v>169</v>
      </c>
      <c r="J1300" s="1246" t="str" cm="1">
        <f t="array" ref="J1300">myRGB(G1300,H1300,I1300)</f>
        <v/>
      </c>
    </row>
    <row r="1301" spans="1:10" ht="17" x14ac:dyDescent="0.25">
      <c r="A1301" s="1" t="s">
        <v>1303</v>
      </c>
      <c r="B1301" s="1" t="s">
        <v>3954</v>
      </c>
      <c r="C1301" s="1" t="s">
        <v>2630</v>
      </c>
      <c r="D1301" t="str">
        <f t="shared" si="120"/>
        <v>A8A9AA</v>
      </c>
      <c r="E1301" t="str">
        <f t="shared" si="121"/>
        <v>168-169-170</v>
      </c>
      <c r="F1301" t="str">
        <f t="shared" si="122"/>
        <v>168169170</v>
      </c>
      <c r="G1301">
        <f t="shared" si="123"/>
        <v>168</v>
      </c>
      <c r="H1301">
        <f t="shared" si="124"/>
        <v>169</v>
      </c>
      <c r="I1301">
        <f t="shared" si="125"/>
        <v>170</v>
      </c>
      <c r="J1301" s="611" t="str" cm="1">
        <f t="array" ref="J1301">myRGB(G1301,H1301,I1301)</f>
        <v/>
      </c>
    </row>
    <row r="1302" spans="1:10" ht="17" x14ac:dyDescent="0.25">
      <c r="A1302" s="1" t="s">
        <v>1304</v>
      </c>
      <c r="B1302" s="1" t="s">
        <v>3955</v>
      </c>
      <c r="C1302" s="1" t="s">
        <v>2631</v>
      </c>
      <c r="D1302" t="str">
        <f t="shared" si="120"/>
        <v>A9A9A8</v>
      </c>
      <c r="E1302" t="str">
        <f t="shared" si="121"/>
        <v>169-169-168</v>
      </c>
      <c r="F1302" t="str">
        <f t="shared" si="122"/>
        <v>169169168</v>
      </c>
      <c r="G1302">
        <f t="shared" si="123"/>
        <v>169</v>
      </c>
      <c r="H1302">
        <f t="shared" si="124"/>
        <v>169</v>
      </c>
      <c r="I1302">
        <f t="shared" si="125"/>
        <v>168</v>
      </c>
      <c r="J1302" s="799" t="str" cm="1">
        <f t="array" ref="J1302">myRGB(G1302,H1302,I1302)</f>
        <v/>
      </c>
    </row>
    <row r="1303" spans="1:10" ht="17" x14ac:dyDescent="0.25">
      <c r="A1303" s="1" t="s">
        <v>1305</v>
      </c>
      <c r="B1303" s="1" t="s">
        <v>3956</v>
      </c>
      <c r="C1303" s="1" t="s">
        <v>2632</v>
      </c>
      <c r="D1303" t="str">
        <f t="shared" si="120"/>
        <v>AAA9A7</v>
      </c>
      <c r="E1303" t="str">
        <f t="shared" si="121"/>
        <v>170-169-167</v>
      </c>
      <c r="F1303" t="str">
        <f t="shared" si="122"/>
        <v>170169167</v>
      </c>
      <c r="G1303">
        <f t="shared" si="123"/>
        <v>170</v>
      </c>
      <c r="H1303">
        <f t="shared" si="124"/>
        <v>169</v>
      </c>
      <c r="I1303">
        <f t="shared" si="125"/>
        <v>167</v>
      </c>
      <c r="J1303" s="821" t="str" cm="1">
        <f t="array" ref="J1303">myRGB(G1303,H1303,I1303)</f>
        <v/>
      </c>
    </row>
    <row r="1304" spans="1:10" ht="17" x14ac:dyDescent="0.25">
      <c r="A1304" s="1" t="s">
        <v>1306</v>
      </c>
      <c r="B1304" s="1" t="s">
        <v>3957</v>
      </c>
      <c r="C1304" s="1" t="s">
        <v>2633</v>
      </c>
      <c r="D1304" t="str">
        <f t="shared" si="120"/>
        <v>A9AAA7</v>
      </c>
      <c r="E1304" t="str">
        <f t="shared" si="121"/>
        <v>169-170-167</v>
      </c>
      <c r="F1304" t="str">
        <f t="shared" si="122"/>
        <v>169170167</v>
      </c>
      <c r="G1304">
        <f t="shared" si="123"/>
        <v>169</v>
      </c>
      <c r="H1304">
        <f t="shared" si="124"/>
        <v>170</v>
      </c>
      <c r="I1304">
        <f t="shared" si="125"/>
        <v>167</v>
      </c>
      <c r="J1304" s="716" t="str" cm="1">
        <f t="array" ref="J1304">myRGB(G1304,H1304,I1304)</f>
        <v/>
      </c>
    </row>
    <row r="1305" spans="1:10" ht="17" x14ac:dyDescent="0.25">
      <c r="A1305" s="1" t="s">
        <v>1307</v>
      </c>
      <c r="B1305" s="1" t="s">
        <v>3958</v>
      </c>
      <c r="C1305" s="1" t="s">
        <v>2634</v>
      </c>
      <c r="D1305" t="str">
        <f t="shared" si="120"/>
        <v>A7AAA9</v>
      </c>
      <c r="E1305" t="str">
        <f t="shared" si="121"/>
        <v>167-170-169</v>
      </c>
      <c r="F1305" t="str">
        <f t="shared" si="122"/>
        <v>167170169</v>
      </c>
      <c r="G1305">
        <f t="shared" si="123"/>
        <v>167</v>
      </c>
      <c r="H1305">
        <f t="shared" si="124"/>
        <v>170</v>
      </c>
      <c r="I1305">
        <f t="shared" si="125"/>
        <v>169</v>
      </c>
      <c r="J1305" s="572" t="str" cm="1">
        <f t="array" ref="J1305">myRGB(G1305,H1305,I1305)</f>
        <v/>
      </c>
    </row>
    <row r="1306" spans="1:10" ht="17" x14ac:dyDescent="0.25">
      <c r="A1306" s="1" t="s">
        <v>1308</v>
      </c>
      <c r="B1306" s="1" t="s">
        <v>3959</v>
      </c>
      <c r="C1306" s="1" t="s">
        <v>2635</v>
      </c>
      <c r="D1306" t="str">
        <f t="shared" si="120"/>
        <v>AAA8A8</v>
      </c>
      <c r="E1306" t="str">
        <f t="shared" si="121"/>
        <v>170-168-168</v>
      </c>
      <c r="F1306" t="str">
        <f t="shared" si="122"/>
        <v>170168168</v>
      </c>
      <c r="G1306">
        <f t="shared" si="123"/>
        <v>170</v>
      </c>
      <c r="H1306">
        <f t="shared" si="124"/>
        <v>168</v>
      </c>
      <c r="I1306">
        <f t="shared" si="125"/>
        <v>168</v>
      </c>
      <c r="J1306" s="1237" t="str" cm="1">
        <f t="array" ref="J1306">myRGB(G1306,H1306,I1306)</f>
        <v/>
      </c>
    </row>
    <row r="1307" spans="1:10" ht="17" x14ac:dyDescent="0.25">
      <c r="A1307" s="1" t="s">
        <v>1309</v>
      </c>
      <c r="B1307" s="1" t="s">
        <v>3960</v>
      </c>
      <c r="C1307" s="1" t="s">
        <v>2636</v>
      </c>
      <c r="D1307" t="str">
        <f t="shared" si="120"/>
        <v>A8AAA8</v>
      </c>
      <c r="E1307" t="str">
        <f t="shared" si="121"/>
        <v>168-170-168</v>
      </c>
      <c r="F1307" t="str">
        <f t="shared" si="122"/>
        <v>168170168</v>
      </c>
      <c r="G1307">
        <f t="shared" si="123"/>
        <v>168</v>
      </c>
      <c r="H1307">
        <f t="shared" si="124"/>
        <v>170</v>
      </c>
      <c r="I1307">
        <f t="shared" si="125"/>
        <v>168</v>
      </c>
      <c r="J1307" s="1293" t="str" cm="1">
        <f t="array" ref="J1307">myRGB(G1307,H1307,I1307)</f>
        <v/>
      </c>
    </row>
    <row r="1308" spans="1:10" ht="17" x14ac:dyDescent="0.25">
      <c r="A1308" s="1" t="s">
        <v>1310</v>
      </c>
      <c r="B1308" s="1" t="s">
        <v>3961</v>
      </c>
      <c r="C1308" s="1" t="s">
        <v>2637</v>
      </c>
      <c r="D1308" t="str">
        <f t="shared" si="120"/>
        <v>AAAAA7</v>
      </c>
      <c r="E1308" t="str">
        <f t="shared" si="121"/>
        <v>170-170-167</v>
      </c>
      <c r="F1308" t="str">
        <f t="shared" si="122"/>
        <v>170170167</v>
      </c>
      <c r="G1308">
        <f t="shared" si="123"/>
        <v>170</v>
      </c>
      <c r="H1308">
        <f t="shared" si="124"/>
        <v>170</v>
      </c>
      <c r="I1308">
        <f t="shared" si="125"/>
        <v>167</v>
      </c>
      <c r="J1308" s="1313" t="str" cm="1">
        <f t="array" ref="J1308">myRGB(G1308,H1308,I1308)</f>
        <v/>
      </c>
    </row>
    <row r="1309" spans="1:10" ht="17" x14ac:dyDescent="0.25">
      <c r="A1309" s="1" t="s">
        <v>1311</v>
      </c>
      <c r="B1309" s="1" t="s">
        <v>3962</v>
      </c>
      <c r="C1309" s="1" t="s">
        <v>2638</v>
      </c>
      <c r="D1309" t="str">
        <f t="shared" si="120"/>
        <v>AAA7AA</v>
      </c>
      <c r="E1309" t="str">
        <f t="shared" si="121"/>
        <v>170-167-170</v>
      </c>
      <c r="F1309" t="str">
        <f t="shared" si="122"/>
        <v>170167170</v>
      </c>
      <c r="G1309">
        <f t="shared" si="123"/>
        <v>170</v>
      </c>
      <c r="H1309">
        <f t="shared" si="124"/>
        <v>167</v>
      </c>
      <c r="I1309">
        <f t="shared" si="125"/>
        <v>170</v>
      </c>
      <c r="J1309" s="1199" t="str" cm="1">
        <f t="array" ref="J1309">myRGB(G1309,H1309,I1309)</f>
        <v/>
      </c>
    </row>
    <row r="1310" spans="1:10" ht="17" x14ac:dyDescent="0.25">
      <c r="A1310" s="1" t="s">
        <v>1312</v>
      </c>
      <c r="B1310" s="1" t="s">
        <v>3963</v>
      </c>
      <c r="C1310" s="1" t="s">
        <v>2639</v>
      </c>
      <c r="D1310" t="str">
        <f t="shared" si="120"/>
        <v>AAA7A9</v>
      </c>
      <c r="E1310" t="str">
        <f t="shared" si="121"/>
        <v>170-167-169</v>
      </c>
      <c r="F1310" t="str">
        <f t="shared" si="122"/>
        <v>170167169</v>
      </c>
      <c r="G1310">
        <f t="shared" si="123"/>
        <v>170</v>
      </c>
      <c r="H1310">
        <f t="shared" si="124"/>
        <v>167</v>
      </c>
      <c r="I1310">
        <f t="shared" si="125"/>
        <v>169</v>
      </c>
      <c r="J1310" s="1238" t="str" cm="1">
        <f t="array" ref="J1310">myRGB(G1310,H1310,I1310)</f>
        <v/>
      </c>
    </row>
    <row r="1311" spans="1:10" ht="17" x14ac:dyDescent="0.25">
      <c r="A1311" s="1" t="s">
        <v>1313</v>
      </c>
      <c r="B1311" s="1" t="s">
        <v>3964</v>
      </c>
      <c r="C1311" s="1" t="s">
        <v>2640</v>
      </c>
      <c r="D1311" t="str">
        <f t="shared" si="120"/>
        <v>A9A8A8</v>
      </c>
      <c r="E1311" t="str">
        <f t="shared" si="121"/>
        <v>169-168-168</v>
      </c>
      <c r="F1311" t="str">
        <f t="shared" si="122"/>
        <v>169168168</v>
      </c>
      <c r="G1311">
        <f t="shared" si="123"/>
        <v>169</v>
      </c>
      <c r="H1311">
        <f t="shared" si="124"/>
        <v>168</v>
      </c>
      <c r="I1311">
        <f t="shared" si="125"/>
        <v>168</v>
      </c>
      <c r="J1311" s="1294" t="str" cm="1">
        <f t="array" ref="J1311">myRGB(G1311,H1311,I1311)</f>
        <v/>
      </c>
    </row>
    <row r="1312" spans="1:10" ht="17" x14ac:dyDescent="0.25">
      <c r="A1312" s="1" t="s">
        <v>1314</v>
      </c>
      <c r="B1312" s="1" t="s">
        <v>3965</v>
      </c>
      <c r="C1312" s="1" t="s">
        <v>2641</v>
      </c>
      <c r="D1312" t="str">
        <f t="shared" si="120"/>
        <v>A8A8AA</v>
      </c>
      <c r="E1312" t="str">
        <f t="shared" si="121"/>
        <v>168-168-170</v>
      </c>
      <c r="F1312" t="str">
        <f t="shared" si="122"/>
        <v>168168170</v>
      </c>
      <c r="G1312">
        <f t="shared" si="123"/>
        <v>168</v>
      </c>
      <c r="H1312">
        <f t="shared" si="124"/>
        <v>168</v>
      </c>
      <c r="I1312">
        <f t="shared" si="125"/>
        <v>170</v>
      </c>
      <c r="J1312" s="1273" t="str" cm="1">
        <f t="array" ref="J1312">myRGB(G1312,H1312,I1312)</f>
        <v/>
      </c>
    </row>
    <row r="1313" spans="1:10" ht="17" x14ac:dyDescent="0.25">
      <c r="A1313" s="1" t="s">
        <v>1315</v>
      </c>
      <c r="B1313" s="1" t="s">
        <v>3966</v>
      </c>
      <c r="C1313" s="1" t="s">
        <v>2642</v>
      </c>
      <c r="D1313" t="str">
        <f t="shared" si="120"/>
        <v>A8A9A8</v>
      </c>
      <c r="E1313" t="str">
        <f t="shared" si="121"/>
        <v>168-169-168</v>
      </c>
      <c r="F1313" t="str">
        <f t="shared" si="122"/>
        <v>168169168</v>
      </c>
      <c r="G1313">
        <f t="shared" si="123"/>
        <v>168</v>
      </c>
      <c r="H1313">
        <f t="shared" si="124"/>
        <v>169</v>
      </c>
      <c r="I1313">
        <f t="shared" si="125"/>
        <v>168</v>
      </c>
      <c r="J1313" s="1200" t="str" cm="1">
        <f t="array" ref="J1313">myRGB(G1313,H1313,I1313)</f>
        <v/>
      </c>
    </row>
    <row r="1314" spans="1:10" ht="17" x14ac:dyDescent="0.25">
      <c r="A1314" s="1" t="s">
        <v>1316</v>
      </c>
      <c r="B1314" s="1" t="s">
        <v>3967</v>
      </c>
      <c r="C1314" s="1" t="s">
        <v>2643</v>
      </c>
      <c r="D1314" t="str">
        <f t="shared" si="120"/>
        <v>A8A9A9</v>
      </c>
      <c r="E1314" t="str">
        <f t="shared" si="121"/>
        <v>168-169-169</v>
      </c>
      <c r="F1314" t="str">
        <f t="shared" si="122"/>
        <v>168169169</v>
      </c>
      <c r="G1314">
        <f t="shared" si="123"/>
        <v>168</v>
      </c>
      <c r="H1314">
        <f t="shared" si="124"/>
        <v>169</v>
      </c>
      <c r="I1314">
        <f t="shared" si="125"/>
        <v>169</v>
      </c>
      <c r="J1314" s="1239" t="str" cm="1">
        <f t="array" ref="J1314">myRGB(G1314,H1314,I1314)</f>
        <v/>
      </c>
    </row>
    <row r="1315" spans="1:10" ht="17" x14ac:dyDescent="0.25">
      <c r="A1315" s="1" t="s">
        <v>1317</v>
      </c>
      <c r="B1315" s="1" t="s">
        <v>3968</v>
      </c>
      <c r="C1315" s="1" t="s">
        <v>2644</v>
      </c>
      <c r="D1315" t="str">
        <f t="shared" si="120"/>
        <v>A9A7AA</v>
      </c>
      <c r="E1315" t="str">
        <f t="shared" si="121"/>
        <v>169-167-170</v>
      </c>
      <c r="F1315" t="str">
        <f t="shared" si="122"/>
        <v>169167170</v>
      </c>
      <c r="G1315">
        <f t="shared" si="123"/>
        <v>169</v>
      </c>
      <c r="H1315">
        <f t="shared" si="124"/>
        <v>167</v>
      </c>
      <c r="I1315">
        <f t="shared" si="125"/>
        <v>170</v>
      </c>
      <c r="J1315" s="1262" t="str" cm="1">
        <f t="array" ref="J1315">myRGB(G1315,H1315,I1315)</f>
        <v/>
      </c>
    </row>
    <row r="1316" spans="1:10" ht="17" x14ac:dyDescent="0.25">
      <c r="A1316" s="1" t="s">
        <v>1318</v>
      </c>
      <c r="B1316" s="1" t="s">
        <v>3969</v>
      </c>
      <c r="C1316" s="1" t="s">
        <v>2645</v>
      </c>
      <c r="D1316" t="str">
        <f t="shared" si="120"/>
        <v>A8A8A9</v>
      </c>
      <c r="E1316" t="str">
        <f t="shared" si="121"/>
        <v>168-168-169</v>
      </c>
      <c r="F1316" t="str">
        <f t="shared" si="122"/>
        <v>168168169</v>
      </c>
      <c r="G1316">
        <f t="shared" si="123"/>
        <v>168</v>
      </c>
      <c r="H1316">
        <f t="shared" si="124"/>
        <v>168</v>
      </c>
      <c r="I1316">
        <f t="shared" si="125"/>
        <v>169</v>
      </c>
      <c r="J1316" s="1247" t="str" cm="1">
        <f t="array" ref="J1316">myRGB(G1316,H1316,I1316)</f>
        <v/>
      </c>
    </row>
    <row r="1317" spans="1:10" ht="17" x14ac:dyDescent="0.25">
      <c r="A1317" s="1" t="s">
        <v>1319</v>
      </c>
      <c r="B1317" s="1" t="s">
        <v>3970</v>
      </c>
      <c r="C1317" s="1" t="s">
        <v>2646</v>
      </c>
      <c r="D1317" t="str">
        <f t="shared" si="120"/>
        <v>A7AAAA</v>
      </c>
      <c r="E1317" t="str">
        <f t="shared" si="121"/>
        <v>167-170-170</v>
      </c>
      <c r="F1317" t="str">
        <f t="shared" si="122"/>
        <v>167170170</v>
      </c>
      <c r="G1317">
        <f t="shared" si="123"/>
        <v>167</v>
      </c>
      <c r="H1317">
        <f t="shared" si="124"/>
        <v>170</v>
      </c>
      <c r="I1317">
        <f t="shared" si="125"/>
        <v>170</v>
      </c>
      <c r="J1317" s="1201" t="str" cm="1">
        <f t="array" ref="J1317">myRGB(G1317,H1317,I1317)</f>
        <v/>
      </c>
    </row>
    <row r="1318" spans="1:10" ht="17" x14ac:dyDescent="0.25">
      <c r="A1318" s="1" t="s">
        <v>1320</v>
      </c>
      <c r="B1318" s="1" t="s">
        <v>3971</v>
      </c>
      <c r="C1318" s="1" t="s">
        <v>2647</v>
      </c>
      <c r="D1318" t="str">
        <f t="shared" si="120"/>
        <v>AAAAAA</v>
      </c>
      <c r="E1318" t="str">
        <f t="shared" si="121"/>
        <v>170-170-170</v>
      </c>
      <c r="F1318" t="str">
        <f t="shared" si="122"/>
        <v>170170170</v>
      </c>
      <c r="G1318">
        <f t="shared" si="123"/>
        <v>170</v>
      </c>
      <c r="H1318">
        <f t="shared" si="124"/>
        <v>170</v>
      </c>
      <c r="I1318">
        <f t="shared" si="125"/>
        <v>170</v>
      </c>
      <c r="J1318" s="1240" t="str" cm="1">
        <f t="array" ref="J1318">myRGB(G1318,H1318,I1318)</f>
        <v/>
      </c>
    </row>
    <row r="1319" spans="1:10" ht="17" x14ac:dyDescent="0.25">
      <c r="A1319" s="1" t="s">
        <v>1321</v>
      </c>
      <c r="B1319" s="1" t="s">
        <v>3972</v>
      </c>
      <c r="C1319" s="1" t="s">
        <v>2648</v>
      </c>
      <c r="D1319" t="str">
        <f t="shared" si="120"/>
        <v>AAAAA9</v>
      </c>
      <c r="E1319" t="str">
        <f t="shared" si="121"/>
        <v>170-170-169</v>
      </c>
      <c r="F1319" t="str">
        <f t="shared" si="122"/>
        <v>170170169</v>
      </c>
      <c r="G1319">
        <f t="shared" si="123"/>
        <v>170</v>
      </c>
      <c r="H1319">
        <f t="shared" si="124"/>
        <v>170</v>
      </c>
      <c r="I1319">
        <f t="shared" si="125"/>
        <v>169</v>
      </c>
      <c r="J1319" s="1295" t="str" cm="1">
        <f t="array" ref="J1319">myRGB(G1319,H1319,I1319)</f>
        <v/>
      </c>
    </row>
    <row r="1320" spans="1:10" ht="17" x14ac:dyDescent="0.25">
      <c r="A1320" s="1" t="s">
        <v>1322</v>
      </c>
      <c r="B1320" s="1" t="s">
        <v>3973</v>
      </c>
      <c r="C1320" s="1" t="s">
        <v>2649</v>
      </c>
      <c r="D1320" t="str">
        <f t="shared" si="120"/>
        <v>AAA9AA</v>
      </c>
      <c r="E1320" t="str">
        <f t="shared" si="121"/>
        <v>170-169-170</v>
      </c>
      <c r="F1320" t="str">
        <f t="shared" si="122"/>
        <v>170169170</v>
      </c>
      <c r="G1320">
        <f t="shared" si="123"/>
        <v>170</v>
      </c>
      <c r="H1320">
        <f t="shared" si="124"/>
        <v>169</v>
      </c>
      <c r="I1320">
        <f t="shared" si="125"/>
        <v>170</v>
      </c>
      <c r="J1320" s="1309" t="str" cm="1">
        <f t="array" ref="J1320">myRGB(G1320,H1320,I1320)</f>
        <v/>
      </c>
    </row>
    <row r="1321" spans="1:10" ht="17" x14ac:dyDescent="0.25">
      <c r="A1321" s="1" t="s">
        <v>1323</v>
      </c>
      <c r="B1321" s="1" t="s">
        <v>3974</v>
      </c>
      <c r="C1321" s="1" t="s">
        <v>2650</v>
      </c>
      <c r="D1321" t="str">
        <f t="shared" si="120"/>
        <v>A9AAAA</v>
      </c>
      <c r="E1321" t="str">
        <f t="shared" si="121"/>
        <v>169-170-170</v>
      </c>
      <c r="F1321" t="str">
        <f t="shared" si="122"/>
        <v>169170170</v>
      </c>
      <c r="G1321">
        <f t="shared" si="123"/>
        <v>169</v>
      </c>
      <c r="H1321">
        <f t="shared" si="124"/>
        <v>170</v>
      </c>
      <c r="I1321">
        <f t="shared" si="125"/>
        <v>170</v>
      </c>
      <c r="J1321" s="1202" t="str" cm="1">
        <f t="array" ref="J1321">myRGB(G1321,H1321,I1321)</f>
        <v/>
      </c>
    </row>
    <row r="1322" spans="1:10" ht="17" x14ac:dyDescent="0.25">
      <c r="A1322" s="1" t="s">
        <v>1324</v>
      </c>
      <c r="B1322" s="1" t="s">
        <v>3975</v>
      </c>
      <c r="C1322" s="1" t="s">
        <v>2651</v>
      </c>
      <c r="D1322" t="str">
        <f t="shared" si="120"/>
        <v>AAA9A9</v>
      </c>
      <c r="E1322" t="str">
        <f t="shared" si="121"/>
        <v>170-169-169</v>
      </c>
      <c r="F1322" t="str">
        <f t="shared" si="122"/>
        <v>170169169</v>
      </c>
      <c r="G1322">
        <f t="shared" si="123"/>
        <v>170</v>
      </c>
      <c r="H1322">
        <f t="shared" si="124"/>
        <v>169</v>
      </c>
      <c r="I1322">
        <f t="shared" si="125"/>
        <v>169</v>
      </c>
      <c r="J1322" s="1241" t="str" cm="1">
        <f t="array" ref="J1322">myRGB(G1322,H1322,I1322)</f>
        <v/>
      </c>
    </row>
    <row r="1323" spans="1:10" ht="17" x14ac:dyDescent="0.25">
      <c r="A1323" s="1" t="s">
        <v>1325</v>
      </c>
      <c r="B1323" s="1" t="s">
        <v>3976</v>
      </c>
      <c r="C1323" s="1" t="s">
        <v>2652</v>
      </c>
      <c r="D1323" t="str">
        <f t="shared" si="120"/>
        <v>A9AAA9</v>
      </c>
      <c r="E1323" t="str">
        <f t="shared" si="121"/>
        <v>169-170-169</v>
      </c>
      <c r="F1323" t="str">
        <f t="shared" si="122"/>
        <v>169170169</v>
      </c>
      <c r="G1323">
        <f t="shared" si="123"/>
        <v>169</v>
      </c>
      <c r="H1323">
        <f t="shared" si="124"/>
        <v>170</v>
      </c>
      <c r="I1323">
        <f t="shared" si="125"/>
        <v>169</v>
      </c>
      <c r="J1323" s="1263" t="str" cm="1">
        <f t="array" ref="J1323">myRGB(G1323,H1323,I1323)</f>
        <v/>
      </c>
    </row>
    <row r="1324" spans="1:10" ht="17" x14ac:dyDescent="0.25">
      <c r="A1324" s="1" t="s">
        <v>1326</v>
      </c>
      <c r="B1324" s="1" t="s">
        <v>3977</v>
      </c>
      <c r="C1324" s="1" t="s">
        <v>2653</v>
      </c>
      <c r="D1324" t="str">
        <f t="shared" si="120"/>
        <v>A9A9AA</v>
      </c>
      <c r="E1324" t="str">
        <f t="shared" si="121"/>
        <v>169-169-170</v>
      </c>
      <c r="F1324" t="str">
        <f t="shared" si="122"/>
        <v>169169170</v>
      </c>
      <c r="G1324">
        <f t="shared" si="123"/>
        <v>169</v>
      </c>
      <c r="H1324">
        <f t="shared" si="124"/>
        <v>169</v>
      </c>
      <c r="I1324">
        <f t="shared" si="125"/>
        <v>170</v>
      </c>
      <c r="J1324" s="1324" t="str" cm="1">
        <f t="array" ref="J1324">myRGB(G1324,H1324,I1324)</f>
        <v/>
      </c>
    </row>
    <row r="1325" spans="1:10" ht="17" x14ac:dyDescent="0.25">
      <c r="A1325" s="1" t="s">
        <v>1327</v>
      </c>
      <c r="B1325" s="1" t="s">
        <v>3978</v>
      </c>
      <c r="C1325" s="1" t="s">
        <v>2654</v>
      </c>
      <c r="D1325" t="str">
        <f t="shared" si="120"/>
        <v>A9A9A9</v>
      </c>
      <c r="E1325" t="str">
        <f t="shared" si="121"/>
        <v>169-169-169</v>
      </c>
      <c r="F1325" t="str">
        <f t="shared" si="122"/>
        <v>169169169</v>
      </c>
      <c r="G1325">
        <f t="shared" si="123"/>
        <v>169</v>
      </c>
      <c r="H1325">
        <f t="shared" si="124"/>
        <v>169</v>
      </c>
      <c r="I1325">
        <f t="shared" si="125"/>
        <v>169</v>
      </c>
      <c r="J1325" s="1203" t="str" cm="1">
        <f t="array" ref="J1325">myRGB(G1325,H1325,I1325)</f>
        <v/>
      </c>
    </row>
    <row r="1326" spans="1:10" ht="17" x14ac:dyDescent="0.25">
      <c r="A1326" s="1" t="s">
        <v>1328</v>
      </c>
      <c r="B1326" s="1" t="s">
        <v>3979</v>
      </c>
      <c r="C1326" s="1" t="s">
        <v>2655</v>
      </c>
      <c r="D1326" t="str">
        <f t="shared" si="120"/>
        <v>AAAAA8</v>
      </c>
      <c r="E1326" t="str">
        <f t="shared" si="121"/>
        <v>170-170-168</v>
      </c>
      <c r="F1326" t="str">
        <f t="shared" si="122"/>
        <v>170170168</v>
      </c>
      <c r="G1326">
        <f t="shared" si="123"/>
        <v>170</v>
      </c>
      <c r="H1326">
        <f t="shared" si="124"/>
        <v>170</v>
      </c>
      <c r="I1326">
        <f t="shared" si="125"/>
        <v>168</v>
      </c>
      <c r="J1326" s="1242" t="str" cm="1">
        <f t="array" ref="J1326">myRGB(G1326,H1326,I1326)</f>
        <v/>
      </c>
    </row>
    <row r="1327" spans="1:10" ht="17" x14ac:dyDescent="0.25">
      <c r="A1327" s="1" t="s">
        <v>1329</v>
      </c>
      <c r="B1327" s="1" t="s">
        <v>3980</v>
      </c>
      <c r="C1327" s="1" t="s">
        <v>2656</v>
      </c>
      <c r="D1327" t="str">
        <f t="shared" si="120"/>
        <v>A9A8A9</v>
      </c>
      <c r="E1327" t="str">
        <f t="shared" si="121"/>
        <v>169-168-169</v>
      </c>
      <c r="F1327" t="str">
        <f t="shared" si="122"/>
        <v>169168169</v>
      </c>
      <c r="G1327">
        <f t="shared" si="123"/>
        <v>169</v>
      </c>
      <c r="H1327">
        <f t="shared" si="124"/>
        <v>168</v>
      </c>
      <c r="I1327">
        <f t="shared" si="125"/>
        <v>169</v>
      </c>
      <c r="J1327" s="1296" t="str" cm="1">
        <f t="array" ref="J1327">myRGB(G1327,H1327,I1327)</f>
        <v/>
      </c>
    </row>
    <row r="1328" spans="1:10" ht="17" x14ac:dyDescent="0.25">
      <c r="A1328" s="1" t="s">
        <v>1330</v>
      </c>
      <c r="B1328" s="1" t="s">
        <v>1330</v>
      </c>
      <c r="C1328" s="1" t="s">
        <v>2657</v>
      </c>
      <c r="D1328" t="str">
        <f t="shared" si="120"/>
        <v>7F2E7E</v>
      </c>
      <c r="E1328" t="str">
        <f t="shared" si="121"/>
        <v>127-46-126</v>
      </c>
      <c r="F1328" t="str">
        <f t="shared" si="122"/>
        <v>12746126</v>
      </c>
      <c r="G1328">
        <f t="shared" si="123"/>
        <v>127</v>
      </c>
      <c r="H1328">
        <f t="shared" si="124"/>
        <v>46</v>
      </c>
      <c r="I1328">
        <f t="shared" si="125"/>
        <v>126</v>
      </c>
      <c r="J1328" s="1274" t="str" cm="1">
        <f t="array" ref="J1328">myRGB(G1328,H1328,I1328)</f>
        <v/>
      </c>
    </row>
    <row r="1329" spans="1:3" ht="17" x14ac:dyDescent="0.25">
      <c r="A1329" s="1"/>
      <c r="B1329" s="1"/>
      <c r="C132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1EFB3-2BB0-344F-B62D-F860B19F0157}">
  <sheetPr codeName="Sheet3"/>
  <dimension ref="A1:AD1329"/>
  <sheetViews>
    <sheetView topLeftCell="O1084" workbookViewId="0">
      <selection activeCell="Z1103" sqref="Z1:Z1048576"/>
    </sheetView>
  </sheetViews>
  <sheetFormatPr baseColWidth="10" defaultRowHeight="16" x14ac:dyDescent="0.2"/>
  <cols>
    <col min="15" max="15" width="11.1640625" customWidth="1"/>
    <col min="16" max="16" width="4.1640625" customWidth="1"/>
    <col min="17" max="17" width="7.6640625" style="6" customWidth="1"/>
    <col min="18" max="18" width="12.33203125" style="6" customWidth="1"/>
    <col min="19" max="19" width="46.6640625" style="6" customWidth="1"/>
    <col min="20" max="20" width="13.33203125" style="6" customWidth="1"/>
    <col min="21" max="21" width="10.33203125" style="6" customWidth="1"/>
    <col min="22" max="22" width="13" style="6" customWidth="1"/>
    <col min="23" max="23" width="40.1640625" style="6" customWidth="1"/>
    <col min="24" max="24" width="4.83203125" style="6" customWidth="1"/>
    <col min="26" max="26" width="12" customWidth="1"/>
  </cols>
  <sheetData>
    <row r="1" spans="1:30" ht="17" x14ac:dyDescent="0.25">
      <c r="A1" s="1" t="s">
        <v>3</v>
      </c>
      <c r="B1" s="1" t="s">
        <v>3</v>
      </c>
      <c r="C1" s="1" t="s">
        <v>3981</v>
      </c>
      <c r="E1" s="1" t="s">
        <v>3986</v>
      </c>
      <c r="F1" s="1" t="s">
        <v>3987</v>
      </c>
      <c r="G1" s="5" t="s">
        <v>3983</v>
      </c>
      <c r="H1" s="5" t="s">
        <v>3984</v>
      </c>
      <c r="I1" s="5" t="s">
        <v>3985</v>
      </c>
      <c r="J1" s="1" t="s">
        <v>4586</v>
      </c>
      <c r="K1" s="1" t="s">
        <v>4586</v>
      </c>
      <c r="L1" s="1" t="s">
        <v>4587</v>
      </c>
      <c r="M1" s="1" t="s">
        <v>4587</v>
      </c>
      <c r="N1" s="4" t="s">
        <v>4588</v>
      </c>
      <c r="O1" s="4" t="s">
        <v>4589</v>
      </c>
      <c r="Q1" s="7" t="s">
        <v>7239</v>
      </c>
      <c r="R1" s="8" t="s">
        <v>7240</v>
      </c>
      <c r="S1" s="7" t="s">
        <v>7241</v>
      </c>
      <c r="T1" s="7" t="s">
        <v>7242</v>
      </c>
      <c r="U1" s="7" t="s">
        <v>7243</v>
      </c>
      <c r="V1" s="7" t="s">
        <v>7244</v>
      </c>
      <c r="W1" s="7" t="s">
        <v>7245</v>
      </c>
      <c r="X1" s="9"/>
      <c r="Y1" s="4" t="s">
        <v>4588</v>
      </c>
      <c r="Z1" s="4" t="s">
        <v>4589</v>
      </c>
      <c r="AA1" s="10" t="s">
        <v>3988</v>
      </c>
      <c r="AB1" s="5" t="s">
        <v>3983</v>
      </c>
      <c r="AC1" s="5" t="s">
        <v>3984</v>
      </c>
      <c r="AD1" s="5" t="s">
        <v>3985</v>
      </c>
    </row>
    <row r="2" spans="1:30" ht="17" x14ac:dyDescent="0.25">
      <c r="A2" s="1" t="s">
        <v>4</v>
      </c>
      <c r="B2" s="1" t="s">
        <v>4</v>
      </c>
      <c r="C2" s="1" t="s">
        <v>1331</v>
      </c>
      <c r="D2" t="str">
        <f>RIGHT(LEFT(C2,9),6)</f>
        <v>000000</v>
      </c>
      <c r="E2" t="str">
        <f>HEX2DEC(LEFT(D2,2))&amp;"-"&amp;HEX2DEC(MID(D2,3,2))&amp;"-"&amp;HEX2DEC(RIGHT(D2,2))</f>
        <v>0-0-0</v>
      </c>
      <c r="F2" t="str">
        <f>HEX2DEC(LEFT(D2,2))&amp;HEX2DEC(MID(D2,3,2))&amp;HEX2DEC(RIGHT(D2,2))</f>
        <v>000</v>
      </c>
      <c r="G2">
        <f>HEX2DEC(LEFT(D2,2))</f>
        <v>0</v>
      </c>
      <c r="H2">
        <f>HEX2DEC(MID(D2,3,2))</f>
        <v>0</v>
      </c>
      <c r="I2">
        <f>HEX2DEC(RIGHT(D2,2))</f>
        <v>0</v>
      </c>
      <c r="J2" t="str">
        <f>RIGHT(A2,LEN(A2)-3)</f>
        <v>root",</v>
      </c>
      <c r="K2" t="str">
        <f>RIGHT(B2,LEN(B2)-3)</f>
        <v>root",</v>
      </c>
      <c r="L2" t="str">
        <f>LEFT(J2,LEN(J2)-2)</f>
        <v>root</v>
      </c>
      <c r="M2" t="str">
        <f>LEFT(K2,LEN(K2)-2)</f>
        <v>root</v>
      </c>
      <c r="N2" t="s">
        <v>4590</v>
      </c>
      <c r="O2" t="s">
        <v>4590</v>
      </c>
      <c r="Q2" s="6">
        <v>0</v>
      </c>
      <c r="R2" s="6">
        <v>997</v>
      </c>
      <c r="S2" s="6" t="s">
        <v>4590</v>
      </c>
      <c r="T2" s="6" t="s">
        <v>4590</v>
      </c>
      <c r="V2" s="6">
        <v>0</v>
      </c>
      <c r="W2" s="6" t="s">
        <v>7246</v>
      </c>
      <c r="Y2" t="s">
        <v>4590</v>
      </c>
      <c r="Z2" t="s">
        <v>4590</v>
      </c>
      <c r="AA2" s="6">
        <f>IFERROR(INDEX(R:R,MATCH($Z2,S:S,0)),"")</f>
        <v>997</v>
      </c>
      <c r="AB2">
        <v>0</v>
      </c>
      <c r="AC2">
        <v>0</v>
      </c>
      <c r="AD2">
        <v>0</v>
      </c>
    </row>
    <row r="3" spans="1:30" ht="17" x14ac:dyDescent="0.25">
      <c r="A3" s="1" t="s">
        <v>5</v>
      </c>
      <c r="B3" s="1" t="s">
        <v>2658</v>
      </c>
      <c r="C3" s="1" t="s">
        <v>1332</v>
      </c>
      <c r="D3" t="str">
        <f>RIGHT(LEFT(C3,9),6)</f>
        <v>BFDAE3</v>
      </c>
      <c r="E3" t="str">
        <f>HEX2DEC(LEFT(D3,2))&amp;"-"&amp;HEX2DEC(MID(D3,3,2))&amp;"-"&amp;HEX2DEC(RIGHT(D3,2))</f>
        <v>191-218-227</v>
      </c>
      <c r="F3" t="str">
        <f>HEX2DEC(LEFT(D3,2))&amp;HEX2DEC(MID(D3,3,2))&amp;HEX2DEC(RIGHT(D3,2))</f>
        <v>191218227</v>
      </c>
      <c r="G3">
        <f>HEX2DEC(LEFT(D3,2))</f>
        <v>191</v>
      </c>
      <c r="H3">
        <f>HEX2DEC(MID(D3,3,2))</f>
        <v>218</v>
      </c>
      <c r="I3">
        <f>HEX2DEC(RIGHT(D3,2))</f>
        <v>227</v>
      </c>
      <c r="J3" t="str">
        <f t="shared" ref="J3:K66" si="0">RIGHT(A3,LEN(A3)-3)</f>
        <v>grey",</v>
      </c>
      <c r="K3" t="str">
        <f t="shared" si="0"/>
        <v>Basic cell groups and regions",</v>
      </c>
      <c r="L3" t="str">
        <f t="shared" ref="L3:M66" si="1">LEFT(J3,LEN(J3)-2)</f>
        <v>grey</v>
      </c>
      <c r="M3" t="str">
        <f t="shared" si="1"/>
        <v>Basic cell groups and regions</v>
      </c>
      <c r="N3" t="s">
        <v>4591</v>
      </c>
      <c r="O3" t="s">
        <v>4592</v>
      </c>
      <c r="Q3" s="6">
        <v>1</v>
      </c>
      <c r="R3" s="6">
        <v>8</v>
      </c>
      <c r="S3" s="6" t="s">
        <v>4592</v>
      </c>
      <c r="T3" s="6" t="s">
        <v>4591</v>
      </c>
      <c r="U3" s="6">
        <v>997</v>
      </c>
      <c r="V3" s="6">
        <v>1</v>
      </c>
      <c r="W3" s="6" t="s">
        <v>7247</v>
      </c>
      <c r="Y3" t="s">
        <v>4591</v>
      </c>
      <c r="Z3" t="s">
        <v>4592</v>
      </c>
      <c r="AA3" s="6">
        <f t="shared" ref="AA3:AA66" si="2">IFERROR(INDEX(R:R,MATCH($Z3,S:S,0)),"")</f>
        <v>8</v>
      </c>
      <c r="AB3">
        <v>191</v>
      </c>
      <c r="AC3">
        <v>218</v>
      </c>
      <c r="AD3">
        <v>227</v>
      </c>
    </row>
    <row r="4" spans="1:30" ht="17" x14ac:dyDescent="0.25">
      <c r="A4" s="1" t="s">
        <v>6</v>
      </c>
      <c r="B4" s="1" t="s">
        <v>2659</v>
      </c>
      <c r="C4" s="1" t="s">
        <v>1333</v>
      </c>
      <c r="D4" t="str">
        <f t="shared" ref="D4:D67" si="3">RIGHT(LEFT(C4,9),6)</f>
        <v>B0F0FF</v>
      </c>
      <c r="E4" t="str">
        <f t="shared" ref="E4:E67" si="4">HEX2DEC(LEFT(D4,2))&amp;"-"&amp;HEX2DEC(MID(D4,3,2))&amp;"-"&amp;HEX2DEC(RIGHT(D4,2))</f>
        <v>176-240-255</v>
      </c>
      <c r="F4" t="str">
        <f t="shared" ref="F4:F67" si="5">HEX2DEC(LEFT(D4,2))&amp;HEX2DEC(MID(D4,3,2))&amp;HEX2DEC(RIGHT(D4,2))</f>
        <v>176240255</v>
      </c>
      <c r="G4">
        <f t="shared" ref="G4:G67" si="6">HEX2DEC(LEFT(D4,2))</f>
        <v>176</v>
      </c>
      <c r="H4">
        <f t="shared" ref="H4:H67" si="7">HEX2DEC(MID(D4,3,2))</f>
        <v>240</v>
      </c>
      <c r="I4">
        <f t="shared" ref="I4:I67" si="8">HEX2DEC(RIGHT(D4,2))</f>
        <v>255</v>
      </c>
      <c r="J4" t="str">
        <f t="shared" si="0"/>
        <v>CH",</v>
      </c>
      <c r="K4" t="str">
        <f t="shared" si="0"/>
        <v>Cerebrum",</v>
      </c>
      <c r="L4" t="str">
        <f t="shared" si="1"/>
        <v>CH</v>
      </c>
      <c r="M4" t="str">
        <f t="shared" si="1"/>
        <v>Cerebrum</v>
      </c>
      <c r="N4" t="s">
        <v>4593</v>
      </c>
      <c r="O4" t="s">
        <v>4594</v>
      </c>
      <c r="Q4" s="6">
        <v>2</v>
      </c>
      <c r="R4" s="6">
        <v>567</v>
      </c>
      <c r="S4" s="6" t="s">
        <v>4594</v>
      </c>
      <c r="T4" s="6" t="s">
        <v>4593</v>
      </c>
      <c r="U4" s="6">
        <v>8</v>
      </c>
      <c r="V4" s="6">
        <v>2</v>
      </c>
      <c r="W4" s="6" t="s">
        <v>7248</v>
      </c>
      <c r="Y4" t="s">
        <v>4593</v>
      </c>
      <c r="Z4" t="s">
        <v>4594</v>
      </c>
      <c r="AA4" s="6">
        <f t="shared" si="2"/>
        <v>567</v>
      </c>
      <c r="AB4">
        <v>176</v>
      </c>
      <c r="AC4">
        <v>240</v>
      </c>
      <c r="AD4">
        <v>255</v>
      </c>
    </row>
    <row r="5" spans="1:30" ht="17" x14ac:dyDescent="0.25">
      <c r="A5" s="1" t="s">
        <v>7</v>
      </c>
      <c r="B5" s="1" t="s">
        <v>2660</v>
      </c>
      <c r="C5" s="1" t="s">
        <v>1334</v>
      </c>
      <c r="D5" t="str">
        <f t="shared" si="3"/>
        <v>B0FFB8</v>
      </c>
      <c r="E5" t="str">
        <f t="shared" si="4"/>
        <v>176-255-184</v>
      </c>
      <c r="F5" t="str">
        <f t="shared" si="5"/>
        <v>176255184</v>
      </c>
      <c r="G5">
        <f t="shared" si="6"/>
        <v>176</v>
      </c>
      <c r="H5">
        <f t="shared" si="7"/>
        <v>255</v>
      </c>
      <c r="I5">
        <f t="shared" si="8"/>
        <v>184</v>
      </c>
      <c r="J5" t="str">
        <f t="shared" si="0"/>
        <v>CTX",</v>
      </c>
      <c r="K5" t="str">
        <f t="shared" si="0"/>
        <v>Cerebral cortex",</v>
      </c>
      <c r="L5" t="str">
        <f t="shared" si="1"/>
        <v>CTX</v>
      </c>
      <c r="M5" t="str">
        <f t="shared" si="1"/>
        <v>Cerebral cortex</v>
      </c>
      <c r="N5" t="s">
        <v>4595</v>
      </c>
      <c r="O5" t="s">
        <v>4596</v>
      </c>
      <c r="Q5" s="6">
        <v>3</v>
      </c>
      <c r="R5" s="6">
        <v>688</v>
      </c>
      <c r="S5" s="6" t="s">
        <v>4596</v>
      </c>
      <c r="T5" s="6" t="s">
        <v>4595</v>
      </c>
      <c r="U5" s="6">
        <v>567</v>
      </c>
      <c r="V5" s="6">
        <v>3</v>
      </c>
      <c r="W5" s="6" t="s">
        <v>7249</v>
      </c>
      <c r="Y5" t="s">
        <v>4595</v>
      </c>
      <c r="Z5" t="s">
        <v>4596</v>
      </c>
      <c r="AA5" s="6">
        <f t="shared" si="2"/>
        <v>688</v>
      </c>
      <c r="AB5">
        <v>176</v>
      </c>
      <c r="AC5">
        <v>255</v>
      </c>
      <c r="AD5">
        <v>184</v>
      </c>
    </row>
    <row r="6" spans="1:30" ht="17" x14ac:dyDescent="0.25">
      <c r="A6" s="1" t="s">
        <v>8</v>
      </c>
      <c r="B6" s="1" t="s">
        <v>2661</v>
      </c>
      <c r="C6" s="1" t="s">
        <v>1335</v>
      </c>
      <c r="D6" t="str">
        <f t="shared" si="3"/>
        <v>70FF70</v>
      </c>
      <c r="E6" t="str">
        <f t="shared" si="4"/>
        <v>112-255-112</v>
      </c>
      <c r="F6" t="str">
        <f t="shared" si="5"/>
        <v>112255112</v>
      </c>
      <c r="G6">
        <f t="shared" si="6"/>
        <v>112</v>
      </c>
      <c r="H6">
        <f t="shared" si="7"/>
        <v>255</v>
      </c>
      <c r="I6">
        <f t="shared" si="8"/>
        <v>112</v>
      </c>
      <c r="J6" t="str">
        <f t="shared" si="0"/>
        <v>CTXpl",</v>
      </c>
      <c r="K6" t="str">
        <f t="shared" si="0"/>
        <v>Cortical plate",</v>
      </c>
      <c r="L6" t="str">
        <f t="shared" si="1"/>
        <v>CTXpl</v>
      </c>
      <c r="M6" t="str">
        <f t="shared" si="1"/>
        <v>Cortical plate</v>
      </c>
      <c r="N6" t="s">
        <v>4597</v>
      </c>
      <c r="O6" t="s">
        <v>4598</v>
      </c>
      <c r="Q6" s="6">
        <v>4</v>
      </c>
      <c r="R6" s="6">
        <v>695</v>
      </c>
      <c r="S6" s="6" t="s">
        <v>4598</v>
      </c>
      <c r="T6" s="6" t="s">
        <v>4597</v>
      </c>
      <c r="U6" s="6">
        <v>688</v>
      </c>
      <c r="V6" s="6">
        <v>4</v>
      </c>
      <c r="W6" s="6" t="s">
        <v>7250</v>
      </c>
      <c r="Y6" t="s">
        <v>4597</v>
      </c>
      <c r="Z6" t="s">
        <v>4598</v>
      </c>
      <c r="AA6" s="6">
        <f t="shared" si="2"/>
        <v>695</v>
      </c>
      <c r="AB6">
        <v>112</v>
      </c>
      <c r="AC6">
        <v>255</v>
      </c>
      <c r="AD6">
        <v>112</v>
      </c>
    </row>
    <row r="7" spans="1:30" ht="17" x14ac:dyDescent="0.25">
      <c r="A7" s="1" t="s">
        <v>9</v>
      </c>
      <c r="B7" s="1" t="s">
        <v>9</v>
      </c>
      <c r="C7" s="1" t="s">
        <v>1336</v>
      </c>
      <c r="D7" t="str">
        <f t="shared" si="3"/>
        <v>70FF71</v>
      </c>
      <c r="E7" t="str">
        <f t="shared" si="4"/>
        <v>112-255-113</v>
      </c>
      <c r="F7" t="str">
        <f t="shared" si="5"/>
        <v>112255113</v>
      </c>
      <c r="G7">
        <f t="shared" si="6"/>
        <v>112</v>
      </c>
      <c r="H7">
        <f t="shared" si="7"/>
        <v>255</v>
      </c>
      <c r="I7">
        <f t="shared" si="8"/>
        <v>113</v>
      </c>
      <c r="J7" t="str">
        <f t="shared" si="0"/>
        <v>Isocortex",</v>
      </c>
      <c r="K7" t="str">
        <f t="shared" si="0"/>
        <v>Isocortex",</v>
      </c>
      <c r="L7" t="str">
        <f t="shared" si="1"/>
        <v>Isocortex</v>
      </c>
      <c r="M7" t="str">
        <f t="shared" si="1"/>
        <v>Isocortex</v>
      </c>
      <c r="N7" t="s">
        <v>4599</v>
      </c>
      <c r="O7" t="s">
        <v>4599</v>
      </c>
      <c r="Q7" s="6">
        <v>5</v>
      </c>
      <c r="R7" s="6">
        <v>315</v>
      </c>
      <c r="S7" s="6" t="s">
        <v>4599</v>
      </c>
      <c r="T7" s="6" t="s">
        <v>4599</v>
      </c>
      <c r="U7" s="6">
        <v>695</v>
      </c>
      <c r="V7" s="6">
        <v>5</v>
      </c>
      <c r="W7" s="6" t="s">
        <v>7251</v>
      </c>
      <c r="Y7" t="s">
        <v>4599</v>
      </c>
      <c r="Z7" t="s">
        <v>4599</v>
      </c>
      <c r="AA7" s="6">
        <f t="shared" si="2"/>
        <v>315</v>
      </c>
      <c r="AB7">
        <v>112</v>
      </c>
      <c r="AC7">
        <v>255</v>
      </c>
      <c r="AD7">
        <v>113</v>
      </c>
    </row>
    <row r="8" spans="1:30" ht="17" x14ac:dyDescent="0.25">
      <c r="A8" s="1" t="s">
        <v>10</v>
      </c>
      <c r="B8" s="1" t="s">
        <v>2662</v>
      </c>
      <c r="C8" s="1" t="s">
        <v>1337</v>
      </c>
      <c r="D8" t="str">
        <f t="shared" si="3"/>
        <v>268F44</v>
      </c>
      <c r="E8" t="str">
        <f t="shared" si="4"/>
        <v>38-143-68</v>
      </c>
      <c r="F8" t="str">
        <f t="shared" si="5"/>
        <v>3814368</v>
      </c>
      <c r="G8">
        <f t="shared" si="6"/>
        <v>38</v>
      </c>
      <c r="H8">
        <f t="shared" si="7"/>
        <v>143</v>
      </c>
      <c r="I8">
        <f t="shared" si="8"/>
        <v>68</v>
      </c>
      <c r="J8" t="str">
        <f t="shared" si="0"/>
        <v>FRP",</v>
      </c>
      <c r="K8" t="str">
        <f t="shared" si="0"/>
        <v>Frontal pole, cerebral cortex",</v>
      </c>
      <c r="L8" t="str">
        <f t="shared" si="1"/>
        <v>FRP</v>
      </c>
      <c r="M8" t="str">
        <f t="shared" si="1"/>
        <v>Frontal pole, cerebral cortex</v>
      </c>
      <c r="N8" t="s">
        <v>4600</v>
      </c>
      <c r="O8" t="s">
        <v>4601</v>
      </c>
      <c r="Q8" s="6">
        <v>6</v>
      </c>
      <c r="R8" s="6">
        <v>184</v>
      </c>
      <c r="S8" s="6" t="s">
        <v>4601</v>
      </c>
      <c r="T8" s="6" t="s">
        <v>4600</v>
      </c>
      <c r="U8" s="6">
        <v>315</v>
      </c>
      <c r="V8" s="6">
        <v>6</v>
      </c>
      <c r="W8" s="6" t="s">
        <v>7252</v>
      </c>
      <c r="Y8" t="s">
        <v>4600</v>
      </c>
      <c r="Z8" t="s">
        <v>4601</v>
      </c>
      <c r="AA8" s="6">
        <f t="shared" si="2"/>
        <v>184</v>
      </c>
      <c r="AB8">
        <v>38</v>
      </c>
      <c r="AC8">
        <v>143</v>
      </c>
      <c r="AD8">
        <v>68</v>
      </c>
    </row>
    <row r="9" spans="1:30" ht="17" x14ac:dyDescent="0.25">
      <c r="A9" s="1" t="s">
        <v>11</v>
      </c>
      <c r="B9" s="1" t="s">
        <v>2663</v>
      </c>
      <c r="C9" s="1" t="s">
        <v>1338</v>
      </c>
      <c r="D9" t="str">
        <f t="shared" si="3"/>
        <v>268F45</v>
      </c>
      <c r="E9" t="str">
        <f t="shared" si="4"/>
        <v>38-143-69</v>
      </c>
      <c r="F9" t="str">
        <f t="shared" si="5"/>
        <v>3814369</v>
      </c>
      <c r="G9">
        <f t="shared" si="6"/>
        <v>38</v>
      </c>
      <c r="H9">
        <f t="shared" si="7"/>
        <v>143</v>
      </c>
      <c r="I9">
        <f t="shared" si="8"/>
        <v>69</v>
      </c>
      <c r="J9" t="str">
        <f t="shared" si="0"/>
        <v>FRP1",</v>
      </c>
      <c r="K9" t="str">
        <f t="shared" si="0"/>
        <v>Frontal pole, layer 1",</v>
      </c>
      <c r="L9" t="str">
        <f t="shared" si="1"/>
        <v>FRP1</v>
      </c>
      <c r="M9" t="str">
        <f t="shared" si="1"/>
        <v>Frontal pole, layer 1</v>
      </c>
      <c r="N9" t="s">
        <v>4602</v>
      </c>
      <c r="O9" t="s">
        <v>4603</v>
      </c>
      <c r="Q9" s="6">
        <v>7</v>
      </c>
      <c r="R9" s="6">
        <v>68</v>
      </c>
      <c r="S9" s="6" t="s">
        <v>4603</v>
      </c>
      <c r="T9" s="6" t="s">
        <v>4602</v>
      </c>
      <c r="U9" s="6">
        <v>184</v>
      </c>
      <c r="V9" s="6">
        <v>7</v>
      </c>
      <c r="W9" s="6" t="s">
        <v>7253</v>
      </c>
      <c r="Y9" t="s">
        <v>4602</v>
      </c>
      <c r="Z9" t="s">
        <v>4603</v>
      </c>
      <c r="AA9" s="6">
        <f t="shared" si="2"/>
        <v>68</v>
      </c>
      <c r="AB9">
        <v>38</v>
      </c>
      <c r="AC9">
        <v>143</v>
      </c>
      <c r="AD9">
        <v>69</v>
      </c>
    </row>
    <row r="10" spans="1:30" ht="17" x14ac:dyDescent="0.25">
      <c r="A10" s="1" t="s">
        <v>12</v>
      </c>
      <c r="B10" s="1" t="s">
        <v>2664</v>
      </c>
      <c r="C10" s="1" t="s">
        <v>1339</v>
      </c>
      <c r="D10" t="str">
        <f t="shared" si="3"/>
        <v>268E45</v>
      </c>
      <c r="E10" t="str">
        <f t="shared" si="4"/>
        <v>38-142-69</v>
      </c>
      <c r="F10" t="str">
        <f t="shared" si="5"/>
        <v>3814269</v>
      </c>
      <c r="G10">
        <f t="shared" si="6"/>
        <v>38</v>
      </c>
      <c r="H10">
        <f t="shared" si="7"/>
        <v>142</v>
      </c>
      <c r="I10">
        <f t="shared" si="8"/>
        <v>69</v>
      </c>
      <c r="J10" t="str">
        <f t="shared" si="0"/>
        <v>FRP2\/3",</v>
      </c>
      <c r="K10" t="str">
        <f t="shared" si="0"/>
        <v>Frontal pole, layer 2\/3",</v>
      </c>
      <c r="L10" t="str">
        <f t="shared" si="1"/>
        <v>FRP2\/3</v>
      </c>
      <c r="M10" t="str">
        <f t="shared" si="1"/>
        <v>Frontal pole, layer 2\/3</v>
      </c>
      <c r="N10" t="s">
        <v>7112</v>
      </c>
      <c r="O10" t="s">
        <v>7173</v>
      </c>
      <c r="Q10" s="6">
        <v>8</v>
      </c>
      <c r="R10" s="6">
        <v>667</v>
      </c>
      <c r="S10" s="6" t="s">
        <v>7173</v>
      </c>
      <c r="T10" s="6" t="s">
        <v>7112</v>
      </c>
      <c r="U10" s="6">
        <v>184</v>
      </c>
      <c r="V10" s="6">
        <v>7</v>
      </c>
      <c r="W10" s="6" t="s">
        <v>7254</v>
      </c>
      <c r="Y10" t="s">
        <v>7112</v>
      </c>
      <c r="Z10" t="s">
        <v>7173</v>
      </c>
      <c r="AA10" s="6">
        <f t="shared" si="2"/>
        <v>667</v>
      </c>
      <c r="AB10">
        <v>38</v>
      </c>
      <c r="AC10">
        <v>142</v>
      </c>
      <c r="AD10">
        <v>69</v>
      </c>
    </row>
    <row r="11" spans="1:30" ht="17" x14ac:dyDescent="0.25">
      <c r="A11" s="1" t="s">
        <v>13</v>
      </c>
      <c r="B11" s="1" t="s">
        <v>2665</v>
      </c>
      <c r="C11" s="1" t="s">
        <v>1340</v>
      </c>
      <c r="D11" t="str">
        <f t="shared" si="3"/>
        <v>258F45</v>
      </c>
      <c r="E11" t="str">
        <f t="shared" si="4"/>
        <v>37-143-69</v>
      </c>
      <c r="F11" t="str">
        <f t="shared" si="5"/>
        <v>3714369</v>
      </c>
      <c r="G11">
        <f t="shared" si="6"/>
        <v>37</v>
      </c>
      <c r="H11">
        <f t="shared" si="7"/>
        <v>143</v>
      </c>
      <c r="I11">
        <f t="shared" si="8"/>
        <v>69</v>
      </c>
      <c r="J11" t="str">
        <f t="shared" si="0"/>
        <v>FRP5",</v>
      </c>
      <c r="K11" t="str">
        <f t="shared" si="0"/>
        <v>Frontal pole, layer 5",</v>
      </c>
      <c r="L11" t="str">
        <f t="shared" si="1"/>
        <v>FRP5</v>
      </c>
      <c r="M11" t="str">
        <f t="shared" si="1"/>
        <v>Frontal pole, layer 5</v>
      </c>
      <c r="N11" t="s">
        <v>4604</v>
      </c>
      <c r="O11" t="s">
        <v>4605</v>
      </c>
      <c r="Q11" s="6">
        <v>9</v>
      </c>
      <c r="R11" s="6">
        <v>526157192</v>
      </c>
      <c r="S11" s="6" t="s">
        <v>4605</v>
      </c>
      <c r="T11" s="6" t="s">
        <v>4604</v>
      </c>
      <c r="U11" s="6">
        <v>184</v>
      </c>
      <c r="V11" s="6">
        <v>7</v>
      </c>
      <c r="W11" s="6" t="s">
        <v>7255</v>
      </c>
      <c r="Y11" t="s">
        <v>4604</v>
      </c>
      <c r="Z11" t="s">
        <v>4605</v>
      </c>
      <c r="AA11" s="6">
        <f t="shared" si="2"/>
        <v>526157192</v>
      </c>
      <c r="AB11">
        <v>37</v>
      </c>
      <c r="AC11">
        <v>143</v>
      </c>
      <c r="AD11">
        <v>69</v>
      </c>
    </row>
    <row r="12" spans="1:30" ht="17" x14ac:dyDescent="0.25">
      <c r="A12" s="1" t="s">
        <v>14</v>
      </c>
      <c r="B12" s="1" t="s">
        <v>2666</v>
      </c>
      <c r="C12" s="1" t="s">
        <v>1341</v>
      </c>
      <c r="D12" t="str">
        <f t="shared" si="3"/>
        <v>268E44</v>
      </c>
      <c r="E12" t="str">
        <f t="shared" si="4"/>
        <v>38-142-68</v>
      </c>
      <c r="F12" t="str">
        <f t="shared" si="5"/>
        <v>3814268</v>
      </c>
      <c r="G12">
        <f t="shared" si="6"/>
        <v>38</v>
      </c>
      <c r="H12">
        <f t="shared" si="7"/>
        <v>142</v>
      </c>
      <c r="I12">
        <f t="shared" si="8"/>
        <v>68</v>
      </c>
      <c r="J12" t="str">
        <f t="shared" si="0"/>
        <v>FRP6a",</v>
      </c>
      <c r="K12" t="str">
        <f t="shared" si="0"/>
        <v>Frontal pole, layer 6a",</v>
      </c>
      <c r="L12" t="str">
        <f t="shared" si="1"/>
        <v>FRP6a</v>
      </c>
      <c r="M12" t="str">
        <f t="shared" si="1"/>
        <v>Frontal pole, layer 6a</v>
      </c>
      <c r="N12" t="s">
        <v>4606</v>
      </c>
      <c r="O12" t="s">
        <v>4607</v>
      </c>
      <c r="Q12" s="6">
        <v>10</v>
      </c>
      <c r="R12" s="6">
        <v>526157196</v>
      </c>
      <c r="S12" s="6" t="s">
        <v>4607</v>
      </c>
      <c r="T12" s="6" t="s">
        <v>4606</v>
      </c>
      <c r="U12" s="6">
        <v>184</v>
      </c>
      <c r="V12" s="6">
        <v>7</v>
      </c>
      <c r="W12" s="6" t="s">
        <v>7256</v>
      </c>
      <c r="Y12" t="s">
        <v>4606</v>
      </c>
      <c r="Z12" t="s">
        <v>4607</v>
      </c>
      <c r="AA12" s="6">
        <f t="shared" si="2"/>
        <v>526157196</v>
      </c>
      <c r="AB12">
        <v>38</v>
      </c>
      <c r="AC12">
        <v>142</v>
      </c>
      <c r="AD12">
        <v>68</v>
      </c>
    </row>
    <row r="13" spans="1:30" ht="17" x14ac:dyDescent="0.25">
      <c r="A13" s="1" t="s">
        <v>15</v>
      </c>
      <c r="B13" s="1" t="s">
        <v>2667</v>
      </c>
      <c r="C13" s="1" t="s">
        <v>1342</v>
      </c>
      <c r="D13" t="str">
        <f t="shared" si="3"/>
        <v>258F44</v>
      </c>
      <c r="E13" t="str">
        <f t="shared" si="4"/>
        <v>37-143-68</v>
      </c>
      <c r="F13" t="str">
        <f t="shared" si="5"/>
        <v>3714368</v>
      </c>
      <c r="G13">
        <f t="shared" si="6"/>
        <v>37</v>
      </c>
      <c r="H13">
        <f t="shared" si="7"/>
        <v>143</v>
      </c>
      <c r="I13">
        <f t="shared" si="8"/>
        <v>68</v>
      </c>
      <c r="J13" t="str">
        <f t="shared" si="0"/>
        <v>FRP6b",</v>
      </c>
      <c r="K13" t="str">
        <f t="shared" si="0"/>
        <v>Frontal pole, layer 6b",</v>
      </c>
      <c r="L13" t="str">
        <f t="shared" si="1"/>
        <v>FRP6b</v>
      </c>
      <c r="M13" t="str">
        <f t="shared" si="1"/>
        <v>Frontal pole, layer 6b</v>
      </c>
      <c r="N13" t="s">
        <v>4608</v>
      </c>
      <c r="O13" t="s">
        <v>4609</v>
      </c>
      <c r="Q13" s="6">
        <v>11</v>
      </c>
      <c r="R13" s="6">
        <v>526322264</v>
      </c>
      <c r="S13" s="6" t="s">
        <v>4609</v>
      </c>
      <c r="T13" s="6" t="s">
        <v>4608</v>
      </c>
      <c r="U13" s="6">
        <v>184</v>
      </c>
      <c r="V13" s="6">
        <v>7</v>
      </c>
      <c r="W13" s="6" t="s">
        <v>7257</v>
      </c>
      <c r="Y13" t="s">
        <v>4608</v>
      </c>
      <c r="Z13" t="s">
        <v>4609</v>
      </c>
      <c r="AA13" s="6">
        <f t="shared" si="2"/>
        <v>526322264</v>
      </c>
      <c r="AB13">
        <v>37</v>
      </c>
      <c r="AC13">
        <v>143</v>
      </c>
      <c r="AD13">
        <v>68</v>
      </c>
    </row>
    <row r="14" spans="1:30" ht="17" x14ac:dyDescent="0.25">
      <c r="A14" s="1" t="s">
        <v>16</v>
      </c>
      <c r="B14" s="1" t="s">
        <v>2668</v>
      </c>
      <c r="C14" s="1" t="s">
        <v>1343</v>
      </c>
      <c r="D14" t="str">
        <f t="shared" si="3"/>
        <v>1F9C59</v>
      </c>
      <c r="E14" t="str">
        <f t="shared" si="4"/>
        <v>31-156-89</v>
      </c>
      <c r="F14" t="str">
        <f t="shared" si="5"/>
        <v>3115689</v>
      </c>
      <c r="G14">
        <f t="shared" si="6"/>
        <v>31</v>
      </c>
      <c r="H14">
        <f t="shared" si="7"/>
        <v>156</v>
      </c>
      <c r="I14">
        <f t="shared" si="8"/>
        <v>89</v>
      </c>
      <c r="J14" t="str">
        <f t="shared" si="0"/>
        <v>MO",</v>
      </c>
      <c r="K14" t="str">
        <f t="shared" si="0"/>
        <v>Somatomotor areas",</v>
      </c>
      <c r="L14" t="str">
        <f t="shared" si="1"/>
        <v>MO</v>
      </c>
      <c r="M14" t="str">
        <f t="shared" si="1"/>
        <v>Somatomotor areas</v>
      </c>
      <c r="N14" t="s">
        <v>4610</v>
      </c>
      <c r="O14" t="s">
        <v>4611</v>
      </c>
      <c r="Q14" s="6">
        <v>12</v>
      </c>
      <c r="R14" s="6">
        <v>500</v>
      </c>
      <c r="S14" s="6" t="s">
        <v>4611</v>
      </c>
      <c r="T14" s="6" t="s">
        <v>4610</v>
      </c>
      <c r="U14" s="6">
        <v>315</v>
      </c>
      <c r="V14" s="6">
        <v>6</v>
      </c>
      <c r="W14" s="6" t="s">
        <v>7258</v>
      </c>
      <c r="Y14" t="s">
        <v>4610</v>
      </c>
      <c r="Z14" t="s">
        <v>4611</v>
      </c>
      <c r="AA14" s="6">
        <f t="shared" si="2"/>
        <v>500</v>
      </c>
      <c r="AB14">
        <v>31</v>
      </c>
      <c r="AC14">
        <v>156</v>
      </c>
      <c r="AD14">
        <v>89</v>
      </c>
    </row>
    <row r="15" spans="1:30" ht="17" x14ac:dyDescent="0.25">
      <c r="A15" s="1" t="s">
        <v>17</v>
      </c>
      <c r="B15" s="1" t="s">
        <v>2669</v>
      </c>
      <c r="C15" s="1" t="s">
        <v>1344</v>
      </c>
      <c r="D15" t="str">
        <f t="shared" si="3"/>
        <v>1F9D5A</v>
      </c>
      <c r="E15" t="str">
        <f t="shared" si="4"/>
        <v>31-157-90</v>
      </c>
      <c r="F15" t="str">
        <f t="shared" si="5"/>
        <v>3115790</v>
      </c>
      <c r="G15">
        <f t="shared" si="6"/>
        <v>31</v>
      </c>
      <c r="H15">
        <f t="shared" si="7"/>
        <v>157</v>
      </c>
      <c r="I15">
        <f t="shared" si="8"/>
        <v>90</v>
      </c>
      <c r="J15" t="str">
        <f t="shared" si="0"/>
        <v>MO1",</v>
      </c>
      <c r="K15" t="str">
        <f t="shared" si="0"/>
        <v>Somatomotor areas, Layer 1",</v>
      </c>
      <c r="L15" t="str">
        <f t="shared" si="1"/>
        <v>MO1</v>
      </c>
      <c r="M15" t="str">
        <f t="shared" si="1"/>
        <v>Somatomotor areas, Layer 1</v>
      </c>
      <c r="N15" t="s">
        <v>4612</v>
      </c>
      <c r="O15" t="s">
        <v>4613</v>
      </c>
      <c r="Q15" s="6">
        <v>18</v>
      </c>
      <c r="R15" s="6">
        <v>985</v>
      </c>
      <c r="S15" s="6" t="s">
        <v>4621</v>
      </c>
      <c r="T15" s="6" t="s">
        <v>4620</v>
      </c>
      <c r="U15" s="6">
        <v>500</v>
      </c>
      <c r="V15" s="6">
        <v>7</v>
      </c>
      <c r="W15" s="6" t="s">
        <v>7259</v>
      </c>
      <c r="Y15" t="s">
        <v>4612</v>
      </c>
      <c r="Z15" t="s">
        <v>4613</v>
      </c>
      <c r="AA15" s="6" t="str">
        <f t="shared" si="2"/>
        <v/>
      </c>
      <c r="AB15">
        <v>31</v>
      </c>
      <c r="AC15">
        <v>157</v>
      </c>
      <c r="AD15">
        <v>90</v>
      </c>
    </row>
    <row r="16" spans="1:30" ht="17" x14ac:dyDescent="0.25">
      <c r="A16" s="1" t="s">
        <v>18</v>
      </c>
      <c r="B16" s="1" t="s">
        <v>2670</v>
      </c>
      <c r="C16" s="1" t="s">
        <v>1345</v>
      </c>
      <c r="D16" t="str">
        <f t="shared" si="3"/>
        <v>1F9D59</v>
      </c>
      <c r="E16" t="str">
        <f t="shared" si="4"/>
        <v>31-157-89</v>
      </c>
      <c r="F16" t="str">
        <f t="shared" si="5"/>
        <v>3115789</v>
      </c>
      <c r="G16">
        <f t="shared" si="6"/>
        <v>31</v>
      </c>
      <c r="H16">
        <f t="shared" si="7"/>
        <v>157</v>
      </c>
      <c r="I16">
        <f t="shared" si="8"/>
        <v>89</v>
      </c>
      <c r="J16" t="str">
        <f t="shared" si="0"/>
        <v>MO2\/3",</v>
      </c>
      <c r="K16" t="str">
        <f t="shared" si="0"/>
        <v>Somatomotor areas, Layer 2\/3",</v>
      </c>
      <c r="L16" t="str">
        <f t="shared" si="1"/>
        <v>MO2\/3</v>
      </c>
      <c r="M16" t="str">
        <f t="shared" si="1"/>
        <v>Somatomotor areas, Layer 2\/3</v>
      </c>
      <c r="N16" t="s">
        <v>7113</v>
      </c>
      <c r="O16" t="s">
        <v>7174</v>
      </c>
      <c r="Q16" s="6">
        <v>19</v>
      </c>
      <c r="R16" s="6">
        <v>320</v>
      </c>
      <c r="S16" s="6" t="s">
        <v>4623</v>
      </c>
      <c r="T16" s="6" t="s">
        <v>4622</v>
      </c>
      <c r="U16" s="6">
        <v>985</v>
      </c>
      <c r="V16" s="6">
        <v>8</v>
      </c>
      <c r="W16" s="6" t="s">
        <v>7260</v>
      </c>
      <c r="Y16" t="s">
        <v>7113</v>
      </c>
      <c r="Z16" t="s">
        <v>7174</v>
      </c>
      <c r="AA16" s="6" t="str">
        <f t="shared" si="2"/>
        <v/>
      </c>
      <c r="AB16">
        <v>31</v>
      </c>
      <c r="AC16">
        <v>157</v>
      </c>
      <c r="AD16">
        <v>89</v>
      </c>
    </row>
    <row r="17" spans="1:30" ht="17" x14ac:dyDescent="0.25">
      <c r="A17" s="1" t="s">
        <v>19</v>
      </c>
      <c r="B17" s="1" t="s">
        <v>2671</v>
      </c>
      <c r="C17" s="1" t="s">
        <v>1346</v>
      </c>
      <c r="D17" t="str">
        <f t="shared" si="3"/>
        <v>1F9C5A</v>
      </c>
      <c r="E17" t="str">
        <f t="shared" si="4"/>
        <v>31-156-90</v>
      </c>
      <c r="F17" t="str">
        <f t="shared" si="5"/>
        <v>3115690</v>
      </c>
      <c r="G17">
        <f t="shared" si="6"/>
        <v>31</v>
      </c>
      <c r="H17">
        <f t="shared" si="7"/>
        <v>156</v>
      </c>
      <c r="I17">
        <f t="shared" si="8"/>
        <v>90</v>
      </c>
      <c r="J17" t="str">
        <f t="shared" si="0"/>
        <v>MO5",</v>
      </c>
      <c r="K17" t="str">
        <f t="shared" si="0"/>
        <v>Somatomotor areas, Layer 5",</v>
      </c>
      <c r="L17" t="str">
        <f t="shared" si="1"/>
        <v>MO5</v>
      </c>
      <c r="M17" t="str">
        <f t="shared" si="1"/>
        <v>Somatomotor areas, Layer 5</v>
      </c>
      <c r="N17" t="s">
        <v>4614</v>
      </c>
      <c r="O17" t="s">
        <v>4615</v>
      </c>
      <c r="Q17" s="6">
        <v>20</v>
      </c>
      <c r="R17" s="6">
        <v>943</v>
      </c>
      <c r="S17" s="6" t="s">
        <v>7175</v>
      </c>
      <c r="T17" s="6" t="s">
        <v>7114</v>
      </c>
      <c r="U17" s="6">
        <v>985</v>
      </c>
      <c r="V17" s="6">
        <v>8</v>
      </c>
      <c r="W17" s="6" t="s">
        <v>7261</v>
      </c>
      <c r="Y17" t="s">
        <v>4614</v>
      </c>
      <c r="Z17" t="s">
        <v>4615</v>
      </c>
      <c r="AA17" s="6" t="str">
        <f t="shared" si="2"/>
        <v/>
      </c>
      <c r="AB17">
        <v>31</v>
      </c>
      <c r="AC17">
        <v>156</v>
      </c>
      <c r="AD17">
        <v>90</v>
      </c>
    </row>
    <row r="18" spans="1:30" ht="17" x14ac:dyDescent="0.25">
      <c r="A18" s="1" t="s">
        <v>20</v>
      </c>
      <c r="B18" s="1" t="s">
        <v>2672</v>
      </c>
      <c r="C18" s="1" t="s">
        <v>1347</v>
      </c>
      <c r="D18" t="str">
        <f t="shared" si="3"/>
        <v>1E9D59</v>
      </c>
      <c r="E18" t="str">
        <f t="shared" si="4"/>
        <v>30-157-89</v>
      </c>
      <c r="F18" t="str">
        <f t="shared" si="5"/>
        <v>3015789</v>
      </c>
      <c r="G18">
        <f t="shared" si="6"/>
        <v>30</v>
      </c>
      <c r="H18">
        <f t="shared" si="7"/>
        <v>157</v>
      </c>
      <c r="I18">
        <f t="shared" si="8"/>
        <v>89</v>
      </c>
      <c r="J18" t="str">
        <f t="shared" si="0"/>
        <v>MO6a",</v>
      </c>
      <c r="K18" t="str">
        <f t="shared" si="0"/>
        <v>Somatomotor areas, Layer 6a",</v>
      </c>
      <c r="L18" t="str">
        <f t="shared" si="1"/>
        <v>MO6a</v>
      </c>
      <c r="M18" t="str">
        <f t="shared" si="1"/>
        <v>Somatomotor areas, Layer 6a</v>
      </c>
      <c r="N18" t="s">
        <v>4616</v>
      </c>
      <c r="O18" t="s">
        <v>4617</v>
      </c>
      <c r="Q18" s="6">
        <v>21</v>
      </c>
      <c r="R18" s="6">
        <v>648</v>
      </c>
      <c r="S18" s="6" t="s">
        <v>4625</v>
      </c>
      <c r="T18" s="6" t="s">
        <v>4624</v>
      </c>
      <c r="U18" s="6">
        <v>985</v>
      </c>
      <c r="V18" s="6">
        <v>8</v>
      </c>
      <c r="W18" s="6" t="s">
        <v>7262</v>
      </c>
      <c r="Y18" t="s">
        <v>4616</v>
      </c>
      <c r="Z18" t="s">
        <v>4617</v>
      </c>
      <c r="AA18" s="6" t="str">
        <f t="shared" si="2"/>
        <v/>
      </c>
      <c r="AB18">
        <v>30</v>
      </c>
      <c r="AC18">
        <v>157</v>
      </c>
      <c r="AD18">
        <v>89</v>
      </c>
    </row>
    <row r="19" spans="1:30" ht="17" x14ac:dyDescent="0.25">
      <c r="A19" s="1" t="s">
        <v>21</v>
      </c>
      <c r="B19" s="1" t="s">
        <v>2673</v>
      </c>
      <c r="C19" s="1" t="s">
        <v>1348</v>
      </c>
      <c r="D19" t="str">
        <f t="shared" si="3"/>
        <v>1F9B59</v>
      </c>
      <c r="E19" t="str">
        <f t="shared" si="4"/>
        <v>31-155-89</v>
      </c>
      <c r="F19" t="str">
        <f t="shared" si="5"/>
        <v>3115589</v>
      </c>
      <c r="G19">
        <f t="shared" si="6"/>
        <v>31</v>
      </c>
      <c r="H19">
        <f t="shared" si="7"/>
        <v>155</v>
      </c>
      <c r="I19">
        <f t="shared" si="8"/>
        <v>89</v>
      </c>
      <c r="J19" t="str">
        <f t="shared" si="0"/>
        <v>MO6b",</v>
      </c>
      <c r="K19" t="str">
        <f t="shared" si="0"/>
        <v>Somatomotor areas, Layer 6b",</v>
      </c>
      <c r="L19" t="str">
        <f t="shared" si="1"/>
        <v>MO6b</v>
      </c>
      <c r="M19" t="str">
        <f t="shared" si="1"/>
        <v>Somatomotor areas, Layer 6b</v>
      </c>
      <c r="N19" t="s">
        <v>4618</v>
      </c>
      <c r="O19" t="s">
        <v>4619</v>
      </c>
      <c r="Q19" s="6">
        <v>22</v>
      </c>
      <c r="R19" s="6">
        <v>844</v>
      </c>
      <c r="S19" s="6" t="s">
        <v>4627</v>
      </c>
      <c r="T19" s="6" t="s">
        <v>4626</v>
      </c>
      <c r="U19" s="6">
        <v>985</v>
      </c>
      <c r="V19" s="6">
        <v>8</v>
      </c>
      <c r="W19" s="6" t="s">
        <v>7263</v>
      </c>
      <c r="Y19" t="s">
        <v>4618</v>
      </c>
      <c r="Z19" t="s">
        <v>4619</v>
      </c>
      <c r="AA19" s="6" t="str">
        <f t="shared" si="2"/>
        <v/>
      </c>
      <c r="AB19">
        <v>31</v>
      </c>
      <c r="AC19">
        <v>155</v>
      </c>
      <c r="AD19">
        <v>89</v>
      </c>
    </row>
    <row r="20" spans="1:30" ht="17" x14ac:dyDescent="0.25">
      <c r="A20" s="1" t="s">
        <v>22</v>
      </c>
      <c r="B20" s="1" t="s">
        <v>2674</v>
      </c>
      <c r="C20" s="1" t="s">
        <v>1349</v>
      </c>
      <c r="D20" t="str">
        <f t="shared" si="3"/>
        <v>1E9B5A</v>
      </c>
      <c r="E20" t="str">
        <f t="shared" si="4"/>
        <v>30-155-90</v>
      </c>
      <c r="F20" t="str">
        <f t="shared" si="5"/>
        <v>3015590</v>
      </c>
      <c r="G20">
        <f t="shared" si="6"/>
        <v>30</v>
      </c>
      <c r="H20">
        <f t="shared" si="7"/>
        <v>155</v>
      </c>
      <c r="I20">
        <f t="shared" si="8"/>
        <v>90</v>
      </c>
      <c r="J20" t="str">
        <f t="shared" si="0"/>
        <v>MOp",</v>
      </c>
      <c r="K20" t="str">
        <f t="shared" si="0"/>
        <v>Primary motor area",</v>
      </c>
      <c r="L20" t="str">
        <f t="shared" si="1"/>
        <v>MOp</v>
      </c>
      <c r="M20" t="str">
        <f t="shared" si="1"/>
        <v>Primary motor area</v>
      </c>
      <c r="N20" t="s">
        <v>4620</v>
      </c>
      <c r="O20" t="s">
        <v>4621</v>
      </c>
      <c r="Q20" s="6">
        <v>23</v>
      </c>
      <c r="R20" s="6">
        <v>882</v>
      </c>
      <c r="S20" s="6" t="s">
        <v>4629</v>
      </c>
      <c r="T20" s="6" t="s">
        <v>4628</v>
      </c>
      <c r="U20" s="6">
        <v>985</v>
      </c>
      <c r="V20" s="6">
        <v>8</v>
      </c>
      <c r="W20" s="6" t="s">
        <v>7264</v>
      </c>
      <c r="Y20" t="s">
        <v>4620</v>
      </c>
      <c r="Z20" t="s">
        <v>4621</v>
      </c>
      <c r="AA20" s="6">
        <f t="shared" si="2"/>
        <v>985</v>
      </c>
      <c r="AB20">
        <v>30</v>
      </c>
      <c r="AC20">
        <v>155</v>
      </c>
      <c r="AD20">
        <v>90</v>
      </c>
    </row>
    <row r="21" spans="1:30" ht="17" x14ac:dyDescent="0.25">
      <c r="A21" s="1" t="s">
        <v>23</v>
      </c>
      <c r="B21" s="1" t="s">
        <v>2675</v>
      </c>
      <c r="C21" s="1" t="s">
        <v>1350</v>
      </c>
      <c r="D21" t="str">
        <f t="shared" si="3"/>
        <v>1E9D5A</v>
      </c>
      <c r="E21" t="str">
        <f t="shared" si="4"/>
        <v>30-157-90</v>
      </c>
      <c r="F21" t="str">
        <f t="shared" si="5"/>
        <v>3015790</v>
      </c>
      <c r="G21">
        <f t="shared" si="6"/>
        <v>30</v>
      </c>
      <c r="H21">
        <f t="shared" si="7"/>
        <v>157</v>
      </c>
      <c r="I21">
        <f t="shared" si="8"/>
        <v>90</v>
      </c>
      <c r="J21" t="str">
        <f t="shared" si="0"/>
        <v>MOp1",</v>
      </c>
      <c r="K21" t="str">
        <f t="shared" si="0"/>
        <v>Primary motor area, Layer 1",</v>
      </c>
      <c r="L21" t="str">
        <f t="shared" si="1"/>
        <v>MOp1</v>
      </c>
      <c r="M21" t="str">
        <f t="shared" si="1"/>
        <v>Primary motor area, Layer 1</v>
      </c>
      <c r="N21" t="s">
        <v>4622</v>
      </c>
      <c r="O21" t="s">
        <v>4623</v>
      </c>
      <c r="Q21" s="6">
        <v>24</v>
      </c>
      <c r="R21" s="6">
        <v>993</v>
      </c>
      <c r="S21" s="6" t="s">
        <v>4631</v>
      </c>
      <c r="T21" s="6" t="s">
        <v>4630</v>
      </c>
      <c r="U21" s="6">
        <v>500</v>
      </c>
      <c r="V21" s="6">
        <v>7</v>
      </c>
      <c r="W21" s="6" t="s">
        <v>7265</v>
      </c>
      <c r="Y21" t="s">
        <v>4622</v>
      </c>
      <c r="Z21" t="s">
        <v>4623</v>
      </c>
      <c r="AA21" s="6">
        <f t="shared" si="2"/>
        <v>320</v>
      </c>
      <c r="AB21">
        <v>30</v>
      </c>
      <c r="AC21">
        <v>157</v>
      </c>
      <c r="AD21">
        <v>90</v>
      </c>
    </row>
    <row r="22" spans="1:30" ht="17" x14ac:dyDescent="0.25">
      <c r="A22" s="1" t="s">
        <v>24</v>
      </c>
      <c r="B22" s="1" t="s">
        <v>2676</v>
      </c>
      <c r="C22" s="1" t="s">
        <v>1351</v>
      </c>
      <c r="D22" t="str">
        <f t="shared" si="3"/>
        <v>1F9C58</v>
      </c>
      <c r="E22" t="str">
        <f t="shared" si="4"/>
        <v>31-156-88</v>
      </c>
      <c r="F22" t="str">
        <f t="shared" si="5"/>
        <v>3115688</v>
      </c>
      <c r="G22">
        <f t="shared" si="6"/>
        <v>31</v>
      </c>
      <c r="H22">
        <f t="shared" si="7"/>
        <v>156</v>
      </c>
      <c r="I22">
        <f t="shared" si="8"/>
        <v>88</v>
      </c>
      <c r="J22" t="str">
        <f t="shared" si="0"/>
        <v>MOp2\/3",</v>
      </c>
      <c r="K22" t="str">
        <f t="shared" si="0"/>
        <v>Primary motor area, Layer 2\/3",</v>
      </c>
      <c r="L22" t="str">
        <f t="shared" si="1"/>
        <v>MOp2\/3</v>
      </c>
      <c r="M22" t="str">
        <f t="shared" si="1"/>
        <v>Primary motor area, Layer 2\/3</v>
      </c>
      <c r="N22" t="s">
        <v>7114</v>
      </c>
      <c r="O22" t="s">
        <v>7175</v>
      </c>
      <c r="Q22" s="6">
        <v>25</v>
      </c>
      <c r="R22" s="6">
        <v>656</v>
      </c>
      <c r="S22" s="6" t="s">
        <v>4633</v>
      </c>
      <c r="T22" s="6" t="s">
        <v>4632</v>
      </c>
      <c r="U22" s="6">
        <v>993</v>
      </c>
      <c r="V22" s="6">
        <v>8</v>
      </c>
      <c r="W22" s="6" t="s">
        <v>7266</v>
      </c>
      <c r="Y22" t="s">
        <v>7114</v>
      </c>
      <c r="Z22" t="s">
        <v>7175</v>
      </c>
      <c r="AA22" s="6">
        <f t="shared" si="2"/>
        <v>943</v>
      </c>
      <c r="AB22">
        <v>31</v>
      </c>
      <c r="AC22">
        <v>156</v>
      </c>
      <c r="AD22">
        <v>88</v>
      </c>
    </row>
    <row r="23" spans="1:30" ht="17" x14ac:dyDescent="0.25">
      <c r="A23" s="1" t="s">
        <v>25</v>
      </c>
      <c r="B23" s="1" t="s">
        <v>2677</v>
      </c>
      <c r="C23" s="1" t="s">
        <v>1352</v>
      </c>
      <c r="D23" t="str">
        <f t="shared" si="3"/>
        <v>1E9C5A</v>
      </c>
      <c r="E23" t="str">
        <f t="shared" si="4"/>
        <v>30-156-90</v>
      </c>
      <c r="F23" t="str">
        <f t="shared" si="5"/>
        <v>3015690</v>
      </c>
      <c r="G23">
        <f t="shared" si="6"/>
        <v>30</v>
      </c>
      <c r="H23">
        <f t="shared" si="7"/>
        <v>156</v>
      </c>
      <c r="I23">
        <f t="shared" si="8"/>
        <v>90</v>
      </c>
      <c r="J23" t="str">
        <f t="shared" si="0"/>
        <v>MOp5",</v>
      </c>
      <c r="K23" t="str">
        <f t="shared" si="0"/>
        <v>Primary motor area, Layer 5",</v>
      </c>
      <c r="L23" t="str">
        <f t="shared" si="1"/>
        <v>MOp5</v>
      </c>
      <c r="M23" t="str">
        <f t="shared" si="1"/>
        <v>Primary motor area, Layer 5</v>
      </c>
      <c r="N23" t="s">
        <v>4624</v>
      </c>
      <c r="O23" t="s">
        <v>4625</v>
      </c>
      <c r="Q23" s="6">
        <v>26</v>
      </c>
      <c r="R23" s="6">
        <v>962</v>
      </c>
      <c r="S23" s="6" t="s">
        <v>7176</v>
      </c>
      <c r="T23" s="6" t="s">
        <v>7115</v>
      </c>
      <c r="U23" s="6">
        <v>993</v>
      </c>
      <c r="V23" s="6">
        <v>8</v>
      </c>
      <c r="W23" s="6" t="s">
        <v>7267</v>
      </c>
      <c r="Y23" t="s">
        <v>4624</v>
      </c>
      <c r="Z23" t="s">
        <v>4625</v>
      </c>
      <c r="AA23" s="6">
        <f t="shared" si="2"/>
        <v>648</v>
      </c>
      <c r="AB23">
        <v>30</v>
      </c>
      <c r="AC23">
        <v>156</v>
      </c>
      <c r="AD23">
        <v>90</v>
      </c>
    </row>
    <row r="24" spans="1:30" ht="17" x14ac:dyDescent="0.25">
      <c r="A24" s="1" t="s">
        <v>26</v>
      </c>
      <c r="B24" s="1" t="s">
        <v>2678</v>
      </c>
      <c r="C24" s="1" t="s">
        <v>1353</v>
      </c>
      <c r="D24" t="str">
        <f t="shared" si="3"/>
        <v>1F9B5A</v>
      </c>
      <c r="E24" t="str">
        <f t="shared" si="4"/>
        <v>31-155-90</v>
      </c>
      <c r="F24" t="str">
        <f t="shared" si="5"/>
        <v>3115590</v>
      </c>
      <c r="G24">
        <f t="shared" si="6"/>
        <v>31</v>
      </c>
      <c r="H24">
        <f t="shared" si="7"/>
        <v>155</v>
      </c>
      <c r="I24">
        <f t="shared" si="8"/>
        <v>90</v>
      </c>
      <c r="J24" t="str">
        <f t="shared" si="0"/>
        <v>MOp6a",</v>
      </c>
      <c r="K24" t="str">
        <f t="shared" si="0"/>
        <v>Primary motor area, Layer 6a",</v>
      </c>
      <c r="L24" t="str">
        <f t="shared" si="1"/>
        <v>MOp6a</v>
      </c>
      <c r="M24" t="str">
        <f t="shared" si="1"/>
        <v>Primary motor area, Layer 6a</v>
      </c>
      <c r="N24" t="s">
        <v>4626</v>
      </c>
      <c r="O24" t="s">
        <v>4627</v>
      </c>
      <c r="Q24" s="6">
        <v>27</v>
      </c>
      <c r="R24" s="6">
        <v>767</v>
      </c>
      <c r="S24" s="6" t="s">
        <v>4635</v>
      </c>
      <c r="T24" s="6" t="s">
        <v>4634</v>
      </c>
      <c r="U24" s="6">
        <v>993</v>
      </c>
      <c r="V24" s="6">
        <v>8</v>
      </c>
      <c r="W24" s="6" t="s">
        <v>7268</v>
      </c>
      <c r="Y24" t="s">
        <v>4626</v>
      </c>
      <c r="Z24" t="s">
        <v>4627</v>
      </c>
      <c r="AA24" s="6">
        <f t="shared" si="2"/>
        <v>844</v>
      </c>
      <c r="AB24">
        <v>31</v>
      </c>
      <c r="AC24">
        <v>155</v>
      </c>
      <c r="AD24">
        <v>90</v>
      </c>
    </row>
    <row r="25" spans="1:30" ht="17" x14ac:dyDescent="0.25">
      <c r="A25" s="1" t="s">
        <v>27</v>
      </c>
      <c r="B25" s="1" t="s">
        <v>2679</v>
      </c>
      <c r="C25" s="1" t="s">
        <v>1354</v>
      </c>
      <c r="D25" t="str">
        <f t="shared" si="3"/>
        <v>1D9D5A</v>
      </c>
      <c r="E25" t="str">
        <f t="shared" si="4"/>
        <v>29-157-90</v>
      </c>
      <c r="F25" t="str">
        <f t="shared" si="5"/>
        <v>2915790</v>
      </c>
      <c r="G25">
        <f t="shared" si="6"/>
        <v>29</v>
      </c>
      <c r="H25">
        <f t="shared" si="7"/>
        <v>157</v>
      </c>
      <c r="I25">
        <f t="shared" si="8"/>
        <v>90</v>
      </c>
      <c r="J25" t="str">
        <f t="shared" si="0"/>
        <v>MOp6b",</v>
      </c>
      <c r="K25" t="str">
        <f t="shared" si="0"/>
        <v>Primary motor area, Layer 6b",</v>
      </c>
      <c r="L25" t="str">
        <f t="shared" si="1"/>
        <v>MOp6b</v>
      </c>
      <c r="M25" t="str">
        <f t="shared" si="1"/>
        <v>Primary motor area, Layer 6b</v>
      </c>
      <c r="N25" t="s">
        <v>4628</v>
      </c>
      <c r="O25" t="s">
        <v>4629</v>
      </c>
      <c r="Q25" s="6">
        <v>28</v>
      </c>
      <c r="R25" s="6">
        <v>1021</v>
      </c>
      <c r="S25" s="6" t="s">
        <v>4637</v>
      </c>
      <c r="T25" s="6" t="s">
        <v>4636</v>
      </c>
      <c r="U25" s="6">
        <v>993</v>
      </c>
      <c r="V25" s="6">
        <v>8</v>
      </c>
      <c r="W25" s="6" t="s">
        <v>7269</v>
      </c>
      <c r="Y25" t="s">
        <v>4628</v>
      </c>
      <c r="Z25" t="s">
        <v>4629</v>
      </c>
      <c r="AA25" s="6">
        <f t="shared" si="2"/>
        <v>882</v>
      </c>
      <c r="AB25">
        <v>29</v>
      </c>
      <c r="AC25">
        <v>157</v>
      </c>
      <c r="AD25">
        <v>90</v>
      </c>
    </row>
    <row r="26" spans="1:30" ht="17" x14ac:dyDescent="0.25">
      <c r="A26" s="1" t="s">
        <v>28</v>
      </c>
      <c r="B26" s="1" t="s">
        <v>2680</v>
      </c>
      <c r="C26" s="1" t="s">
        <v>1355</v>
      </c>
      <c r="D26" t="str">
        <f t="shared" si="3"/>
        <v>1D9D59</v>
      </c>
      <c r="E26" t="str">
        <f t="shared" si="4"/>
        <v>29-157-89</v>
      </c>
      <c r="F26" t="str">
        <f t="shared" si="5"/>
        <v>2915789</v>
      </c>
      <c r="G26">
        <f t="shared" si="6"/>
        <v>29</v>
      </c>
      <c r="H26">
        <f t="shared" si="7"/>
        <v>157</v>
      </c>
      <c r="I26">
        <f t="shared" si="8"/>
        <v>89</v>
      </c>
      <c r="J26" t="str">
        <f t="shared" si="0"/>
        <v>MOs",</v>
      </c>
      <c r="K26" t="str">
        <f t="shared" si="0"/>
        <v>Secondary motor area",</v>
      </c>
      <c r="L26" t="str">
        <f t="shared" si="1"/>
        <v>MOs</v>
      </c>
      <c r="M26" t="str">
        <f t="shared" si="1"/>
        <v>Secondary motor area</v>
      </c>
      <c r="N26" t="s">
        <v>4630</v>
      </c>
      <c r="O26" t="s">
        <v>4631</v>
      </c>
      <c r="Q26" s="6">
        <v>29</v>
      </c>
      <c r="R26" s="6">
        <v>1085</v>
      </c>
      <c r="S26" s="6" t="s">
        <v>4639</v>
      </c>
      <c r="T26" s="6" t="s">
        <v>4638</v>
      </c>
      <c r="U26" s="6">
        <v>993</v>
      </c>
      <c r="V26" s="6">
        <v>8</v>
      </c>
      <c r="W26" s="6" t="s">
        <v>7270</v>
      </c>
      <c r="Y26" t="s">
        <v>4630</v>
      </c>
      <c r="Z26" t="s">
        <v>4631</v>
      </c>
      <c r="AA26" s="6">
        <f t="shared" si="2"/>
        <v>993</v>
      </c>
      <c r="AB26">
        <v>29</v>
      </c>
      <c r="AC26">
        <v>157</v>
      </c>
      <c r="AD26">
        <v>89</v>
      </c>
    </row>
    <row r="27" spans="1:30" ht="17" x14ac:dyDescent="0.25">
      <c r="A27" s="1" t="s">
        <v>29</v>
      </c>
      <c r="B27" s="1" t="s">
        <v>2681</v>
      </c>
      <c r="C27" s="1" t="s">
        <v>1356</v>
      </c>
      <c r="D27" t="str">
        <f t="shared" si="3"/>
        <v>1E9C59</v>
      </c>
      <c r="E27" t="str">
        <f t="shared" si="4"/>
        <v>30-156-89</v>
      </c>
      <c r="F27" t="str">
        <f t="shared" si="5"/>
        <v>3015689</v>
      </c>
      <c r="G27">
        <f t="shared" si="6"/>
        <v>30</v>
      </c>
      <c r="H27">
        <f t="shared" si="7"/>
        <v>156</v>
      </c>
      <c r="I27">
        <f t="shared" si="8"/>
        <v>89</v>
      </c>
      <c r="J27" t="str">
        <f t="shared" si="0"/>
        <v>MOs1",</v>
      </c>
      <c r="K27" t="str">
        <f t="shared" si="0"/>
        <v>Secondary motor area, layer 1",</v>
      </c>
      <c r="L27" t="str">
        <f t="shared" si="1"/>
        <v>MOs1</v>
      </c>
      <c r="M27" t="str">
        <f t="shared" si="1"/>
        <v>Secondary motor area, layer 1</v>
      </c>
      <c r="N27" t="s">
        <v>4632</v>
      </c>
      <c r="O27" t="s">
        <v>4633</v>
      </c>
      <c r="Q27" s="6">
        <v>30</v>
      </c>
      <c r="R27" s="6">
        <v>453</v>
      </c>
      <c r="S27" s="6" t="s">
        <v>4641</v>
      </c>
      <c r="T27" s="6" t="s">
        <v>4640</v>
      </c>
      <c r="U27" s="6">
        <v>315</v>
      </c>
      <c r="V27" s="6">
        <v>6</v>
      </c>
      <c r="W27" s="6" t="s">
        <v>7271</v>
      </c>
      <c r="Y27" t="s">
        <v>4632</v>
      </c>
      <c r="Z27" t="s">
        <v>4633</v>
      </c>
      <c r="AA27" s="6">
        <f t="shared" si="2"/>
        <v>656</v>
      </c>
      <c r="AB27">
        <v>30</v>
      </c>
      <c r="AC27">
        <v>156</v>
      </c>
      <c r="AD27">
        <v>89</v>
      </c>
    </row>
    <row r="28" spans="1:30" ht="17" x14ac:dyDescent="0.25">
      <c r="A28" s="1" t="s">
        <v>30</v>
      </c>
      <c r="B28" s="1" t="s">
        <v>2682</v>
      </c>
      <c r="C28" s="1" t="s">
        <v>1357</v>
      </c>
      <c r="D28" t="str">
        <f t="shared" si="3"/>
        <v>1E9D58</v>
      </c>
      <c r="E28" t="str">
        <f t="shared" si="4"/>
        <v>30-157-88</v>
      </c>
      <c r="F28" t="str">
        <f t="shared" si="5"/>
        <v>3015788</v>
      </c>
      <c r="G28">
        <f t="shared" si="6"/>
        <v>30</v>
      </c>
      <c r="H28">
        <f t="shared" si="7"/>
        <v>157</v>
      </c>
      <c r="I28">
        <f t="shared" si="8"/>
        <v>88</v>
      </c>
      <c r="J28" t="str">
        <f t="shared" si="0"/>
        <v>MOs2\/3",</v>
      </c>
      <c r="K28" t="str">
        <f t="shared" si="0"/>
        <v>Secondary motor area, layer 2\/3",</v>
      </c>
      <c r="L28" t="str">
        <f t="shared" si="1"/>
        <v>MOs2\/3</v>
      </c>
      <c r="M28" t="str">
        <f t="shared" si="1"/>
        <v>Secondary motor area, layer 2\/3</v>
      </c>
      <c r="N28" t="s">
        <v>7115</v>
      </c>
      <c r="O28" t="s">
        <v>7176</v>
      </c>
      <c r="Q28" s="6">
        <v>37</v>
      </c>
      <c r="R28" s="6">
        <v>322</v>
      </c>
      <c r="S28" s="6" t="s">
        <v>4653</v>
      </c>
      <c r="T28" s="6" t="s">
        <v>4652</v>
      </c>
      <c r="U28" s="6">
        <v>453</v>
      </c>
      <c r="V28" s="6">
        <v>7</v>
      </c>
      <c r="W28" s="6" t="s">
        <v>7272</v>
      </c>
      <c r="Y28" t="s">
        <v>7115</v>
      </c>
      <c r="Z28" t="s">
        <v>7176</v>
      </c>
      <c r="AA28" s="6">
        <f t="shared" si="2"/>
        <v>962</v>
      </c>
      <c r="AB28">
        <v>30</v>
      </c>
      <c r="AC28">
        <v>157</v>
      </c>
      <c r="AD28">
        <v>88</v>
      </c>
    </row>
    <row r="29" spans="1:30" ht="17" x14ac:dyDescent="0.25">
      <c r="A29" s="1" t="s">
        <v>31</v>
      </c>
      <c r="B29" s="1" t="s">
        <v>2683</v>
      </c>
      <c r="C29" s="1" t="s">
        <v>1358</v>
      </c>
      <c r="D29" t="str">
        <f t="shared" si="3"/>
        <v>1F9D58</v>
      </c>
      <c r="E29" t="str">
        <f t="shared" si="4"/>
        <v>31-157-88</v>
      </c>
      <c r="F29" t="str">
        <f t="shared" si="5"/>
        <v>3115788</v>
      </c>
      <c r="G29">
        <f t="shared" si="6"/>
        <v>31</v>
      </c>
      <c r="H29">
        <f t="shared" si="7"/>
        <v>157</v>
      </c>
      <c r="I29">
        <f t="shared" si="8"/>
        <v>88</v>
      </c>
      <c r="J29" t="str">
        <f t="shared" si="0"/>
        <v>MOs5",</v>
      </c>
      <c r="K29" t="str">
        <f t="shared" si="0"/>
        <v>Secondary motor area, layer 5",</v>
      </c>
      <c r="L29" t="str">
        <f t="shared" si="1"/>
        <v>MOs5</v>
      </c>
      <c r="M29" t="str">
        <f t="shared" si="1"/>
        <v>Secondary motor area, layer 5</v>
      </c>
      <c r="N29" t="s">
        <v>4634</v>
      </c>
      <c r="O29" t="s">
        <v>4635</v>
      </c>
      <c r="Q29" s="6">
        <v>44</v>
      </c>
      <c r="R29" s="6">
        <v>353</v>
      </c>
      <c r="S29" s="6" t="s">
        <v>4665</v>
      </c>
      <c r="T29" s="6" t="s">
        <v>4664</v>
      </c>
      <c r="U29" s="6">
        <v>322</v>
      </c>
      <c r="V29" s="6">
        <v>8</v>
      </c>
      <c r="W29" s="6" t="s">
        <v>7273</v>
      </c>
      <c r="Y29" t="s">
        <v>4634</v>
      </c>
      <c r="Z29" t="s">
        <v>4635</v>
      </c>
      <c r="AA29" s="6">
        <f t="shared" si="2"/>
        <v>767</v>
      </c>
      <c r="AB29">
        <v>31</v>
      </c>
      <c r="AC29">
        <v>157</v>
      </c>
      <c r="AD29">
        <v>88</v>
      </c>
    </row>
    <row r="30" spans="1:30" ht="17" x14ac:dyDescent="0.25">
      <c r="A30" s="1" t="s">
        <v>32</v>
      </c>
      <c r="B30" s="1" t="s">
        <v>2684</v>
      </c>
      <c r="C30" s="1" t="s">
        <v>1359</v>
      </c>
      <c r="D30" t="str">
        <f t="shared" si="3"/>
        <v>1D9C5A</v>
      </c>
      <c r="E30" t="str">
        <f t="shared" si="4"/>
        <v>29-156-90</v>
      </c>
      <c r="F30" t="str">
        <f t="shared" si="5"/>
        <v>2915690</v>
      </c>
      <c r="G30">
        <f t="shared" si="6"/>
        <v>29</v>
      </c>
      <c r="H30">
        <f t="shared" si="7"/>
        <v>156</v>
      </c>
      <c r="I30">
        <f t="shared" si="8"/>
        <v>90</v>
      </c>
      <c r="J30" t="str">
        <f t="shared" si="0"/>
        <v>MOs6a",</v>
      </c>
      <c r="K30" t="str">
        <f t="shared" si="0"/>
        <v>Secondary motor area, layer 6a",</v>
      </c>
      <c r="L30" t="str">
        <f t="shared" si="1"/>
        <v>MOs6a</v>
      </c>
      <c r="M30" t="str">
        <f t="shared" si="1"/>
        <v>Secondary motor area, layer 6a</v>
      </c>
      <c r="N30" t="s">
        <v>4636</v>
      </c>
      <c r="O30" t="s">
        <v>4637</v>
      </c>
      <c r="Q30" s="6">
        <v>45</v>
      </c>
      <c r="R30" s="6">
        <v>558</v>
      </c>
      <c r="S30" s="6" t="s">
        <v>4667</v>
      </c>
      <c r="T30" s="6" t="s">
        <v>4666</v>
      </c>
      <c r="U30" s="6">
        <v>353</v>
      </c>
      <c r="V30" s="6">
        <v>9</v>
      </c>
      <c r="W30" s="6" t="s">
        <v>7274</v>
      </c>
      <c r="Y30" t="s">
        <v>4636</v>
      </c>
      <c r="Z30" t="s">
        <v>4637</v>
      </c>
      <c r="AA30" s="6">
        <f t="shared" si="2"/>
        <v>1021</v>
      </c>
      <c r="AB30">
        <v>29</v>
      </c>
      <c r="AC30">
        <v>156</v>
      </c>
      <c r="AD30">
        <v>90</v>
      </c>
    </row>
    <row r="31" spans="1:30" ht="17" x14ac:dyDescent="0.25">
      <c r="A31" s="1" t="s">
        <v>33</v>
      </c>
      <c r="B31" s="1" t="s">
        <v>2685</v>
      </c>
      <c r="C31" s="1" t="s">
        <v>1360</v>
      </c>
      <c r="D31" t="str">
        <f t="shared" si="3"/>
        <v>1E9C58</v>
      </c>
      <c r="E31" t="str">
        <f t="shared" si="4"/>
        <v>30-156-88</v>
      </c>
      <c r="F31" t="str">
        <f t="shared" si="5"/>
        <v>3015688</v>
      </c>
      <c r="G31">
        <f t="shared" si="6"/>
        <v>30</v>
      </c>
      <c r="H31">
        <f t="shared" si="7"/>
        <v>156</v>
      </c>
      <c r="I31">
        <f t="shared" si="8"/>
        <v>88</v>
      </c>
      <c r="J31" t="str">
        <f t="shared" si="0"/>
        <v>MOs6b",</v>
      </c>
      <c r="K31" t="str">
        <f t="shared" si="0"/>
        <v>Secondary motor area, layer 6b",</v>
      </c>
      <c r="L31" t="str">
        <f t="shared" si="1"/>
        <v>MOs6b</v>
      </c>
      <c r="M31" t="str">
        <f t="shared" si="1"/>
        <v>Secondary motor area, layer 6b</v>
      </c>
      <c r="N31" t="s">
        <v>4638</v>
      </c>
      <c r="O31" t="s">
        <v>4639</v>
      </c>
      <c r="Q31" s="6">
        <v>46</v>
      </c>
      <c r="R31" s="6">
        <v>838</v>
      </c>
      <c r="S31" s="6" t="s">
        <v>7179</v>
      </c>
      <c r="T31" s="6" t="s">
        <v>7118</v>
      </c>
      <c r="U31" s="6">
        <v>353</v>
      </c>
      <c r="V31" s="6">
        <v>9</v>
      </c>
      <c r="W31" s="6" t="s">
        <v>7275</v>
      </c>
      <c r="Y31" t="s">
        <v>4638</v>
      </c>
      <c r="Z31" t="s">
        <v>4639</v>
      </c>
      <c r="AA31" s="6">
        <f t="shared" si="2"/>
        <v>1085</v>
      </c>
      <c r="AB31">
        <v>30</v>
      </c>
      <c r="AC31">
        <v>156</v>
      </c>
      <c r="AD31">
        <v>88</v>
      </c>
    </row>
    <row r="32" spans="1:30" ht="17" x14ac:dyDescent="0.25">
      <c r="A32" s="1" t="s">
        <v>34</v>
      </c>
      <c r="B32" s="1" t="s">
        <v>2686</v>
      </c>
      <c r="C32" s="1" t="s">
        <v>1361</v>
      </c>
      <c r="D32" t="str">
        <f t="shared" si="3"/>
        <v>1B8061</v>
      </c>
      <c r="E32" t="str">
        <f t="shared" si="4"/>
        <v>27-128-97</v>
      </c>
      <c r="F32" t="str">
        <f t="shared" si="5"/>
        <v>2712897</v>
      </c>
      <c r="G32">
        <f t="shared" si="6"/>
        <v>27</v>
      </c>
      <c r="H32">
        <f t="shared" si="7"/>
        <v>128</v>
      </c>
      <c r="I32">
        <f t="shared" si="8"/>
        <v>97</v>
      </c>
      <c r="J32" t="str">
        <f t="shared" si="0"/>
        <v>SS",</v>
      </c>
      <c r="K32" t="str">
        <f t="shared" si="0"/>
        <v>Somatosensory areas",</v>
      </c>
      <c r="L32" t="str">
        <f t="shared" si="1"/>
        <v>SS</v>
      </c>
      <c r="M32" t="str">
        <f t="shared" si="1"/>
        <v>Somatosensory areas</v>
      </c>
      <c r="N32" t="s">
        <v>4640</v>
      </c>
      <c r="O32" t="s">
        <v>4641</v>
      </c>
      <c r="Q32" s="6">
        <v>47</v>
      </c>
      <c r="R32" s="6">
        <v>654</v>
      </c>
      <c r="S32" s="6" t="s">
        <v>4669</v>
      </c>
      <c r="T32" s="6" t="s">
        <v>4668</v>
      </c>
      <c r="U32" s="6">
        <v>353</v>
      </c>
      <c r="V32" s="6">
        <v>9</v>
      </c>
      <c r="W32" s="6" t="s">
        <v>7276</v>
      </c>
      <c r="Y32" t="s">
        <v>4640</v>
      </c>
      <c r="Z32" t="s">
        <v>4641</v>
      </c>
      <c r="AA32" s="6">
        <f t="shared" si="2"/>
        <v>453</v>
      </c>
      <c r="AB32">
        <v>27</v>
      </c>
      <c r="AC32">
        <v>128</v>
      </c>
      <c r="AD32">
        <v>97</v>
      </c>
    </row>
    <row r="33" spans="1:30" ht="17" x14ac:dyDescent="0.25">
      <c r="A33" s="1" t="s">
        <v>35</v>
      </c>
      <c r="B33" s="1" t="s">
        <v>2687</v>
      </c>
      <c r="C33" s="1" t="s">
        <v>1362</v>
      </c>
      <c r="D33" t="str">
        <f t="shared" si="3"/>
        <v>1A7F62</v>
      </c>
      <c r="E33" t="str">
        <f t="shared" si="4"/>
        <v>26-127-98</v>
      </c>
      <c r="F33" t="str">
        <f t="shared" si="5"/>
        <v>2612798</v>
      </c>
      <c r="G33">
        <f t="shared" si="6"/>
        <v>26</v>
      </c>
      <c r="H33">
        <f t="shared" si="7"/>
        <v>127</v>
      </c>
      <c r="I33">
        <f t="shared" si="8"/>
        <v>98</v>
      </c>
      <c r="J33" t="str">
        <f t="shared" si="0"/>
        <v>SS1",</v>
      </c>
      <c r="K33" t="str">
        <f t="shared" si="0"/>
        <v>Somatosensory areas, layer 1",</v>
      </c>
      <c r="L33" t="str">
        <f t="shared" si="1"/>
        <v>SS1</v>
      </c>
      <c r="M33" t="str">
        <f t="shared" si="1"/>
        <v>Somatosensory areas, layer 1</v>
      </c>
      <c r="N33" t="s">
        <v>4642</v>
      </c>
      <c r="O33" t="s">
        <v>4643</v>
      </c>
      <c r="Q33" s="6">
        <v>48</v>
      </c>
      <c r="R33" s="6">
        <v>702</v>
      </c>
      <c r="S33" s="6" t="s">
        <v>4671</v>
      </c>
      <c r="T33" s="6" t="s">
        <v>4670</v>
      </c>
      <c r="U33" s="6">
        <v>353</v>
      </c>
      <c r="V33" s="6">
        <v>9</v>
      </c>
      <c r="W33" s="6" t="s">
        <v>7277</v>
      </c>
      <c r="Y33" t="s">
        <v>4642</v>
      </c>
      <c r="Z33" t="s">
        <v>4643</v>
      </c>
      <c r="AA33" s="6" t="str">
        <f t="shared" si="2"/>
        <v/>
      </c>
      <c r="AB33">
        <v>26</v>
      </c>
      <c r="AC33">
        <v>127</v>
      </c>
      <c r="AD33">
        <v>98</v>
      </c>
    </row>
    <row r="34" spans="1:30" ht="17" x14ac:dyDescent="0.25">
      <c r="A34" s="1" t="s">
        <v>36</v>
      </c>
      <c r="B34" s="1" t="s">
        <v>2688</v>
      </c>
      <c r="C34" s="1" t="s">
        <v>1363</v>
      </c>
      <c r="D34" t="str">
        <f t="shared" si="3"/>
        <v>1A7E63</v>
      </c>
      <c r="E34" t="str">
        <f t="shared" si="4"/>
        <v>26-126-99</v>
      </c>
      <c r="F34" t="str">
        <f t="shared" si="5"/>
        <v>2612699</v>
      </c>
      <c r="G34">
        <f t="shared" si="6"/>
        <v>26</v>
      </c>
      <c r="H34">
        <f t="shared" si="7"/>
        <v>126</v>
      </c>
      <c r="I34">
        <f t="shared" si="8"/>
        <v>99</v>
      </c>
      <c r="J34" t="str">
        <f t="shared" si="0"/>
        <v>SS2\/3",</v>
      </c>
      <c r="K34" t="str">
        <f t="shared" si="0"/>
        <v>Somatosensory areas, layer 2\/3",</v>
      </c>
      <c r="L34" t="str">
        <f t="shared" si="1"/>
        <v>SS2\/3</v>
      </c>
      <c r="M34" t="str">
        <f t="shared" si="1"/>
        <v>Somatosensory areas, layer 2\/3</v>
      </c>
      <c r="N34" t="s">
        <v>7116</v>
      </c>
      <c r="O34" t="s">
        <v>7177</v>
      </c>
      <c r="Q34" s="6">
        <v>49</v>
      </c>
      <c r="R34" s="6">
        <v>889</v>
      </c>
      <c r="S34" s="6" t="s">
        <v>4673</v>
      </c>
      <c r="T34" s="6" t="s">
        <v>4672</v>
      </c>
      <c r="U34" s="6">
        <v>353</v>
      </c>
      <c r="V34" s="6">
        <v>9</v>
      </c>
      <c r="W34" s="6" t="s">
        <v>7278</v>
      </c>
      <c r="Y34" t="s">
        <v>7116</v>
      </c>
      <c r="Z34" t="s">
        <v>7177</v>
      </c>
      <c r="AA34" s="6" t="str">
        <f t="shared" si="2"/>
        <v/>
      </c>
      <c r="AB34">
        <v>26</v>
      </c>
      <c r="AC34">
        <v>126</v>
      </c>
      <c r="AD34">
        <v>99</v>
      </c>
    </row>
    <row r="35" spans="1:30" ht="17" x14ac:dyDescent="0.25">
      <c r="A35" s="1" t="s">
        <v>37</v>
      </c>
      <c r="B35" s="1" t="s">
        <v>2689</v>
      </c>
      <c r="C35" s="1" t="s">
        <v>1364</v>
      </c>
      <c r="D35" t="str">
        <f t="shared" si="3"/>
        <v>198064</v>
      </c>
      <c r="E35" t="str">
        <f t="shared" si="4"/>
        <v>25-128-100</v>
      </c>
      <c r="F35" t="str">
        <f t="shared" si="5"/>
        <v>25128100</v>
      </c>
      <c r="G35">
        <f t="shared" si="6"/>
        <v>25</v>
      </c>
      <c r="H35">
        <f t="shared" si="7"/>
        <v>128</v>
      </c>
      <c r="I35">
        <f t="shared" si="8"/>
        <v>100</v>
      </c>
      <c r="J35" t="str">
        <f t="shared" si="0"/>
        <v>SS4",</v>
      </c>
      <c r="K35" t="str">
        <f t="shared" si="0"/>
        <v>Somatosensory areas, layer 4",</v>
      </c>
      <c r="L35" t="str">
        <f t="shared" si="1"/>
        <v>SS4</v>
      </c>
      <c r="M35" t="str">
        <f t="shared" si="1"/>
        <v>Somatosensory areas, layer 4</v>
      </c>
      <c r="N35" t="s">
        <v>4644</v>
      </c>
      <c r="O35" t="s">
        <v>4645</v>
      </c>
      <c r="Q35" s="6">
        <v>50</v>
      </c>
      <c r="R35" s="6">
        <v>929</v>
      </c>
      <c r="S35" s="6" t="s">
        <v>4675</v>
      </c>
      <c r="T35" s="6" t="s">
        <v>4674</v>
      </c>
      <c r="U35" s="6">
        <v>353</v>
      </c>
      <c r="V35" s="6">
        <v>9</v>
      </c>
      <c r="W35" s="6" t="s">
        <v>7279</v>
      </c>
      <c r="Y35" t="s">
        <v>4644</v>
      </c>
      <c r="Z35" t="s">
        <v>4645</v>
      </c>
      <c r="AA35" s="6" t="str">
        <f t="shared" si="2"/>
        <v/>
      </c>
      <c r="AB35">
        <v>25</v>
      </c>
      <c r="AC35">
        <v>128</v>
      </c>
      <c r="AD35">
        <v>100</v>
      </c>
    </row>
    <row r="36" spans="1:30" ht="17" x14ac:dyDescent="0.25">
      <c r="A36" s="1" t="s">
        <v>38</v>
      </c>
      <c r="B36" s="1" t="s">
        <v>2690</v>
      </c>
      <c r="C36" s="1" t="s">
        <v>1365</v>
      </c>
      <c r="D36" t="str">
        <f t="shared" si="3"/>
        <v>1B8064</v>
      </c>
      <c r="E36" t="str">
        <f t="shared" si="4"/>
        <v>27-128-100</v>
      </c>
      <c r="F36" t="str">
        <f t="shared" si="5"/>
        <v>27128100</v>
      </c>
      <c r="G36">
        <f t="shared" si="6"/>
        <v>27</v>
      </c>
      <c r="H36">
        <f t="shared" si="7"/>
        <v>128</v>
      </c>
      <c r="I36">
        <f t="shared" si="8"/>
        <v>100</v>
      </c>
      <c r="J36" t="str">
        <f t="shared" si="0"/>
        <v>SS5",</v>
      </c>
      <c r="K36" t="str">
        <f t="shared" si="0"/>
        <v>Somatosensory areas, layer 5",</v>
      </c>
      <c r="L36" t="str">
        <f t="shared" si="1"/>
        <v>SS5</v>
      </c>
      <c r="M36" t="str">
        <f t="shared" si="1"/>
        <v>Somatosensory areas, layer 5</v>
      </c>
      <c r="N36" t="s">
        <v>4646</v>
      </c>
      <c r="O36" t="s">
        <v>4647</v>
      </c>
      <c r="Q36" s="6">
        <v>51</v>
      </c>
      <c r="R36" s="6">
        <v>329</v>
      </c>
      <c r="S36" s="6" t="s">
        <v>4677</v>
      </c>
      <c r="T36" s="6" t="s">
        <v>4676</v>
      </c>
      <c r="U36" s="6">
        <v>322</v>
      </c>
      <c r="V36" s="6">
        <v>8</v>
      </c>
      <c r="W36" s="6" t="s">
        <v>7280</v>
      </c>
      <c r="Y36" t="s">
        <v>4646</v>
      </c>
      <c r="Z36" t="s">
        <v>4647</v>
      </c>
      <c r="AA36" s="6" t="str">
        <f t="shared" si="2"/>
        <v/>
      </c>
      <c r="AB36">
        <v>27</v>
      </c>
      <c r="AC36">
        <v>128</v>
      </c>
      <c r="AD36">
        <v>100</v>
      </c>
    </row>
    <row r="37" spans="1:30" ht="17" x14ac:dyDescent="0.25">
      <c r="A37" s="1" t="s">
        <v>39</v>
      </c>
      <c r="B37" s="1" t="s">
        <v>2691</v>
      </c>
      <c r="C37" s="1" t="s">
        <v>1366</v>
      </c>
      <c r="D37" t="str">
        <f t="shared" si="3"/>
        <v>187F61</v>
      </c>
      <c r="E37" t="str">
        <f t="shared" si="4"/>
        <v>24-127-97</v>
      </c>
      <c r="F37" t="str">
        <f t="shared" si="5"/>
        <v>2412797</v>
      </c>
      <c r="G37">
        <f t="shared" si="6"/>
        <v>24</v>
      </c>
      <c r="H37">
        <f t="shared" si="7"/>
        <v>127</v>
      </c>
      <c r="I37">
        <f t="shared" si="8"/>
        <v>97</v>
      </c>
      <c r="J37" t="str">
        <f t="shared" si="0"/>
        <v>SS6a",</v>
      </c>
      <c r="K37" t="str">
        <f t="shared" si="0"/>
        <v>Somatosensory areas, layer 6a",</v>
      </c>
      <c r="L37" t="str">
        <f t="shared" si="1"/>
        <v>SS6a</v>
      </c>
      <c r="M37" t="str">
        <f t="shared" si="1"/>
        <v>Somatosensory areas, layer 6a</v>
      </c>
      <c r="N37" t="s">
        <v>4648</v>
      </c>
      <c r="O37" t="s">
        <v>4649</v>
      </c>
      <c r="Q37" s="6">
        <v>52</v>
      </c>
      <c r="R37" s="6">
        <v>981</v>
      </c>
      <c r="S37" s="6" t="s">
        <v>4679</v>
      </c>
      <c r="T37" s="6" t="s">
        <v>4678</v>
      </c>
      <c r="U37" s="6">
        <v>329</v>
      </c>
      <c r="V37" s="6">
        <v>9</v>
      </c>
      <c r="W37" s="6" t="s">
        <v>7281</v>
      </c>
      <c r="Y37" t="s">
        <v>4648</v>
      </c>
      <c r="Z37" t="s">
        <v>4649</v>
      </c>
      <c r="AA37" s="6" t="str">
        <f t="shared" si="2"/>
        <v/>
      </c>
      <c r="AB37">
        <v>24</v>
      </c>
      <c r="AC37">
        <v>127</v>
      </c>
      <c r="AD37">
        <v>97</v>
      </c>
    </row>
    <row r="38" spans="1:30" ht="17" x14ac:dyDescent="0.25">
      <c r="A38" s="1" t="s">
        <v>40</v>
      </c>
      <c r="B38" s="1" t="s">
        <v>2692</v>
      </c>
      <c r="C38" s="1" t="s">
        <v>1367</v>
      </c>
      <c r="D38" t="str">
        <f t="shared" si="3"/>
        <v>187D63</v>
      </c>
      <c r="E38" t="str">
        <f t="shared" si="4"/>
        <v>24-125-99</v>
      </c>
      <c r="F38" t="str">
        <f t="shared" si="5"/>
        <v>2412599</v>
      </c>
      <c r="G38">
        <f t="shared" si="6"/>
        <v>24</v>
      </c>
      <c r="H38">
        <f t="shared" si="7"/>
        <v>125</v>
      </c>
      <c r="I38">
        <f t="shared" si="8"/>
        <v>99</v>
      </c>
      <c r="J38" t="str">
        <f t="shared" si="0"/>
        <v>SS6b",</v>
      </c>
      <c r="K38" t="str">
        <f t="shared" si="0"/>
        <v>Somatosensory areas, layer 6b",</v>
      </c>
      <c r="L38" t="str">
        <f t="shared" si="1"/>
        <v>SS6b</v>
      </c>
      <c r="M38" t="str">
        <f t="shared" si="1"/>
        <v>Somatosensory areas, layer 6b</v>
      </c>
      <c r="N38" t="s">
        <v>4650</v>
      </c>
      <c r="O38" t="s">
        <v>4651</v>
      </c>
      <c r="Q38" s="6">
        <v>53</v>
      </c>
      <c r="R38" s="6">
        <v>201</v>
      </c>
      <c r="S38" s="6" t="s">
        <v>7180</v>
      </c>
      <c r="T38" s="6" t="s">
        <v>7119</v>
      </c>
      <c r="U38" s="6">
        <v>329</v>
      </c>
      <c r="V38" s="6">
        <v>9</v>
      </c>
      <c r="W38" s="6" t="s">
        <v>7282</v>
      </c>
      <c r="Y38" t="s">
        <v>4650</v>
      </c>
      <c r="Z38" t="s">
        <v>4651</v>
      </c>
      <c r="AA38" s="6" t="str">
        <f t="shared" si="2"/>
        <v/>
      </c>
      <c r="AB38">
        <v>24</v>
      </c>
      <c r="AC38">
        <v>125</v>
      </c>
      <c r="AD38">
        <v>99</v>
      </c>
    </row>
    <row r="39" spans="1:30" ht="17" x14ac:dyDescent="0.25">
      <c r="A39" s="1" t="s">
        <v>41</v>
      </c>
      <c r="B39" s="1" t="s">
        <v>2693</v>
      </c>
      <c r="C39" s="1" t="s">
        <v>1368</v>
      </c>
      <c r="D39" t="str">
        <f t="shared" si="3"/>
        <v>198063</v>
      </c>
      <c r="E39" t="str">
        <f t="shared" si="4"/>
        <v>25-128-99</v>
      </c>
      <c r="F39" t="str">
        <f t="shared" si="5"/>
        <v>2512899</v>
      </c>
      <c r="G39">
        <f t="shared" si="6"/>
        <v>25</v>
      </c>
      <c r="H39">
        <f t="shared" si="7"/>
        <v>128</v>
      </c>
      <c r="I39">
        <f t="shared" si="8"/>
        <v>99</v>
      </c>
      <c r="J39" t="str">
        <f t="shared" si="0"/>
        <v>SSp",</v>
      </c>
      <c r="K39" t="str">
        <f t="shared" si="0"/>
        <v>Primary somatosensory area",</v>
      </c>
      <c r="L39" t="str">
        <f t="shared" si="1"/>
        <v>SSp</v>
      </c>
      <c r="M39" t="str">
        <f t="shared" si="1"/>
        <v>Primary somatosensory area</v>
      </c>
      <c r="N39" t="s">
        <v>4652</v>
      </c>
      <c r="O39" t="s">
        <v>4653</v>
      </c>
      <c r="Q39" s="6">
        <v>54</v>
      </c>
      <c r="R39" s="6">
        <v>1047</v>
      </c>
      <c r="S39" s="6" t="s">
        <v>4681</v>
      </c>
      <c r="T39" s="6" t="s">
        <v>4680</v>
      </c>
      <c r="U39" s="6">
        <v>329</v>
      </c>
      <c r="V39" s="6">
        <v>9</v>
      </c>
      <c r="W39" s="6" t="s">
        <v>7283</v>
      </c>
      <c r="Y39" t="s">
        <v>4652</v>
      </c>
      <c r="Z39" t="s">
        <v>4653</v>
      </c>
      <c r="AA39" s="6">
        <f t="shared" si="2"/>
        <v>322</v>
      </c>
      <c r="AB39">
        <v>25</v>
      </c>
      <c r="AC39">
        <v>128</v>
      </c>
      <c r="AD39">
        <v>99</v>
      </c>
    </row>
    <row r="40" spans="1:30" ht="17" x14ac:dyDescent="0.25">
      <c r="A40" s="1" t="s">
        <v>42</v>
      </c>
      <c r="B40" s="1" t="s">
        <v>2694</v>
      </c>
      <c r="C40" s="1" t="s">
        <v>1369</v>
      </c>
      <c r="D40" t="str">
        <f t="shared" si="3"/>
        <v>197D64</v>
      </c>
      <c r="E40" t="str">
        <f t="shared" si="4"/>
        <v>25-125-100</v>
      </c>
      <c r="F40" t="str">
        <f t="shared" si="5"/>
        <v>25125100</v>
      </c>
      <c r="G40">
        <f t="shared" si="6"/>
        <v>25</v>
      </c>
      <c r="H40">
        <f t="shared" si="7"/>
        <v>125</v>
      </c>
      <c r="I40">
        <f t="shared" si="8"/>
        <v>100</v>
      </c>
      <c r="J40" t="str">
        <f t="shared" si="0"/>
        <v>SSp1",</v>
      </c>
      <c r="K40" t="str">
        <f t="shared" si="0"/>
        <v>Primary somatosensory area, layer 1",</v>
      </c>
      <c r="L40" t="str">
        <f t="shared" si="1"/>
        <v>SSp1</v>
      </c>
      <c r="M40" t="str">
        <f t="shared" si="1"/>
        <v>Primary somatosensory area, layer 1</v>
      </c>
      <c r="N40" t="s">
        <v>4654</v>
      </c>
      <c r="O40" t="s">
        <v>4655</v>
      </c>
      <c r="Q40" s="6">
        <v>55</v>
      </c>
      <c r="R40" s="6">
        <v>1070</v>
      </c>
      <c r="S40" s="6" t="s">
        <v>4683</v>
      </c>
      <c r="T40" s="6" t="s">
        <v>4682</v>
      </c>
      <c r="U40" s="6">
        <v>329</v>
      </c>
      <c r="V40" s="6">
        <v>9</v>
      </c>
      <c r="W40" s="6" t="s">
        <v>7284</v>
      </c>
      <c r="Y40" t="s">
        <v>4654</v>
      </c>
      <c r="Z40" t="s">
        <v>4655</v>
      </c>
      <c r="AA40" s="6" t="str">
        <f t="shared" si="2"/>
        <v/>
      </c>
      <c r="AB40">
        <v>25</v>
      </c>
      <c r="AC40">
        <v>125</v>
      </c>
      <c r="AD40">
        <v>100</v>
      </c>
    </row>
    <row r="41" spans="1:30" ht="17" x14ac:dyDescent="0.25">
      <c r="A41" s="1" t="s">
        <v>43</v>
      </c>
      <c r="B41" s="1" t="s">
        <v>2695</v>
      </c>
      <c r="C41" s="1" t="s">
        <v>1370</v>
      </c>
      <c r="D41" t="str">
        <f t="shared" si="3"/>
        <v>187E64</v>
      </c>
      <c r="E41" t="str">
        <f t="shared" si="4"/>
        <v>24-126-100</v>
      </c>
      <c r="F41" t="str">
        <f t="shared" si="5"/>
        <v>24126100</v>
      </c>
      <c r="G41">
        <f t="shared" si="6"/>
        <v>24</v>
      </c>
      <c r="H41">
        <f t="shared" si="7"/>
        <v>126</v>
      </c>
      <c r="I41">
        <f t="shared" si="8"/>
        <v>100</v>
      </c>
      <c r="J41" t="str">
        <f t="shared" si="0"/>
        <v>SSp2\/3",</v>
      </c>
      <c r="K41" t="str">
        <f t="shared" si="0"/>
        <v>Primary somatosensory area, layer 2\/3",</v>
      </c>
      <c r="L41" t="str">
        <f t="shared" si="1"/>
        <v>SSp2\/3</v>
      </c>
      <c r="M41" t="str">
        <f t="shared" si="1"/>
        <v>Primary somatosensory area, layer 2\/3</v>
      </c>
      <c r="N41" t="s">
        <v>7117</v>
      </c>
      <c r="O41" t="s">
        <v>7178</v>
      </c>
      <c r="Q41" s="6">
        <v>56</v>
      </c>
      <c r="R41" s="6">
        <v>1038</v>
      </c>
      <c r="S41" s="6" t="s">
        <v>4685</v>
      </c>
      <c r="T41" s="6" t="s">
        <v>4684</v>
      </c>
      <c r="U41" s="6">
        <v>329</v>
      </c>
      <c r="V41" s="6">
        <v>9</v>
      </c>
      <c r="W41" s="6" t="s">
        <v>7285</v>
      </c>
      <c r="Y41" t="s">
        <v>7117</v>
      </c>
      <c r="Z41" t="s">
        <v>7178</v>
      </c>
      <c r="AA41" s="6" t="str">
        <f t="shared" si="2"/>
        <v/>
      </c>
      <c r="AB41">
        <v>24</v>
      </c>
      <c r="AC41">
        <v>126</v>
      </c>
      <c r="AD41">
        <v>100</v>
      </c>
    </row>
    <row r="42" spans="1:30" ht="17" x14ac:dyDescent="0.25">
      <c r="A42" s="1" t="s">
        <v>44</v>
      </c>
      <c r="B42" s="1" t="s">
        <v>2696</v>
      </c>
      <c r="C42" s="1" t="s">
        <v>1371</v>
      </c>
      <c r="D42" t="str">
        <f t="shared" si="3"/>
        <v>1B7F63</v>
      </c>
      <c r="E42" t="str">
        <f t="shared" si="4"/>
        <v>27-127-99</v>
      </c>
      <c r="F42" t="str">
        <f t="shared" si="5"/>
        <v>2712799</v>
      </c>
      <c r="G42">
        <f t="shared" si="6"/>
        <v>27</v>
      </c>
      <c r="H42">
        <f t="shared" si="7"/>
        <v>127</v>
      </c>
      <c r="I42">
        <f t="shared" si="8"/>
        <v>99</v>
      </c>
      <c r="J42" t="str">
        <f t="shared" si="0"/>
        <v>SSp4",</v>
      </c>
      <c r="K42" t="str">
        <f t="shared" si="0"/>
        <v>Primary somatosensory area, layer 4",</v>
      </c>
      <c r="L42" t="str">
        <f t="shared" si="1"/>
        <v>SSp4</v>
      </c>
      <c r="M42" t="str">
        <f t="shared" si="1"/>
        <v>Primary somatosensory area, layer 4</v>
      </c>
      <c r="N42" t="s">
        <v>4656</v>
      </c>
      <c r="O42" t="s">
        <v>4657</v>
      </c>
      <c r="Q42" s="6">
        <v>57</v>
      </c>
      <c r="R42" s="6">
        <v>1062</v>
      </c>
      <c r="S42" s="6" t="s">
        <v>4687</v>
      </c>
      <c r="T42" s="6" t="s">
        <v>4686</v>
      </c>
      <c r="U42" s="6">
        <v>329</v>
      </c>
      <c r="V42" s="6">
        <v>9</v>
      </c>
      <c r="W42" s="6" t="s">
        <v>7286</v>
      </c>
      <c r="Y42" t="s">
        <v>4656</v>
      </c>
      <c r="Z42" t="s">
        <v>4657</v>
      </c>
      <c r="AA42" s="6" t="str">
        <f t="shared" si="2"/>
        <v/>
      </c>
      <c r="AB42">
        <v>27</v>
      </c>
      <c r="AC42">
        <v>127</v>
      </c>
      <c r="AD42">
        <v>99</v>
      </c>
    </row>
    <row r="43" spans="1:30" ht="17" x14ac:dyDescent="0.25">
      <c r="A43" s="1" t="s">
        <v>45</v>
      </c>
      <c r="B43" s="1" t="s">
        <v>2697</v>
      </c>
      <c r="C43" s="1" t="s">
        <v>1372</v>
      </c>
      <c r="D43" t="str">
        <f t="shared" si="3"/>
        <v>1B7D64</v>
      </c>
      <c r="E43" t="str">
        <f t="shared" si="4"/>
        <v>27-125-100</v>
      </c>
      <c r="F43" t="str">
        <f t="shared" si="5"/>
        <v>27125100</v>
      </c>
      <c r="G43">
        <f t="shared" si="6"/>
        <v>27</v>
      </c>
      <c r="H43">
        <f t="shared" si="7"/>
        <v>125</v>
      </c>
      <c r="I43">
        <f t="shared" si="8"/>
        <v>100</v>
      </c>
      <c r="J43" t="str">
        <f t="shared" si="0"/>
        <v>SSp5",</v>
      </c>
      <c r="K43" t="str">
        <f t="shared" si="0"/>
        <v>Primary somatosensory area, layer 5",</v>
      </c>
      <c r="L43" t="str">
        <f t="shared" si="1"/>
        <v>SSp5</v>
      </c>
      <c r="M43" t="str">
        <f t="shared" si="1"/>
        <v>Primary somatosensory area, layer 5</v>
      </c>
      <c r="N43" t="s">
        <v>4658</v>
      </c>
      <c r="O43" t="s">
        <v>4659</v>
      </c>
      <c r="Q43" s="6">
        <v>65</v>
      </c>
      <c r="R43" s="6">
        <v>337</v>
      </c>
      <c r="S43" s="6" t="s">
        <v>4701</v>
      </c>
      <c r="T43" s="6" t="s">
        <v>4700</v>
      </c>
      <c r="U43" s="6">
        <v>322</v>
      </c>
      <c r="V43" s="6">
        <v>8</v>
      </c>
      <c r="W43" s="6" t="s">
        <v>7287</v>
      </c>
      <c r="Y43" t="s">
        <v>4658</v>
      </c>
      <c r="Z43" t="s">
        <v>4659</v>
      </c>
      <c r="AA43" s="6" t="str">
        <f t="shared" si="2"/>
        <v/>
      </c>
      <c r="AB43">
        <v>27</v>
      </c>
      <c r="AC43">
        <v>125</v>
      </c>
      <c r="AD43">
        <v>100</v>
      </c>
    </row>
    <row r="44" spans="1:30" ht="17" x14ac:dyDescent="0.25">
      <c r="A44" s="1" t="s">
        <v>46</v>
      </c>
      <c r="B44" s="1" t="s">
        <v>2698</v>
      </c>
      <c r="C44" s="1" t="s">
        <v>1373</v>
      </c>
      <c r="D44" t="str">
        <f t="shared" si="3"/>
        <v>187D64</v>
      </c>
      <c r="E44" t="str">
        <f t="shared" si="4"/>
        <v>24-125-100</v>
      </c>
      <c r="F44" t="str">
        <f t="shared" si="5"/>
        <v>24125100</v>
      </c>
      <c r="G44">
        <f t="shared" si="6"/>
        <v>24</v>
      </c>
      <c r="H44">
        <f t="shared" si="7"/>
        <v>125</v>
      </c>
      <c r="I44">
        <f t="shared" si="8"/>
        <v>100</v>
      </c>
      <c r="J44" t="str">
        <f t="shared" si="0"/>
        <v>SSp6a",</v>
      </c>
      <c r="K44" t="str">
        <f t="shared" si="0"/>
        <v>Primary somatosensory area, layer 6a",</v>
      </c>
      <c r="L44" t="str">
        <f t="shared" si="1"/>
        <v>SSp6a</v>
      </c>
      <c r="M44" t="str">
        <f t="shared" si="1"/>
        <v>Primary somatosensory area, layer 6a</v>
      </c>
      <c r="N44" t="s">
        <v>4660</v>
      </c>
      <c r="O44" t="s">
        <v>4661</v>
      </c>
      <c r="Q44" s="6">
        <v>66</v>
      </c>
      <c r="R44" s="6">
        <v>1030</v>
      </c>
      <c r="S44" s="6" t="s">
        <v>4703</v>
      </c>
      <c r="T44" s="6" t="s">
        <v>4702</v>
      </c>
      <c r="U44" s="6">
        <v>337</v>
      </c>
      <c r="V44" s="6">
        <v>9</v>
      </c>
      <c r="W44" s="6" t="s">
        <v>7288</v>
      </c>
      <c r="Y44" t="s">
        <v>4660</v>
      </c>
      <c r="Z44" t="s">
        <v>4661</v>
      </c>
      <c r="AA44" s="6" t="str">
        <f t="shared" si="2"/>
        <v/>
      </c>
      <c r="AB44">
        <v>24</v>
      </c>
      <c r="AC44">
        <v>125</v>
      </c>
      <c r="AD44">
        <v>100</v>
      </c>
    </row>
    <row r="45" spans="1:30" ht="17" x14ac:dyDescent="0.25">
      <c r="A45" s="1" t="s">
        <v>47</v>
      </c>
      <c r="B45" s="1" t="s">
        <v>2699</v>
      </c>
      <c r="C45" s="1" t="s">
        <v>1374</v>
      </c>
      <c r="D45" t="str">
        <f t="shared" si="3"/>
        <v>198061</v>
      </c>
      <c r="E45" t="str">
        <f t="shared" si="4"/>
        <v>25-128-97</v>
      </c>
      <c r="F45" t="str">
        <f t="shared" si="5"/>
        <v>2512897</v>
      </c>
      <c r="G45">
        <f t="shared" si="6"/>
        <v>25</v>
      </c>
      <c r="H45">
        <f t="shared" si="7"/>
        <v>128</v>
      </c>
      <c r="I45">
        <f t="shared" si="8"/>
        <v>97</v>
      </c>
      <c r="J45" t="str">
        <f t="shared" si="0"/>
        <v>SSp6b",</v>
      </c>
      <c r="K45" t="str">
        <f t="shared" si="0"/>
        <v>Primary somatosensory area, layer 6b",</v>
      </c>
      <c r="L45" t="str">
        <f t="shared" si="1"/>
        <v>SSp6b</v>
      </c>
      <c r="M45" t="str">
        <f t="shared" si="1"/>
        <v>Primary somatosensory area, layer 6b</v>
      </c>
      <c r="N45" t="s">
        <v>4662</v>
      </c>
      <c r="O45" t="s">
        <v>4663</v>
      </c>
      <c r="Q45" s="6">
        <v>67</v>
      </c>
      <c r="R45" s="6">
        <v>113</v>
      </c>
      <c r="S45" s="6" t="s">
        <v>7182</v>
      </c>
      <c r="T45" s="6" t="s">
        <v>7121</v>
      </c>
      <c r="U45" s="6">
        <v>337</v>
      </c>
      <c r="V45" s="6">
        <v>9</v>
      </c>
      <c r="W45" s="6" t="s">
        <v>7289</v>
      </c>
      <c r="Y45" t="s">
        <v>4662</v>
      </c>
      <c r="Z45" t="s">
        <v>4663</v>
      </c>
      <c r="AA45" s="6" t="str">
        <f t="shared" si="2"/>
        <v/>
      </c>
      <c r="AB45">
        <v>25</v>
      </c>
      <c r="AC45">
        <v>128</v>
      </c>
      <c r="AD45">
        <v>97</v>
      </c>
    </row>
    <row r="46" spans="1:30" ht="17" x14ac:dyDescent="0.25">
      <c r="A46" s="1" t="s">
        <v>48</v>
      </c>
      <c r="B46" s="1" t="s">
        <v>2700</v>
      </c>
      <c r="C46" s="1" t="s">
        <v>1375</v>
      </c>
      <c r="D46" t="str">
        <f t="shared" si="3"/>
        <v>1A8064</v>
      </c>
      <c r="E46" t="str">
        <f t="shared" si="4"/>
        <v>26-128-100</v>
      </c>
      <c r="F46" t="str">
        <f t="shared" si="5"/>
        <v>26128100</v>
      </c>
      <c r="G46">
        <f t="shared" si="6"/>
        <v>26</v>
      </c>
      <c r="H46">
        <f t="shared" si="7"/>
        <v>128</v>
      </c>
      <c r="I46">
        <f t="shared" si="8"/>
        <v>100</v>
      </c>
      <c r="J46" t="str">
        <f t="shared" si="0"/>
        <v>SSp-n",</v>
      </c>
      <c r="K46" t="str">
        <f t="shared" si="0"/>
        <v>Primary somatosensory area, nose",</v>
      </c>
      <c r="L46" t="str">
        <f t="shared" si="1"/>
        <v>SSp-n</v>
      </c>
      <c r="M46" t="str">
        <f t="shared" si="1"/>
        <v>Primary somatosensory area, nose</v>
      </c>
      <c r="N46" t="s">
        <v>4664</v>
      </c>
      <c r="O46" t="s">
        <v>4665</v>
      </c>
      <c r="Q46" s="6">
        <v>68</v>
      </c>
      <c r="R46" s="6">
        <v>1094</v>
      </c>
      <c r="S46" s="6" t="s">
        <v>4705</v>
      </c>
      <c r="T46" s="6" t="s">
        <v>4704</v>
      </c>
      <c r="U46" s="6">
        <v>337</v>
      </c>
      <c r="V46" s="6">
        <v>9</v>
      </c>
      <c r="W46" s="6" t="s">
        <v>7290</v>
      </c>
      <c r="Y46" t="s">
        <v>4664</v>
      </c>
      <c r="Z46" t="s">
        <v>4665</v>
      </c>
      <c r="AA46" s="6">
        <f t="shared" si="2"/>
        <v>353</v>
      </c>
      <c r="AB46">
        <v>26</v>
      </c>
      <c r="AC46">
        <v>128</v>
      </c>
      <c r="AD46">
        <v>100</v>
      </c>
    </row>
    <row r="47" spans="1:30" ht="17" x14ac:dyDescent="0.25">
      <c r="A47" s="1" t="s">
        <v>49</v>
      </c>
      <c r="B47" s="1" t="s">
        <v>2701</v>
      </c>
      <c r="C47" s="1" t="s">
        <v>1376</v>
      </c>
      <c r="D47" t="str">
        <f t="shared" si="3"/>
        <v>197E63</v>
      </c>
      <c r="E47" t="str">
        <f t="shared" si="4"/>
        <v>25-126-99</v>
      </c>
      <c r="F47" t="str">
        <f t="shared" si="5"/>
        <v>2512699</v>
      </c>
      <c r="G47">
        <f t="shared" si="6"/>
        <v>25</v>
      </c>
      <c r="H47">
        <f t="shared" si="7"/>
        <v>126</v>
      </c>
      <c r="I47">
        <f t="shared" si="8"/>
        <v>99</v>
      </c>
      <c r="J47" t="str">
        <f t="shared" si="0"/>
        <v>SSp-n1",</v>
      </c>
      <c r="K47" t="str">
        <f t="shared" si="0"/>
        <v>Primary somatosensory area, nose, layer 1",</v>
      </c>
      <c r="L47" t="str">
        <f t="shared" si="1"/>
        <v>SSp-n1</v>
      </c>
      <c r="M47" t="str">
        <f t="shared" si="1"/>
        <v>Primary somatosensory area, nose, layer 1</v>
      </c>
      <c r="N47" t="s">
        <v>4666</v>
      </c>
      <c r="O47" t="s">
        <v>4667</v>
      </c>
      <c r="Q47" s="6">
        <v>69</v>
      </c>
      <c r="R47" s="6">
        <v>1128</v>
      </c>
      <c r="S47" s="6" t="s">
        <v>4707</v>
      </c>
      <c r="T47" s="6" t="s">
        <v>4706</v>
      </c>
      <c r="U47" s="6">
        <v>337</v>
      </c>
      <c r="V47" s="6">
        <v>9</v>
      </c>
      <c r="W47" s="6" t="s">
        <v>7291</v>
      </c>
      <c r="Y47" t="s">
        <v>4666</v>
      </c>
      <c r="Z47" t="s">
        <v>4667</v>
      </c>
      <c r="AA47" s="6">
        <f t="shared" si="2"/>
        <v>558</v>
      </c>
      <c r="AB47">
        <v>25</v>
      </c>
      <c r="AC47">
        <v>126</v>
      </c>
      <c r="AD47">
        <v>99</v>
      </c>
    </row>
    <row r="48" spans="1:30" ht="17" x14ac:dyDescent="0.25">
      <c r="A48" s="1" t="s">
        <v>50</v>
      </c>
      <c r="B48" s="1" t="s">
        <v>2702</v>
      </c>
      <c r="C48" s="1" t="s">
        <v>1377</v>
      </c>
      <c r="D48" t="str">
        <f t="shared" si="3"/>
        <v>1B7F64</v>
      </c>
      <c r="E48" t="str">
        <f t="shared" si="4"/>
        <v>27-127-100</v>
      </c>
      <c r="F48" t="str">
        <f t="shared" si="5"/>
        <v>27127100</v>
      </c>
      <c r="G48">
        <f t="shared" si="6"/>
        <v>27</v>
      </c>
      <c r="H48">
        <f t="shared" si="7"/>
        <v>127</v>
      </c>
      <c r="I48">
        <f t="shared" si="8"/>
        <v>100</v>
      </c>
      <c r="J48" t="str">
        <f t="shared" si="0"/>
        <v>SSp-n2\/3",</v>
      </c>
      <c r="K48" t="str">
        <f t="shared" si="0"/>
        <v>Primary somatosensory area, nose, layer 2\/3",</v>
      </c>
      <c r="L48" t="str">
        <f t="shared" si="1"/>
        <v>SSp-n2\/3</v>
      </c>
      <c r="M48" t="str">
        <f t="shared" si="1"/>
        <v>Primary somatosensory area, nose, layer 2\/3</v>
      </c>
      <c r="N48" t="s">
        <v>7118</v>
      </c>
      <c r="O48" t="s">
        <v>7179</v>
      </c>
      <c r="Q48" s="6">
        <v>70</v>
      </c>
      <c r="R48" s="6">
        <v>478</v>
      </c>
      <c r="S48" s="6" t="s">
        <v>4709</v>
      </c>
      <c r="T48" s="6" t="s">
        <v>4708</v>
      </c>
      <c r="U48" s="6">
        <v>337</v>
      </c>
      <c r="V48" s="6">
        <v>9</v>
      </c>
      <c r="W48" s="6" t="s">
        <v>7292</v>
      </c>
      <c r="Y48" t="s">
        <v>7118</v>
      </c>
      <c r="Z48" t="s">
        <v>7179</v>
      </c>
      <c r="AA48" s="6">
        <f t="shared" si="2"/>
        <v>838</v>
      </c>
      <c r="AB48">
        <v>27</v>
      </c>
      <c r="AC48">
        <v>127</v>
      </c>
      <c r="AD48">
        <v>100</v>
      </c>
    </row>
    <row r="49" spans="1:30" ht="17" x14ac:dyDescent="0.25">
      <c r="A49" s="1" t="s">
        <v>51</v>
      </c>
      <c r="B49" s="1" t="s">
        <v>2703</v>
      </c>
      <c r="C49" s="1" t="s">
        <v>1378</v>
      </c>
      <c r="D49" t="str">
        <f t="shared" si="3"/>
        <v>1A8062</v>
      </c>
      <c r="E49" t="str">
        <f t="shared" si="4"/>
        <v>26-128-98</v>
      </c>
      <c r="F49" t="str">
        <f t="shared" si="5"/>
        <v>2612898</v>
      </c>
      <c r="G49">
        <f t="shared" si="6"/>
        <v>26</v>
      </c>
      <c r="H49">
        <f t="shared" si="7"/>
        <v>128</v>
      </c>
      <c r="I49">
        <f t="shared" si="8"/>
        <v>98</v>
      </c>
      <c r="J49" t="str">
        <f t="shared" si="0"/>
        <v>SSp-n4",</v>
      </c>
      <c r="K49" t="str">
        <f t="shared" si="0"/>
        <v>Primary somatosensory area, nose, layer 4",</v>
      </c>
      <c r="L49" t="str">
        <f t="shared" si="1"/>
        <v>SSp-n4</v>
      </c>
      <c r="M49" t="str">
        <f t="shared" si="1"/>
        <v>Primary somatosensory area, nose, layer 4</v>
      </c>
      <c r="N49" t="s">
        <v>4668</v>
      </c>
      <c r="O49" t="s">
        <v>4669</v>
      </c>
      <c r="Q49" s="6">
        <v>71</v>
      </c>
      <c r="R49" s="6">
        <v>510</v>
      </c>
      <c r="S49" s="6" t="s">
        <v>4711</v>
      </c>
      <c r="T49" s="6" t="s">
        <v>4710</v>
      </c>
      <c r="U49" s="6">
        <v>337</v>
      </c>
      <c r="V49" s="6">
        <v>9</v>
      </c>
      <c r="W49" s="6" t="s">
        <v>7293</v>
      </c>
      <c r="Y49" t="s">
        <v>4668</v>
      </c>
      <c r="Z49" t="s">
        <v>4669</v>
      </c>
      <c r="AA49" s="6">
        <f t="shared" si="2"/>
        <v>654</v>
      </c>
      <c r="AB49">
        <v>26</v>
      </c>
      <c r="AC49">
        <v>128</v>
      </c>
      <c r="AD49">
        <v>98</v>
      </c>
    </row>
    <row r="50" spans="1:30" ht="17" x14ac:dyDescent="0.25">
      <c r="A50" s="1" t="s">
        <v>52</v>
      </c>
      <c r="B50" s="1" t="s">
        <v>2704</v>
      </c>
      <c r="C50" s="1" t="s">
        <v>1379</v>
      </c>
      <c r="D50" t="str">
        <f t="shared" si="3"/>
        <v>197E62</v>
      </c>
      <c r="E50" t="str">
        <f t="shared" si="4"/>
        <v>25-126-98</v>
      </c>
      <c r="F50" t="str">
        <f t="shared" si="5"/>
        <v>2512698</v>
      </c>
      <c r="G50">
        <f t="shared" si="6"/>
        <v>25</v>
      </c>
      <c r="H50">
        <f t="shared" si="7"/>
        <v>126</v>
      </c>
      <c r="I50">
        <f t="shared" si="8"/>
        <v>98</v>
      </c>
      <c r="J50" t="str">
        <f t="shared" si="0"/>
        <v>SSp-n5",</v>
      </c>
      <c r="K50" t="str">
        <f t="shared" si="0"/>
        <v>Primary somatosensory area, nose, layer 5",</v>
      </c>
      <c r="L50" t="str">
        <f t="shared" si="1"/>
        <v>SSp-n5</v>
      </c>
      <c r="M50" t="str">
        <f t="shared" si="1"/>
        <v>Primary somatosensory area, nose, layer 5</v>
      </c>
      <c r="N50" t="s">
        <v>4670</v>
      </c>
      <c r="O50" t="s">
        <v>4671</v>
      </c>
      <c r="Q50" s="6">
        <v>72</v>
      </c>
      <c r="R50" s="6">
        <v>345</v>
      </c>
      <c r="S50" s="6" t="s">
        <v>4713</v>
      </c>
      <c r="T50" s="6" t="s">
        <v>4712</v>
      </c>
      <c r="U50" s="6">
        <v>322</v>
      </c>
      <c r="V50" s="6">
        <v>8</v>
      </c>
      <c r="W50" s="6" t="s">
        <v>7294</v>
      </c>
      <c r="Y50" t="s">
        <v>4670</v>
      </c>
      <c r="Z50" t="s">
        <v>4671</v>
      </c>
      <c r="AA50" s="6">
        <f t="shared" si="2"/>
        <v>702</v>
      </c>
      <c r="AB50">
        <v>25</v>
      </c>
      <c r="AC50">
        <v>126</v>
      </c>
      <c r="AD50">
        <v>98</v>
      </c>
    </row>
    <row r="51" spans="1:30" ht="17" x14ac:dyDescent="0.25">
      <c r="A51" s="1" t="s">
        <v>53</v>
      </c>
      <c r="B51" s="1" t="s">
        <v>2705</v>
      </c>
      <c r="C51" s="1" t="s">
        <v>1380</v>
      </c>
      <c r="D51" t="str">
        <f t="shared" si="3"/>
        <v>187D62</v>
      </c>
      <c r="E51" t="str">
        <f t="shared" si="4"/>
        <v>24-125-98</v>
      </c>
      <c r="F51" t="str">
        <f t="shared" si="5"/>
        <v>2412598</v>
      </c>
      <c r="G51">
        <f t="shared" si="6"/>
        <v>24</v>
      </c>
      <c r="H51">
        <f t="shared" si="7"/>
        <v>125</v>
      </c>
      <c r="I51">
        <f t="shared" si="8"/>
        <v>98</v>
      </c>
      <c r="J51" t="str">
        <f t="shared" si="0"/>
        <v>SSp-n6a",</v>
      </c>
      <c r="K51" t="str">
        <f t="shared" si="0"/>
        <v>Primary somatosensory area, nose, layer 6a",</v>
      </c>
      <c r="L51" t="str">
        <f t="shared" si="1"/>
        <v>SSp-n6a</v>
      </c>
      <c r="M51" t="str">
        <f t="shared" si="1"/>
        <v>Primary somatosensory area, nose, layer 6a</v>
      </c>
      <c r="N51" t="s">
        <v>4672</v>
      </c>
      <c r="O51" t="s">
        <v>4673</v>
      </c>
      <c r="Q51" s="6">
        <v>73</v>
      </c>
      <c r="R51" s="6">
        <v>878</v>
      </c>
      <c r="S51" s="6" t="s">
        <v>4715</v>
      </c>
      <c r="T51" s="6" t="s">
        <v>4714</v>
      </c>
      <c r="U51" s="6">
        <v>345</v>
      </c>
      <c r="V51" s="6">
        <v>9</v>
      </c>
      <c r="W51" s="6" t="s">
        <v>7295</v>
      </c>
      <c r="Y51" t="s">
        <v>4672</v>
      </c>
      <c r="Z51" t="s">
        <v>4673</v>
      </c>
      <c r="AA51" s="6">
        <f t="shared" si="2"/>
        <v>889</v>
      </c>
      <c r="AB51">
        <v>24</v>
      </c>
      <c r="AC51">
        <v>125</v>
      </c>
      <c r="AD51">
        <v>98</v>
      </c>
    </row>
    <row r="52" spans="1:30" ht="17" x14ac:dyDescent="0.25">
      <c r="A52" s="1" t="s">
        <v>54</v>
      </c>
      <c r="B52" s="1" t="s">
        <v>2706</v>
      </c>
      <c r="C52" s="1" t="s">
        <v>1381</v>
      </c>
      <c r="D52" t="str">
        <f t="shared" si="3"/>
        <v>1B7E64</v>
      </c>
      <c r="E52" t="str">
        <f t="shared" si="4"/>
        <v>27-126-100</v>
      </c>
      <c r="F52" t="str">
        <f t="shared" si="5"/>
        <v>27126100</v>
      </c>
      <c r="G52">
        <f t="shared" si="6"/>
        <v>27</v>
      </c>
      <c r="H52">
        <f t="shared" si="7"/>
        <v>126</v>
      </c>
      <c r="I52">
        <f t="shared" si="8"/>
        <v>100</v>
      </c>
      <c r="J52" t="str">
        <f t="shared" si="0"/>
        <v>SSp-n6b",</v>
      </c>
      <c r="K52" t="str">
        <f t="shared" si="0"/>
        <v>Primary somatosensory area, nose, layer 6b",</v>
      </c>
      <c r="L52" t="str">
        <f t="shared" si="1"/>
        <v>SSp-n6b</v>
      </c>
      <c r="M52" t="str">
        <f t="shared" si="1"/>
        <v>Primary somatosensory area, nose, layer 6b</v>
      </c>
      <c r="N52" t="s">
        <v>4674</v>
      </c>
      <c r="O52" t="s">
        <v>4675</v>
      </c>
      <c r="Q52" s="6">
        <v>74</v>
      </c>
      <c r="R52" s="6">
        <v>657</v>
      </c>
      <c r="S52" s="6" t="s">
        <v>7183</v>
      </c>
      <c r="T52" s="6" t="s">
        <v>7122</v>
      </c>
      <c r="U52" s="6">
        <v>345</v>
      </c>
      <c r="V52" s="6">
        <v>9</v>
      </c>
      <c r="W52" s="6" t="s">
        <v>7296</v>
      </c>
      <c r="Y52" t="s">
        <v>4674</v>
      </c>
      <c r="Z52" t="s">
        <v>4675</v>
      </c>
      <c r="AA52" s="6">
        <f t="shared" si="2"/>
        <v>929</v>
      </c>
      <c r="AB52">
        <v>27</v>
      </c>
      <c r="AC52">
        <v>126</v>
      </c>
      <c r="AD52">
        <v>100</v>
      </c>
    </row>
    <row r="53" spans="1:30" ht="17" x14ac:dyDescent="0.25">
      <c r="A53" s="1" t="s">
        <v>55</v>
      </c>
      <c r="B53" s="1" t="s">
        <v>2707</v>
      </c>
      <c r="C53" s="1" t="s">
        <v>1382</v>
      </c>
      <c r="D53" t="str">
        <f t="shared" si="3"/>
        <v>197F64</v>
      </c>
      <c r="E53" t="str">
        <f t="shared" si="4"/>
        <v>25-127-100</v>
      </c>
      <c r="F53" t="str">
        <f t="shared" si="5"/>
        <v>25127100</v>
      </c>
      <c r="G53">
        <f t="shared" si="6"/>
        <v>25</v>
      </c>
      <c r="H53">
        <f t="shared" si="7"/>
        <v>127</v>
      </c>
      <c r="I53">
        <f t="shared" si="8"/>
        <v>100</v>
      </c>
      <c r="J53" t="str">
        <f t="shared" si="0"/>
        <v>SSp-bfd",</v>
      </c>
      <c r="K53" t="str">
        <f t="shared" si="0"/>
        <v>Primary somatosensory area, barrel field",</v>
      </c>
      <c r="L53" t="str">
        <f t="shared" si="1"/>
        <v>SSp-bfd</v>
      </c>
      <c r="M53" t="str">
        <f t="shared" si="1"/>
        <v>Primary somatosensory area, barrel field</v>
      </c>
      <c r="N53" t="s">
        <v>4676</v>
      </c>
      <c r="O53" t="s">
        <v>4677</v>
      </c>
      <c r="Q53" s="6">
        <v>75</v>
      </c>
      <c r="R53" s="6">
        <v>950</v>
      </c>
      <c r="S53" s="6" t="s">
        <v>4717</v>
      </c>
      <c r="T53" s="6" t="s">
        <v>4716</v>
      </c>
      <c r="U53" s="6">
        <v>345</v>
      </c>
      <c r="V53" s="6">
        <v>9</v>
      </c>
      <c r="W53" s="6" t="s">
        <v>7297</v>
      </c>
      <c r="Y53" t="s">
        <v>4676</v>
      </c>
      <c r="Z53" t="s">
        <v>4677</v>
      </c>
      <c r="AA53" s="6">
        <f t="shared" si="2"/>
        <v>329</v>
      </c>
      <c r="AB53">
        <v>25</v>
      </c>
      <c r="AC53">
        <v>127</v>
      </c>
      <c r="AD53">
        <v>100</v>
      </c>
    </row>
    <row r="54" spans="1:30" ht="17" x14ac:dyDescent="0.25">
      <c r="A54" s="1" t="s">
        <v>56</v>
      </c>
      <c r="B54" s="1" t="s">
        <v>2708</v>
      </c>
      <c r="C54" s="1" t="s">
        <v>1383</v>
      </c>
      <c r="D54" t="str">
        <f t="shared" si="3"/>
        <v>188060</v>
      </c>
      <c r="E54" t="str">
        <f t="shared" si="4"/>
        <v>24-128-96</v>
      </c>
      <c r="F54" t="str">
        <f t="shared" si="5"/>
        <v>2412896</v>
      </c>
      <c r="G54">
        <f t="shared" si="6"/>
        <v>24</v>
      </c>
      <c r="H54">
        <f t="shared" si="7"/>
        <v>128</v>
      </c>
      <c r="I54">
        <f t="shared" si="8"/>
        <v>96</v>
      </c>
      <c r="J54" t="str">
        <f t="shared" si="0"/>
        <v>SSp-bfd1",</v>
      </c>
      <c r="K54" t="str">
        <f t="shared" si="0"/>
        <v>Primary somatosensory area, barrel field, layer 1",</v>
      </c>
      <c r="L54" t="str">
        <f t="shared" si="1"/>
        <v>SSp-bfd1</v>
      </c>
      <c r="M54" t="str">
        <f t="shared" si="1"/>
        <v>Primary somatosensory area, barrel field, layer 1</v>
      </c>
      <c r="N54" t="s">
        <v>4678</v>
      </c>
      <c r="O54" t="s">
        <v>4679</v>
      </c>
      <c r="Q54" s="6">
        <v>76</v>
      </c>
      <c r="R54" s="6">
        <v>974</v>
      </c>
      <c r="S54" s="6" t="s">
        <v>4719</v>
      </c>
      <c r="T54" s="6" t="s">
        <v>4718</v>
      </c>
      <c r="U54" s="6">
        <v>345</v>
      </c>
      <c r="V54" s="6">
        <v>9</v>
      </c>
      <c r="W54" s="6" t="s">
        <v>7298</v>
      </c>
      <c r="Y54" t="s">
        <v>4678</v>
      </c>
      <c r="Z54" t="s">
        <v>4679</v>
      </c>
      <c r="AA54" s="6">
        <f t="shared" si="2"/>
        <v>981</v>
      </c>
      <c r="AB54">
        <v>24</v>
      </c>
      <c r="AC54">
        <v>128</v>
      </c>
      <c r="AD54">
        <v>96</v>
      </c>
    </row>
    <row r="55" spans="1:30" ht="17" x14ac:dyDescent="0.25">
      <c r="A55" s="1" t="s">
        <v>57</v>
      </c>
      <c r="B55" s="1" t="s">
        <v>2709</v>
      </c>
      <c r="C55" s="1" t="s">
        <v>1384</v>
      </c>
      <c r="D55" t="str">
        <f t="shared" si="3"/>
        <v>187F63</v>
      </c>
      <c r="E55" t="str">
        <f t="shared" si="4"/>
        <v>24-127-99</v>
      </c>
      <c r="F55" t="str">
        <f t="shared" si="5"/>
        <v>2412799</v>
      </c>
      <c r="G55">
        <f t="shared" si="6"/>
        <v>24</v>
      </c>
      <c r="H55">
        <f t="shared" si="7"/>
        <v>127</v>
      </c>
      <c r="I55">
        <f t="shared" si="8"/>
        <v>99</v>
      </c>
      <c r="J55" t="str">
        <f t="shared" si="0"/>
        <v>SSp-bfd2\/3",</v>
      </c>
      <c r="K55" t="str">
        <f t="shared" si="0"/>
        <v>Primary somatosensory area, barrel field, layer 2\/3",</v>
      </c>
      <c r="L55" t="str">
        <f t="shared" si="1"/>
        <v>SSp-bfd2\/3</v>
      </c>
      <c r="M55" t="str">
        <f t="shared" si="1"/>
        <v>Primary somatosensory area, barrel field, layer 2\/3</v>
      </c>
      <c r="N55" t="s">
        <v>7119</v>
      </c>
      <c r="O55" t="s">
        <v>7180</v>
      </c>
      <c r="Q55" s="6">
        <v>77</v>
      </c>
      <c r="R55" s="6">
        <v>1102</v>
      </c>
      <c r="S55" s="6" t="s">
        <v>4721</v>
      </c>
      <c r="T55" s="6" t="s">
        <v>4720</v>
      </c>
      <c r="U55" s="6">
        <v>345</v>
      </c>
      <c r="V55" s="6">
        <v>9</v>
      </c>
      <c r="W55" s="6" t="s">
        <v>7299</v>
      </c>
      <c r="Y55" t="s">
        <v>7119</v>
      </c>
      <c r="Z55" t="s">
        <v>7180</v>
      </c>
      <c r="AA55" s="6">
        <f t="shared" si="2"/>
        <v>201</v>
      </c>
      <c r="AB55">
        <v>24</v>
      </c>
      <c r="AC55">
        <v>127</v>
      </c>
      <c r="AD55">
        <v>99</v>
      </c>
    </row>
    <row r="56" spans="1:30" ht="17" x14ac:dyDescent="0.25">
      <c r="A56" s="1" t="s">
        <v>58</v>
      </c>
      <c r="B56" s="1" t="s">
        <v>2710</v>
      </c>
      <c r="C56" s="1" t="s">
        <v>1385</v>
      </c>
      <c r="D56" t="str">
        <f t="shared" si="3"/>
        <v>197C64</v>
      </c>
      <c r="E56" t="str">
        <f t="shared" si="4"/>
        <v>25-124-100</v>
      </c>
      <c r="F56" t="str">
        <f t="shared" si="5"/>
        <v>25124100</v>
      </c>
      <c r="G56">
        <f t="shared" si="6"/>
        <v>25</v>
      </c>
      <c r="H56">
        <f t="shared" si="7"/>
        <v>124</v>
      </c>
      <c r="I56">
        <f t="shared" si="8"/>
        <v>100</v>
      </c>
      <c r="J56" t="str">
        <f t="shared" si="0"/>
        <v>SSp-bfd4",</v>
      </c>
      <c r="K56" t="str">
        <f t="shared" si="0"/>
        <v>Primary somatosensory area, barrel field, layer 4",</v>
      </c>
      <c r="L56" t="str">
        <f t="shared" si="1"/>
        <v>SSp-bfd4</v>
      </c>
      <c r="M56" t="str">
        <f t="shared" si="1"/>
        <v>Primary somatosensory area, barrel field, layer 4</v>
      </c>
      <c r="N56" t="s">
        <v>4680</v>
      </c>
      <c r="O56" t="s">
        <v>4681</v>
      </c>
      <c r="Q56" s="6">
        <v>78</v>
      </c>
      <c r="R56" s="6">
        <v>2</v>
      </c>
      <c r="S56" s="6" t="s">
        <v>4723</v>
      </c>
      <c r="T56" s="6" t="s">
        <v>4722</v>
      </c>
      <c r="U56" s="6">
        <v>345</v>
      </c>
      <c r="V56" s="6">
        <v>9</v>
      </c>
      <c r="W56" s="6" t="s">
        <v>7300</v>
      </c>
      <c r="Y56" t="s">
        <v>4680</v>
      </c>
      <c r="Z56" t="s">
        <v>4681</v>
      </c>
      <c r="AA56" s="6">
        <f t="shared" si="2"/>
        <v>1047</v>
      </c>
      <c r="AB56">
        <v>25</v>
      </c>
      <c r="AC56">
        <v>124</v>
      </c>
      <c r="AD56">
        <v>100</v>
      </c>
    </row>
    <row r="57" spans="1:30" ht="17" x14ac:dyDescent="0.25">
      <c r="A57" s="1" t="s">
        <v>59</v>
      </c>
      <c r="B57" s="1" t="s">
        <v>2711</v>
      </c>
      <c r="C57" s="1" t="s">
        <v>1386</v>
      </c>
      <c r="D57" t="str">
        <f t="shared" si="3"/>
        <v>1A7D62</v>
      </c>
      <c r="E57" t="str">
        <f t="shared" si="4"/>
        <v>26-125-98</v>
      </c>
      <c r="F57" t="str">
        <f t="shared" si="5"/>
        <v>2612598</v>
      </c>
      <c r="G57">
        <f t="shared" si="6"/>
        <v>26</v>
      </c>
      <c r="H57">
        <f t="shared" si="7"/>
        <v>125</v>
      </c>
      <c r="I57">
        <f t="shared" si="8"/>
        <v>98</v>
      </c>
      <c r="J57" t="str">
        <f t="shared" si="0"/>
        <v>SSp-bfd5",</v>
      </c>
      <c r="K57" t="str">
        <f t="shared" si="0"/>
        <v>Primary somatosensory area, barrel field, layer 5",</v>
      </c>
      <c r="L57" t="str">
        <f t="shared" si="1"/>
        <v>SSp-bfd5</v>
      </c>
      <c r="M57" t="str">
        <f t="shared" si="1"/>
        <v>Primary somatosensory area, barrel field, layer 5</v>
      </c>
      <c r="N57" t="s">
        <v>4682</v>
      </c>
      <c r="O57" t="s">
        <v>4683</v>
      </c>
      <c r="Q57" s="6">
        <v>79</v>
      </c>
      <c r="R57" s="6">
        <v>369</v>
      </c>
      <c r="S57" s="6" t="s">
        <v>4725</v>
      </c>
      <c r="T57" s="6" t="s">
        <v>4724</v>
      </c>
      <c r="U57" s="6">
        <v>322</v>
      </c>
      <c r="V57" s="6">
        <v>8</v>
      </c>
      <c r="W57" s="6" t="s">
        <v>7301</v>
      </c>
      <c r="Y57" t="s">
        <v>4682</v>
      </c>
      <c r="Z57" t="s">
        <v>4683</v>
      </c>
      <c r="AA57" s="6">
        <f t="shared" si="2"/>
        <v>1070</v>
      </c>
      <c r="AB57">
        <v>26</v>
      </c>
      <c r="AC57">
        <v>125</v>
      </c>
      <c r="AD57">
        <v>98</v>
      </c>
    </row>
    <row r="58" spans="1:30" ht="17" x14ac:dyDescent="0.25">
      <c r="A58" s="1" t="s">
        <v>60</v>
      </c>
      <c r="B58" s="1" t="s">
        <v>2712</v>
      </c>
      <c r="C58" s="1" t="s">
        <v>1387</v>
      </c>
      <c r="D58" t="str">
        <f t="shared" si="3"/>
        <v>198060</v>
      </c>
      <c r="E58" t="str">
        <f t="shared" si="4"/>
        <v>25-128-96</v>
      </c>
      <c r="F58" t="str">
        <f t="shared" si="5"/>
        <v>2512896</v>
      </c>
      <c r="G58">
        <f t="shared" si="6"/>
        <v>25</v>
      </c>
      <c r="H58">
        <f t="shared" si="7"/>
        <v>128</v>
      </c>
      <c r="I58">
        <f t="shared" si="8"/>
        <v>96</v>
      </c>
      <c r="J58" t="str">
        <f t="shared" si="0"/>
        <v>SSp-bfd6a",</v>
      </c>
      <c r="K58" t="str">
        <f t="shared" si="0"/>
        <v>Primary somatosensory area, barrel field, layer 6a",</v>
      </c>
      <c r="L58" t="str">
        <f t="shared" si="1"/>
        <v>SSp-bfd6a</v>
      </c>
      <c r="M58" t="str">
        <f t="shared" si="1"/>
        <v>Primary somatosensory area, barrel field, layer 6a</v>
      </c>
      <c r="N58" t="s">
        <v>4684</v>
      </c>
      <c r="O58" t="s">
        <v>4685</v>
      </c>
      <c r="Q58" s="6">
        <v>80</v>
      </c>
      <c r="R58" s="6">
        <v>450</v>
      </c>
      <c r="S58" s="6" t="s">
        <v>4727</v>
      </c>
      <c r="T58" s="6" t="s">
        <v>4726</v>
      </c>
      <c r="U58" s="6">
        <v>369</v>
      </c>
      <c r="V58" s="6">
        <v>9</v>
      </c>
      <c r="W58" s="6" t="s">
        <v>7302</v>
      </c>
      <c r="Y58" t="s">
        <v>4684</v>
      </c>
      <c r="Z58" t="s">
        <v>4685</v>
      </c>
      <c r="AA58" s="6">
        <f t="shared" si="2"/>
        <v>1038</v>
      </c>
      <c r="AB58">
        <v>25</v>
      </c>
      <c r="AC58">
        <v>128</v>
      </c>
      <c r="AD58">
        <v>96</v>
      </c>
    </row>
    <row r="59" spans="1:30" ht="17" x14ac:dyDescent="0.25">
      <c r="A59" s="1" t="s">
        <v>61</v>
      </c>
      <c r="B59" s="1" t="s">
        <v>2713</v>
      </c>
      <c r="C59" s="1" t="s">
        <v>1388</v>
      </c>
      <c r="D59" t="str">
        <f t="shared" si="3"/>
        <v>1A7E61</v>
      </c>
      <c r="E59" t="str">
        <f t="shared" si="4"/>
        <v>26-126-97</v>
      </c>
      <c r="F59" t="str">
        <f t="shared" si="5"/>
        <v>2612697</v>
      </c>
      <c r="G59">
        <f t="shared" si="6"/>
        <v>26</v>
      </c>
      <c r="H59">
        <f t="shared" si="7"/>
        <v>126</v>
      </c>
      <c r="I59">
        <f t="shared" si="8"/>
        <v>97</v>
      </c>
      <c r="J59" t="str">
        <f t="shared" si="0"/>
        <v>SSp-bfd6b",</v>
      </c>
      <c r="K59" t="str">
        <f t="shared" si="0"/>
        <v>Primary somatosensory area, barrel field, layer 6b",</v>
      </c>
      <c r="L59" t="str">
        <f t="shared" si="1"/>
        <v>SSp-bfd6b</v>
      </c>
      <c r="M59" t="str">
        <f t="shared" si="1"/>
        <v>Primary somatosensory area, barrel field, layer 6b</v>
      </c>
      <c r="N59" t="s">
        <v>4686</v>
      </c>
      <c r="O59" t="s">
        <v>4687</v>
      </c>
      <c r="Q59" s="6">
        <v>81</v>
      </c>
      <c r="R59" s="6">
        <v>854</v>
      </c>
      <c r="S59" s="6" t="s">
        <v>7184</v>
      </c>
      <c r="T59" s="6" t="s">
        <v>7123</v>
      </c>
      <c r="U59" s="6">
        <v>369</v>
      </c>
      <c r="V59" s="6">
        <v>9</v>
      </c>
      <c r="W59" s="6" t="s">
        <v>7303</v>
      </c>
      <c r="Y59" t="s">
        <v>4686</v>
      </c>
      <c r="Z59" t="s">
        <v>4687</v>
      </c>
      <c r="AA59" s="6">
        <f t="shared" si="2"/>
        <v>1062</v>
      </c>
      <c r="AB59">
        <v>26</v>
      </c>
      <c r="AC59">
        <v>126</v>
      </c>
      <c r="AD59">
        <v>97</v>
      </c>
    </row>
    <row r="60" spans="1:30" ht="17" x14ac:dyDescent="0.25">
      <c r="A60" s="1" t="s">
        <v>62</v>
      </c>
      <c r="B60" s="1" t="s">
        <v>2714</v>
      </c>
      <c r="C60" s="1" t="s">
        <v>1389</v>
      </c>
      <c r="D60" t="str">
        <f t="shared" si="3"/>
        <v>1B7F61</v>
      </c>
      <c r="E60" t="str">
        <f t="shared" si="4"/>
        <v>27-127-97</v>
      </c>
      <c r="F60" t="str">
        <f t="shared" si="5"/>
        <v>2712797</v>
      </c>
      <c r="G60">
        <f t="shared" si="6"/>
        <v>27</v>
      </c>
      <c r="H60">
        <f t="shared" si="7"/>
        <v>127</v>
      </c>
      <c r="I60">
        <f t="shared" si="8"/>
        <v>97</v>
      </c>
      <c r="J60" t="str">
        <f t="shared" si="0"/>
        <v>VISrll",</v>
      </c>
      <c r="K60" t="str">
        <f t="shared" si="0"/>
        <v>Rostrolateral lateral visual area",</v>
      </c>
      <c r="L60" t="str">
        <f t="shared" si="1"/>
        <v>VISrll</v>
      </c>
      <c r="M60" t="str">
        <f t="shared" si="1"/>
        <v>Rostrolateral lateral visual area</v>
      </c>
      <c r="N60" t="s">
        <v>4688</v>
      </c>
      <c r="O60" t="s">
        <v>4689</v>
      </c>
      <c r="Q60" s="6">
        <v>82</v>
      </c>
      <c r="R60" s="6">
        <v>577</v>
      </c>
      <c r="S60" s="6" t="s">
        <v>4729</v>
      </c>
      <c r="T60" s="6" t="s">
        <v>4728</v>
      </c>
      <c r="U60" s="6">
        <v>369</v>
      </c>
      <c r="V60" s="6">
        <v>9</v>
      </c>
      <c r="W60" s="6" t="s">
        <v>7304</v>
      </c>
      <c r="Y60" t="s">
        <v>4688</v>
      </c>
      <c r="Z60" t="s">
        <v>4689</v>
      </c>
      <c r="AA60" s="6" t="str">
        <f t="shared" si="2"/>
        <v/>
      </c>
      <c r="AB60">
        <v>27</v>
      </c>
      <c r="AC60">
        <v>127</v>
      </c>
      <c r="AD60">
        <v>97</v>
      </c>
    </row>
    <row r="61" spans="1:30" ht="17" x14ac:dyDescent="0.25">
      <c r="A61" s="1" t="s">
        <v>63</v>
      </c>
      <c r="B61" s="1" t="s">
        <v>2715</v>
      </c>
      <c r="C61" s="1" t="s">
        <v>1390</v>
      </c>
      <c r="D61" t="str">
        <f t="shared" si="3"/>
        <v>1B7D63</v>
      </c>
      <c r="E61" t="str">
        <f t="shared" si="4"/>
        <v>27-125-99</v>
      </c>
      <c r="F61" t="str">
        <f t="shared" si="5"/>
        <v>2712599</v>
      </c>
      <c r="G61">
        <f t="shared" si="6"/>
        <v>27</v>
      </c>
      <c r="H61">
        <f t="shared" si="7"/>
        <v>125</v>
      </c>
      <c r="I61">
        <f t="shared" si="8"/>
        <v>99</v>
      </c>
      <c r="J61" t="str">
        <f t="shared" si="0"/>
        <v>VISrll1",</v>
      </c>
      <c r="K61" t="str">
        <f t="shared" si="0"/>
        <v>Rostrolateral lateral visual area, layer 1",</v>
      </c>
      <c r="L61" t="str">
        <f t="shared" si="1"/>
        <v>VISrll1</v>
      </c>
      <c r="M61" t="str">
        <f t="shared" si="1"/>
        <v>Rostrolateral lateral visual area, layer 1</v>
      </c>
      <c r="N61" t="s">
        <v>4690</v>
      </c>
      <c r="O61" t="s">
        <v>4691</v>
      </c>
      <c r="Q61" s="6">
        <v>83</v>
      </c>
      <c r="R61" s="6">
        <v>625</v>
      </c>
      <c r="S61" s="6" t="s">
        <v>4731</v>
      </c>
      <c r="T61" s="6" t="s">
        <v>4730</v>
      </c>
      <c r="U61" s="6">
        <v>369</v>
      </c>
      <c r="V61" s="6">
        <v>9</v>
      </c>
      <c r="W61" s="6" t="s">
        <v>7305</v>
      </c>
      <c r="Y61" t="s">
        <v>4690</v>
      </c>
      <c r="Z61" t="s">
        <v>4691</v>
      </c>
      <c r="AA61" s="6" t="str">
        <f t="shared" si="2"/>
        <v/>
      </c>
      <c r="AB61">
        <v>27</v>
      </c>
      <c r="AC61">
        <v>125</v>
      </c>
      <c r="AD61">
        <v>99</v>
      </c>
    </row>
    <row r="62" spans="1:30" ht="17" x14ac:dyDescent="0.25">
      <c r="A62" s="1" t="s">
        <v>64</v>
      </c>
      <c r="B62" s="1" t="s">
        <v>2716</v>
      </c>
      <c r="C62" s="1" t="s">
        <v>1391</v>
      </c>
      <c r="D62" t="str">
        <f t="shared" si="3"/>
        <v>187E60</v>
      </c>
      <c r="E62" t="str">
        <f t="shared" si="4"/>
        <v>24-126-96</v>
      </c>
      <c r="F62" t="str">
        <f t="shared" si="5"/>
        <v>2412696</v>
      </c>
      <c r="G62">
        <f t="shared" si="6"/>
        <v>24</v>
      </c>
      <c r="H62">
        <f t="shared" si="7"/>
        <v>126</v>
      </c>
      <c r="I62">
        <f t="shared" si="8"/>
        <v>96</v>
      </c>
      <c r="J62" t="str">
        <f t="shared" si="0"/>
        <v>VISrll2\/3",</v>
      </c>
      <c r="K62" t="str">
        <f t="shared" si="0"/>
        <v>Rostrolateral lateral visual area, layer 2\/3",</v>
      </c>
      <c r="L62" t="str">
        <f t="shared" si="1"/>
        <v>VISrll2\/3</v>
      </c>
      <c r="M62" t="str">
        <f t="shared" si="1"/>
        <v>Rostrolateral lateral visual area, layer 2\/3</v>
      </c>
      <c r="N62" t="s">
        <v>7120</v>
      </c>
      <c r="O62" t="s">
        <v>7181</v>
      </c>
      <c r="Q62" s="6">
        <v>84</v>
      </c>
      <c r="R62" s="6">
        <v>945</v>
      </c>
      <c r="S62" s="6" t="s">
        <v>4733</v>
      </c>
      <c r="T62" s="6" t="s">
        <v>4732</v>
      </c>
      <c r="U62" s="6">
        <v>369</v>
      </c>
      <c r="V62" s="6">
        <v>9</v>
      </c>
      <c r="W62" s="6" t="s">
        <v>7306</v>
      </c>
      <c r="Y62" t="s">
        <v>7120</v>
      </c>
      <c r="Z62" t="s">
        <v>7181</v>
      </c>
      <c r="AA62" s="6" t="str">
        <f t="shared" si="2"/>
        <v/>
      </c>
      <c r="AB62">
        <v>24</v>
      </c>
      <c r="AC62">
        <v>126</v>
      </c>
      <c r="AD62">
        <v>96</v>
      </c>
    </row>
    <row r="63" spans="1:30" ht="17" x14ac:dyDescent="0.25">
      <c r="A63" s="1" t="s">
        <v>65</v>
      </c>
      <c r="B63" s="1" t="s">
        <v>2717</v>
      </c>
      <c r="C63" s="1" t="s">
        <v>1392</v>
      </c>
      <c r="D63" t="str">
        <f t="shared" si="3"/>
        <v>187C62</v>
      </c>
      <c r="E63" t="str">
        <f t="shared" si="4"/>
        <v>24-124-98</v>
      </c>
      <c r="F63" t="str">
        <f t="shared" si="5"/>
        <v>2412498</v>
      </c>
      <c r="G63">
        <f t="shared" si="6"/>
        <v>24</v>
      </c>
      <c r="H63">
        <f t="shared" si="7"/>
        <v>124</v>
      </c>
      <c r="I63">
        <f t="shared" si="8"/>
        <v>98</v>
      </c>
      <c r="J63" t="str">
        <f t="shared" si="0"/>
        <v>VISrll4",</v>
      </c>
      <c r="K63" t="str">
        <f t="shared" si="0"/>
        <v>Rostrolateral lateral visual area, layer 4",</v>
      </c>
      <c r="L63" t="str">
        <f t="shared" si="1"/>
        <v>VISrll4</v>
      </c>
      <c r="M63" t="str">
        <f t="shared" si="1"/>
        <v>Rostrolateral lateral visual area, layer 4</v>
      </c>
      <c r="N63" t="s">
        <v>4692</v>
      </c>
      <c r="O63" t="s">
        <v>4693</v>
      </c>
      <c r="Q63" s="6">
        <v>85</v>
      </c>
      <c r="R63" s="6">
        <v>1026</v>
      </c>
      <c r="S63" s="6" t="s">
        <v>4735</v>
      </c>
      <c r="T63" s="6" t="s">
        <v>4734</v>
      </c>
      <c r="U63" s="6">
        <v>369</v>
      </c>
      <c r="V63" s="6">
        <v>9</v>
      </c>
      <c r="W63" s="6" t="s">
        <v>7307</v>
      </c>
      <c r="Y63" t="s">
        <v>4692</v>
      </c>
      <c r="Z63" t="s">
        <v>4693</v>
      </c>
      <c r="AA63" s="6" t="str">
        <f t="shared" si="2"/>
        <v/>
      </c>
      <c r="AB63">
        <v>24</v>
      </c>
      <c r="AC63">
        <v>124</v>
      </c>
      <c r="AD63">
        <v>98</v>
      </c>
    </row>
    <row r="64" spans="1:30" ht="17" x14ac:dyDescent="0.25">
      <c r="A64" s="1" t="s">
        <v>66</v>
      </c>
      <c r="B64" s="1" t="s">
        <v>2718</v>
      </c>
      <c r="C64" s="1" t="s">
        <v>1393</v>
      </c>
      <c r="D64" t="str">
        <f t="shared" si="3"/>
        <v>1A8060</v>
      </c>
      <c r="E64" t="str">
        <f t="shared" si="4"/>
        <v>26-128-96</v>
      </c>
      <c r="F64" t="str">
        <f t="shared" si="5"/>
        <v>2612896</v>
      </c>
      <c r="G64">
        <f t="shared" si="6"/>
        <v>26</v>
      </c>
      <c r="H64">
        <f t="shared" si="7"/>
        <v>128</v>
      </c>
      <c r="I64">
        <f t="shared" si="8"/>
        <v>96</v>
      </c>
      <c r="J64" t="str">
        <f t="shared" si="0"/>
        <v>VISrll5",</v>
      </c>
      <c r="K64" t="str">
        <f t="shared" si="0"/>
        <v>Rostrolateral lateral visual area,layer 5",</v>
      </c>
      <c r="L64" t="str">
        <f t="shared" si="1"/>
        <v>VISrll5</v>
      </c>
      <c r="M64" t="str">
        <f t="shared" si="1"/>
        <v>Rostrolateral lateral visual area,layer 5</v>
      </c>
      <c r="N64" t="s">
        <v>4694</v>
      </c>
      <c r="O64" t="s">
        <v>4695</v>
      </c>
      <c r="Q64" s="6">
        <v>86</v>
      </c>
      <c r="R64" s="6">
        <v>361</v>
      </c>
      <c r="S64" s="6" t="s">
        <v>4737</v>
      </c>
      <c r="T64" s="6" t="s">
        <v>4736</v>
      </c>
      <c r="U64" s="6">
        <v>322</v>
      </c>
      <c r="V64" s="6">
        <v>8</v>
      </c>
      <c r="W64" s="6" t="s">
        <v>7308</v>
      </c>
      <c r="Y64" t="s">
        <v>4694</v>
      </c>
      <c r="Z64" t="s">
        <v>4695</v>
      </c>
      <c r="AA64" s="6" t="str">
        <f t="shared" si="2"/>
        <v/>
      </c>
      <c r="AB64">
        <v>26</v>
      </c>
      <c r="AC64">
        <v>128</v>
      </c>
      <c r="AD64">
        <v>96</v>
      </c>
    </row>
    <row r="65" spans="1:30" ht="17" x14ac:dyDescent="0.25">
      <c r="A65" s="1" t="s">
        <v>67</v>
      </c>
      <c r="B65" s="1" t="s">
        <v>2719</v>
      </c>
      <c r="C65" s="1" t="s">
        <v>1394</v>
      </c>
      <c r="D65" t="str">
        <f t="shared" si="3"/>
        <v>1A7C64</v>
      </c>
      <c r="E65" t="str">
        <f t="shared" si="4"/>
        <v>26-124-100</v>
      </c>
      <c r="F65" t="str">
        <f t="shared" si="5"/>
        <v>26124100</v>
      </c>
      <c r="G65">
        <f t="shared" si="6"/>
        <v>26</v>
      </c>
      <c r="H65">
        <f t="shared" si="7"/>
        <v>124</v>
      </c>
      <c r="I65">
        <f t="shared" si="8"/>
        <v>100</v>
      </c>
      <c r="J65" t="str">
        <f t="shared" si="0"/>
        <v>VISrll6a",</v>
      </c>
      <c r="K65" t="str">
        <f t="shared" si="0"/>
        <v>Rostrolateral lateral visual area, layer 6a",</v>
      </c>
      <c r="L65" t="str">
        <f t="shared" si="1"/>
        <v>VISrll6a</v>
      </c>
      <c r="M65" t="str">
        <f t="shared" si="1"/>
        <v>Rostrolateral lateral visual area, layer 6a</v>
      </c>
      <c r="N65" t="s">
        <v>4696</v>
      </c>
      <c r="O65" t="s">
        <v>4697</v>
      </c>
      <c r="Q65" s="6">
        <v>87</v>
      </c>
      <c r="R65" s="6">
        <v>1006</v>
      </c>
      <c r="S65" s="6" t="s">
        <v>4739</v>
      </c>
      <c r="T65" s="6" t="s">
        <v>4738</v>
      </c>
      <c r="U65" s="6">
        <v>361</v>
      </c>
      <c r="V65" s="6">
        <v>9</v>
      </c>
      <c r="W65" s="6" t="s">
        <v>7309</v>
      </c>
      <c r="Y65" t="s">
        <v>4696</v>
      </c>
      <c r="Z65" t="s">
        <v>4697</v>
      </c>
      <c r="AA65" s="6" t="str">
        <f t="shared" si="2"/>
        <v/>
      </c>
      <c r="AB65">
        <v>26</v>
      </c>
      <c r="AC65">
        <v>124</v>
      </c>
      <c r="AD65">
        <v>100</v>
      </c>
    </row>
    <row r="66" spans="1:30" ht="17" x14ac:dyDescent="0.25">
      <c r="A66" s="1" t="s">
        <v>68</v>
      </c>
      <c r="B66" s="1" t="s">
        <v>2720</v>
      </c>
      <c r="C66" s="1" t="s">
        <v>1395</v>
      </c>
      <c r="D66" t="str">
        <f t="shared" si="3"/>
        <v>1C8062</v>
      </c>
      <c r="E66" t="str">
        <f t="shared" si="4"/>
        <v>28-128-98</v>
      </c>
      <c r="F66" t="str">
        <f t="shared" si="5"/>
        <v>2812898</v>
      </c>
      <c r="G66">
        <f t="shared" si="6"/>
        <v>28</v>
      </c>
      <c r="H66">
        <f t="shared" si="7"/>
        <v>128</v>
      </c>
      <c r="I66">
        <f t="shared" si="8"/>
        <v>98</v>
      </c>
      <c r="J66" t="str">
        <f t="shared" si="0"/>
        <v>VISrll6b",</v>
      </c>
      <c r="K66" t="str">
        <f t="shared" si="0"/>
        <v>Rostrolateral lateral visual area, layer 6b",</v>
      </c>
      <c r="L66" t="str">
        <f t="shared" si="1"/>
        <v>VISrll6b</v>
      </c>
      <c r="M66" t="str">
        <f t="shared" si="1"/>
        <v>Rostrolateral lateral visual area, layer 6b</v>
      </c>
      <c r="N66" t="s">
        <v>4698</v>
      </c>
      <c r="O66" t="s">
        <v>4699</v>
      </c>
      <c r="Q66" s="6">
        <v>88</v>
      </c>
      <c r="R66" s="6">
        <v>670</v>
      </c>
      <c r="S66" s="6" t="s">
        <v>7185</v>
      </c>
      <c r="T66" s="6" t="s">
        <v>7124</v>
      </c>
      <c r="U66" s="6">
        <v>361</v>
      </c>
      <c r="V66" s="6">
        <v>9</v>
      </c>
      <c r="W66" s="6" t="s">
        <v>7310</v>
      </c>
      <c r="Y66" t="s">
        <v>4698</v>
      </c>
      <c r="Z66" t="s">
        <v>4699</v>
      </c>
      <c r="AA66" s="6" t="str">
        <f t="shared" si="2"/>
        <v/>
      </c>
      <c r="AB66">
        <v>28</v>
      </c>
      <c r="AC66">
        <v>128</v>
      </c>
      <c r="AD66">
        <v>98</v>
      </c>
    </row>
    <row r="67" spans="1:30" ht="17" x14ac:dyDescent="0.25">
      <c r="A67" s="1" t="s">
        <v>69</v>
      </c>
      <c r="B67" s="1" t="s">
        <v>2721</v>
      </c>
      <c r="C67" s="1" t="s">
        <v>1396</v>
      </c>
      <c r="D67" t="str">
        <f t="shared" si="3"/>
        <v>197F63</v>
      </c>
      <c r="E67" t="str">
        <f t="shared" si="4"/>
        <v>25-127-99</v>
      </c>
      <c r="F67" t="str">
        <f t="shared" si="5"/>
        <v>2512799</v>
      </c>
      <c r="G67">
        <f t="shared" si="6"/>
        <v>25</v>
      </c>
      <c r="H67">
        <f t="shared" si="7"/>
        <v>127</v>
      </c>
      <c r="I67">
        <f t="shared" si="8"/>
        <v>99</v>
      </c>
      <c r="J67" t="str">
        <f t="shared" ref="J67:K130" si="9">RIGHT(A67,LEN(A67)-3)</f>
        <v>SSp-ll",</v>
      </c>
      <c r="K67" t="str">
        <f t="shared" si="9"/>
        <v>Primary somatosensory area, lower limb",</v>
      </c>
      <c r="L67" t="str">
        <f t="shared" ref="L67:M130" si="10">LEFT(J67,LEN(J67)-2)</f>
        <v>SSp-ll</v>
      </c>
      <c r="M67" t="str">
        <f t="shared" si="10"/>
        <v>Primary somatosensory area, lower limb</v>
      </c>
      <c r="N67" t="s">
        <v>4700</v>
      </c>
      <c r="O67" t="s">
        <v>4701</v>
      </c>
      <c r="Q67" s="6">
        <v>89</v>
      </c>
      <c r="R67" s="6">
        <v>1086</v>
      </c>
      <c r="S67" s="6" t="s">
        <v>4741</v>
      </c>
      <c r="T67" s="6" t="s">
        <v>4740</v>
      </c>
      <c r="U67" s="6">
        <v>361</v>
      </c>
      <c r="V67" s="6">
        <v>9</v>
      </c>
      <c r="W67" s="6" t="s">
        <v>7311</v>
      </c>
      <c r="Y67" t="s">
        <v>4700</v>
      </c>
      <c r="Z67" t="s">
        <v>4701</v>
      </c>
      <c r="AA67" s="6">
        <f t="shared" ref="AA67:AA130" si="11">IFERROR(INDEX(R:R,MATCH($Z67,S:S,0)),"")</f>
        <v>337</v>
      </c>
      <c r="AB67">
        <v>25</v>
      </c>
      <c r="AC67">
        <v>127</v>
      </c>
      <c r="AD67">
        <v>99</v>
      </c>
    </row>
    <row r="68" spans="1:30" ht="17" x14ac:dyDescent="0.25">
      <c r="A68" s="1" t="s">
        <v>70</v>
      </c>
      <c r="B68" s="1" t="s">
        <v>2722</v>
      </c>
      <c r="C68" s="1" t="s">
        <v>1397</v>
      </c>
      <c r="D68" t="str">
        <f t="shared" ref="D68:D131" si="12">RIGHT(LEFT(C68,9),6)</f>
        <v>187F60</v>
      </c>
      <c r="E68" t="str">
        <f t="shared" ref="E68:E131" si="13">HEX2DEC(LEFT(D68,2))&amp;"-"&amp;HEX2DEC(MID(D68,3,2))&amp;"-"&amp;HEX2DEC(RIGHT(D68,2))</f>
        <v>24-127-96</v>
      </c>
      <c r="F68" t="str">
        <f t="shared" ref="F68:F131" si="14">HEX2DEC(LEFT(D68,2))&amp;HEX2DEC(MID(D68,3,2))&amp;HEX2DEC(RIGHT(D68,2))</f>
        <v>2412796</v>
      </c>
      <c r="G68">
        <f t="shared" ref="G68:G131" si="15">HEX2DEC(LEFT(D68,2))</f>
        <v>24</v>
      </c>
      <c r="H68">
        <f t="shared" ref="H68:H131" si="16">HEX2DEC(MID(D68,3,2))</f>
        <v>127</v>
      </c>
      <c r="I68">
        <f t="shared" ref="I68:I131" si="17">HEX2DEC(RIGHT(D68,2))</f>
        <v>96</v>
      </c>
      <c r="J68" t="str">
        <f t="shared" si="9"/>
        <v>SSp-ll1",</v>
      </c>
      <c r="K68" t="str">
        <f t="shared" si="9"/>
        <v>Primary somatosensory area, lower limb, layer 1",</v>
      </c>
      <c r="L68" t="str">
        <f t="shared" si="10"/>
        <v>SSp-ll1</v>
      </c>
      <c r="M68" t="str">
        <f t="shared" si="10"/>
        <v>Primary somatosensory area, lower limb, layer 1</v>
      </c>
      <c r="N68" t="s">
        <v>4702</v>
      </c>
      <c r="O68" t="s">
        <v>4703</v>
      </c>
      <c r="Q68" s="6">
        <v>90</v>
      </c>
      <c r="R68" s="6">
        <v>1111</v>
      </c>
      <c r="S68" s="6" t="s">
        <v>4743</v>
      </c>
      <c r="T68" s="6" t="s">
        <v>4742</v>
      </c>
      <c r="U68" s="6">
        <v>361</v>
      </c>
      <c r="V68" s="6">
        <v>9</v>
      </c>
      <c r="W68" s="6" t="s">
        <v>7312</v>
      </c>
      <c r="Y68" t="s">
        <v>4702</v>
      </c>
      <c r="Z68" t="s">
        <v>4703</v>
      </c>
      <c r="AA68" s="6">
        <f t="shared" si="11"/>
        <v>1030</v>
      </c>
      <c r="AB68">
        <v>24</v>
      </c>
      <c r="AC68">
        <v>127</v>
      </c>
      <c r="AD68">
        <v>96</v>
      </c>
    </row>
    <row r="69" spans="1:30" ht="17" x14ac:dyDescent="0.25">
      <c r="A69" s="1" t="s">
        <v>71</v>
      </c>
      <c r="B69" s="1" t="s">
        <v>2723</v>
      </c>
      <c r="C69" s="1" t="s">
        <v>1398</v>
      </c>
      <c r="D69" t="str">
        <f t="shared" si="12"/>
        <v>187F64</v>
      </c>
      <c r="E69" t="str">
        <f t="shared" si="13"/>
        <v>24-127-100</v>
      </c>
      <c r="F69" t="str">
        <f t="shared" si="14"/>
        <v>24127100</v>
      </c>
      <c r="G69">
        <f t="shared" si="15"/>
        <v>24</v>
      </c>
      <c r="H69">
        <f t="shared" si="16"/>
        <v>127</v>
      </c>
      <c r="I69">
        <f t="shared" si="17"/>
        <v>100</v>
      </c>
      <c r="J69" t="str">
        <f t="shared" si="9"/>
        <v>SSp-ll2\/3",</v>
      </c>
      <c r="K69" t="str">
        <f t="shared" si="9"/>
        <v>Primary somatosensory area, lower limb, layer 2\/3",</v>
      </c>
      <c r="L69" t="str">
        <f t="shared" si="10"/>
        <v>SSp-ll2\/3</v>
      </c>
      <c r="M69" t="str">
        <f t="shared" si="10"/>
        <v>Primary somatosensory area, lower limb, layer 2\/3</v>
      </c>
      <c r="N69" t="s">
        <v>7121</v>
      </c>
      <c r="O69" t="s">
        <v>7182</v>
      </c>
      <c r="Q69" s="6">
        <v>91</v>
      </c>
      <c r="R69" s="6">
        <v>9</v>
      </c>
      <c r="S69" s="6" t="s">
        <v>4745</v>
      </c>
      <c r="T69" s="6" t="s">
        <v>4744</v>
      </c>
      <c r="U69" s="6">
        <v>361</v>
      </c>
      <c r="V69" s="6">
        <v>9</v>
      </c>
      <c r="W69" s="6" t="s">
        <v>7313</v>
      </c>
      <c r="Y69" t="s">
        <v>7121</v>
      </c>
      <c r="Z69" t="s">
        <v>7182</v>
      </c>
      <c r="AA69" s="6">
        <f t="shared" si="11"/>
        <v>113</v>
      </c>
      <c r="AB69">
        <v>24</v>
      </c>
      <c r="AC69">
        <v>127</v>
      </c>
      <c r="AD69">
        <v>100</v>
      </c>
    </row>
    <row r="70" spans="1:30" ht="17" x14ac:dyDescent="0.25">
      <c r="A70" s="1" t="s">
        <v>72</v>
      </c>
      <c r="B70" s="1" t="s">
        <v>2724</v>
      </c>
      <c r="C70" s="1" t="s">
        <v>1399</v>
      </c>
      <c r="D70" t="str">
        <f t="shared" si="12"/>
        <v>1C7F64</v>
      </c>
      <c r="E70" t="str">
        <f t="shared" si="13"/>
        <v>28-127-100</v>
      </c>
      <c r="F70" t="str">
        <f t="shared" si="14"/>
        <v>28127100</v>
      </c>
      <c r="G70">
        <f t="shared" si="15"/>
        <v>28</v>
      </c>
      <c r="H70">
        <f t="shared" si="16"/>
        <v>127</v>
      </c>
      <c r="I70">
        <f t="shared" si="17"/>
        <v>100</v>
      </c>
      <c r="J70" t="str">
        <f t="shared" si="9"/>
        <v>SSp-ll4",</v>
      </c>
      <c r="K70" t="str">
        <f t="shared" si="9"/>
        <v>Primary somatosensory area, lower limb, layer 4",</v>
      </c>
      <c r="L70" t="str">
        <f t="shared" si="10"/>
        <v>SSp-ll4</v>
      </c>
      <c r="M70" t="str">
        <f t="shared" si="10"/>
        <v>Primary somatosensory area, lower limb, layer 4</v>
      </c>
      <c r="N70" t="s">
        <v>4704</v>
      </c>
      <c r="O70" t="s">
        <v>4705</v>
      </c>
      <c r="Q70" s="6">
        <v>92</v>
      </c>
      <c r="R70" s="6">
        <v>461</v>
      </c>
      <c r="S70" s="6" t="s">
        <v>4747</v>
      </c>
      <c r="T70" s="6" t="s">
        <v>4746</v>
      </c>
      <c r="U70" s="6">
        <v>361</v>
      </c>
      <c r="V70" s="6">
        <v>9</v>
      </c>
      <c r="W70" s="6" t="s">
        <v>7314</v>
      </c>
      <c r="Y70" t="s">
        <v>4704</v>
      </c>
      <c r="Z70" t="s">
        <v>4705</v>
      </c>
      <c r="AA70" s="6">
        <f t="shared" si="11"/>
        <v>1094</v>
      </c>
      <c r="AB70">
        <v>28</v>
      </c>
      <c r="AC70">
        <v>127</v>
      </c>
      <c r="AD70">
        <v>100</v>
      </c>
    </row>
    <row r="71" spans="1:30" ht="17" x14ac:dyDescent="0.25">
      <c r="A71" s="1" t="s">
        <v>73</v>
      </c>
      <c r="B71" s="1" t="s">
        <v>2725</v>
      </c>
      <c r="C71" s="1" t="s">
        <v>1400</v>
      </c>
      <c r="D71" t="str">
        <f t="shared" si="12"/>
        <v>197C63</v>
      </c>
      <c r="E71" t="str">
        <f t="shared" si="13"/>
        <v>25-124-99</v>
      </c>
      <c r="F71" t="str">
        <f t="shared" si="14"/>
        <v>2512499</v>
      </c>
      <c r="G71">
        <f t="shared" si="15"/>
        <v>25</v>
      </c>
      <c r="H71">
        <f t="shared" si="16"/>
        <v>124</v>
      </c>
      <c r="I71">
        <f t="shared" si="17"/>
        <v>99</v>
      </c>
      <c r="J71" t="str">
        <f t="shared" si="9"/>
        <v>SSp-ll5",</v>
      </c>
      <c r="K71" t="str">
        <f t="shared" si="9"/>
        <v>Primary somatosensory area, lower limb, layer 5",</v>
      </c>
      <c r="L71" t="str">
        <f t="shared" si="10"/>
        <v>SSp-ll5</v>
      </c>
      <c r="M71" t="str">
        <f t="shared" si="10"/>
        <v>Primary somatosensory area, lower limb, layer 5</v>
      </c>
      <c r="N71" t="s">
        <v>4706</v>
      </c>
      <c r="O71" t="s">
        <v>4707</v>
      </c>
      <c r="Q71" s="6">
        <v>93</v>
      </c>
      <c r="R71" s="6">
        <v>182305689</v>
      </c>
      <c r="S71" s="6" t="s">
        <v>4749</v>
      </c>
      <c r="T71" s="6" t="s">
        <v>4748</v>
      </c>
      <c r="U71" s="6">
        <v>322</v>
      </c>
      <c r="V71" s="6">
        <v>8</v>
      </c>
      <c r="W71" s="6" t="s">
        <v>7315</v>
      </c>
      <c r="Y71" t="s">
        <v>4706</v>
      </c>
      <c r="Z71" t="s">
        <v>4707</v>
      </c>
      <c r="AA71" s="6">
        <f t="shared" si="11"/>
        <v>1128</v>
      </c>
      <c r="AB71">
        <v>25</v>
      </c>
      <c r="AC71">
        <v>124</v>
      </c>
      <c r="AD71">
        <v>99</v>
      </c>
    </row>
    <row r="72" spans="1:30" ht="17" x14ac:dyDescent="0.25">
      <c r="A72" s="1" t="s">
        <v>74</v>
      </c>
      <c r="B72" s="1" t="s">
        <v>2726</v>
      </c>
      <c r="C72" s="1" t="s">
        <v>1401</v>
      </c>
      <c r="D72" t="str">
        <f t="shared" si="12"/>
        <v>1A7F64</v>
      </c>
      <c r="E72" t="str">
        <f t="shared" si="13"/>
        <v>26-127-100</v>
      </c>
      <c r="F72" t="str">
        <f t="shared" si="14"/>
        <v>26127100</v>
      </c>
      <c r="G72">
        <f t="shared" si="15"/>
        <v>26</v>
      </c>
      <c r="H72">
        <f t="shared" si="16"/>
        <v>127</v>
      </c>
      <c r="I72">
        <f t="shared" si="17"/>
        <v>100</v>
      </c>
      <c r="J72" t="str">
        <f t="shared" si="9"/>
        <v>SSp-ll6a",</v>
      </c>
      <c r="K72" t="str">
        <f t="shared" si="9"/>
        <v>Primary somatosensory area, lower limb, layer 6a",</v>
      </c>
      <c r="L72" t="str">
        <f t="shared" si="10"/>
        <v>SSp-ll6a</v>
      </c>
      <c r="M72" t="str">
        <f t="shared" si="10"/>
        <v>Primary somatosensory area, lower limb, layer 6a</v>
      </c>
      <c r="N72" t="s">
        <v>4708</v>
      </c>
      <c r="O72" t="s">
        <v>4709</v>
      </c>
      <c r="Q72" s="6">
        <v>94</v>
      </c>
      <c r="R72" s="6">
        <v>182305693</v>
      </c>
      <c r="S72" s="6" t="s">
        <v>4751</v>
      </c>
      <c r="T72" s="6" t="s">
        <v>4750</v>
      </c>
      <c r="U72" s="6">
        <v>182305689</v>
      </c>
      <c r="V72" s="6">
        <v>9</v>
      </c>
      <c r="W72" s="6" t="s">
        <v>7316</v>
      </c>
      <c r="Y72" t="s">
        <v>4708</v>
      </c>
      <c r="Z72" t="s">
        <v>4709</v>
      </c>
      <c r="AA72" s="6">
        <f t="shared" si="11"/>
        <v>478</v>
      </c>
      <c r="AB72">
        <v>26</v>
      </c>
      <c r="AC72">
        <v>127</v>
      </c>
      <c r="AD72">
        <v>100</v>
      </c>
    </row>
    <row r="73" spans="1:30" ht="17" x14ac:dyDescent="0.25">
      <c r="A73" s="1" t="s">
        <v>75</v>
      </c>
      <c r="B73" s="1" t="s">
        <v>2727</v>
      </c>
      <c r="C73" s="1" t="s">
        <v>1402</v>
      </c>
      <c r="D73" t="str">
        <f t="shared" si="12"/>
        <v>197F62</v>
      </c>
      <c r="E73" t="str">
        <f t="shared" si="13"/>
        <v>25-127-98</v>
      </c>
      <c r="F73" t="str">
        <f t="shared" si="14"/>
        <v>2512798</v>
      </c>
      <c r="G73">
        <f t="shared" si="15"/>
        <v>25</v>
      </c>
      <c r="H73">
        <f t="shared" si="16"/>
        <v>127</v>
      </c>
      <c r="I73">
        <f t="shared" si="17"/>
        <v>98</v>
      </c>
      <c r="J73" t="str">
        <f t="shared" si="9"/>
        <v>SSp-ll6b",</v>
      </c>
      <c r="K73" t="str">
        <f t="shared" si="9"/>
        <v>Primary somatosensory area, lower limb, layer 6b",</v>
      </c>
      <c r="L73" t="str">
        <f t="shared" si="10"/>
        <v>SSp-ll6b</v>
      </c>
      <c r="M73" t="str">
        <f t="shared" si="10"/>
        <v>Primary somatosensory area, lower limb, layer 6b</v>
      </c>
      <c r="N73" t="s">
        <v>4710</v>
      </c>
      <c r="O73" t="s">
        <v>4711</v>
      </c>
      <c r="Q73" s="6">
        <v>95</v>
      </c>
      <c r="R73" s="6">
        <v>182305697</v>
      </c>
      <c r="S73" s="6" t="s">
        <v>7186</v>
      </c>
      <c r="T73" s="6" t="s">
        <v>7125</v>
      </c>
      <c r="U73" s="6">
        <v>182305689</v>
      </c>
      <c r="V73" s="6">
        <v>9</v>
      </c>
      <c r="W73" s="6" t="s">
        <v>7317</v>
      </c>
      <c r="Y73" t="s">
        <v>4710</v>
      </c>
      <c r="Z73" t="s">
        <v>4711</v>
      </c>
      <c r="AA73" s="6">
        <f t="shared" si="11"/>
        <v>510</v>
      </c>
      <c r="AB73">
        <v>25</v>
      </c>
      <c r="AC73">
        <v>127</v>
      </c>
      <c r="AD73">
        <v>98</v>
      </c>
    </row>
    <row r="74" spans="1:30" ht="17" x14ac:dyDescent="0.25">
      <c r="A74" s="1" t="s">
        <v>76</v>
      </c>
      <c r="B74" s="1" t="s">
        <v>2728</v>
      </c>
      <c r="C74" s="1" t="s">
        <v>1403</v>
      </c>
      <c r="D74" t="str">
        <f t="shared" si="12"/>
        <v>188062</v>
      </c>
      <c r="E74" t="str">
        <f t="shared" si="13"/>
        <v>24-128-98</v>
      </c>
      <c r="F74" t="str">
        <f t="shared" si="14"/>
        <v>2412898</v>
      </c>
      <c r="G74">
        <f t="shared" si="15"/>
        <v>24</v>
      </c>
      <c r="H74">
        <f t="shared" si="16"/>
        <v>128</v>
      </c>
      <c r="I74">
        <f t="shared" si="17"/>
        <v>98</v>
      </c>
      <c r="J74" t="str">
        <f t="shared" si="9"/>
        <v>SSp-m",</v>
      </c>
      <c r="K74" t="str">
        <f t="shared" si="9"/>
        <v>Primary somatosensory area, mouth",</v>
      </c>
      <c r="L74" t="str">
        <f t="shared" si="10"/>
        <v>SSp-m</v>
      </c>
      <c r="M74" t="str">
        <f t="shared" si="10"/>
        <v>Primary somatosensory area, mouth</v>
      </c>
      <c r="N74" t="s">
        <v>4712</v>
      </c>
      <c r="O74" t="s">
        <v>4713</v>
      </c>
      <c r="Q74" s="6">
        <v>96</v>
      </c>
      <c r="R74" s="6">
        <v>182305701</v>
      </c>
      <c r="S74" s="6" t="s">
        <v>4753</v>
      </c>
      <c r="T74" s="6" t="s">
        <v>4752</v>
      </c>
      <c r="U74" s="6">
        <v>182305689</v>
      </c>
      <c r="V74" s="6">
        <v>9</v>
      </c>
      <c r="W74" s="6" t="s">
        <v>7318</v>
      </c>
      <c r="Y74" t="s">
        <v>4712</v>
      </c>
      <c r="Z74" t="s">
        <v>4713</v>
      </c>
      <c r="AA74" s="6">
        <f t="shared" si="11"/>
        <v>345</v>
      </c>
      <c r="AB74">
        <v>24</v>
      </c>
      <c r="AC74">
        <v>128</v>
      </c>
      <c r="AD74">
        <v>98</v>
      </c>
    </row>
    <row r="75" spans="1:30" ht="17" x14ac:dyDescent="0.25">
      <c r="A75" s="1" t="s">
        <v>77</v>
      </c>
      <c r="B75" s="1" t="s">
        <v>2729</v>
      </c>
      <c r="C75" s="1" t="s">
        <v>1404</v>
      </c>
      <c r="D75" t="str">
        <f t="shared" si="12"/>
        <v>187E61</v>
      </c>
      <c r="E75" t="str">
        <f t="shared" si="13"/>
        <v>24-126-97</v>
      </c>
      <c r="F75" t="str">
        <f t="shared" si="14"/>
        <v>2412697</v>
      </c>
      <c r="G75">
        <f t="shared" si="15"/>
        <v>24</v>
      </c>
      <c r="H75">
        <f t="shared" si="16"/>
        <v>126</v>
      </c>
      <c r="I75">
        <f t="shared" si="17"/>
        <v>97</v>
      </c>
      <c r="J75" t="str">
        <f t="shared" si="9"/>
        <v>SSp-m1",</v>
      </c>
      <c r="K75" t="str">
        <f t="shared" si="9"/>
        <v>Primary somatosensory area, mouth, layer 1",</v>
      </c>
      <c r="L75" t="str">
        <f t="shared" si="10"/>
        <v>SSp-m1</v>
      </c>
      <c r="M75" t="str">
        <f t="shared" si="10"/>
        <v>Primary somatosensory area, mouth, layer 1</v>
      </c>
      <c r="N75" t="s">
        <v>4714</v>
      </c>
      <c r="O75" t="s">
        <v>4715</v>
      </c>
      <c r="Q75" s="6">
        <v>97</v>
      </c>
      <c r="R75" s="6">
        <v>182305705</v>
      </c>
      <c r="S75" s="6" t="s">
        <v>4755</v>
      </c>
      <c r="T75" s="6" t="s">
        <v>4754</v>
      </c>
      <c r="U75" s="6">
        <v>182305689</v>
      </c>
      <c r="V75" s="6">
        <v>9</v>
      </c>
      <c r="W75" s="6" t="s">
        <v>7319</v>
      </c>
      <c r="Y75" t="s">
        <v>4714</v>
      </c>
      <c r="Z75" t="s">
        <v>4715</v>
      </c>
      <c r="AA75" s="6">
        <f t="shared" si="11"/>
        <v>878</v>
      </c>
      <c r="AB75">
        <v>24</v>
      </c>
      <c r="AC75">
        <v>126</v>
      </c>
      <c r="AD75">
        <v>97</v>
      </c>
    </row>
    <row r="76" spans="1:30" ht="17" x14ac:dyDescent="0.25">
      <c r="A76" s="1" t="s">
        <v>78</v>
      </c>
      <c r="B76" s="1" t="s">
        <v>2730</v>
      </c>
      <c r="C76" s="1" t="s">
        <v>1405</v>
      </c>
      <c r="D76" t="str">
        <f t="shared" si="12"/>
        <v>1A7E64</v>
      </c>
      <c r="E76" t="str">
        <f t="shared" si="13"/>
        <v>26-126-100</v>
      </c>
      <c r="F76" t="str">
        <f t="shared" si="14"/>
        <v>26126100</v>
      </c>
      <c r="G76">
        <f t="shared" si="15"/>
        <v>26</v>
      </c>
      <c r="H76">
        <f t="shared" si="16"/>
        <v>126</v>
      </c>
      <c r="I76">
        <f t="shared" si="17"/>
        <v>100</v>
      </c>
      <c r="J76" t="str">
        <f t="shared" si="9"/>
        <v>SSp-m2\/3",</v>
      </c>
      <c r="K76" t="str">
        <f t="shared" si="9"/>
        <v>Primary somatosensory area, mouth, layer 2\/3",</v>
      </c>
      <c r="L76" t="str">
        <f t="shared" si="10"/>
        <v>SSp-m2\/3</v>
      </c>
      <c r="M76" t="str">
        <f t="shared" si="10"/>
        <v>Primary somatosensory area, mouth, layer 2\/3</v>
      </c>
      <c r="N76" t="s">
        <v>7122</v>
      </c>
      <c r="O76" t="s">
        <v>7183</v>
      </c>
      <c r="Q76" s="6">
        <v>98</v>
      </c>
      <c r="R76" s="6">
        <v>182305709</v>
      </c>
      <c r="S76" s="6" t="s">
        <v>4757</v>
      </c>
      <c r="T76" s="6" t="s">
        <v>4756</v>
      </c>
      <c r="U76" s="6">
        <v>182305689</v>
      </c>
      <c r="V76" s="6">
        <v>9</v>
      </c>
      <c r="W76" s="6" t="s">
        <v>7320</v>
      </c>
      <c r="Y76" t="s">
        <v>7122</v>
      </c>
      <c r="Z76" t="s">
        <v>7183</v>
      </c>
      <c r="AA76" s="6">
        <f t="shared" si="11"/>
        <v>657</v>
      </c>
      <c r="AB76">
        <v>26</v>
      </c>
      <c r="AC76">
        <v>126</v>
      </c>
      <c r="AD76">
        <v>100</v>
      </c>
    </row>
    <row r="77" spans="1:30" ht="17" x14ac:dyDescent="0.25">
      <c r="A77" s="1" t="s">
        <v>79</v>
      </c>
      <c r="B77" s="1" t="s">
        <v>2731</v>
      </c>
      <c r="C77" s="1" t="s">
        <v>1406</v>
      </c>
      <c r="D77" t="str">
        <f t="shared" si="12"/>
        <v>1B7F62</v>
      </c>
      <c r="E77" t="str">
        <f t="shared" si="13"/>
        <v>27-127-98</v>
      </c>
      <c r="F77" t="str">
        <f t="shared" si="14"/>
        <v>2712798</v>
      </c>
      <c r="G77">
        <f t="shared" si="15"/>
        <v>27</v>
      </c>
      <c r="H77">
        <f t="shared" si="16"/>
        <v>127</v>
      </c>
      <c r="I77">
        <f t="shared" si="17"/>
        <v>98</v>
      </c>
      <c r="J77" t="str">
        <f t="shared" si="9"/>
        <v>SSp-m4",</v>
      </c>
      <c r="K77" t="str">
        <f t="shared" si="9"/>
        <v>Primary somatosensory area, mouth, layer 4",</v>
      </c>
      <c r="L77" t="str">
        <f t="shared" si="10"/>
        <v>SSp-m4</v>
      </c>
      <c r="M77" t="str">
        <f t="shared" si="10"/>
        <v>Primary somatosensory area, mouth, layer 4</v>
      </c>
      <c r="N77" t="s">
        <v>4716</v>
      </c>
      <c r="O77" t="s">
        <v>4717</v>
      </c>
      <c r="Q77" s="6">
        <v>99</v>
      </c>
      <c r="R77" s="6">
        <v>182305713</v>
      </c>
      <c r="S77" s="6" t="s">
        <v>4759</v>
      </c>
      <c r="T77" s="6" t="s">
        <v>4758</v>
      </c>
      <c r="U77" s="6">
        <v>182305689</v>
      </c>
      <c r="V77" s="6">
        <v>9</v>
      </c>
      <c r="W77" s="6" t="s">
        <v>7321</v>
      </c>
      <c r="Y77" t="s">
        <v>4716</v>
      </c>
      <c r="Z77" t="s">
        <v>4717</v>
      </c>
      <c r="AA77" s="6">
        <f t="shared" si="11"/>
        <v>950</v>
      </c>
      <c r="AB77">
        <v>27</v>
      </c>
      <c r="AC77">
        <v>127</v>
      </c>
      <c r="AD77">
        <v>98</v>
      </c>
    </row>
    <row r="78" spans="1:30" ht="17" x14ac:dyDescent="0.25">
      <c r="A78" s="1" t="s">
        <v>80</v>
      </c>
      <c r="B78" s="1" t="s">
        <v>2732</v>
      </c>
      <c r="C78" s="1" t="s">
        <v>1407</v>
      </c>
      <c r="D78" t="str">
        <f t="shared" si="12"/>
        <v>1B7E63</v>
      </c>
      <c r="E78" t="str">
        <f t="shared" si="13"/>
        <v>27-126-99</v>
      </c>
      <c r="F78" t="str">
        <f t="shared" si="14"/>
        <v>2712699</v>
      </c>
      <c r="G78">
        <f t="shared" si="15"/>
        <v>27</v>
      </c>
      <c r="H78">
        <f t="shared" si="16"/>
        <v>126</v>
      </c>
      <c r="I78">
        <f t="shared" si="17"/>
        <v>99</v>
      </c>
      <c r="J78" t="str">
        <f t="shared" si="9"/>
        <v>SSp-m5",</v>
      </c>
      <c r="K78" t="str">
        <f t="shared" si="9"/>
        <v>Primary somatosensory area, mouth, layer 5",</v>
      </c>
      <c r="L78" t="str">
        <f t="shared" si="10"/>
        <v>SSp-m5</v>
      </c>
      <c r="M78" t="str">
        <f t="shared" si="10"/>
        <v>Primary somatosensory area, mouth, layer 5</v>
      </c>
      <c r="N78" t="s">
        <v>4718</v>
      </c>
      <c r="O78" t="s">
        <v>4719</v>
      </c>
      <c r="Q78" s="6">
        <v>100</v>
      </c>
      <c r="R78" s="6">
        <v>378</v>
      </c>
      <c r="S78" s="6" t="s">
        <v>4761</v>
      </c>
      <c r="T78" s="6" t="s">
        <v>4760</v>
      </c>
      <c r="U78" s="6">
        <v>453</v>
      </c>
      <c r="V78" s="6">
        <v>7</v>
      </c>
      <c r="W78" s="6" t="s">
        <v>7322</v>
      </c>
      <c r="Y78" t="s">
        <v>4718</v>
      </c>
      <c r="Z78" t="s">
        <v>4719</v>
      </c>
      <c r="AA78" s="6">
        <f t="shared" si="11"/>
        <v>974</v>
      </c>
      <c r="AB78">
        <v>27</v>
      </c>
      <c r="AC78">
        <v>126</v>
      </c>
      <c r="AD78">
        <v>99</v>
      </c>
    </row>
    <row r="79" spans="1:30" ht="17" x14ac:dyDescent="0.25">
      <c r="A79" s="1" t="s">
        <v>81</v>
      </c>
      <c r="B79" s="1" t="s">
        <v>2733</v>
      </c>
      <c r="C79" s="1" t="s">
        <v>1408</v>
      </c>
      <c r="D79" t="str">
        <f t="shared" si="12"/>
        <v>187D61</v>
      </c>
      <c r="E79" t="str">
        <f t="shared" si="13"/>
        <v>24-125-97</v>
      </c>
      <c r="F79" t="str">
        <f t="shared" si="14"/>
        <v>2412597</v>
      </c>
      <c r="G79">
        <f t="shared" si="15"/>
        <v>24</v>
      </c>
      <c r="H79">
        <f t="shared" si="16"/>
        <v>125</v>
      </c>
      <c r="I79">
        <f t="shared" si="17"/>
        <v>97</v>
      </c>
      <c r="J79" t="str">
        <f t="shared" si="9"/>
        <v>SSp-m6a",</v>
      </c>
      <c r="K79" t="str">
        <f t="shared" si="9"/>
        <v>Primary somatosensory area, mouth, layer 6a",</v>
      </c>
      <c r="L79" t="str">
        <f t="shared" si="10"/>
        <v>SSp-m6a</v>
      </c>
      <c r="M79" t="str">
        <f t="shared" si="10"/>
        <v>Primary somatosensory area, mouth, layer 6a</v>
      </c>
      <c r="N79" t="s">
        <v>4720</v>
      </c>
      <c r="O79" t="s">
        <v>4721</v>
      </c>
      <c r="Q79" s="6">
        <v>101</v>
      </c>
      <c r="R79" s="6">
        <v>873</v>
      </c>
      <c r="S79" s="6" t="s">
        <v>4763</v>
      </c>
      <c r="T79" s="6" t="s">
        <v>4762</v>
      </c>
      <c r="U79" s="6">
        <v>378</v>
      </c>
      <c r="V79" s="6">
        <v>8</v>
      </c>
      <c r="W79" s="6" t="s">
        <v>7323</v>
      </c>
      <c r="Y79" t="s">
        <v>4720</v>
      </c>
      <c r="Z79" t="s">
        <v>4721</v>
      </c>
      <c r="AA79" s="6">
        <f t="shared" si="11"/>
        <v>1102</v>
      </c>
      <c r="AB79">
        <v>24</v>
      </c>
      <c r="AC79">
        <v>125</v>
      </c>
      <c r="AD79">
        <v>97</v>
      </c>
    </row>
    <row r="80" spans="1:30" ht="17" x14ac:dyDescent="0.25">
      <c r="A80" s="1" t="s">
        <v>82</v>
      </c>
      <c r="B80" s="1" t="s">
        <v>2734</v>
      </c>
      <c r="C80" s="1" t="s">
        <v>1409</v>
      </c>
      <c r="D80" t="str">
        <f t="shared" si="12"/>
        <v>188064</v>
      </c>
      <c r="E80" t="str">
        <f t="shared" si="13"/>
        <v>24-128-100</v>
      </c>
      <c r="F80" t="str">
        <f t="shared" si="14"/>
        <v>24128100</v>
      </c>
      <c r="G80">
        <f t="shared" si="15"/>
        <v>24</v>
      </c>
      <c r="H80">
        <f t="shared" si="16"/>
        <v>128</v>
      </c>
      <c r="I80">
        <f t="shared" si="17"/>
        <v>100</v>
      </c>
      <c r="J80" t="str">
        <f t="shared" si="9"/>
        <v>SSp-m6b",</v>
      </c>
      <c r="K80" t="str">
        <f t="shared" si="9"/>
        <v>Primary somatosensory area, mouth, layer 6b",</v>
      </c>
      <c r="L80" t="str">
        <f t="shared" si="10"/>
        <v>SSp-m6b</v>
      </c>
      <c r="M80" t="str">
        <f t="shared" si="10"/>
        <v>Primary somatosensory area, mouth, layer 6b</v>
      </c>
      <c r="N80" t="s">
        <v>4722</v>
      </c>
      <c r="O80" t="s">
        <v>4723</v>
      </c>
      <c r="Q80" s="6">
        <v>102</v>
      </c>
      <c r="R80" s="6">
        <v>806</v>
      </c>
      <c r="S80" s="6" t="s">
        <v>7187</v>
      </c>
      <c r="T80" s="6" t="s">
        <v>7126</v>
      </c>
      <c r="U80" s="6">
        <v>378</v>
      </c>
      <c r="V80" s="6">
        <v>8</v>
      </c>
      <c r="W80" s="6" t="s">
        <v>7324</v>
      </c>
      <c r="Y80" t="s">
        <v>4722</v>
      </c>
      <c r="Z80" t="s">
        <v>4723</v>
      </c>
      <c r="AA80" s="6">
        <f t="shared" si="11"/>
        <v>2</v>
      </c>
      <c r="AB80">
        <v>24</v>
      </c>
      <c r="AC80">
        <v>128</v>
      </c>
      <c r="AD80">
        <v>100</v>
      </c>
    </row>
    <row r="81" spans="1:30" ht="17" x14ac:dyDescent="0.25">
      <c r="A81" s="1" t="s">
        <v>83</v>
      </c>
      <c r="B81" s="1" t="s">
        <v>2735</v>
      </c>
      <c r="C81" s="1" t="s">
        <v>1410</v>
      </c>
      <c r="D81" t="str">
        <f t="shared" si="12"/>
        <v>187E63</v>
      </c>
      <c r="E81" t="str">
        <f t="shared" si="13"/>
        <v>24-126-99</v>
      </c>
      <c r="F81" t="str">
        <f t="shared" si="14"/>
        <v>2412699</v>
      </c>
      <c r="G81">
        <f t="shared" si="15"/>
        <v>24</v>
      </c>
      <c r="H81">
        <f t="shared" si="16"/>
        <v>126</v>
      </c>
      <c r="I81">
        <f t="shared" si="17"/>
        <v>99</v>
      </c>
      <c r="J81" t="str">
        <f t="shared" si="9"/>
        <v>SSp-ul",</v>
      </c>
      <c r="K81" t="str">
        <f t="shared" si="9"/>
        <v>Primary somatosensory area, upper limb",</v>
      </c>
      <c r="L81" t="str">
        <f t="shared" si="10"/>
        <v>SSp-ul</v>
      </c>
      <c r="M81" t="str">
        <f t="shared" si="10"/>
        <v>Primary somatosensory area, upper limb</v>
      </c>
      <c r="N81" t="s">
        <v>4724</v>
      </c>
      <c r="O81" t="s">
        <v>4725</v>
      </c>
      <c r="Q81" s="6">
        <v>103</v>
      </c>
      <c r="R81" s="6">
        <v>1035</v>
      </c>
      <c r="S81" s="6" t="s">
        <v>4765</v>
      </c>
      <c r="T81" s="6" t="s">
        <v>4764</v>
      </c>
      <c r="U81" s="6">
        <v>378</v>
      </c>
      <c r="V81" s="6">
        <v>8</v>
      </c>
      <c r="W81" s="6" t="s">
        <v>7325</v>
      </c>
      <c r="Y81" t="s">
        <v>4724</v>
      </c>
      <c r="Z81" t="s">
        <v>4725</v>
      </c>
      <c r="AA81" s="6">
        <f t="shared" si="11"/>
        <v>369</v>
      </c>
      <c r="AB81">
        <v>24</v>
      </c>
      <c r="AC81">
        <v>126</v>
      </c>
      <c r="AD81">
        <v>99</v>
      </c>
    </row>
    <row r="82" spans="1:30" ht="17" x14ac:dyDescent="0.25">
      <c r="A82" s="1" t="s">
        <v>84</v>
      </c>
      <c r="B82" s="1" t="s">
        <v>2736</v>
      </c>
      <c r="C82" s="1" t="s">
        <v>1411</v>
      </c>
      <c r="D82" t="str">
        <f t="shared" si="12"/>
        <v>197E64</v>
      </c>
      <c r="E82" t="str">
        <f t="shared" si="13"/>
        <v>25-126-100</v>
      </c>
      <c r="F82" t="str">
        <f t="shared" si="14"/>
        <v>25126100</v>
      </c>
      <c r="G82">
        <f t="shared" si="15"/>
        <v>25</v>
      </c>
      <c r="H82">
        <f t="shared" si="16"/>
        <v>126</v>
      </c>
      <c r="I82">
        <f t="shared" si="17"/>
        <v>100</v>
      </c>
      <c r="J82" t="str">
        <f t="shared" si="9"/>
        <v>SSp-ul1",</v>
      </c>
      <c r="K82" t="str">
        <f t="shared" si="9"/>
        <v>Primary somatosensory area, upper limb, layer 1",</v>
      </c>
      <c r="L82" t="str">
        <f t="shared" si="10"/>
        <v>SSp-ul1</v>
      </c>
      <c r="M82" t="str">
        <f t="shared" si="10"/>
        <v>Primary somatosensory area, upper limb, layer 1</v>
      </c>
      <c r="N82" t="s">
        <v>4726</v>
      </c>
      <c r="O82" t="s">
        <v>4727</v>
      </c>
      <c r="Q82" s="6">
        <v>104</v>
      </c>
      <c r="R82" s="6">
        <v>1090</v>
      </c>
      <c r="S82" s="6" t="s">
        <v>4767</v>
      </c>
      <c r="T82" s="6" t="s">
        <v>4766</v>
      </c>
      <c r="U82" s="6">
        <v>378</v>
      </c>
      <c r="V82" s="6">
        <v>8</v>
      </c>
      <c r="W82" s="6" t="s">
        <v>7326</v>
      </c>
      <c r="Y82" t="s">
        <v>4726</v>
      </c>
      <c r="Z82" t="s">
        <v>4727</v>
      </c>
      <c r="AA82" s="6">
        <f t="shared" si="11"/>
        <v>450</v>
      </c>
      <c r="AB82">
        <v>25</v>
      </c>
      <c r="AC82">
        <v>126</v>
      </c>
      <c r="AD82">
        <v>100</v>
      </c>
    </row>
    <row r="83" spans="1:30" ht="17" x14ac:dyDescent="0.25">
      <c r="A83" s="1" t="s">
        <v>85</v>
      </c>
      <c r="B83" s="1" t="s">
        <v>2737</v>
      </c>
      <c r="C83" s="1" t="s">
        <v>1412</v>
      </c>
      <c r="D83" t="str">
        <f t="shared" si="12"/>
        <v>197F61</v>
      </c>
      <c r="E83" t="str">
        <f t="shared" si="13"/>
        <v>25-127-97</v>
      </c>
      <c r="F83" t="str">
        <f t="shared" si="14"/>
        <v>2512797</v>
      </c>
      <c r="G83">
        <f t="shared" si="15"/>
        <v>25</v>
      </c>
      <c r="H83">
        <f t="shared" si="16"/>
        <v>127</v>
      </c>
      <c r="I83">
        <f t="shared" si="17"/>
        <v>97</v>
      </c>
      <c r="J83" t="str">
        <f t="shared" si="9"/>
        <v>SSp-ul2\/3",</v>
      </c>
      <c r="K83" t="str">
        <f t="shared" si="9"/>
        <v>Primary somatosensory area, upper limb, layer 2\/3",</v>
      </c>
      <c r="L83" t="str">
        <f t="shared" si="10"/>
        <v>SSp-ul2\/3</v>
      </c>
      <c r="M83" t="str">
        <f t="shared" si="10"/>
        <v>Primary somatosensory area, upper limb, layer 2\/3</v>
      </c>
      <c r="N83" t="s">
        <v>7123</v>
      </c>
      <c r="O83" t="s">
        <v>7184</v>
      </c>
      <c r="Q83" s="6">
        <v>105</v>
      </c>
      <c r="R83" s="6">
        <v>862</v>
      </c>
      <c r="S83" s="6" t="s">
        <v>4769</v>
      </c>
      <c r="T83" s="6" t="s">
        <v>4768</v>
      </c>
      <c r="U83" s="6">
        <v>378</v>
      </c>
      <c r="V83" s="6">
        <v>8</v>
      </c>
      <c r="W83" s="6" t="s">
        <v>7327</v>
      </c>
      <c r="Y83" t="s">
        <v>7123</v>
      </c>
      <c r="Z83" t="s">
        <v>7184</v>
      </c>
      <c r="AA83" s="6">
        <f t="shared" si="11"/>
        <v>854</v>
      </c>
      <c r="AB83">
        <v>25</v>
      </c>
      <c r="AC83">
        <v>127</v>
      </c>
      <c r="AD83">
        <v>97</v>
      </c>
    </row>
    <row r="84" spans="1:30" ht="17" x14ac:dyDescent="0.25">
      <c r="A84" s="1" t="s">
        <v>86</v>
      </c>
      <c r="B84" s="1" t="s">
        <v>2738</v>
      </c>
      <c r="C84" s="1" t="s">
        <v>1413</v>
      </c>
      <c r="D84" t="str">
        <f t="shared" si="12"/>
        <v>1A7F63</v>
      </c>
      <c r="E84" t="str">
        <f t="shared" si="13"/>
        <v>26-127-99</v>
      </c>
      <c r="F84" t="str">
        <f t="shared" si="14"/>
        <v>2612799</v>
      </c>
      <c r="G84">
        <f t="shared" si="15"/>
        <v>26</v>
      </c>
      <c r="H84">
        <f t="shared" si="16"/>
        <v>127</v>
      </c>
      <c r="I84">
        <f t="shared" si="17"/>
        <v>99</v>
      </c>
      <c r="J84" t="str">
        <f t="shared" si="9"/>
        <v>SSp-ul4",</v>
      </c>
      <c r="K84" t="str">
        <f t="shared" si="9"/>
        <v>Primary somatosensory area, upper limb, layer 4",</v>
      </c>
      <c r="L84" t="str">
        <f t="shared" si="10"/>
        <v>SSp-ul4</v>
      </c>
      <c r="M84" t="str">
        <f t="shared" si="10"/>
        <v>Primary somatosensory area, upper limb, layer 4</v>
      </c>
      <c r="N84" t="s">
        <v>4728</v>
      </c>
      <c r="O84" t="s">
        <v>4729</v>
      </c>
      <c r="Q84" s="6">
        <v>106</v>
      </c>
      <c r="R84" s="6">
        <v>893</v>
      </c>
      <c r="S84" s="6" t="s">
        <v>4771</v>
      </c>
      <c r="T84" s="6" t="s">
        <v>4770</v>
      </c>
      <c r="U84" s="6">
        <v>378</v>
      </c>
      <c r="V84" s="6">
        <v>8</v>
      </c>
      <c r="W84" s="6" t="s">
        <v>7328</v>
      </c>
      <c r="Y84" t="s">
        <v>4728</v>
      </c>
      <c r="Z84" t="s">
        <v>4729</v>
      </c>
      <c r="AA84" s="6">
        <f t="shared" si="11"/>
        <v>577</v>
      </c>
      <c r="AB84">
        <v>26</v>
      </c>
      <c r="AC84">
        <v>127</v>
      </c>
      <c r="AD84">
        <v>99</v>
      </c>
    </row>
    <row r="85" spans="1:30" ht="17" x14ac:dyDescent="0.25">
      <c r="A85" s="1" t="s">
        <v>87</v>
      </c>
      <c r="B85" s="1" t="s">
        <v>2739</v>
      </c>
      <c r="C85" s="1" t="s">
        <v>1414</v>
      </c>
      <c r="D85" t="str">
        <f t="shared" si="12"/>
        <v>187E62</v>
      </c>
      <c r="E85" t="str">
        <f t="shared" si="13"/>
        <v>24-126-98</v>
      </c>
      <c r="F85" t="str">
        <f t="shared" si="14"/>
        <v>2412698</v>
      </c>
      <c r="G85">
        <f t="shared" si="15"/>
        <v>24</v>
      </c>
      <c r="H85">
        <f t="shared" si="16"/>
        <v>126</v>
      </c>
      <c r="I85">
        <f t="shared" si="17"/>
        <v>98</v>
      </c>
      <c r="J85" t="str">
        <f t="shared" si="9"/>
        <v>SSp-ul5",</v>
      </c>
      <c r="K85" t="str">
        <f t="shared" si="9"/>
        <v>Primary somatosensory area, upper limb, layer 5",</v>
      </c>
      <c r="L85" t="str">
        <f t="shared" si="10"/>
        <v>SSp-ul5</v>
      </c>
      <c r="M85" t="str">
        <f t="shared" si="10"/>
        <v>Primary somatosensory area, upper limb, layer 5</v>
      </c>
      <c r="N85" t="s">
        <v>4730</v>
      </c>
      <c r="O85" t="s">
        <v>4731</v>
      </c>
      <c r="Q85" s="6">
        <v>107</v>
      </c>
      <c r="R85" s="6">
        <v>1057</v>
      </c>
      <c r="S85" s="6" t="s">
        <v>4773</v>
      </c>
      <c r="T85" s="6" t="s">
        <v>4772</v>
      </c>
      <c r="U85" s="6">
        <v>315</v>
      </c>
      <c r="V85" s="6">
        <v>6</v>
      </c>
      <c r="W85" s="6" t="s">
        <v>7329</v>
      </c>
      <c r="Y85" t="s">
        <v>4730</v>
      </c>
      <c r="Z85" t="s">
        <v>4731</v>
      </c>
      <c r="AA85" s="6">
        <f t="shared" si="11"/>
        <v>625</v>
      </c>
      <c r="AB85">
        <v>24</v>
      </c>
      <c r="AC85">
        <v>126</v>
      </c>
      <c r="AD85">
        <v>98</v>
      </c>
    </row>
    <row r="86" spans="1:30" ht="17" x14ac:dyDescent="0.25">
      <c r="A86" s="1" t="s">
        <v>88</v>
      </c>
      <c r="B86" s="1" t="s">
        <v>2740</v>
      </c>
      <c r="C86" s="1" t="s">
        <v>1415</v>
      </c>
      <c r="D86" t="str">
        <f t="shared" si="12"/>
        <v>197D61</v>
      </c>
      <c r="E86" t="str">
        <f t="shared" si="13"/>
        <v>25-125-97</v>
      </c>
      <c r="F86" t="str">
        <f t="shared" si="14"/>
        <v>2512597</v>
      </c>
      <c r="G86">
        <f t="shared" si="15"/>
        <v>25</v>
      </c>
      <c r="H86">
        <f t="shared" si="16"/>
        <v>125</v>
      </c>
      <c r="I86">
        <f t="shared" si="17"/>
        <v>97</v>
      </c>
      <c r="J86" t="str">
        <f t="shared" si="9"/>
        <v>SSp-ul6a",</v>
      </c>
      <c r="K86" t="str">
        <f t="shared" si="9"/>
        <v>Primary somatosensory area, upper limb, layer 6a",</v>
      </c>
      <c r="L86" t="str">
        <f t="shared" si="10"/>
        <v>SSp-ul6a</v>
      </c>
      <c r="M86" t="str">
        <f t="shared" si="10"/>
        <v>Primary somatosensory area, upper limb, layer 6a</v>
      </c>
      <c r="N86" t="s">
        <v>4732</v>
      </c>
      <c r="O86" t="s">
        <v>4733</v>
      </c>
      <c r="Q86" s="6">
        <v>108</v>
      </c>
      <c r="R86" s="6">
        <v>36</v>
      </c>
      <c r="S86" s="6" t="s">
        <v>4775</v>
      </c>
      <c r="T86" s="6" t="s">
        <v>4774</v>
      </c>
      <c r="U86" s="6">
        <v>1057</v>
      </c>
      <c r="V86" s="6">
        <v>7</v>
      </c>
      <c r="W86" s="6" t="s">
        <v>7330</v>
      </c>
      <c r="Y86" t="s">
        <v>4732</v>
      </c>
      <c r="Z86" t="s">
        <v>4733</v>
      </c>
      <c r="AA86" s="6">
        <f t="shared" si="11"/>
        <v>945</v>
      </c>
      <c r="AB86">
        <v>25</v>
      </c>
      <c r="AC86">
        <v>125</v>
      </c>
      <c r="AD86">
        <v>97</v>
      </c>
    </row>
    <row r="87" spans="1:30" ht="17" x14ac:dyDescent="0.25">
      <c r="A87" s="1" t="s">
        <v>89</v>
      </c>
      <c r="B87" s="1" t="s">
        <v>2741</v>
      </c>
      <c r="C87" s="1" t="s">
        <v>1416</v>
      </c>
      <c r="D87" t="str">
        <f t="shared" si="12"/>
        <v>1C8064</v>
      </c>
      <c r="E87" t="str">
        <f t="shared" si="13"/>
        <v>28-128-100</v>
      </c>
      <c r="F87" t="str">
        <f t="shared" si="14"/>
        <v>28128100</v>
      </c>
      <c r="G87">
        <f t="shared" si="15"/>
        <v>28</v>
      </c>
      <c r="H87">
        <f t="shared" si="16"/>
        <v>128</v>
      </c>
      <c r="I87">
        <f t="shared" si="17"/>
        <v>100</v>
      </c>
      <c r="J87" t="str">
        <f t="shared" si="9"/>
        <v>SSp-ul6b",</v>
      </c>
      <c r="K87" t="str">
        <f t="shared" si="9"/>
        <v>Primary somatosensory area, upper limb, layer 6b",</v>
      </c>
      <c r="L87" t="str">
        <f t="shared" si="10"/>
        <v>SSp-ul6b</v>
      </c>
      <c r="M87" t="str">
        <f t="shared" si="10"/>
        <v>Primary somatosensory area, upper limb, layer 6b</v>
      </c>
      <c r="N87" t="s">
        <v>4734</v>
      </c>
      <c r="O87" t="s">
        <v>4735</v>
      </c>
      <c r="Q87" s="6">
        <v>109</v>
      </c>
      <c r="R87" s="6">
        <v>180</v>
      </c>
      <c r="S87" s="6" t="s">
        <v>7188</v>
      </c>
      <c r="T87" s="6" t="s">
        <v>7127</v>
      </c>
      <c r="U87" s="6">
        <v>1057</v>
      </c>
      <c r="V87" s="6">
        <v>7</v>
      </c>
      <c r="W87" s="6" t="s">
        <v>7331</v>
      </c>
      <c r="Y87" t="s">
        <v>4734</v>
      </c>
      <c r="Z87" t="s">
        <v>4735</v>
      </c>
      <c r="AA87" s="6">
        <f t="shared" si="11"/>
        <v>1026</v>
      </c>
      <c r="AB87">
        <v>28</v>
      </c>
      <c r="AC87">
        <v>128</v>
      </c>
      <c r="AD87">
        <v>100</v>
      </c>
    </row>
    <row r="88" spans="1:30" ht="17" x14ac:dyDescent="0.25">
      <c r="A88" s="1" t="s">
        <v>90</v>
      </c>
      <c r="B88" s="1" t="s">
        <v>2742</v>
      </c>
      <c r="C88" s="1" t="s">
        <v>1417</v>
      </c>
      <c r="D88" t="str">
        <f t="shared" si="12"/>
        <v>187F62</v>
      </c>
      <c r="E88" t="str">
        <f t="shared" si="13"/>
        <v>24-127-98</v>
      </c>
      <c r="F88" t="str">
        <f t="shared" si="14"/>
        <v>2412798</v>
      </c>
      <c r="G88">
        <f t="shared" si="15"/>
        <v>24</v>
      </c>
      <c r="H88">
        <f t="shared" si="16"/>
        <v>127</v>
      </c>
      <c r="I88">
        <f t="shared" si="17"/>
        <v>98</v>
      </c>
      <c r="J88" t="str">
        <f t="shared" si="9"/>
        <v>SSp-tr",</v>
      </c>
      <c r="K88" t="str">
        <f t="shared" si="9"/>
        <v>Primary somatosensory area, trunk",</v>
      </c>
      <c r="L88" t="str">
        <f t="shared" si="10"/>
        <v>SSp-tr</v>
      </c>
      <c r="M88" t="str">
        <f t="shared" si="10"/>
        <v>Primary somatosensory area, trunk</v>
      </c>
      <c r="N88" t="s">
        <v>4736</v>
      </c>
      <c r="O88" t="s">
        <v>4737</v>
      </c>
      <c r="Q88" s="6">
        <v>110</v>
      </c>
      <c r="R88" s="6">
        <v>148</v>
      </c>
      <c r="S88" s="6" t="s">
        <v>4777</v>
      </c>
      <c r="T88" s="6" t="s">
        <v>4776</v>
      </c>
      <c r="U88" s="6">
        <v>1057</v>
      </c>
      <c r="V88" s="6">
        <v>7</v>
      </c>
      <c r="W88" s="6" t="s">
        <v>7332</v>
      </c>
      <c r="Y88" t="s">
        <v>4736</v>
      </c>
      <c r="Z88" t="s">
        <v>4737</v>
      </c>
      <c r="AA88" s="6">
        <f t="shared" si="11"/>
        <v>361</v>
      </c>
      <c r="AB88">
        <v>24</v>
      </c>
      <c r="AC88">
        <v>127</v>
      </c>
      <c r="AD88">
        <v>98</v>
      </c>
    </row>
    <row r="89" spans="1:30" ht="17" x14ac:dyDescent="0.25">
      <c r="A89" s="1" t="s">
        <v>91</v>
      </c>
      <c r="B89" s="1" t="s">
        <v>2743</v>
      </c>
      <c r="C89" s="1" t="s">
        <v>1418</v>
      </c>
      <c r="D89" t="str">
        <f t="shared" si="12"/>
        <v>187C64</v>
      </c>
      <c r="E89" t="str">
        <f t="shared" si="13"/>
        <v>24-124-100</v>
      </c>
      <c r="F89" t="str">
        <f t="shared" si="14"/>
        <v>24124100</v>
      </c>
      <c r="G89">
        <f t="shared" si="15"/>
        <v>24</v>
      </c>
      <c r="H89">
        <f t="shared" si="16"/>
        <v>124</v>
      </c>
      <c r="I89">
        <f t="shared" si="17"/>
        <v>100</v>
      </c>
      <c r="J89" t="str">
        <f t="shared" si="9"/>
        <v>SSp-tr1",</v>
      </c>
      <c r="K89" t="str">
        <f t="shared" si="9"/>
        <v>Primary somatosensory area, trunk, layer 1",</v>
      </c>
      <c r="L89" t="str">
        <f t="shared" si="10"/>
        <v>SSp-tr1</v>
      </c>
      <c r="M89" t="str">
        <f t="shared" si="10"/>
        <v>Primary somatosensory area, trunk, layer 1</v>
      </c>
      <c r="N89" t="s">
        <v>4738</v>
      </c>
      <c r="O89" t="s">
        <v>4739</v>
      </c>
      <c r="Q89" s="6">
        <v>111</v>
      </c>
      <c r="R89" s="6">
        <v>187</v>
      </c>
      <c r="S89" s="6" t="s">
        <v>4779</v>
      </c>
      <c r="T89" s="6" t="s">
        <v>4778</v>
      </c>
      <c r="U89" s="6">
        <v>1057</v>
      </c>
      <c r="V89" s="6">
        <v>7</v>
      </c>
      <c r="W89" s="6" t="s">
        <v>7333</v>
      </c>
      <c r="Y89" t="s">
        <v>4738</v>
      </c>
      <c r="Z89" t="s">
        <v>4739</v>
      </c>
      <c r="AA89" s="6">
        <f t="shared" si="11"/>
        <v>1006</v>
      </c>
      <c r="AB89">
        <v>24</v>
      </c>
      <c r="AC89">
        <v>124</v>
      </c>
      <c r="AD89">
        <v>100</v>
      </c>
    </row>
    <row r="90" spans="1:30" ht="17" x14ac:dyDescent="0.25">
      <c r="A90" s="1" t="s">
        <v>92</v>
      </c>
      <c r="B90" s="1" t="s">
        <v>2744</v>
      </c>
      <c r="C90" s="1" t="s">
        <v>1419</v>
      </c>
      <c r="D90" t="str">
        <f t="shared" si="12"/>
        <v>188061</v>
      </c>
      <c r="E90" t="str">
        <f t="shared" si="13"/>
        <v>24-128-97</v>
      </c>
      <c r="F90" t="str">
        <f t="shared" si="14"/>
        <v>2412897</v>
      </c>
      <c r="G90">
        <f t="shared" si="15"/>
        <v>24</v>
      </c>
      <c r="H90">
        <f t="shared" si="16"/>
        <v>128</v>
      </c>
      <c r="I90">
        <f t="shared" si="17"/>
        <v>97</v>
      </c>
      <c r="J90" t="str">
        <f t="shared" si="9"/>
        <v>SSp-tr2\/3",</v>
      </c>
      <c r="K90" t="str">
        <f t="shared" si="9"/>
        <v>Primary somatosensory area, trunk, layer 2\/3",</v>
      </c>
      <c r="L90" t="str">
        <f t="shared" si="10"/>
        <v>SSp-tr2\/3</v>
      </c>
      <c r="M90" t="str">
        <f t="shared" si="10"/>
        <v>Primary somatosensory area, trunk, layer 2\/3</v>
      </c>
      <c r="N90" t="s">
        <v>7124</v>
      </c>
      <c r="O90" t="s">
        <v>7185</v>
      </c>
      <c r="Q90" s="6">
        <v>112</v>
      </c>
      <c r="R90" s="6">
        <v>638</v>
      </c>
      <c r="S90" s="6" t="s">
        <v>4781</v>
      </c>
      <c r="T90" s="6" t="s">
        <v>4780</v>
      </c>
      <c r="U90" s="6">
        <v>1057</v>
      </c>
      <c r="V90" s="6">
        <v>7</v>
      </c>
      <c r="W90" s="6" t="s">
        <v>7334</v>
      </c>
      <c r="Y90" t="s">
        <v>7124</v>
      </c>
      <c r="Z90" t="s">
        <v>7185</v>
      </c>
      <c r="AA90" s="6">
        <f t="shared" si="11"/>
        <v>670</v>
      </c>
      <c r="AB90">
        <v>24</v>
      </c>
      <c r="AC90">
        <v>128</v>
      </c>
      <c r="AD90">
        <v>97</v>
      </c>
    </row>
    <row r="91" spans="1:30" ht="17" x14ac:dyDescent="0.25">
      <c r="A91" s="1" t="s">
        <v>93</v>
      </c>
      <c r="B91" s="1" t="s">
        <v>2745</v>
      </c>
      <c r="C91" s="1" t="s">
        <v>1420</v>
      </c>
      <c r="D91" t="str">
        <f t="shared" si="12"/>
        <v>1B7E62</v>
      </c>
      <c r="E91" t="str">
        <f t="shared" si="13"/>
        <v>27-126-98</v>
      </c>
      <c r="F91" t="str">
        <f t="shared" si="14"/>
        <v>2712698</v>
      </c>
      <c r="G91">
        <f t="shared" si="15"/>
        <v>27</v>
      </c>
      <c r="H91">
        <f t="shared" si="16"/>
        <v>126</v>
      </c>
      <c r="I91">
        <f t="shared" si="17"/>
        <v>98</v>
      </c>
      <c r="J91" t="str">
        <f t="shared" si="9"/>
        <v>SSp-tr4",</v>
      </c>
      <c r="K91" t="str">
        <f t="shared" si="9"/>
        <v>Primary somatosensory area, trunk, layer 4",</v>
      </c>
      <c r="L91" t="str">
        <f t="shared" si="10"/>
        <v>SSp-tr4</v>
      </c>
      <c r="M91" t="str">
        <f t="shared" si="10"/>
        <v>Primary somatosensory area, trunk, layer 4</v>
      </c>
      <c r="N91" t="s">
        <v>4740</v>
      </c>
      <c r="O91" t="s">
        <v>4741</v>
      </c>
      <c r="Q91" s="6">
        <v>113</v>
      </c>
      <c r="R91" s="6">
        <v>662</v>
      </c>
      <c r="S91" s="6" t="s">
        <v>4783</v>
      </c>
      <c r="T91" s="6" t="s">
        <v>4782</v>
      </c>
      <c r="U91" s="6">
        <v>1057</v>
      </c>
      <c r="V91" s="6">
        <v>7</v>
      </c>
      <c r="W91" s="6" t="s">
        <v>7335</v>
      </c>
      <c r="Y91" t="s">
        <v>4740</v>
      </c>
      <c r="Z91" t="s">
        <v>4741</v>
      </c>
      <c r="AA91" s="6">
        <f t="shared" si="11"/>
        <v>1086</v>
      </c>
      <c r="AB91">
        <v>27</v>
      </c>
      <c r="AC91">
        <v>126</v>
      </c>
      <c r="AD91">
        <v>98</v>
      </c>
    </row>
    <row r="92" spans="1:30" ht="17" x14ac:dyDescent="0.25">
      <c r="A92" s="1" t="s">
        <v>94</v>
      </c>
      <c r="B92" s="1" t="s">
        <v>2746</v>
      </c>
      <c r="C92" s="1" t="s">
        <v>1421</v>
      </c>
      <c r="D92" t="str">
        <f t="shared" si="12"/>
        <v>197F60</v>
      </c>
      <c r="E92" t="str">
        <f t="shared" si="13"/>
        <v>25-127-96</v>
      </c>
      <c r="F92" t="str">
        <f t="shared" si="14"/>
        <v>2512796</v>
      </c>
      <c r="G92">
        <f t="shared" si="15"/>
        <v>25</v>
      </c>
      <c r="H92">
        <f t="shared" si="16"/>
        <v>127</v>
      </c>
      <c r="I92">
        <f t="shared" si="17"/>
        <v>96</v>
      </c>
      <c r="J92" t="str">
        <f t="shared" si="9"/>
        <v>SSp-tr5",</v>
      </c>
      <c r="K92" t="str">
        <f t="shared" si="9"/>
        <v>Primary somatosensory area, trunk, layer 5",</v>
      </c>
      <c r="L92" t="str">
        <f t="shared" si="10"/>
        <v>SSp-tr5</v>
      </c>
      <c r="M92" t="str">
        <f t="shared" si="10"/>
        <v>Primary somatosensory area, trunk, layer 5</v>
      </c>
      <c r="N92" t="s">
        <v>4742</v>
      </c>
      <c r="O92" t="s">
        <v>4743</v>
      </c>
      <c r="Q92" s="6">
        <v>114</v>
      </c>
      <c r="R92" s="6">
        <v>677</v>
      </c>
      <c r="S92" s="6" t="s">
        <v>4785</v>
      </c>
      <c r="T92" s="6" t="s">
        <v>4784</v>
      </c>
      <c r="U92" s="6">
        <v>315</v>
      </c>
      <c r="V92" s="6">
        <v>6</v>
      </c>
      <c r="W92" s="6" t="s">
        <v>7336</v>
      </c>
      <c r="Y92" t="s">
        <v>4742</v>
      </c>
      <c r="Z92" t="s">
        <v>4743</v>
      </c>
      <c r="AA92" s="6">
        <f t="shared" si="11"/>
        <v>1111</v>
      </c>
      <c r="AB92">
        <v>25</v>
      </c>
      <c r="AC92">
        <v>127</v>
      </c>
      <c r="AD92">
        <v>96</v>
      </c>
    </row>
    <row r="93" spans="1:30" ht="17" x14ac:dyDescent="0.25">
      <c r="A93" s="1" t="s">
        <v>95</v>
      </c>
      <c r="B93" s="1" t="s">
        <v>2747</v>
      </c>
      <c r="C93" s="1" t="s">
        <v>1422</v>
      </c>
      <c r="D93" t="str">
        <f t="shared" si="12"/>
        <v>188063</v>
      </c>
      <c r="E93" t="str">
        <f t="shared" si="13"/>
        <v>24-128-99</v>
      </c>
      <c r="F93" t="str">
        <f t="shared" si="14"/>
        <v>2412899</v>
      </c>
      <c r="G93">
        <f t="shared" si="15"/>
        <v>24</v>
      </c>
      <c r="H93">
        <f t="shared" si="16"/>
        <v>128</v>
      </c>
      <c r="I93">
        <f t="shared" si="17"/>
        <v>99</v>
      </c>
      <c r="J93" t="str">
        <f t="shared" si="9"/>
        <v>SSp-tr6a",</v>
      </c>
      <c r="K93" t="str">
        <f t="shared" si="9"/>
        <v>Primary somatosensory area, trunk, layer 6a",</v>
      </c>
      <c r="L93" t="str">
        <f t="shared" si="10"/>
        <v>SSp-tr6a</v>
      </c>
      <c r="M93" t="str">
        <f t="shared" si="10"/>
        <v>Primary somatosensory area, trunk, layer 6a</v>
      </c>
      <c r="N93" t="s">
        <v>4744</v>
      </c>
      <c r="O93" t="s">
        <v>4745</v>
      </c>
      <c r="Q93" s="6">
        <v>115</v>
      </c>
      <c r="R93" s="6">
        <v>897</v>
      </c>
      <c r="S93" s="6" t="s">
        <v>4787</v>
      </c>
      <c r="T93" s="6" t="s">
        <v>4786</v>
      </c>
      <c r="U93" s="6">
        <v>677</v>
      </c>
      <c r="V93" s="6">
        <v>7</v>
      </c>
      <c r="W93" s="6" t="s">
        <v>7337</v>
      </c>
      <c r="Y93" t="s">
        <v>4744</v>
      </c>
      <c r="Z93" t="s">
        <v>4745</v>
      </c>
      <c r="AA93" s="6">
        <f t="shared" si="11"/>
        <v>9</v>
      </c>
      <c r="AB93">
        <v>24</v>
      </c>
      <c r="AC93">
        <v>128</v>
      </c>
      <c r="AD93">
        <v>99</v>
      </c>
    </row>
    <row r="94" spans="1:30" ht="17" x14ac:dyDescent="0.25">
      <c r="A94" s="1" t="s">
        <v>96</v>
      </c>
      <c r="B94" s="1" t="s">
        <v>2748</v>
      </c>
      <c r="C94" s="1" t="s">
        <v>1423</v>
      </c>
      <c r="D94" t="str">
        <f t="shared" si="12"/>
        <v>1A8063</v>
      </c>
      <c r="E94" t="str">
        <f t="shared" si="13"/>
        <v>26-128-99</v>
      </c>
      <c r="F94" t="str">
        <f t="shared" si="14"/>
        <v>2612899</v>
      </c>
      <c r="G94">
        <f t="shared" si="15"/>
        <v>26</v>
      </c>
      <c r="H94">
        <f t="shared" si="16"/>
        <v>128</v>
      </c>
      <c r="I94">
        <f t="shared" si="17"/>
        <v>99</v>
      </c>
      <c r="J94" t="str">
        <f t="shared" si="9"/>
        <v>SSp-tr6b",</v>
      </c>
      <c r="K94" t="str">
        <f t="shared" si="9"/>
        <v>Primary somatosensory area, trunk, layer 6b",</v>
      </c>
      <c r="L94" t="str">
        <f t="shared" si="10"/>
        <v>SSp-tr6b</v>
      </c>
      <c r="M94" t="str">
        <f t="shared" si="10"/>
        <v>Primary somatosensory area, trunk, layer 6b</v>
      </c>
      <c r="N94" t="s">
        <v>4746</v>
      </c>
      <c r="O94" t="s">
        <v>4747</v>
      </c>
      <c r="Q94" s="6">
        <v>116</v>
      </c>
      <c r="R94" s="6">
        <v>1106</v>
      </c>
      <c r="S94" s="6" t="s">
        <v>7189</v>
      </c>
      <c r="T94" s="6" t="s">
        <v>7128</v>
      </c>
      <c r="U94" s="6">
        <v>677</v>
      </c>
      <c r="V94" s="6">
        <v>7</v>
      </c>
      <c r="W94" s="6" t="s">
        <v>7338</v>
      </c>
      <c r="Y94" t="s">
        <v>4746</v>
      </c>
      <c r="Z94" t="s">
        <v>4747</v>
      </c>
      <c r="AA94" s="6">
        <f t="shared" si="11"/>
        <v>461</v>
      </c>
      <c r="AB94">
        <v>26</v>
      </c>
      <c r="AC94">
        <v>128</v>
      </c>
      <c r="AD94">
        <v>99</v>
      </c>
    </row>
    <row r="95" spans="1:30" ht="17" x14ac:dyDescent="0.25">
      <c r="A95" s="1" t="s">
        <v>97</v>
      </c>
      <c r="B95" s="1" t="s">
        <v>2749</v>
      </c>
      <c r="C95" s="1" t="s">
        <v>1424</v>
      </c>
      <c r="D95" t="str">
        <f t="shared" si="12"/>
        <v>1A7D64</v>
      </c>
      <c r="E95" t="str">
        <f t="shared" si="13"/>
        <v>26-125-100</v>
      </c>
      <c r="F95" t="str">
        <f t="shared" si="14"/>
        <v>26125100</v>
      </c>
      <c r="G95">
        <f t="shared" si="15"/>
        <v>26</v>
      </c>
      <c r="H95">
        <f t="shared" si="16"/>
        <v>125</v>
      </c>
      <c r="I95">
        <f t="shared" si="17"/>
        <v>100</v>
      </c>
      <c r="J95" t="str">
        <f t="shared" si="9"/>
        <v>SSp-un",</v>
      </c>
      <c r="K95" t="str">
        <f t="shared" si="9"/>
        <v>Primary somatosensory area, unassigned",</v>
      </c>
      <c r="L95" t="str">
        <f t="shared" si="10"/>
        <v>SSp-un</v>
      </c>
      <c r="M95" t="str">
        <f t="shared" si="10"/>
        <v>Primary somatosensory area, unassigned</v>
      </c>
      <c r="N95" t="s">
        <v>4748</v>
      </c>
      <c r="O95" t="s">
        <v>4749</v>
      </c>
      <c r="Q95" s="6">
        <v>117</v>
      </c>
      <c r="R95" s="6">
        <v>1010</v>
      </c>
      <c r="S95" s="6" t="s">
        <v>4789</v>
      </c>
      <c r="T95" s="6" t="s">
        <v>4788</v>
      </c>
      <c r="U95" s="6">
        <v>677</v>
      </c>
      <c r="V95" s="6">
        <v>7</v>
      </c>
      <c r="W95" s="6" t="s">
        <v>7339</v>
      </c>
      <c r="Y95" t="s">
        <v>4748</v>
      </c>
      <c r="Z95" t="s">
        <v>4749</v>
      </c>
      <c r="AA95" s="6">
        <f t="shared" si="11"/>
        <v>182305689</v>
      </c>
      <c r="AB95">
        <v>26</v>
      </c>
      <c r="AC95">
        <v>125</v>
      </c>
      <c r="AD95">
        <v>100</v>
      </c>
    </row>
    <row r="96" spans="1:30" ht="17" x14ac:dyDescent="0.25">
      <c r="A96" s="1" t="s">
        <v>98</v>
      </c>
      <c r="B96" s="1" t="s">
        <v>2750</v>
      </c>
      <c r="C96" s="1" t="s">
        <v>1425</v>
      </c>
      <c r="D96" t="str">
        <f t="shared" si="12"/>
        <v>1B8062</v>
      </c>
      <c r="E96" t="str">
        <f t="shared" si="13"/>
        <v>27-128-98</v>
      </c>
      <c r="F96" t="str">
        <f t="shared" si="14"/>
        <v>2712898</v>
      </c>
      <c r="G96">
        <f t="shared" si="15"/>
        <v>27</v>
      </c>
      <c r="H96">
        <f t="shared" si="16"/>
        <v>128</v>
      </c>
      <c r="I96">
        <f t="shared" si="17"/>
        <v>98</v>
      </c>
      <c r="J96" t="str">
        <f t="shared" si="9"/>
        <v>SSp-un1",</v>
      </c>
      <c r="K96" t="str">
        <f t="shared" si="9"/>
        <v>Primary somatosensory area, unassigned, layer 1",</v>
      </c>
      <c r="L96" t="str">
        <f t="shared" si="10"/>
        <v>SSp-un1</v>
      </c>
      <c r="M96" t="str">
        <f t="shared" si="10"/>
        <v>Primary somatosensory area, unassigned, layer 1</v>
      </c>
      <c r="N96" t="s">
        <v>4750</v>
      </c>
      <c r="O96" t="s">
        <v>4751</v>
      </c>
      <c r="Q96" s="6">
        <v>118</v>
      </c>
      <c r="R96" s="6">
        <v>1058</v>
      </c>
      <c r="S96" s="6" t="s">
        <v>4791</v>
      </c>
      <c r="T96" s="6" t="s">
        <v>4790</v>
      </c>
      <c r="U96" s="6">
        <v>677</v>
      </c>
      <c r="V96" s="6">
        <v>7</v>
      </c>
      <c r="W96" s="6" t="s">
        <v>7340</v>
      </c>
      <c r="Y96" t="s">
        <v>4750</v>
      </c>
      <c r="Z96" t="s">
        <v>4751</v>
      </c>
      <c r="AA96" s="6">
        <f t="shared" si="11"/>
        <v>182305693</v>
      </c>
      <c r="AB96">
        <v>27</v>
      </c>
      <c r="AC96">
        <v>128</v>
      </c>
      <c r="AD96">
        <v>98</v>
      </c>
    </row>
    <row r="97" spans="1:30" ht="17" x14ac:dyDescent="0.25">
      <c r="A97" s="1" t="s">
        <v>99</v>
      </c>
      <c r="B97" s="1" t="s">
        <v>2751</v>
      </c>
      <c r="C97" s="1" t="s">
        <v>1426</v>
      </c>
      <c r="D97" t="str">
        <f t="shared" si="12"/>
        <v>1C7F63</v>
      </c>
      <c r="E97" t="str">
        <f t="shared" si="13"/>
        <v>28-127-99</v>
      </c>
      <c r="F97" t="str">
        <f t="shared" si="14"/>
        <v>2812799</v>
      </c>
      <c r="G97">
        <f t="shared" si="15"/>
        <v>28</v>
      </c>
      <c r="H97">
        <f t="shared" si="16"/>
        <v>127</v>
      </c>
      <c r="I97">
        <f t="shared" si="17"/>
        <v>99</v>
      </c>
      <c r="J97" t="str">
        <f t="shared" si="9"/>
        <v>SSp-un2\/3",</v>
      </c>
      <c r="K97" t="str">
        <f t="shared" si="9"/>
        <v>Primary somatosensory area, unassigned, layer 2\/3",</v>
      </c>
      <c r="L97" t="str">
        <f t="shared" si="10"/>
        <v>SSp-un2\/3</v>
      </c>
      <c r="M97" t="str">
        <f t="shared" si="10"/>
        <v>Primary somatosensory area, unassigned, layer 2\/3</v>
      </c>
      <c r="N97" t="s">
        <v>7125</v>
      </c>
      <c r="O97" t="s">
        <v>7186</v>
      </c>
      <c r="Q97" s="6">
        <v>119</v>
      </c>
      <c r="R97" s="6">
        <v>857</v>
      </c>
      <c r="S97" s="6" t="s">
        <v>4793</v>
      </c>
      <c r="T97" s="6" t="s">
        <v>4792</v>
      </c>
      <c r="U97" s="6">
        <v>677</v>
      </c>
      <c r="V97" s="6">
        <v>7</v>
      </c>
      <c r="W97" s="6" t="s">
        <v>7341</v>
      </c>
      <c r="Y97" t="s">
        <v>7125</v>
      </c>
      <c r="Z97" t="s">
        <v>7186</v>
      </c>
      <c r="AA97" s="6">
        <f t="shared" si="11"/>
        <v>182305697</v>
      </c>
      <c r="AB97">
        <v>28</v>
      </c>
      <c r="AC97">
        <v>127</v>
      </c>
      <c r="AD97">
        <v>99</v>
      </c>
    </row>
    <row r="98" spans="1:30" ht="17" x14ac:dyDescent="0.25">
      <c r="A98" s="1" t="s">
        <v>100</v>
      </c>
      <c r="B98" s="1" t="s">
        <v>2752</v>
      </c>
      <c r="C98" s="1" t="s">
        <v>1427</v>
      </c>
      <c r="D98" t="str">
        <f t="shared" si="12"/>
        <v>197E61</v>
      </c>
      <c r="E98" t="str">
        <f t="shared" si="13"/>
        <v>25-126-97</v>
      </c>
      <c r="F98" t="str">
        <f t="shared" si="14"/>
        <v>2512697</v>
      </c>
      <c r="G98">
        <f t="shared" si="15"/>
        <v>25</v>
      </c>
      <c r="H98">
        <f t="shared" si="16"/>
        <v>126</v>
      </c>
      <c r="I98">
        <f t="shared" si="17"/>
        <v>97</v>
      </c>
      <c r="J98" t="str">
        <f t="shared" si="9"/>
        <v>SSp-un4",</v>
      </c>
      <c r="K98" t="str">
        <f t="shared" si="9"/>
        <v>Primary somatosensory area, unassigned, layer 4",</v>
      </c>
      <c r="L98" t="str">
        <f t="shared" si="10"/>
        <v>SSp-un4</v>
      </c>
      <c r="M98" t="str">
        <f t="shared" si="10"/>
        <v>Primary somatosensory area, unassigned, layer 4</v>
      </c>
      <c r="N98" t="s">
        <v>4752</v>
      </c>
      <c r="O98" t="s">
        <v>4753</v>
      </c>
      <c r="Q98" s="6">
        <v>120</v>
      </c>
      <c r="R98" s="6">
        <v>849</v>
      </c>
      <c r="S98" s="6" t="s">
        <v>4795</v>
      </c>
      <c r="T98" s="6" t="s">
        <v>4794</v>
      </c>
      <c r="U98" s="6">
        <v>677</v>
      </c>
      <c r="V98" s="6">
        <v>7</v>
      </c>
      <c r="W98" s="6" t="s">
        <v>7342</v>
      </c>
      <c r="Y98" t="s">
        <v>4752</v>
      </c>
      <c r="Z98" t="s">
        <v>4753</v>
      </c>
      <c r="AA98" s="6">
        <f t="shared" si="11"/>
        <v>182305701</v>
      </c>
      <c r="AB98">
        <v>25</v>
      </c>
      <c r="AC98">
        <v>126</v>
      </c>
      <c r="AD98">
        <v>97</v>
      </c>
    </row>
    <row r="99" spans="1:30" ht="17" x14ac:dyDescent="0.25">
      <c r="A99" s="1" t="s">
        <v>101</v>
      </c>
      <c r="B99" s="1" t="s">
        <v>2753</v>
      </c>
      <c r="C99" s="1" t="s">
        <v>1428</v>
      </c>
      <c r="D99" t="str">
        <f t="shared" si="12"/>
        <v>197D62</v>
      </c>
      <c r="E99" t="str">
        <f t="shared" si="13"/>
        <v>25-125-98</v>
      </c>
      <c r="F99" t="str">
        <f t="shared" si="14"/>
        <v>2512598</v>
      </c>
      <c r="G99">
        <f t="shared" si="15"/>
        <v>25</v>
      </c>
      <c r="H99">
        <f t="shared" si="16"/>
        <v>125</v>
      </c>
      <c r="I99">
        <f t="shared" si="17"/>
        <v>98</v>
      </c>
      <c r="J99" t="str">
        <f t="shared" si="9"/>
        <v>SSp-un5",</v>
      </c>
      <c r="K99" t="str">
        <f t="shared" si="9"/>
        <v>Primary somatosensory area, unassigned, layer 5",</v>
      </c>
      <c r="L99" t="str">
        <f t="shared" si="10"/>
        <v>SSp-un5</v>
      </c>
      <c r="M99" t="str">
        <f t="shared" si="10"/>
        <v>Primary somatosensory area, unassigned, layer 5</v>
      </c>
      <c r="N99" t="s">
        <v>4754</v>
      </c>
      <c r="O99" t="s">
        <v>4755</v>
      </c>
      <c r="Q99" s="6">
        <v>121</v>
      </c>
      <c r="R99" s="6">
        <v>247</v>
      </c>
      <c r="S99" s="6" t="s">
        <v>4797</v>
      </c>
      <c r="T99" s="6" t="s">
        <v>4796</v>
      </c>
      <c r="U99" s="6">
        <v>315</v>
      </c>
      <c r="V99" s="6">
        <v>6</v>
      </c>
      <c r="W99" s="6" t="s">
        <v>7343</v>
      </c>
      <c r="Y99" t="s">
        <v>4754</v>
      </c>
      <c r="Z99" t="s">
        <v>4755</v>
      </c>
      <c r="AA99" s="6">
        <f t="shared" si="11"/>
        <v>182305705</v>
      </c>
      <c r="AB99">
        <v>25</v>
      </c>
      <c r="AC99">
        <v>125</v>
      </c>
      <c r="AD99">
        <v>98</v>
      </c>
    </row>
    <row r="100" spans="1:30" ht="17" x14ac:dyDescent="0.25">
      <c r="A100" s="1" t="s">
        <v>102</v>
      </c>
      <c r="B100" s="1" t="s">
        <v>2754</v>
      </c>
      <c r="C100" s="1" t="s">
        <v>1429</v>
      </c>
      <c r="D100" t="str">
        <f t="shared" si="12"/>
        <v>1A7F61</v>
      </c>
      <c r="E100" t="str">
        <f t="shared" si="13"/>
        <v>26-127-97</v>
      </c>
      <c r="F100" t="str">
        <f t="shared" si="14"/>
        <v>2612797</v>
      </c>
      <c r="G100">
        <f t="shared" si="15"/>
        <v>26</v>
      </c>
      <c r="H100">
        <f t="shared" si="16"/>
        <v>127</v>
      </c>
      <c r="I100">
        <f t="shared" si="17"/>
        <v>97</v>
      </c>
      <c r="J100" t="str">
        <f t="shared" si="9"/>
        <v>SSp-un6a",</v>
      </c>
      <c r="K100" t="str">
        <f t="shared" si="9"/>
        <v>Primary somatosensory area, unassigned, layer 6a",</v>
      </c>
      <c r="L100" t="str">
        <f t="shared" si="10"/>
        <v>SSp-un6a</v>
      </c>
      <c r="M100" t="str">
        <f t="shared" si="10"/>
        <v>Primary somatosensory area, unassigned, layer 6a</v>
      </c>
      <c r="N100" t="s">
        <v>4756</v>
      </c>
      <c r="O100" t="s">
        <v>4757</v>
      </c>
      <c r="Q100" s="6">
        <v>122</v>
      </c>
      <c r="R100" s="6">
        <v>1011</v>
      </c>
      <c r="S100" s="6" t="s">
        <v>4799</v>
      </c>
      <c r="T100" s="6" t="s">
        <v>4798</v>
      </c>
      <c r="U100" s="6">
        <v>247</v>
      </c>
      <c r="V100" s="6">
        <v>7</v>
      </c>
      <c r="W100" s="6" t="s">
        <v>7344</v>
      </c>
      <c r="Y100" t="s">
        <v>4756</v>
      </c>
      <c r="Z100" t="s">
        <v>4757</v>
      </c>
      <c r="AA100" s="6">
        <f t="shared" si="11"/>
        <v>182305709</v>
      </c>
      <c r="AB100">
        <v>26</v>
      </c>
      <c r="AC100">
        <v>127</v>
      </c>
      <c r="AD100">
        <v>97</v>
      </c>
    </row>
    <row r="101" spans="1:30" ht="17" x14ac:dyDescent="0.25">
      <c r="A101" s="1" t="s">
        <v>103</v>
      </c>
      <c r="B101" s="1" t="s">
        <v>2755</v>
      </c>
      <c r="C101" s="1" t="s">
        <v>1430</v>
      </c>
      <c r="D101" t="str">
        <f t="shared" si="12"/>
        <v>1A7D63</v>
      </c>
      <c r="E101" t="str">
        <f t="shared" si="13"/>
        <v>26-125-99</v>
      </c>
      <c r="F101" t="str">
        <f t="shared" si="14"/>
        <v>2612599</v>
      </c>
      <c r="G101">
        <f t="shared" si="15"/>
        <v>26</v>
      </c>
      <c r="H101">
        <f t="shared" si="16"/>
        <v>125</v>
      </c>
      <c r="I101">
        <f t="shared" si="17"/>
        <v>99</v>
      </c>
      <c r="J101" t="str">
        <f t="shared" si="9"/>
        <v>SSp-un6b",</v>
      </c>
      <c r="K101" t="str">
        <f t="shared" si="9"/>
        <v>Primary somatosensory area, unassigned, layer 6b",</v>
      </c>
      <c r="L101" t="str">
        <f t="shared" si="10"/>
        <v>SSp-un6b</v>
      </c>
      <c r="M101" t="str">
        <f t="shared" si="10"/>
        <v>Primary somatosensory area, unassigned, layer 6b</v>
      </c>
      <c r="N101" t="s">
        <v>4758</v>
      </c>
      <c r="O101" t="s">
        <v>4759</v>
      </c>
      <c r="Q101" s="6">
        <v>123</v>
      </c>
      <c r="R101" s="6">
        <v>527</v>
      </c>
      <c r="S101" s="6" t="s">
        <v>4801</v>
      </c>
      <c r="T101" s="6" t="s">
        <v>4800</v>
      </c>
      <c r="U101" s="6">
        <v>1011</v>
      </c>
      <c r="V101" s="6">
        <v>8</v>
      </c>
      <c r="W101" s="6" t="s">
        <v>7345</v>
      </c>
      <c r="Y101" t="s">
        <v>4758</v>
      </c>
      <c r="Z101" t="s">
        <v>4759</v>
      </c>
      <c r="AA101" s="6">
        <f t="shared" si="11"/>
        <v>182305713</v>
      </c>
      <c r="AB101">
        <v>26</v>
      </c>
      <c r="AC101">
        <v>125</v>
      </c>
      <c r="AD101">
        <v>99</v>
      </c>
    </row>
    <row r="102" spans="1:30" ht="17" x14ac:dyDescent="0.25">
      <c r="A102" s="1" t="s">
        <v>104</v>
      </c>
      <c r="B102" s="1" t="s">
        <v>2756</v>
      </c>
      <c r="C102" s="1" t="s">
        <v>1431</v>
      </c>
      <c r="D102" t="str">
        <f t="shared" si="12"/>
        <v>198062</v>
      </c>
      <c r="E102" t="str">
        <f t="shared" si="13"/>
        <v>25-128-98</v>
      </c>
      <c r="F102" t="str">
        <f t="shared" si="14"/>
        <v>2512898</v>
      </c>
      <c r="G102">
        <f t="shared" si="15"/>
        <v>25</v>
      </c>
      <c r="H102">
        <f t="shared" si="16"/>
        <v>128</v>
      </c>
      <c r="I102">
        <f t="shared" si="17"/>
        <v>98</v>
      </c>
      <c r="J102" t="str">
        <f t="shared" si="9"/>
        <v>SSs",</v>
      </c>
      <c r="K102" t="str">
        <f t="shared" si="9"/>
        <v>Supplemental somatosensory area",</v>
      </c>
      <c r="L102" t="str">
        <f t="shared" si="10"/>
        <v>SSs</v>
      </c>
      <c r="M102" t="str">
        <f t="shared" si="10"/>
        <v>Supplemental somatosensory area</v>
      </c>
      <c r="N102" t="s">
        <v>4760</v>
      </c>
      <c r="O102" t="s">
        <v>4761</v>
      </c>
      <c r="Q102" s="6">
        <v>124</v>
      </c>
      <c r="R102" s="6">
        <v>600</v>
      </c>
      <c r="S102" s="6" t="s">
        <v>7190</v>
      </c>
      <c r="T102" s="6" t="s">
        <v>7129</v>
      </c>
      <c r="U102" s="6">
        <v>1011</v>
      </c>
      <c r="V102" s="6">
        <v>8</v>
      </c>
      <c r="W102" s="6" t="s">
        <v>7346</v>
      </c>
      <c r="Y102" t="s">
        <v>4760</v>
      </c>
      <c r="Z102" t="s">
        <v>4761</v>
      </c>
      <c r="AA102" s="6">
        <f t="shared" si="11"/>
        <v>378</v>
      </c>
      <c r="AB102">
        <v>25</v>
      </c>
      <c r="AC102">
        <v>128</v>
      </c>
      <c r="AD102">
        <v>98</v>
      </c>
    </row>
    <row r="103" spans="1:30" ht="17" x14ac:dyDescent="0.25">
      <c r="A103" s="1" t="s">
        <v>105</v>
      </c>
      <c r="B103" s="1" t="s">
        <v>2757</v>
      </c>
      <c r="C103" s="1" t="s">
        <v>1432</v>
      </c>
      <c r="D103" t="str">
        <f t="shared" si="12"/>
        <v>1A7E62</v>
      </c>
      <c r="E103" t="str">
        <f t="shared" si="13"/>
        <v>26-126-98</v>
      </c>
      <c r="F103" t="str">
        <f t="shared" si="14"/>
        <v>2612698</v>
      </c>
      <c r="G103">
        <f t="shared" si="15"/>
        <v>26</v>
      </c>
      <c r="H103">
        <f t="shared" si="16"/>
        <v>126</v>
      </c>
      <c r="I103">
        <f t="shared" si="17"/>
        <v>98</v>
      </c>
      <c r="J103" t="str">
        <f t="shared" si="9"/>
        <v>SSs1",</v>
      </c>
      <c r="K103" t="str">
        <f t="shared" si="9"/>
        <v>Supplemental somatosensory area, layer 1",</v>
      </c>
      <c r="L103" t="str">
        <f t="shared" si="10"/>
        <v>SSs1</v>
      </c>
      <c r="M103" t="str">
        <f t="shared" si="10"/>
        <v>Supplemental somatosensory area, layer 1</v>
      </c>
      <c r="N103" t="s">
        <v>4762</v>
      </c>
      <c r="O103" t="s">
        <v>4763</v>
      </c>
      <c r="Q103" s="6">
        <v>125</v>
      </c>
      <c r="R103" s="6">
        <v>678</v>
      </c>
      <c r="S103" s="6" t="s">
        <v>4803</v>
      </c>
      <c r="T103" s="6" t="s">
        <v>4802</v>
      </c>
      <c r="U103" s="6">
        <v>1011</v>
      </c>
      <c r="V103" s="6">
        <v>8</v>
      </c>
      <c r="W103" s="6" t="s">
        <v>7347</v>
      </c>
      <c r="Y103" t="s">
        <v>4762</v>
      </c>
      <c r="Z103" t="s">
        <v>4763</v>
      </c>
      <c r="AA103" s="6">
        <f t="shared" si="11"/>
        <v>873</v>
      </c>
      <c r="AB103">
        <v>26</v>
      </c>
      <c r="AC103">
        <v>126</v>
      </c>
      <c r="AD103">
        <v>98</v>
      </c>
    </row>
    <row r="104" spans="1:30" ht="17" x14ac:dyDescent="0.25">
      <c r="A104" s="1" t="s">
        <v>106</v>
      </c>
      <c r="B104" s="1" t="s">
        <v>2758</v>
      </c>
      <c r="C104" s="1" t="s">
        <v>1433</v>
      </c>
      <c r="D104" t="str">
        <f t="shared" si="12"/>
        <v>1B8063</v>
      </c>
      <c r="E104" t="str">
        <f t="shared" si="13"/>
        <v>27-128-99</v>
      </c>
      <c r="F104" t="str">
        <f t="shared" si="14"/>
        <v>2712899</v>
      </c>
      <c r="G104">
        <f t="shared" si="15"/>
        <v>27</v>
      </c>
      <c r="H104">
        <f t="shared" si="16"/>
        <v>128</v>
      </c>
      <c r="I104">
        <f t="shared" si="17"/>
        <v>99</v>
      </c>
      <c r="J104" t="str">
        <f t="shared" si="9"/>
        <v>SSs2\/3",</v>
      </c>
      <c r="K104" t="str">
        <f t="shared" si="9"/>
        <v>Supplemental somatosensory area, layer 2\/3",</v>
      </c>
      <c r="L104" t="str">
        <f t="shared" si="10"/>
        <v>SSs2\/3</v>
      </c>
      <c r="M104" t="str">
        <f t="shared" si="10"/>
        <v>Supplemental somatosensory area, layer 2\/3</v>
      </c>
      <c r="N104" t="s">
        <v>7126</v>
      </c>
      <c r="O104" t="s">
        <v>7187</v>
      </c>
      <c r="Q104" s="6">
        <v>126</v>
      </c>
      <c r="R104" s="6">
        <v>252</v>
      </c>
      <c r="S104" s="6" t="s">
        <v>4805</v>
      </c>
      <c r="T104" s="6" t="s">
        <v>4804</v>
      </c>
      <c r="U104" s="6">
        <v>1011</v>
      </c>
      <c r="V104" s="6">
        <v>8</v>
      </c>
      <c r="W104" s="6" t="s">
        <v>7348</v>
      </c>
      <c r="Y104" t="s">
        <v>7126</v>
      </c>
      <c r="Z104" t="s">
        <v>7187</v>
      </c>
      <c r="AA104" s="6">
        <f t="shared" si="11"/>
        <v>806</v>
      </c>
      <c r="AB104">
        <v>27</v>
      </c>
      <c r="AC104">
        <v>128</v>
      </c>
      <c r="AD104">
        <v>99</v>
      </c>
    </row>
    <row r="105" spans="1:30" ht="17" x14ac:dyDescent="0.25">
      <c r="A105" s="1" t="s">
        <v>107</v>
      </c>
      <c r="B105" s="1" t="s">
        <v>2759</v>
      </c>
      <c r="C105" s="1" t="s">
        <v>1434</v>
      </c>
      <c r="D105" t="str">
        <f t="shared" si="12"/>
        <v>187C63</v>
      </c>
      <c r="E105" t="str">
        <f t="shared" si="13"/>
        <v>24-124-99</v>
      </c>
      <c r="F105" t="str">
        <f t="shared" si="14"/>
        <v>2412499</v>
      </c>
      <c r="G105">
        <f t="shared" si="15"/>
        <v>24</v>
      </c>
      <c r="H105">
        <f t="shared" si="16"/>
        <v>124</v>
      </c>
      <c r="I105">
        <f t="shared" si="17"/>
        <v>99</v>
      </c>
      <c r="J105" t="str">
        <f t="shared" si="9"/>
        <v>SSs4",</v>
      </c>
      <c r="K105" t="str">
        <f t="shared" si="9"/>
        <v>Supplemental somatosensory area, layer 4",</v>
      </c>
      <c r="L105" t="str">
        <f t="shared" si="10"/>
        <v>SSs4</v>
      </c>
      <c r="M105" t="str">
        <f t="shared" si="10"/>
        <v>Supplemental somatosensory area, layer 4</v>
      </c>
      <c r="N105" t="s">
        <v>4764</v>
      </c>
      <c r="O105" t="s">
        <v>4765</v>
      </c>
      <c r="Q105" s="6">
        <v>127</v>
      </c>
      <c r="R105" s="6">
        <v>156</v>
      </c>
      <c r="S105" s="6" t="s">
        <v>4807</v>
      </c>
      <c r="T105" s="6" t="s">
        <v>4806</v>
      </c>
      <c r="U105" s="6">
        <v>1011</v>
      </c>
      <c r="V105" s="6">
        <v>8</v>
      </c>
      <c r="W105" s="6" t="s">
        <v>7349</v>
      </c>
      <c r="Y105" t="s">
        <v>4764</v>
      </c>
      <c r="Z105" t="s">
        <v>4765</v>
      </c>
      <c r="AA105" s="6">
        <f t="shared" si="11"/>
        <v>1035</v>
      </c>
      <c r="AB105">
        <v>24</v>
      </c>
      <c r="AC105">
        <v>124</v>
      </c>
      <c r="AD105">
        <v>99</v>
      </c>
    </row>
    <row r="106" spans="1:30" ht="17" x14ac:dyDescent="0.25">
      <c r="A106" s="1" t="s">
        <v>108</v>
      </c>
      <c r="B106" s="1" t="s">
        <v>2760</v>
      </c>
      <c r="C106" s="1" t="s">
        <v>1435</v>
      </c>
      <c r="D106" t="str">
        <f t="shared" si="12"/>
        <v>1C8063</v>
      </c>
      <c r="E106" t="str">
        <f t="shared" si="13"/>
        <v>28-128-99</v>
      </c>
      <c r="F106" t="str">
        <f t="shared" si="14"/>
        <v>2812899</v>
      </c>
      <c r="G106">
        <f t="shared" si="15"/>
        <v>28</v>
      </c>
      <c r="H106">
        <f t="shared" si="16"/>
        <v>128</v>
      </c>
      <c r="I106">
        <f t="shared" si="17"/>
        <v>99</v>
      </c>
      <c r="J106" t="str">
        <f t="shared" si="9"/>
        <v>SSs5",</v>
      </c>
      <c r="K106" t="str">
        <f t="shared" si="9"/>
        <v>Supplemental somatosensory area, layer 5",</v>
      </c>
      <c r="L106" t="str">
        <f t="shared" si="10"/>
        <v>SSs5</v>
      </c>
      <c r="M106" t="str">
        <f t="shared" si="10"/>
        <v>Supplemental somatosensory area, layer 5</v>
      </c>
      <c r="N106" t="s">
        <v>4766</v>
      </c>
      <c r="O106" t="s">
        <v>4767</v>
      </c>
      <c r="Q106" s="6">
        <v>128</v>
      </c>
      <c r="R106" s="6">
        <v>243</v>
      </c>
      <c r="S106" s="6" t="s">
        <v>4809</v>
      </c>
      <c r="T106" s="6" t="s">
        <v>4808</v>
      </c>
      <c r="U106" s="6">
        <v>1011</v>
      </c>
      <c r="V106" s="6">
        <v>8</v>
      </c>
      <c r="W106" s="6" t="s">
        <v>7350</v>
      </c>
      <c r="Y106" t="s">
        <v>4766</v>
      </c>
      <c r="Z106" t="s">
        <v>4767</v>
      </c>
      <c r="AA106" s="6">
        <f t="shared" si="11"/>
        <v>1090</v>
      </c>
      <c r="AB106">
        <v>28</v>
      </c>
      <c r="AC106">
        <v>128</v>
      </c>
      <c r="AD106">
        <v>99</v>
      </c>
    </row>
    <row r="107" spans="1:30" ht="17" x14ac:dyDescent="0.25">
      <c r="A107" s="1" t="s">
        <v>109</v>
      </c>
      <c r="B107" s="1" t="s">
        <v>2761</v>
      </c>
      <c r="C107" s="1" t="s">
        <v>1436</v>
      </c>
      <c r="D107" t="str">
        <f t="shared" si="12"/>
        <v>197D63</v>
      </c>
      <c r="E107" t="str">
        <f t="shared" si="13"/>
        <v>25-125-99</v>
      </c>
      <c r="F107" t="str">
        <f t="shared" si="14"/>
        <v>2512599</v>
      </c>
      <c r="G107">
        <f t="shared" si="15"/>
        <v>25</v>
      </c>
      <c r="H107">
        <f t="shared" si="16"/>
        <v>125</v>
      </c>
      <c r="I107">
        <f t="shared" si="17"/>
        <v>99</v>
      </c>
      <c r="J107" t="str">
        <f t="shared" si="9"/>
        <v>SSs6a",</v>
      </c>
      <c r="K107" t="str">
        <f t="shared" si="9"/>
        <v>Supplemental somatosensory area, layer 6a",</v>
      </c>
      <c r="L107" t="str">
        <f t="shared" si="10"/>
        <v>SSs6a</v>
      </c>
      <c r="M107" t="str">
        <f t="shared" si="10"/>
        <v>Supplemental somatosensory area, layer 6a</v>
      </c>
      <c r="N107" t="s">
        <v>4768</v>
      </c>
      <c r="O107" t="s">
        <v>4769</v>
      </c>
      <c r="Q107" s="6">
        <v>136</v>
      </c>
      <c r="R107" s="6">
        <v>1002</v>
      </c>
      <c r="S107" s="6" t="s">
        <v>4823</v>
      </c>
      <c r="T107" s="6" t="s">
        <v>4822</v>
      </c>
      <c r="U107" s="6">
        <v>247</v>
      </c>
      <c r="V107" s="6">
        <v>7</v>
      </c>
      <c r="W107" s="6" t="s">
        <v>7351</v>
      </c>
      <c r="Y107" t="s">
        <v>4768</v>
      </c>
      <c r="Z107" t="s">
        <v>4769</v>
      </c>
      <c r="AA107" s="6">
        <f t="shared" si="11"/>
        <v>862</v>
      </c>
      <c r="AB107">
        <v>25</v>
      </c>
      <c r="AC107">
        <v>125</v>
      </c>
      <c r="AD107">
        <v>99</v>
      </c>
    </row>
    <row r="108" spans="1:30" ht="17" x14ac:dyDescent="0.25">
      <c r="A108" s="1" t="s">
        <v>110</v>
      </c>
      <c r="B108" s="1" t="s">
        <v>2762</v>
      </c>
      <c r="C108" s="1" t="s">
        <v>1437</v>
      </c>
      <c r="D108" t="str">
        <f t="shared" si="12"/>
        <v>1A8061</v>
      </c>
      <c r="E108" t="str">
        <f t="shared" si="13"/>
        <v>26-128-97</v>
      </c>
      <c r="F108" t="str">
        <f t="shared" si="14"/>
        <v>2612897</v>
      </c>
      <c r="G108">
        <f t="shared" si="15"/>
        <v>26</v>
      </c>
      <c r="H108">
        <f t="shared" si="16"/>
        <v>128</v>
      </c>
      <c r="I108">
        <f t="shared" si="17"/>
        <v>97</v>
      </c>
      <c r="J108" t="str">
        <f t="shared" si="9"/>
        <v>SSs6b",</v>
      </c>
      <c r="K108" t="str">
        <f t="shared" si="9"/>
        <v>Supplemental somatosensory area, layer 6b",</v>
      </c>
      <c r="L108" t="str">
        <f t="shared" si="10"/>
        <v>SSs6b</v>
      </c>
      <c r="M108" t="str">
        <f t="shared" si="10"/>
        <v>Supplemental somatosensory area, layer 6b</v>
      </c>
      <c r="N108" t="s">
        <v>4770</v>
      </c>
      <c r="O108" t="s">
        <v>4771</v>
      </c>
      <c r="Q108" s="6">
        <v>137</v>
      </c>
      <c r="R108" s="6">
        <v>735</v>
      </c>
      <c r="S108" s="6" t="s">
        <v>4825</v>
      </c>
      <c r="T108" s="6" t="s">
        <v>4824</v>
      </c>
      <c r="U108" s="6">
        <v>1002</v>
      </c>
      <c r="V108" s="6">
        <v>8</v>
      </c>
      <c r="W108" s="6" t="s">
        <v>7352</v>
      </c>
      <c r="Y108" t="s">
        <v>4770</v>
      </c>
      <c r="Z108" t="s">
        <v>4771</v>
      </c>
      <c r="AA108" s="6">
        <f t="shared" si="11"/>
        <v>893</v>
      </c>
      <c r="AB108">
        <v>26</v>
      </c>
      <c r="AC108">
        <v>128</v>
      </c>
      <c r="AD108">
        <v>97</v>
      </c>
    </row>
    <row r="109" spans="1:30" ht="17" x14ac:dyDescent="0.25">
      <c r="A109" s="1" t="s">
        <v>111</v>
      </c>
      <c r="B109" s="1" t="s">
        <v>2763</v>
      </c>
      <c r="C109" s="1" t="s">
        <v>1438</v>
      </c>
      <c r="D109" t="str">
        <f t="shared" si="12"/>
        <v>019B75</v>
      </c>
      <c r="E109" t="str">
        <f t="shared" si="13"/>
        <v>1-155-117</v>
      </c>
      <c r="F109" t="str">
        <f t="shared" si="14"/>
        <v>1155117</v>
      </c>
      <c r="G109">
        <f t="shared" si="15"/>
        <v>1</v>
      </c>
      <c r="H109">
        <f t="shared" si="16"/>
        <v>155</v>
      </c>
      <c r="I109">
        <f t="shared" si="17"/>
        <v>117</v>
      </c>
      <c r="J109" t="str">
        <f t="shared" si="9"/>
        <v>GU",</v>
      </c>
      <c r="K109" t="str">
        <f t="shared" si="9"/>
        <v>Gustatory areas",</v>
      </c>
      <c r="L109" t="str">
        <f t="shared" si="10"/>
        <v>GU</v>
      </c>
      <c r="M109" t="str">
        <f t="shared" si="10"/>
        <v>Gustatory areas</v>
      </c>
      <c r="N109" t="s">
        <v>4772</v>
      </c>
      <c r="O109" t="s">
        <v>4773</v>
      </c>
      <c r="Q109" s="6">
        <v>138</v>
      </c>
      <c r="R109" s="6">
        <v>251</v>
      </c>
      <c r="S109" s="6" t="s">
        <v>7192</v>
      </c>
      <c r="T109" s="6" t="s">
        <v>7131</v>
      </c>
      <c r="U109" s="6">
        <v>1002</v>
      </c>
      <c r="V109" s="6">
        <v>8</v>
      </c>
      <c r="W109" s="6" t="s">
        <v>7353</v>
      </c>
      <c r="Y109" t="s">
        <v>4772</v>
      </c>
      <c r="Z109" t="s">
        <v>4773</v>
      </c>
      <c r="AA109" s="6">
        <f t="shared" si="11"/>
        <v>1057</v>
      </c>
      <c r="AB109">
        <v>1</v>
      </c>
      <c r="AC109">
        <v>155</v>
      </c>
      <c r="AD109">
        <v>117</v>
      </c>
    </row>
    <row r="110" spans="1:30" ht="17" x14ac:dyDescent="0.25">
      <c r="A110" s="1" t="s">
        <v>112</v>
      </c>
      <c r="B110" s="1" t="s">
        <v>2764</v>
      </c>
      <c r="C110" s="1" t="s">
        <v>1439</v>
      </c>
      <c r="D110" t="str">
        <f t="shared" si="12"/>
        <v>009C75</v>
      </c>
      <c r="E110" t="str">
        <f t="shared" si="13"/>
        <v>0-156-117</v>
      </c>
      <c r="F110" t="str">
        <f t="shared" si="14"/>
        <v>0156117</v>
      </c>
      <c r="G110">
        <f t="shared" si="15"/>
        <v>0</v>
      </c>
      <c r="H110">
        <f t="shared" si="16"/>
        <v>156</v>
      </c>
      <c r="I110">
        <f t="shared" si="17"/>
        <v>117</v>
      </c>
      <c r="J110" t="str">
        <f t="shared" si="9"/>
        <v>GU1",</v>
      </c>
      <c r="K110" t="str">
        <f t="shared" si="9"/>
        <v>Gustatory areas, layer 1",</v>
      </c>
      <c r="L110" t="str">
        <f t="shared" si="10"/>
        <v>GU1</v>
      </c>
      <c r="M110" t="str">
        <f t="shared" si="10"/>
        <v>Gustatory areas, layer 1</v>
      </c>
      <c r="N110" t="s">
        <v>4774</v>
      </c>
      <c r="O110" t="s">
        <v>4775</v>
      </c>
      <c r="Q110" s="6">
        <v>139</v>
      </c>
      <c r="R110" s="6">
        <v>816</v>
      </c>
      <c r="S110" s="6" t="s">
        <v>4827</v>
      </c>
      <c r="T110" s="6" t="s">
        <v>4826</v>
      </c>
      <c r="U110" s="6">
        <v>1002</v>
      </c>
      <c r="V110" s="6">
        <v>8</v>
      </c>
      <c r="W110" s="6" t="s">
        <v>7354</v>
      </c>
      <c r="Y110" t="s">
        <v>4774</v>
      </c>
      <c r="Z110" t="s">
        <v>4775</v>
      </c>
      <c r="AA110" s="6">
        <f t="shared" si="11"/>
        <v>36</v>
      </c>
      <c r="AB110">
        <v>0</v>
      </c>
      <c r="AC110">
        <v>156</v>
      </c>
      <c r="AD110">
        <v>117</v>
      </c>
    </row>
    <row r="111" spans="1:30" ht="17" x14ac:dyDescent="0.25">
      <c r="A111" s="1" t="s">
        <v>113</v>
      </c>
      <c r="B111" s="1" t="s">
        <v>2765</v>
      </c>
      <c r="C111" s="1" t="s">
        <v>1440</v>
      </c>
      <c r="D111" t="str">
        <f t="shared" si="12"/>
        <v>009B75</v>
      </c>
      <c r="E111" t="str">
        <f t="shared" si="13"/>
        <v>0-155-117</v>
      </c>
      <c r="F111" t="str">
        <f t="shared" si="14"/>
        <v>0155117</v>
      </c>
      <c r="G111">
        <f t="shared" si="15"/>
        <v>0</v>
      </c>
      <c r="H111">
        <f t="shared" si="16"/>
        <v>155</v>
      </c>
      <c r="I111">
        <f t="shared" si="17"/>
        <v>117</v>
      </c>
      <c r="J111" t="str">
        <f t="shared" si="9"/>
        <v>GU2\/3",</v>
      </c>
      <c r="K111" t="str">
        <f t="shared" si="9"/>
        <v>Gustatory areas, layer 2\/3",</v>
      </c>
      <c r="L111" t="str">
        <f t="shared" si="10"/>
        <v>GU2\/3</v>
      </c>
      <c r="M111" t="str">
        <f t="shared" si="10"/>
        <v>Gustatory areas, layer 2\/3</v>
      </c>
      <c r="N111" t="s">
        <v>7127</v>
      </c>
      <c r="O111" t="s">
        <v>7188</v>
      </c>
      <c r="Q111" s="6">
        <v>140</v>
      </c>
      <c r="R111" s="6">
        <v>847</v>
      </c>
      <c r="S111" s="6" t="s">
        <v>4829</v>
      </c>
      <c r="T111" s="6" t="s">
        <v>4828</v>
      </c>
      <c r="U111" s="6">
        <v>1002</v>
      </c>
      <c r="V111" s="6">
        <v>8</v>
      </c>
      <c r="W111" s="6" t="s">
        <v>7355</v>
      </c>
      <c r="Y111" t="s">
        <v>7127</v>
      </c>
      <c r="Z111" t="s">
        <v>7188</v>
      </c>
      <c r="AA111" s="6">
        <f t="shared" si="11"/>
        <v>180</v>
      </c>
      <c r="AB111">
        <v>0</v>
      </c>
      <c r="AC111">
        <v>155</v>
      </c>
      <c r="AD111">
        <v>117</v>
      </c>
    </row>
    <row r="112" spans="1:30" ht="17" x14ac:dyDescent="0.25">
      <c r="A112" s="1" t="s">
        <v>114</v>
      </c>
      <c r="B112" s="1" t="s">
        <v>2766</v>
      </c>
      <c r="C112" s="1" t="s">
        <v>1441</v>
      </c>
      <c r="D112" t="str">
        <f t="shared" si="12"/>
        <v>009C74</v>
      </c>
      <c r="E112" t="str">
        <f t="shared" si="13"/>
        <v>0-156-116</v>
      </c>
      <c r="F112" t="str">
        <f t="shared" si="14"/>
        <v>0156116</v>
      </c>
      <c r="G112">
        <f t="shared" si="15"/>
        <v>0</v>
      </c>
      <c r="H112">
        <f t="shared" si="16"/>
        <v>156</v>
      </c>
      <c r="I112">
        <f t="shared" si="17"/>
        <v>116</v>
      </c>
      <c r="J112" t="str">
        <f t="shared" si="9"/>
        <v>GU4",</v>
      </c>
      <c r="K112" t="str">
        <f t="shared" si="9"/>
        <v>Gustatory areas, layer 4",</v>
      </c>
      <c r="L112" t="str">
        <f t="shared" si="10"/>
        <v>GU4</v>
      </c>
      <c r="M112" t="str">
        <f t="shared" si="10"/>
        <v>Gustatory areas, layer 4</v>
      </c>
      <c r="N112" t="s">
        <v>4776</v>
      </c>
      <c r="O112" t="s">
        <v>4777</v>
      </c>
      <c r="Q112" s="6">
        <v>141</v>
      </c>
      <c r="R112" s="6">
        <v>954</v>
      </c>
      <c r="S112" s="6" t="s">
        <v>4831</v>
      </c>
      <c r="T112" s="6" t="s">
        <v>4830</v>
      </c>
      <c r="U112" s="6">
        <v>1002</v>
      </c>
      <c r="V112" s="6">
        <v>8</v>
      </c>
      <c r="W112" s="6" t="s">
        <v>7356</v>
      </c>
      <c r="Y112" t="s">
        <v>4776</v>
      </c>
      <c r="Z112" t="s">
        <v>4777</v>
      </c>
      <c r="AA112" s="6">
        <f t="shared" si="11"/>
        <v>148</v>
      </c>
      <c r="AB112">
        <v>0</v>
      </c>
      <c r="AC112">
        <v>156</v>
      </c>
      <c r="AD112">
        <v>116</v>
      </c>
    </row>
    <row r="113" spans="1:30" ht="17" x14ac:dyDescent="0.25">
      <c r="A113" s="1" t="s">
        <v>115</v>
      </c>
      <c r="B113" s="1" t="s">
        <v>2767</v>
      </c>
      <c r="C113" s="1" t="s">
        <v>1442</v>
      </c>
      <c r="D113" t="str">
        <f t="shared" si="12"/>
        <v>019C75</v>
      </c>
      <c r="E113" t="str">
        <f t="shared" si="13"/>
        <v>1-156-117</v>
      </c>
      <c r="F113" t="str">
        <f t="shared" si="14"/>
        <v>1156117</v>
      </c>
      <c r="G113">
        <f t="shared" si="15"/>
        <v>1</v>
      </c>
      <c r="H113">
        <f t="shared" si="16"/>
        <v>156</v>
      </c>
      <c r="I113">
        <f t="shared" si="17"/>
        <v>117</v>
      </c>
      <c r="J113" t="str">
        <f t="shared" si="9"/>
        <v>GU5",</v>
      </c>
      <c r="K113" t="str">
        <f t="shared" si="9"/>
        <v>Gustatory areas, layer 5",</v>
      </c>
      <c r="L113" t="str">
        <f t="shared" si="10"/>
        <v>GU5</v>
      </c>
      <c r="M113" t="str">
        <f t="shared" si="10"/>
        <v>Gustatory areas, layer 5</v>
      </c>
      <c r="N113" t="s">
        <v>4778</v>
      </c>
      <c r="O113" t="s">
        <v>4779</v>
      </c>
      <c r="Q113" s="6">
        <v>142</v>
      </c>
      <c r="R113" s="6">
        <v>1005</v>
      </c>
      <c r="S113" s="6" t="s">
        <v>4833</v>
      </c>
      <c r="T113" s="6" t="s">
        <v>4832</v>
      </c>
      <c r="U113" s="6">
        <v>1002</v>
      </c>
      <c r="V113" s="6">
        <v>8</v>
      </c>
      <c r="W113" s="6" t="s">
        <v>7357</v>
      </c>
      <c r="Y113" t="s">
        <v>4778</v>
      </c>
      <c r="Z113" t="s">
        <v>4779</v>
      </c>
      <c r="AA113" s="6">
        <f t="shared" si="11"/>
        <v>187</v>
      </c>
      <c r="AB113">
        <v>1</v>
      </c>
      <c r="AC113">
        <v>156</v>
      </c>
      <c r="AD113">
        <v>117</v>
      </c>
    </row>
    <row r="114" spans="1:30" ht="17" x14ac:dyDescent="0.25">
      <c r="A114" s="1" t="s">
        <v>116</v>
      </c>
      <c r="B114" s="1" t="s">
        <v>2768</v>
      </c>
      <c r="C114" s="1" t="s">
        <v>1443</v>
      </c>
      <c r="D114" t="str">
        <f t="shared" si="12"/>
        <v>009B74</v>
      </c>
      <c r="E114" t="str">
        <f t="shared" si="13"/>
        <v>0-155-116</v>
      </c>
      <c r="F114" t="str">
        <f t="shared" si="14"/>
        <v>0155116</v>
      </c>
      <c r="G114">
        <f t="shared" si="15"/>
        <v>0</v>
      </c>
      <c r="H114">
        <f t="shared" si="16"/>
        <v>155</v>
      </c>
      <c r="I114">
        <f t="shared" si="17"/>
        <v>116</v>
      </c>
      <c r="J114" t="str">
        <f t="shared" si="9"/>
        <v>GU6a",</v>
      </c>
      <c r="K114" t="str">
        <f t="shared" si="9"/>
        <v>Gustatory areas, layer 6a",</v>
      </c>
      <c r="L114" t="str">
        <f t="shared" si="10"/>
        <v>GU6a</v>
      </c>
      <c r="M114" t="str">
        <f t="shared" si="10"/>
        <v>Gustatory areas, layer 6a</v>
      </c>
      <c r="N114" t="s">
        <v>4780</v>
      </c>
      <c r="O114" t="s">
        <v>4781</v>
      </c>
      <c r="Q114" s="6">
        <v>143</v>
      </c>
      <c r="R114" s="6">
        <v>1027</v>
      </c>
      <c r="S114" s="6" t="s">
        <v>4835</v>
      </c>
      <c r="T114" s="6" t="s">
        <v>4834</v>
      </c>
      <c r="U114" s="6">
        <v>247</v>
      </c>
      <c r="V114" s="6">
        <v>7</v>
      </c>
      <c r="W114" s="6" t="s">
        <v>7358</v>
      </c>
      <c r="Y114" t="s">
        <v>4780</v>
      </c>
      <c r="Z114" t="s">
        <v>4781</v>
      </c>
      <c r="AA114" s="6">
        <f t="shared" si="11"/>
        <v>638</v>
      </c>
      <c r="AB114">
        <v>0</v>
      </c>
      <c r="AC114">
        <v>155</v>
      </c>
      <c r="AD114">
        <v>116</v>
      </c>
    </row>
    <row r="115" spans="1:30" ht="17" x14ac:dyDescent="0.25">
      <c r="A115" s="1" t="s">
        <v>117</v>
      </c>
      <c r="B115" s="1" t="s">
        <v>2769</v>
      </c>
      <c r="C115" s="1" t="s">
        <v>1444</v>
      </c>
      <c r="D115" t="str">
        <f t="shared" si="12"/>
        <v>019C74</v>
      </c>
      <c r="E115" t="str">
        <f t="shared" si="13"/>
        <v>1-156-116</v>
      </c>
      <c r="F115" t="str">
        <f t="shared" si="14"/>
        <v>1156116</v>
      </c>
      <c r="G115">
        <f t="shared" si="15"/>
        <v>1</v>
      </c>
      <c r="H115">
        <f t="shared" si="16"/>
        <v>156</v>
      </c>
      <c r="I115">
        <f t="shared" si="17"/>
        <v>116</v>
      </c>
      <c r="J115" t="str">
        <f t="shared" si="9"/>
        <v>GU6b",</v>
      </c>
      <c r="K115" t="str">
        <f t="shared" si="9"/>
        <v>Gustatory areas, layer 6b",</v>
      </c>
      <c r="L115" t="str">
        <f t="shared" si="10"/>
        <v>GU6b</v>
      </c>
      <c r="M115" t="str">
        <f t="shared" si="10"/>
        <v>Gustatory areas, layer 6b</v>
      </c>
      <c r="N115" t="s">
        <v>4782</v>
      </c>
      <c r="O115" t="s">
        <v>4783</v>
      </c>
      <c r="Q115" s="6">
        <v>144</v>
      </c>
      <c r="R115" s="6">
        <v>696</v>
      </c>
      <c r="S115" s="6" t="s">
        <v>4837</v>
      </c>
      <c r="T115" s="6" t="s">
        <v>4836</v>
      </c>
      <c r="U115" s="6">
        <v>1027</v>
      </c>
      <c r="V115" s="6">
        <v>8</v>
      </c>
      <c r="W115" s="6" t="s">
        <v>7359</v>
      </c>
      <c r="Y115" t="s">
        <v>4782</v>
      </c>
      <c r="Z115" t="s">
        <v>4783</v>
      </c>
      <c r="AA115" s="6">
        <f t="shared" si="11"/>
        <v>662</v>
      </c>
      <c r="AB115">
        <v>1</v>
      </c>
      <c r="AC115">
        <v>156</v>
      </c>
      <c r="AD115">
        <v>116</v>
      </c>
    </row>
    <row r="116" spans="1:30" ht="17" x14ac:dyDescent="0.25">
      <c r="A116" s="1" t="s">
        <v>118</v>
      </c>
      <c r="B116" s="1" t="s">
        <v>2770</v>
      </c>
      <c r="C116" s="1" t="s">
        <v>1445</v>
      </c>
      <c r="D116" t="str">
        <f t="shared" si="12"/>
        <v>11AD83</v>
      </c>
      <c r="E116" t="str">
        <f t="shared" si="13"/>
        <v>17-173-131</v>
      </c>
      <c r="F116" t="str">
        <f t="shared" si="14"/>
        <v>17173131</v>
      </c>
      <c r="G116">
        <f t="shared" si="15"/>
        <v>17</v>
      </c>
      <c r="H116">
        <f t="shared" si="16"/>
        <v>173</v>
      </c>
      <c r="I116">
        <f t="shared" si="17"/>
        <v>131</v>
      </c>
      <c r="J116" t="str">
        <f t="shared" si="9"/>
        <v>VISC",</v>
      </c>
      <c r="K116" t="str">
        <f t="shared" si="9"/>
        <v>Visceral area",</v>
      </c>
      <c r="L116" t="str">
        <f t="shared" si="10"/>
        <v>VISC</v>
      </c>
      <c r="M116" t="str">
        <f t="shared" si="10"/>
        <v>Visceral area</v>
      </c>
      <c r="N116" t="s">
        <v>4784</v>
      </c>
      <c r="O116" t="s">
        <v>4785</v>
      </c>
      <c r="Q116" s="6">
        <v>145</v>
      </c>
      <c r="R116" s="6">
        <v>643</v>
      </c>
      <c r="S116" s="6" t="s">
        <v>7193</v>
      </c>
      <c r="T116" s="6" t="s">
        <v>7132</v>
      </c>
      <c r="U116" s="6">
        <v>1027</v>
      </c>
      <c r="V116" s="6">
        <v>8</v>
      </c>
      <c r="W116" s="6" t="s">
        <v>7360</v>
      </c>
      <c r="Y116" t="s">
        <v>4784</v>
      </c>
      <c r="Z116" t="s">
        <v>4785</v>
      </c>
      <c r="AA116" s="6">
        <f t="shared" si="11"/>
        <v>677</v>
      </c>
      <c r="AB116">
        <v>17</v>
      </c>
      <c r="AC116">
        <v>173</v>
      </c>
      <c r="AD116">
        <v>131</v>
      </c>
    </row>
    <row r="117" spans="1:30" ht="17" x14ac:dyDescent="0.25">
      <c r="A117" s="1" t="s">
        <v>119</v>
      </c>
      <c r="B117" s="1" t="s">
        <v>2771</v>
      </c>
      <c r="C117" s="1" t="s">
        <v>1446</v>
      </c>
      <c r="D117" t="str">
        <f t="shared" si="12"/>
        <v>12AD83</v>
      </c>
      <c r="E117" t="str">
        <f t="shared" si="13"/>
        <v>18-173-131</v>
      </c>
      <c r="F117" t="str">
        <f t="shared" si="14"/>
        <v>18173131</v>
      </c>
      <c r="G117">
        <f t="shared" si="15"/>
        <v>18</v>
      </c>
      <c r="H117">
        <f t="shared" si="16"/>
        <v>173</v>
      </c>
      <c r="I117">
        <f t="shared" si="17"/>
        <v>131</v>
      </c>
      <c r="J117" t="str">
        <f t="shared" si="9"/>
        <v>VISC1",</v>
      </c>
      <c r="K117" t="str">
        <f t="shared" si="9"/>
        <v>Visceral area, layer 1",</v>
      </c>
      <c r="L117" t="str">
        <f t="shared" si="10"/>
        <v>VISC1</v>
      </c>
      <c r="M117" t="str">
        <f t="shared" si="10"/>
        <v>Visceral area, layer 1</v>
      </c>
      <c r="N117" t="s">
        <v>4786</v>
      </c>
      <c r="O117" t="s">
        <v>4787</v>
      </c>
      <c r="Q117" s="6">
        <v>146</v>
      </c>
      <c r="R117" s="6">
        <v>759</v>
      </c>
      <c r="S117" s="6" t="s">
        <v>4839</v>
      </c>
      <c r="T117" s="6" t="s">
        <v>4838</v>
      </c>
      <c r="U117" s="6">
        <v>1027</v>
      </c>
      <c r="V117" s="6">
        <v>8</v>
      </c>
      <c r="W117" s="6" t="s">
        <v>7361</v>
      </c>
      <c r="Y117" t="s">
        <v>4786</v>
      </c>
      <c r="Z117" t="s">
        <v>4787</v>
      </c>
      <c r="AA117" s="6">
        <f t="shared" si="11"/>
        <v>897</v>
      </c>
      <c r="AB117">
        <v>18</v>
      </c>
      <c r="AC117">
        <v>173</v>
      </c>
      <c r="AD117">
        <v>131</v>
      </c>
    </row>
    <row r="118" spans="1:30" ht="17" x14ac:dyDescent="0.25">
      <c r="A118" s="1" t="s">
        <v>120</v>
      </c>
      <c r="B118" s="1" t="s">
        <v>2772</v>
      </c>
      <c r="C118" s="1" t="s">
        <v>1447</v>
      </c>
      <c r="D118" t="str">
        <f t="shared" si="12"/>
        <v>12AC83</v>
      </c>
      <c r="E118" t="str">
        <f t="shared" si="13"/>
        <v>18-172-131</v>
      </c>
      <c r="F118" t="str">
        <f t="shared" si="14"/>
        <v>18172131</v>
      </c>
      <c r="G118">
        <f t="shared" si="15"/>
        <v>18</v>
      </c>
      <c r="H118">
        <f t="shared" si="16"/>
        <v>172</v>
      </c>
      <c r="I118">
        <f t="shared" si="17"/>
        <v>131</v>
      </c>
      <c r="J118" t="str">
        <f t="shared" si="9"/>
        <v>VISC2\/3",</v>
      </c>
      <c r="K118" t="str">
        <f t="shared" si="9"/>
        <v>Visceral area, layer 2\/3",</v>
      </c>
      <c r="L118" t="str">
        <f t="shared" si="10"/>
        <v>VISC2\/3</v>
      </c>
      <c r="M118" t="str">
        <f t="shared" si="10"/>
        <v>Visceral area, layer 2\/3</v>
      </c>
      <c r="N118" t="s">
        <v>7128</v>
      </c>
      <c r="O118" t="s">
        <v>7189</v>
      </c>
      <c r="Q118" s="6">
        <v>147</v>
      </c>
      <c r="R118" s="6">
        <v>791</v>
      </c>
      <c r="S118" s="6" t="s">
        <v>4841</v>
      </c>
      <c r="T118" s="6" t="s">
        <v>4840</v>
      </c>
      <c r="U118" s="6">
        <v>1027</v>
      </c>
      <c r="V118" s="6">
        <v>8</v>
      </c>
      <c r="W118" s="6" t="s">
        <v>7362</v>
      </c>
      <c r="Y118" t="s">
        <v>7128</v>
      </c>
      <c r="Z118" t="s">
        <v>7189</v>
      </c>
      <c r="AA118" s="6">
        <f t="shared" si="11"/>
        <v>1106</v>
      </c>
      <c r="AB118">
        <v>18</v>
      </c>
      <c r="AC118">
        <v>172</v>
      </c>
      <c r="AD118">
        <v>131</v>
      </c>
    </row>
    <row r="119" spans="1:30" ht="17" x14ac:dyDescent="0.25">
      <c r="A119" s="1" t="s">
        <v>121</v>
      </c>
      <c r="B119" s="1" t="s">
        <v>2773</v>
      </c>
      <c r="C119" s="1" t="s">
        <v>1448</v>
      </c>
      <c r="D119" t="str">
        <f t="shared" si="12"/>
        <v>11AC82</v>
      </c>
      <c r="E119" t="str">
        <f t="shared" si="13"/>
        <v>17-172-130</v>
      </c>
      <c r="F119" t="str">
        <f t="shared" si="14"/>
        <v>17172130</v>
      </c>
      <c r="G119">
        <f t="shared" si="15"/>
        <v>17</v>
      </c>
      <c r="H119">
        <f t="shared" si="16"/>
        <v>172</v>
      </c>
      <c r="I119">
        <f t="shared" si="17"/>
        <v>130</v>
      </c>
      <c r="J119" t="str">
        <f t="shared" si="9"/>
        <v>VISC4",</v>
      </c>
      <c r="K119" t="str">
        <f t="shared" si="9"/>
        <v>Visceral area, layer 4",</v>
      </c>
      <c r="L119" t="str">
        <f t="shared" si="10"/>
        <v>VISC4</v>
      </c>
      <c r="M119" t="str">
        <f t="shared" si="10"/>
        <v>Visceral area, layer 4</v>
      </c>
      <c r="N119" t="s">
        <v>4788</v>
      </c>
      <c r="O119" t="s">
        <v>4789</v>
      </c>
      <c r="Q119" s="6">
        <v>148</v>
      </c>
      <c r="R119" s="6">
        <v>249</v>
      </c>
      <c r="S119" s="6" t="s">
        <v>4843</v>
      </c>
      <c r="T119" s="6" t="s">
        <v>4842</v>
      </c>
      <c r="U119" s="6">
        <v>1027</v>
      </c>
      <c r="V119" s="6">
        <v>8</v>
      </c>
      <c r="W119" s="6" t="s">
        <v>7363</v>
      </c>
      <c r="Y119" t="s">
        <v>4788</v>
      </c>
      <c r="Z119" t="s">
        <v>4789</v>
      </c>
      <c r="AA119" s="6">
        <f t="shared" si="11"/>
        <v>1010</v>
      </c>
      <c r="AB119">
        <v>17</v>
      </c>
      <c r="AC119">
        <v>172</v>
      </c>
      <c r="AD119">
        <v>130</v>
      </c>
    </row>
    <row r="120" spans="1:30" ht="17" x14ac:dyDescent="0.25">
      <c r="A120" s="1" t="s">
        <v>122</v>
      </c>
      <c r="B120" s="1" t="s">
        <v>2774</v>
      </c>
      <c r="C120" s="1" t="s">
        <v>1449</v>
      </c>
      <c r="D120" t="str">
        <f t="shared" si="12"/>
        <v>12AD82</v>
      </c>
      <c r="E120" t="str">
        <f t="shared" si="13"/>
        <v>18-173-130</v>
      </c>
      <c r="F120" t="str">
        <f t="shared" si="14"/>
        <v>18173130</v>
      </c>
      <c r="G120">
        <f t="shared" si="15"/>
        <v>18</v>
      </c>
      <c r="H120">
        <f t="shared" si="16"/>
        <v>173</v>
      </c>
      <c r="I120">
        <f t="shared" si="17"/>
        <v>130</v>
      </c>
      <c r="J120" t="str">
        <f t="shared" si="9"/>
        <v>VISC5",</v>
      </c>
      <c r="K120" t="str">
        <f t="shared" si="9"/>
        <v>Visceral area, layer 5",</v>
      </c>
      <c r="L120" t="str">
        <f t="shared" si="10"/>
        <v>VISC5</v>
      </c>
      <c r="M120" t="str">
        <f t="shared" si="10"/>
        <v>Visceral area, layer 5</v>
      </c>
      <c r="N120" t="s">
        <v>4790</v>
      </c>
      <c r="O120" t="s">
        <v>4791</v>
      </c>
      <c r="Q120" s="6">
        <v>149</v>
      </c>
      <c r="R120" s="6">
        <v>456</v>
      </c>
      <c r="S120" s="6" t="s">
        <v>4845</v>
      </c>
      <c r="T120" s="6" t="s">
        <v>4844</v>
      </c>
      <c r="U120" s="6">
        <v>1027</v>
      </c>
      <c r="V120" s="6">
        <v>8</v>
      </c>
      <c r="W120" s="6" t="s">
        <v>7364</v>
      </c>
      <c r="Y120" t="s">
        <v>4790</v>
      </c>
      <c r="Z120" t="s">
        <v>4791</v>
      </c>
      <c r="AA120" s="6">
        <f t="shared" si="11"/>
        <v>1058</v>
      </c>
      <c r="AB120">
        <v>18</v>
      </c>
      <c r="AC120">
        <v>173</v>
      </c>
      <c r="AD120">
        <v>130</v>
      </c>
    </row>
    <row r="121" spans="1:30" ht="17" x14ac:dyDescent="0.25">
      <c r="A121" s="1" t="s">
        <v>123</v>
      </c>
      <c r="B121" s="1" t="s">
        <v>2775</v>
      </c>
      <c r="C121" s="1" t="s">
        <v>1450</v>
      </c>
      <c r="D121" t="str">
        <f t="shared" si="12"/>
        <v>11AC83</v>
      </c>
      <c r="E121" t="str">
        <f t="shared" si="13"/>
        <v>17-172-131</v>
      </c>
      <c r="F121" t="str">
        <f t="shared" si="14"/>
        <v>17172131</v>
      </c>
      <c r="G121">
        <f t="shared" si="15"/>
        <v>17</v>
      </c>
      <c r="H121">
        <f t="shared" si="16"/>
        <v>172</v>
      </c>
      <c r="I121">
        <f t="shared" si="17"/>
        <v>131</v>
      </c>
      <c r="J121" t="str">
        <f t="shared" si="9"/>
        <v>VISC6a",</v>
      </c>
      <c r="K121" t="str">
        <f t="shared" si="9"/>
        <v>Visceral area, layer 6a",</v>
      </c>
      <c r="L121" t="str">
        <f t="shared" si="10"/>
        <v>VISC6a</v>
      </c>
      <c r="M121" t="str">
        <f t="shared" si="10"/>
        <v>Visceral area, layer 6a</v>
      </c>
      <c r="N121" t="s">
        <v>4792</v>
      </c>
      <c r="O121" t="s">
        <v>4793</v>
      </c>
      <c r="Q121" s="6">
        <v>150</v>
      </c>
      <c r="R121" s="6">
        <v>1018</v>
      </c>
      <c r="S121" s="6" t="s">
        <v>4847</v>
      </c>
      <c r="T121" s="6" t="s">
        <v>4846</v>
      </c>
      <c r="U121" s="6">
        <v>247</v>
      </c>
      <c r="V121" s="6">
        <v>7</v>
      </c>
      <c r="W121" s="6" t="s">
        <v>7365</v>
      </c>
      <c r="Y121" t="s">
        <v>4792</v>
      </c>
      <c r="Z121" t="s">
        <v>4793</v>
      </c>
      <c r="AA121" s="6">
        <f t="shared" si="11"/>
        <v>857</v>
      </c>
      <c r="AB121">
        <v>17</v>
      </c>
      <c r="AC121">
        <v>172</v>
      </c>
      <c r="AD121">
        <v>131</v>
      </c>
    </row>
    <row r="122" spans="1:30" ht="17" x14ac:dyDescent="0.25">
      <c r="A122" s="1" t="s">
        <v>124</v>
      </c>
      <c r="B122" s="1" t="s">
        <v>2776</v>
      </c>
      <c r="C122" s="1" t="s">
        <v>1451</v>
      </c>
      <c r="D122" t="str">
        <f t="shared" si="12"/>
        <v>11AD82</v>
      </c>
      <c r="E122" t="str">
        <f t="shared" si="13"/>
        <v>17-173-130</v>
      </c>
      <c r="F122" t="str">
        <f t="shared" si="14"/>
        <v>17173130</v>
      </c>
      <c r="G122">
        <f t="shared" si="15"/>
        <v>17</v>
      </c>
      <c r="H122">
        <f t="shared" si="16"/>
        <v>173</v>
      </c>
      <c r="I122">
        <f t="shared" si="17"/>
        <v>130</v>
      </c>
      <c r="J122" t="str">
        <f t="shared" si="9"/>
        <v>VISC6b",</v>
      </c>
      <c r="K122" t="str">
        <f t="shared" si="9"/>
        <v>Visceral area, layer 6b",</v>
      </c>
      <c r="L122" t="str">
        <f t="shared" si="10"/>
        <v>VISC6b</v>
      </c>
      <c r="M122" t="str">
        <f t="shared" si="10"/>
        <v>Visceral area, layer 6b</v>
      </c>
      <c r="N122" t="s">
        <v>4794</v>
      </c>
      <c r="O122" t="s">
        <v>4795</v>
      </c>
      <c r="Q122" s="6">
        <v>151</v>
      </c>
      <c r="R122" s="6">
        <v>959</v>
      </c>
      <c r="S122" s="6" t="s">
        <v>4849</v>
      </c>
      <c r="T122" s="6" t="s">
        <v>4848</v>
      </c>
      <c r="U122" s="6">
        <v>1018</v>
      </c>
      <c r="V122" s="6">
        <v>8</v>
      </c>
      <c r="W122" s="6" t="s">
        <v>7366</v>
      </c>
      <c r="Y122" t="s">
        <v>4794</v>
      </c>
      <c r="Z122" t="s">
        <v>4795</v>
      </c>
      <c r="AA122" s="6">
        <f t="shared" si="11"/>
        <v>849</v>
      </c>
      <c r="AB122">
        <v>17</v>
      </c>
      <c r="AC122">
        <v>173</v>
      </c>
      <c r="AD122">
        <v>130</v>
      </c>
    </row>
    <row r="123" spans="1:30" ht="17" x14ac:dyDescent="0.25">
      <c r="A123" s="1" t="s">
        <v>125</v>
      </c>
      <c r="B123" s="1" t="s">
        <v>2777</v>
      </c>
      <c r="C123" s="1" t="s">
        <v>1452</v>
      </c>
      <c r="D123" t="str">
        <f t="shared" si="12"/>
        <v>019299</v>
      </c>
      <c r="E123" t="str">
        <f t="shared" si="13"/>
        <v>1-146-153</v>
      </c>
      <c r="F123" t="str">
        <f t="shared" si="14"/>
        <v>1146153</v>
      </c>
      <c r="G123">
        <f t="shared" si="15"/>
        <v>1</v>
      </c>
      <c r="H123">
        <f t="shared" si="16"/>
        <v>146</v>
      </c>
      <c r="I123">
        <f t="shared" si="17"/>
        <v>153</v>
      </c>
      <c r="J123" t="str">
        <f t="shared" si="9"/>
        <v>AUD",</v>
      </c>
      <c r="K123" t="str">
        <f t="shared" si="9"/>
        <v>Auditory areas",</v>
      </c>
      <c r="L123" t="str">
        <f t="shared" si="10"/>
        <v>AUD</v>
      </c>
      <c r="M123" t="str">
        <f t="shared" si="10"/>
        <v>Auditory areas</v>
      </c>
      <c r="N123" t="s">
        <v>4796</v>
      </c>
      <c r="O123" t="s">
        <v>4797</v>
      </c>
      <c r="Q123" s="6">
        <v>152</v>
      </c>
      <c r="R123" s="6">
        <v>755</v>
      </c>
      <c r="S123" s="6" t="s">
        <v>7194</v>
      </c>
      <c r="T123" s="6" t="s">
        <v>7133</v>
      </c>
      <c r="U123" s="6">
        <v>1018</v>
      </c>
      <c r="V123" s="6">
        <v>8</v>
      </c>
      <c r="W123" s="6" t="s">
        <v>7367</v>
      </c>
      <c r="Y123" t="s">
        <v>4796</v>
      </c>
      <c r="Z123" t="s">
        <v>4797</v>
      </c>
      <c r="AA123" s="6">
        <f t="shared" si="11"/>
        <v>247</v>
      </c>
      <c r="AB123">
        <v>1</v>
      </c>
      <c r="AC123">
        <v>146</v>
      </c>
      <c r="AD123">
        <v>153</v>
      </c>
    </row>
    <row r="124" spans="1:30" ht="17" x14ac:dyDescent="0.25">
      <c r="A124" s="1" t="s">
        <v>126</v>
      </c>
      <c r="B124" s="1" t="s">
        <v>2778</v>
      </c>
      <c r="C124" s="1" t="s">
        <v>1453</v>
      </c>
      <c r="D124" t="str">
        <f t="shared" si="12"/>
        <v>049399</v>
      </c>
      <c r="E124" t="str">
        <f t="shared" si="13"/>
        <v>4-147-153</v>
      </c>
      <c r="F124" t="str">
        <f t="shared" si="14"/>
        <v>4147153</v>
      </c>
      <c r="G124">
        <f t="shared" si="15"/>
        <v>4</v>
      </c>
      <c r="H124">
        <f t="shared" si="16"/>
        <v>147</v>
      </c>
      <c r="I124">
        <f t="shared" si="17"/>
        <v>153</v>
      </c>
      <c r="J124" t="str">
        <f t="shared" si="9"/>
        <v>AUDd",</v>
      </c>
      <c r="K124" t="str">
        <f t="shared" si="9"/>
        <v>Dorsal auditory area",</v>
      </c>
      <c r="L124" t="str">
        <f t="shared" si="10"/>
        <v>AUDd</v>
      </c>
      <c r="M124" t="str">
        <f t="shared" si="10"/>
        <v>Dorsal auditory area</v>
      </c>
      <c r="N124" t="s">
        <v>4798</v>
      </c>
      <c r="O124" t="s">
        <v>4799</v>
      </c>
      <c r="Q124" s="6">
        <v>153</v>
      </c>
      <c r="R124" s="6">
        <v>990</v>
      </c>
      <c r="S124" s="6" t="s">
        <v>4851</v>
      </c>
      <c r="T124" s="6" t="s">
        <v>4850</v>
      </c>
      <c r="U124" s="6">
        <v>1018</v>
      </c>
      <c r="V124" s="6">
        <v>8</v>
      </c>
      <c r="W124" s="6" t="s">
        <v>7368</v>
      </c>
      <c r="Y124" t="s">
        <v>4798</v>
      </c>
      <c r="Z124" t="s">
        <v>4799</v>
      </c>
      <c r="AA124" s="6">
        <f t="shared" si="11"/>
        <v>1011</v>
      </c>
      <c r="AB124">
        <v>4</v>
      </c>
      <c r="AC124">
        <v>147</v>
      </c>
      <c r="AD124">
        <v>153</v>
      </c>
    </row>
    <row r="125" spans="1:30" ht="17" x14ac:dyDescent="0.25">
      <c r="A125" s="1" t="s">
        <v>127</v>
      </c>
      <c r="B125" s="1" t="s">
        <v>2779</v>
      </c>
      <c r="C125" s="1" t="s">
        <v>1454</v>
      </c>
      <c r="D125" t="str">
        <f t="shared" si="12"/>
        <v>039399</v>
      </c>
      <c r="E125" t="str">
        <f t="shared" si="13"/>
        <v>3-147-153</v>
      </c>
      <c r="F125" t="str">
        <f t="shared" si="14"/>
        <v>3147153</v>
      </c>
      <c r="G125">
        <f t="shared" si="15"/>
        <v>3</v>
      </c>
      <c r="H125">
        <f t="shared" si="16"/>
        <v>147</v>
      </c>
      <c r="I125">
        <f t="shared" si="17"/>
        <v>153</v>
      </c>
      <c r="J125" t="str">
        <f t="shared" si="9"/>
        <v>AUDd1",</v>
      </c>
      <c r="K125" t="str">
        <f t="shared" si="9"/>
        <v>Dorsal auditory area, layer 1",</v>
      </c>
      <c r="L125" t="str">
        <f t="shared" si="10"/>
        <v>AUDd1</v>
      </c>
      <c r="M125" t="str">
        <f t="shared" si="10"/>
        <v>Dorsal auditory area, layer 1</v>
      </c>
      <c r="N125" t="s">
        <v>4800</v>
      </c>
      <c r="O125" t="s">
        <v>4801</v>
      </c>
      <c r="Q125" s="6">
        <v>154</v>
      </c>
      <c r="R125" s="6">
        <v>1023</v>
      </c>
      <c r="S125" s="6" t="s">
        <v>4853</v>
      </c>
      <c r="T125" s="6" t="s">
        <v>4852</v>
      </c>
      <c r="U125" s="6">
        <v>1018</v>
      </c>
      <c r="V125" s="6">
        <v>8</v>
      </c>
      <c r="W125" s="6" t="s">
        <v>7369</v>
      </c>
      <c r="Y125" t="s">
        <v>4800</v>
      </c>
      <c r="Z125" t="s">
        <v>4801</v>
      </c>
      <c r="AA125" s="6">
        <f t="shared" si="11"/>
        <v>527</v>
      </c>
      <c r="AB125">
        <v>3</v>
      </c>
      <c r="AC125">
        <v>147</v>
      </c>
      <c r="AD125">
        <v>153</v>
      </c>
    </row>
    <row r="126" spans="1:30" ht="17" x14ac:dyDescent="0.25">
      <c r="A126" s="1" t="s">
        <v>128</v>
      </c>
      <c r="B126" s="1" t="s">
        <v>2780</v>
      </c>
      <c r="C126" s="1" t="s">
        <v>1455</v>
      </c>
      <c r="D126" t="str">
        <f t="shared" si="12"/>
        <v>029397</v>
      </c>
      <c r="E126" t="str">
        <f t="shared" si="13"/>
        <v>2-147-151</v>
      </c>
      <c r="F126" t="str">
        <f t="shared" si="14"/>
        <v>2147151</v>
      </c>
      <c r="G126">
        <f t="shared" si="15"/>
        <v>2</v>
      </c>
      <c r="H126">
        <f t="shared" si="16"/>
        <v>147</v>
      </c>
      <c r="I126">
        <f t="shared" si="17"/>
        <v>151</v>
      </c>
      <c r="J126" t="str">
        <f t="shared" si="9"/>
        <v>AUDd2\/3",</v>
      </c>
      <c r="K126" t="str">
        <f t="shared" si="9"/>
        <v>Dorsal auditory area, layer 2\/3",</v>
      </c>
      <c r="L126" t="str">
        <f t="shared" si="10"/>
        <v>AUDd2\/3</v>
      </c>
      <c r="M126" t="str">
        <f t="shared" si="10"/>
        <v>Dorsal auditory area, layer 2\/3</v>
      </c>
      <c r="N126" t="s">
        <v>7129</v>
      </c>
      <c r="O126" t="s">
        <v>7190</v>
      </c>
      <c r="Q126" s="6">
        <v>155</v>
      </c>
      <c r="R126" s="6">
        <v>520</v>
      </c>
      <c r="S126" s="6" t="s">
        <v>4855</v>
      </c>
      <c r="T126" s="6" t="s">
        <v>4854</v>
      </c>
      <c r="U126" s="6">
        <v>1018</v>
      </c>
      <c r="V126" s="6">
        <v>8</v>
      </c>
      <c r="W126" s="6" t="s">
        <v>7370</v>
      </c>
      <c r="Y126" t="s">
        <v>7129</v>
      </c>
      <c r="Z126" t="s">
        <v>7190</v>
      </c>
      <c r="AA126" s="6">
        <f t="shared" si="11"/>
        <v>600</v>
      </c>
      <c r="AB126">
        <v>2</v>
      </c>
      <c r="AC126">
        <v>147</v>
      </c>
      <c r="AD126">
        <v>151</v>
      </c>
    </row>
    <row r="127" spans="1:30" ht="17" x14ac:dyDescent="0.25">
      <c r="A127" s="1" t="s">
        <v>129</v>
      </c>
      <c r="B127" s="1" t="s">
        <v>2781</v>
      </c>
      <c r="C127" s="1" t="s">
        <v>1456</v>
      </c>
      <c r="D127" t="str">
        <f t="shared" si="12"/>
        <v>039398</v>
      </c>
      <c r="E127" t="str">
        <f t="shared" si="13"/>
        <v>3-147-152</v>
      </c>
      <c r="F127" t="str">
        <f t="shared" si="14"/>
        <v>3147152</v>
      </c>
      <c r="G127">
        <f t="shared" si="15"/>
        <v>3</v>
      </c>
      <c r="H127">
        <f t="shared" si="16"/>
        <v>147</v>
      </c>
      <c r="I127">
        <f t="shared" si="17"/>
        <v>152</v>
      </c>
      <c r="J127" t="str">
        <f t="shared" si="9"/>
        <v>AUDd4",</v>
      </c>
      <c r="K127" t="str">
        <f t="shared" si="9"/>
        <v>Dorsal auditory area, layer 4",</v>
      </c>
      <c r="L127" t="str">
        <f t="shared" si="10"/>
        <v>AUDd4</v>
      </c>
      <c r="M127" t="str">
        <f t="shared" si="10"/>
        <v>Dorsal auditory area, layer 4</v>
      </c>
      <c r="N127" t="s">
        <v>4802</v>
      </c>
      <c r="O127" t="s">
        <v>4803</v>
      </c>
      <c r="Q127" s="6">
        <v>156</v>
      </c>
      <c r="R127" s="6">
        <v>598</v>
      </c>
      <c r="S127" s="6" t="s">
        <v>4857</v>
      </c>
      <c r="T127" s="6" t="s">
        <v>4856</v>
      </c>
      <c r="U127" s="6">
        <v>1018</v>
      </c>
      <c r="V127" s="6">
        <v>8</v>
      </c>
      <c r="W127" s="6" t="s">
        <v>7371</v>
      </c>
      <c r="Y127" t="s">
        <v>4802</v>
      </c>
      <c r="Z127" t="s">
        <v>4803</v>
      </c>
      <c r="AA127" s="6">
        <f t="shared" si="11"/>
        <v>678</v>
      </c>
      <c r="AB127">
        <v>3</v>
      </c>
      <c r="AC127">
        <v>147</v>
      </c>
      <c r="AD127">
        <v>152</v>
      </c>
    </row>
    <row r="128" spans="1:30" ht="17" x14ac:dyDescent="0.25">
      <c r="A128" s="1" t="s">
        <v>130</v>
      </c>
      <c r="B128" s="1" t="s">
        <v>2782</v>
      </c>
      <c r="C128" s="1" t="s">
        <v>1457</v>
      </c>
      <c r="D128" t="str">
        <f t="shared" si="12"/>
        <v>029398</v>
      </c>
      <c r="E128" t="str">
        <f t="shared" si="13"/>
        <v>2-147-152</v>
      </c>
      <c r="F128" t="str">
        <f t="shared" si="14"/>
        <v>2147152</v>
      </c>
      <c r="G128">
        <f t="shared" si="15"/>
        <v>2</v>
      </c>
      <c r="H128">
        <f t="shared" si="16"/>
        <v>147</v>
      </c>
      <c r="I128">
        <f t="shared" si="17"/>
        <v>152</v>
      </c>
      <c r="J128" t="str">
        <f t="shared" si="9"/>
        <v>AUDd5",</v>
      </c>
      <c r="K128" t="str">
        <f t="shared" si="9"/>
        <v>Dorsal auditory area, layer 5",</v>
      </c>
      <c r="L128" t="str">
        <f t="shared" si="10"/>
        <v>AUDd5</v>
      </c>
      <c r="M128" t="str">
        <f t="shared" si="10"/>
        <v>Dorsal auditory area, layer 5</v>
      </c>
      <c r="N128" t="s">
        <v>4804</v>
      </c>
      <c r="O128" t="s">
        <v>4805</v>
      </c>
      <c r="Q128" s="6">
        <v>157</v>
      </c>
      <c r="R128" s="6">
        <v>669</v>
      </c>
      <c r="S128" s="6" t="s">
        <v>4859</v>
      </c>
      <c r="T128" s="6" t="s">
        <v>4858</v>
      </c>
      <c r="U128" s="6">
        <v>315</v>
      </c>
      <c r="V128" s="6">
        <v>6</v>
      </c>
      <c r="W128" s="6" t="s">
        <v>7372</v>
      </c>
      <c r="Y128" t="s">
        <v>4804</v>
      </c>
      <c r="Z128" t="s">
        <v>4805</v>
      </c>
      <c r="AA128" s="6">
        <f t="shared" si="11"/>
        <v>252</v>
      </c>
      <c r="AB128">
        <v>2</v>
      </c>
      <c r="AC128">
        <v>147</v>
      </c>
      <c r="AD128">
        <v>152</v>
      </c>
    </row>
    <row r="129" spans="1:30" ht="17" x14ac:dyDescent="0.25">
      <c r="A129" s="1" t="s">
        <v>131</v>
      </c>
      <c r="B129" s="1" t="s">
        <v>2783</v>
      </c>
      <c r="C129" s="1" t="s">
        <v>1458</v>
      </c>
      <c r="D129" t="str">
        <f t="shared" si="12"/>
        <v>019399</v>
      </c>
      <c r="E129" t="str">
        <f t="shared" si="13"/>
        <v>1-147-153</v>
      </c>
      <c r="F129" t="str">
        <f t="shared" si="14"/>
        <v>1147153</v>
      </c>
      <c r="G129">
        <f t="shared" si="15"/>
        <v>1</v>
      </c>
      <c r="H129">
        <f t="shared" si="16"/>
        <v>147</v>
      </c>
      <c r="I129">
        <f t="shared" si="17"/>
        <v>153</v>
      </c>
      <c r="J129" t="str">
        <f t="shared" si="9"/>
        <v>AUDd6a",</v>
      </c>
      <c r="K129" t="str">
        <f t="shared" si="9"/>
        <v>Dorsal auditory area, layer 6a",</v>
      </c>
      <c r="L129" t="str">
        <f t="shared" si="10"/>
        <v>AUDd6a</v>
      </c>
      <c r="M129" t="str">
        <f t="shared" si="10"/>
        <v>Dorsal auditory area, layer 6a</v>
      </c>
      <c r="N129" t="s">
        <v>4806</v>
      </c>
      <c r="O129" t="s">
        <v>4807</v>
      </c>
      <c r="Q129" s="6">
        <v>164</v>
      </c>
      <c r="R129" s="6">
        <v>402</v>
      </c>
      <c r="S129" s="6" t="s">
        <v>4871</v>
      </c>
      <c r="T129" s="6" t="s">
        <v>4870</v>
      </c>
      <c r="U129" s="6">
        <v>669</v>
      </c>
      <c r="V129" s="6">
        <v>7</v>
      </c>
      <c r="W129" s="6" t="s">
        <v>7373</v>
      </c>
      <c r="Y129" t="s">
        <v>4806</v>
      </c>
      <c r="Z129" t="s">
        <v>4807</v>
      </c>
      <c r="AA129" s="6">
        <f t="shared" si="11"/>
        <v>156</v>
      </c>
      <c r="AB129">
        <v>1</v>
      </c>
      <c r="AC129">
        <v>147</v>
      </c>
      <c r="AD129">
        <v>153</v>
      </c>
    </row>
    <row r="130" spans="1:30" ht="17" x14ac:dyDescent="0.25">
      <c r="A130" s="1" t="s">
        <v>132</v>
      </c>
      <c r="B130" s="1" t="s">
        <v>2784</v>
      </c>
      <c r="C130" s="1" t="s">
        <v>1459</v>
      </c>
      <c r="D130" t="str">
        <f t="shared" si="12"/>
        <v>019398</v>
      </c>
      <c r="E130" t="str">
        <f t="shared" si="13"/>
        <v>1-147-152</v>
      </c>
      <c r="F130" t="str">
        <f t="shared" si="14"/>
        <v>1147152</v>
      </c>
      <c r="G130">
        <f t="shared" si="15"/>
        <v>1</v>
      </c>
      <c r="H130">
        <f t="shared" si="16"/>
        <v>147</v>
      </c>
      <c r="I130">
        <f t="shared" si="17"/>
        <v>152</v>
      </c>
      <c r="J130" t="str">
        <f t="shared" si="9"/>
        <v>AUDd6b",</v>
      </c>
      <c r="K130" t="str">
        <f t="shared" si="9"/>
        <v>Dorsal auditory area, layer 6b",</v>
      </c>
      <c r="L130" t="str">
        <f t="shared" si="10"/>
        <v>AUDd6b</v>
      </c>
      <c r="M130" t="str">
        <f t="shared" si="10"/>
        <v>Dorsal auditory area, layer 6b</v>
      </c>
      <c r="N130" t="s">
        <v>4808</v>
      </c>
      <c r="O130" t="s">
        <v>4809</v>
      </c>
      <c r="Q130" s="6">
        <v>165</v>
      </c>
      <c r="R130" s="6">
        <v>1074</v>
      </c>
      <c r="S130" s="6" t="s">
        <v>4873</v>
      </c>
      <c r="T130" s="6" t="s">
        <v>4872</v>
      </c>
      <c r="U130" s="6">
        <v>402</v>
      </c>
      <c r="V130" s="6">
        <v>8</v>
      </c>
      <c r="W130" s="6" t="s">
        <v>7374</v>
      </c>
      <c r="Y130" t="s">
        <v>4808</v>
      </c>
      <c r="Z130" t="s">
        <v>4809</v>
      </c>
      <c r="AA130" s="6">
        <f t="shared" si="11"/>
        <v>243</v>
      </c>
      <c r="AB130">
        <v>1</v>
      </c>
      <c r="AC130">
        <v>147</v>
      </c>
      <c r="AD130">
        <v>152</v>
      </c>
    </row>
    <row r="131" spans="1:30" ht="17" x14ac:dyDescent="0.25">
      <c r="A131" s="1" t="s">
        <v>133</v>
      </c>
      <c r="B131" s="1" t="s">
        <v>2785</v>
      </c>
      <c r="C131" s="1" t="s">
        <v>1460</v>
      </c>
      <c r="D131" t="str">
        <f t="shared" si="12"/>
        <v>029099</v>
      </c>
      <c r="E131" t="str">
        <f t="shared" si="13"/>
        <v>2-144-153</v>
      </c>
      <c r="F131" t="str">
        <f t="shared" si="14"/>
        <v>2144153</v>
      </c>
      <c r="G131">
        <f t="shared" si="15"/>
        <v>2</v>
      </c>
      <c r="H131">
        <f t="shared" si="16"/>
        <v>144</v>
      </c>
      <c r="I131">
        <f t="shared" si="17"/>
        <v>153</v>
      </c>
      <c r="J131" t="str">
        <f t="shared" ref="J131:K194" si="18">RIGHT(A131,LEN(A131)-3)</f>
        <v>VISlla",</v>
      </c>
      <c r="K131" t="str">
        <f t="shared" si="18"/>
        <v>Laterolateral anterior visual area",</v>
      </c>
      <c r="L131" t="str">
        <f t="shared" ref="L131:M194" si="19">LEFT(J131,LEN(J131)-2)</f>
        <v>VISlla</v>
      </c>
      <c r="M131" t="str">
        <f t="shared" si="19"/>
        <v>Laterolateral anterior visual area</v>
      </c>
      <c r="N131" t="s">
        <v>4810</v>
      </c>
      <c r="O131" t="s">
        <v>4811</v>
      </c>
      <c r="Q131" s="6">
        <v>166</v>
      </c>
      <c r="R131" s="6">
        <v>905</v>
      </c>
      <c r="S131" s="6" t="s">
        <v>7196</v>
      </c>
      <c r="T131" s="6" t="s">
        <v>7135</v>
      </c>
      <c r="U131" s="6">
        <v>402</v>
      </c>
      <c r="V131" s="6">
        <v>8</v>
      </c>
      <c r="W131" s="6" t="s">
        <v>7375</v>
      </c>
      <c r="Y131" t="s">
        <v>4810</v>
      </c>
      <c r="Z131" t="s">
        <v>4811</v>
      </c>
      <c r="AA131" s="6" t="str">
        <f t="shared" ref="AA131:AA194" si="20">IFERROR(INDEX(R:R,MATCH($Z131,S:S,0)),"")</f>
        <v/>
      </c>
      <c r="AB131">
        <v>2</v>
      </c>
      <c r="AC131">
        <v>144</v>
      </c>
      <c r="AD131">
        <v>153</v>
      </c>
    </row>
    <row r="132" spans="1:30" ht="17" x14ac:dyDescent="0.25">
      <c r="A132" s="1" t="s">
        <v>134</v>
      </c>
      <c r="B132" s="1" t="s">
        <v>2786</v>
      </c>
      <c r="C132" s="1" t="s">
        <v>1461</v>
      </c>
      <c r="D132" t="str">
        <f t="shared" ref="D132:D195" si="21">RIGHT(LEFT(C132,9),6)</f>
        <v>029299</v>
      </c>
      <c r="E132" t="str">
        <f t="shared" ref="E132:E195" si="22">HEX2DEC(LEFT(D132,2))&amp;"-"&amp;HEX2DEC(MID(D132,3,2))&amp;"-"&amp;HEX2DEC(RIGHT(D132,2))</f>
        <v>2-146-153</v>
      </c>
      <c r="F132" t="str">
        <f t="shared" ref="F132:F195" si="23">HEX2DEC(LEFT(D132,2))&amp;HEX2DEC(MID(D132,3,2))&amp;HEX2DEC(RIGHT(D132,2))</f>
        <v>2146153</v>
      </c>
      <c r="G132">
        <f t="shared" ref="G132:G195" si="24">HEX2DEC(LEFT(D132,2))</f>
        <v>2</v>
      </c>
      <c r="H132">
        <f t="shared" ref="H132:H195" si="25">HEX2DEC(MID(D132,3,2))</f>
        <v>146</v>
      </c>
      <c r="I132">
        <f t="shared" ref="I132:I195" si="26">HEX2DEC(RIGHT(D132,2))</f>
        <v>153</v>
      </c>
      <c r="J132" t="str">
        <f t="shared" si="18"/>
        <v>VISlla1",</v>
      </c>
      <c r="K132" t="str">
        <f t="shared" si="18"/>
        <v>Laterolateral anterior visual area, layer 1",</v>
      </c>
      <c r="L132" t="str">
        <f t="shared" si="19"/>
        <v>VISlla1</v>
      </c>
      <c r="M132" t="str">
        <f t="shared" si="19"/>
        <v>Laterolateral anterior visual area, layer 1</v>
      </c>
      <c r="N132" t="s">
        <v>4812</v>
      </c>
      <c r="O132" t="s">
        <v>4813</v>
      </c>
      <c r="Q132" s="6">
        <v>167</v>
      </c>
      <c r="R132" s="6">
        <v>1114</v>
      </c>
      <c r="S132" s="6" t="s">
        <v>4875</v>
      </c>
      <c r="T132" s="6" t="s">
        <v>4874</v>
      </c>
      <c r="U132" s="6">
        <v>402</v>
      </c>
      <c r="V132" s="6">
        <v>8</v>
      </c>
      <c r="W132" s="6" t="s">
        <v>7376</v>
      </c>
      <c r="Y132" t="s">
        <v>4812</v>
      </c>
      <c r="Z132" t="s">
        <v>4813</v>
      </c>
      <c r="AA132" s="6" t="str">
        <f t="shared" si="20"/>
        <v/>
      </c>
      <c r="AB132">
        <v>2</v>
      </c>
      <c r="AC132">
        <v>146</v>
      </c>
      <c r="AD132">
        <v>153</v>
      </c>
    </row>
    <row r="133" spans="1:30" ht="17" x14ac:dyDescent="0.25">
      <c r="A133" s="1" t="s">
        <v>135</v>
      </c>
      <c r="B133" s="1" t="s">
        <v>2787</v>
      </c>
      <c r="C133" s="1" t="s">
        <v>1462</v>
      </c>
      <c r="D133" t="str">
        <f t="shared" si="21"/>
        <v>049398</v>
      </c>
      <c r="E133" t="str">
        <f t="shared" si="22"/>
        <v>4-147-152</v>
      </c>
      <c r="F133" t="str">
        <f t="shared" si="23"/>
        <v>4147152</v>
      </c>
      <c r="G133">
        <f t="shared" si="24"/>
        <v>4</v>
      </c>
      <c r="H133">
        <f t="shared" si="25"/>
        <v>147</v>
      </c>
      <c r="I133">
        <f t="shared" si="26"/>
        <v>152</v>
      </c>
      <c r="J133" t="str">
        <f t="shared" si="18"/>
        <v>VISlla2\/3",</v>
      </c>
      <c r="K133" t="str">
        <f t="shared" si="18"/>
        <v>Laterolateral anterior visual area, layer 2\/3",</v>
      </c>
      <c r="L133" t="str">
        <f t="shared" si="19"/>
        <v>VISlla2\/3</v>
      </c>
      <c r="M133" t="str">
        <f t="shared" si="19"/>
        <v>Laterolateral anterior visual area, layer 2\/3</v>
      </c>
      <c r="N133" t="s">
        <v>7130</v>
      </c>
      <c r="O133" t="s">
        <v>7191</v>
      </c>
      <c r="Q133" s="6">
        <v>168</v>
      </c>
      <c r="R133" s="6">
        <v>233</v>
      </c>
      <c r="S133" s="6" t="s">
        <v>4877</v>
      </c>
      <c r="T133" s="6" t="s">
        <v>4876</v>
      </c>
      <c r="U133" s="6">
        <v>402</v>
      </c>
      <c r="V133" s="6">
        <v>8</v>
      </c>
      <c r="W133" s="6" t="s">
        <v>7377</v>
      </c>
      <c r="Y133" t="s">
        <v>7130</v>
      </c>
      <c r="Z133" t="s">
        <v>7191</v>
      </c>
      <c r="AA133" s="6" t="str">
        <f t="shared" si="20"/>
        <v/>
      </c>
      <c r="AB133">
        <v>4</v>
      </c>
      <c r="AC133">
        <v>147</v>
      </c>
      <c r="AD133">
        <v>152</v>
      </c>
    </row>
    <row r="134" spans="1:30" ht="17" x14ac:dyDescent="0.25">
      <c r="A134" s="1" t="s">
        <v>136</v>
      </c>
      <c r="B134" s="1" t="s">
        <v>2788</v>
      </c>
      <c r="C134" s="1" t="s">
        <v>1463</v>
      </c>
      <c r="D134" t="str">
        <f t="shared" si="21"/>
        <v>049299</v>
      </c>
      <c r="E134" t="str">
        <f t="shared" si="22"/>
        <v>4-146-153</v>
      </c>
      <c r="F134" t="str">
        <f t="shared" si="23"/>
        <v>4146153</v>
      </c>
      <c r="G134">
        <f t="shared" si="24"/>
        <v>4</v>
      </c>
      <c r="H134">
        <f t="shared" si="25"/>
        <v>146</v>
      </c>
      <c r="I134">
        <f t="shared" si="26"/>
        <v>153</v>
      </c>
      <c r="J134" t="str">
        <f t="shared" si="18"/>
        <v>VISlla4",</v>
      </c>
      <c r="K134" t="str">
        <f t="shared" si="18"/>
        <v>Laterolateral anterior visual area, layer 4",</v>
      </c>
      <c r="L134" t="str">
        <f t="shared" si="19"/>
        <v>VISlla4</v>
      </c>
      <c r="M134" t="str">
        <f t="shared" si="19"/>
        <v>Laterolateral anterior visual area, layer 4</v>
      </c>
      <c r="N134" t="s">
        <v>4814</v>
      </c>
      <c r="O134" t="s">
        <v>4815</v>
      </c>
      <c r="Q134" s="6">
        <v>169</v>
      </c>
      <c r="R134" s="6">
        <v>601</v>
      </c>
      <c r="S134" s="6" t="s">
        <v>4879</v>
      </c>
      <c r="T134" s="6" t="s">
        <v>4878</v>
      </c>
      <c r="U134" s="6">
        <v>402</v>
      </c>
      <c r="V134" s="6">
        <v>8</v>
      </c>
      <c r="W134" s="6" t="s">
        <v>7378</v>
      </c>
      <c r="Y134" t="s">
        <v>4814</v>
      </c>
      <c r="Z134" t="s">
        <v>4815</v>
      </c>
      <c r="AA134" s="6" t="str">
        <f t="shared" si="20"/>
        <v/>
      </c>
      <c r="AB134">
        <v>4</v>
      </c>
      <c r="AC134">
        <v>146</v>
      </c>
      <c r="AD134">
        <v>153</v>
      </c>
    </row>
    <row r="135" spans="1:30" ht="17" x14ac:dyDescent="0.25">
      <c r="A135" s="1" t="s">
        <v>137</v>
      </c>
      <c r="B135" s="1" t="s">
        <v>2789</v>
      </c>
      <c r="C135" s="1" t="s">
        <v>1464</v>
      </c>
      <c r="D135" t="str">
        <f t="shared" si="21"/>
        <v>029296</v>
      </c>
      <c r="E135" t="str">
        <f t="shared" si="22"/>
        <v>2-146-150</v>
      </c>
      <c r="F135" t="str">
        <f t="shared" si="23"/>
        <v>2146150</v>
      </c>
      <c r="G135">
        <f t="shared" si="24"/>
        <v>2</v>
      </c>
      <c r="H135">
        <f t="shared" si="25"/>
        <v>146</v>
      </c>
      <c r="I135">
        <f t="shared" si="26"/>
        <v>150</v>
      </c>
      <c r="J135" t="str">
        <f t="shared" si="18"/>
        <v>VISlla5",</v>
      </c>
      <c r="K135" t="str">
        <f t="shared" si="18"/>
        <v>Laterolateral anterior visual area,layer 5",</v>
      </c>
      <c r="L135" t="str">
        <f t="shared" si="19"/>
        <v>VISlla5</v>
      </c>
      <c r="M135" t="str">
        <f t="shared" si="19"/>
        <v>Laterolateral anterior visual area,layer 5</v>
      </c>
      <c r="N135" t="s">
        <v>4816</v>
      </c>
      <c r="O135" t="s">
        <v>4817</v>
      </c>
      <c r="Q135" s="6">
        <v>170</v>
      </c>
      <c r="R135" s="6">
        <v>649</v>
      </c>
      <c r="S135" s="6" t="s">
        <v>4881</v>
      </c>
      <c r="T135" s="6" t="s">
        <v>4880</v>
      </c>
      <c r="U135" s="6">
        <v>402</v>
      </c>
      <c r="V135" s="6">
        <v>8</v>
      </c>
      <c r="W135" s="6" t="s">
        <v>7379</v>
      </c>
      <c r="Y135" t="s">
        <v>4816</v>
      </c>
      <c r="Z135" t="s">
        <v>4817</v>
      </c>
      <c r="AA135" s="6" t="str">
        <f t="shared" si="20"/>
        <v/>
      </c>
      <c r="AB135">
        <v>2</v>
      </c>
      <c r="AC135">
        <v>146</v>
      </c>
      <c r="AD135">
        <v>150</v>
      </c>
    </row>
    <row r="136" spans="1:30" ht="17" x14ac:dyDescent="0.25">
      <c r="A136" s="1" t="s">
        <v>138</v>
      </c>
      <c r="B136" s="1" t="s">
        <v>2790</v>
      </c>
      <c r="C136" s="1" t="s">
        <v>1465</v>
      </c>
      <c r="D136" t="str">
        <f t="shared" si="21"/>
        <v>019199</v>
      </c>
      <c r="E136" t="str">
        <f t="shared" si="22"/>
        <v>1-145-153</v>
      </c>
      <c r="F136" t="str">
        <f t="shared" si="23"/>
        <v>1145153</v>
      </c>
      <c r="G136">
        <f t="shared" si="24"/>
        <v>1</v>
      </c>
      <c r="H136">
        <f t="shared" si="25"/>
        <v>145</v>
      </c>
      <c r="I136">
        <f t="shared" si="26"/>
        <v>153</v>
      </c>
      <c r="J136" t="str">
        <f t="shared" si="18"/>
        <v>VISlla6a",</v>
      </c>
      <c r="K136" t="str">
        <f t="shared" si="18"/>
        <v>Laterolateral anterior visual area, layer 6a",</v>
      </c>
      <c r="L136" t="str">
        <f t="shared" si="19"/>
        <v>VISlla6a</v>
      </c>
      <c r="M136" t="str">
        <f t="shared" si="19"/>
        <v>Laterolateral anterior visual area, layer 6a</v>
      </c>
      <c r="N136" t="s">
        <v>4818</v>
      </c>
      <c r="O136" t="s">
        <v>4819</v>
      </c>
      <c r="Q136" s="6">
        <v>171</v>
      </c>
      <c r="R136" s="6">
        <v>394</v>
      </c>
      <c r="S136" s="6" t="s">
        <v>4883</v>
      </c>
      <c r="T136" s="6" t="s">
        <v>4882</v>
      </c>
      <c r="U136" s="6">
        <v>669</v>
      </c>
      <c r="V136" s="6">
        <v>7</v>
      </c>
      <c r="W136" s="6" t="s">
        <v>7380</v>
      </c>
      <c r="Y136" t="s">
        <v>4818</v>
      </c>
      <c r="Z136" t="s">
        <v>4819</v>
      </c>
      <c r="AA136" s="6" t="str">
        <f t="shared" si="20"/>
        <v/>
      </c>
      <c r="AB136">
        <v>1</v>
      </c>
      <c r="AC136">
        <v>145</v>
      </c>
      <c r="AD136">
        <v>153</v>
      </c>
    </row>
    <row r="137" spans="1:30" ht="17" x14ac:dyDescent="0.25">
      <c r="A137" s="1" t="s">
        <v>139</v>
      </c>
      <c r="B137" s="1" t="s">
        <v>2791</v>
      </c>
      <c r="C137" s="1" t="s">
        <v>1466</v>
      </c>
      <c r="D137" t="str">
        <f t="shared" si="21"/>
        <v>019297</v>
      </c>
      <c r="E137" t="str">
        <f t="shared" si="22"/>
        <v>1-146-151</v>
      </c>
      <c r="F137" t="str">
        <f t="shared" si="23"/>
        <v>1146151</v>
      </c>
      <c r="G137">
        <f t="shared" si="24"/>
        <v>1</v>
      </c>
      <c r="H137">
        <f t="shared" si="25"/>
        <v>146</v>
      </c>
      <c r="I137">
        <f t="shared" si="26"/>
        <v>151</v>
      </c>
      <c r="J137" t="str">
        <f t="shared" si="18"/>
        <v>VISlla6b",</v>
      </c>
      <c r="K137" t="str">
        <f t="shared" si="18"/>
        <v>Laterolateral anterior visual area, layer 6b",</v>
      </c>
      <c r="L137" t="str">
        <f t="shared" si="19"/>
        <v>VISlla6b</v>
      </c>
      <c r="M137" t="str">
        <f t="shared" si="19"/>
        <v>Laterolateral anterior visual area, layer 6b</v>
      </c>
      <c r="N137" t="s">
        <v>4820</v>
      </c>
      <c r="O137" t="s">
        <v>4821</v>
      </c>
      <c r="Q137" s="6">
        <v>172</v>
      </c>
      <c r="R137" s="6">
        <v>281</v>
      </c>
      <c r="S137" s="6" t="s">
        <v>4885</v>
      </c>
      <c r="T137" s="6" t="s">
        <v>4884</v>
      </c>
      <c r="U137" s="6">
        <v>394</v>
      </c>
      <c r="V137" s="6">
        <v>8</v>
      </c>
      <c r="W137" s="6" t="s">
        <v>7381</v>
      </c>
      <c r="Y137" t="s">
        <v>4820</v>
      </c>
      <c r="Z137" t="s">
        <v>4821</v>
      </c>
      <c r="AA137" s="6" t="str">
        <f t="shared" si="20"/>
        <v/>
      </c>
      <c r="AB137">
        <v>1</v>
      </c>
      <c r="AC137">
        <v>146</v>
      </c>
      <c r="AD137">
        <v>151</v>
      </c>
    </row>
    <row r="138" spans="1:30" ht="17" x14ac:dyDescent="0.25">
      <c r="A138" s="1" t="s">
        <v>140</v>
      </c>
      <c r="B138" s="1" t="s">
        <v>2792</v>
      </c>
      <c r="C138" s="1" t="s">
        <v>1467</v>
      </c>
      <c r="D138" t="str">
        <f t="shared" si="21"/>
        <v>039297</v>
      </c>
      <c r="E138" t="str">
        <f t="shared" si="22"/>
        <v>3-146-151</v>
      </c>
      <c r="F138" t="str">
        <f t="shared" si="23"/>
        <v>3146151</v>
      </c>
      <c r="G138">
        <f t="shared" si="24"/>
        <v>3</v>
      </c>
      <c r="H138">
        <f t="shared" si="25"/>
        <v>146</v>
      </c>
      <c r="I138">
        <f t="shared" si="26"/>
        <v>151</v>
      </c>
      <c r="J138" t="str">
        <f t="shared" si="18"/>
        <v>AUDp",</v>
      </c>
      <c r="K138" t="str">
        <f t="shared" si="18"/>
        <v>Primary auditory area",</v>
      </c>
      <c r="L138" t="str">
        <f t="shared" si="19"/>
        <v>AUDp</v>
      </c>
      <c r="M138" t="str">
        <f t="shared" si="19"/>
        <v>Primary auditory area</v>
      </c>
      <c r="N138" t="s">
        <v>4822</v>
      </c>
      <c r="O138" t="s">
        <v>4823</v>
      </c>
      <c r="Q138" s="6">
        <v>173</v>
      </c>
      <c r="R138" s="6">
        <v>1066</v>
      </c>
      <c r="S138" s="6" t="s">
        <v>7197</v>
      </c>
      <c r="T138" s="6" t="s">
        <v>7136</v>
      </c>
      <c r="U138" s="6">
        <v>394</v>
      </c>
      <c r="V138" s="6">
        <v>8</v>
      </c>
      <c r="W138" s="6" t="s">
        <v>7382</v>
      </c>
      <c r="Y138" t="s">
        <v>4822</v>
      </c>
      <c r="Z138" t="s">
        <v>4823</v>
      </c>
      <c r="AA138" s="6">
        <f t="shared" si="20"/>
        <v>1002</v>
      </c>
      <c r="AB138">
        <v>3</v>
      </c>
      <c r="AC138">
        <v>146</v>
      </c>
      <c r="AD138">
        <v>151</v>
      </c>
    </row>
    <row r="139" spans="1:30" ht="17" x14ac:dyDescent="0.25">
      <c r="A139" s="1" t="s">
        <v>141</v>
      </c>
      <c r="B139" s="1" t="s">
        <v>2793</v>
      </c>
      <c r="C139" s="1" t="s">
        <v>1468</v>
      </c>
      <c r="D139" t="str">
        <f t="shared" si="21"/>
        <v>029297</v>
      </c>
      <c r="E139" t="str">
        <f t="shared" si="22"/>
        <v>2-146-151</v>
      </c>
      <c r="F139" t="str">
        <f t="shared" si="23"/>
        <v>2146151</v>
      </c>
      <c r="G139">
        <f t="shared" si="24"/>
        <v>2</v>
      </c>
      <c r="H139">
        <f t="shared" si="25"/>
        <v>146</v>
      </c>
      <c r="I139">
        <f t="shared" si="26"/>
        <v>151</v>
      </c>
      <c r="J139" t="str">
        <f t="shared" si="18"/>
        <v>AUDp1",</v>
      </c>
      <c r="K139" t="str">
        <f t="shared" si="18"/>
        <v>Primary auditory area, layer 1",</v>
      </c>
      <c r="L139" t="str">
        <f t="shared" si="19"/>
        <v>AUDp1</v>
      </c>
      <c r="M139" t="str">
        <f t="shared" si="19"/>
        <v>Primary auditory area, layer 1</v>
      </c>
      <c r="N139" t="s">
        <v>4824</v>
      </c>
      <c r="O139" t="s">
        <v>4825</v>
      </c>
      <c r="Q139" s="6">
        <v>174</v>
      </c>
      <c r="R139" s="6">
        <v>401</v>
      </c>
      <c r="S139" s="6" t="s">
        <v>4887</v>
      </c>
      <c r="T139" s="6" t="s">
        <v>4886</v>
      </c>
      <c r="U139" s="6">
        <v>394</v>
      </c>
      <c r="V139" s="6">
        <v>8</v>
      </c>
      <c r="W139" s="6" t="s">
        <v>7383</v>
      </c>
      <c r="Y139" t="s">
        <v>4824</v>
      </c>
      <c r="Z139" t="s">
        <v>4825</v>
      </c>
      <c r="AA139" s="6">
        <f t="shared" si="20"/>
        <v>735</v>
      </c>
      <c r="AB139">
        <v>2</v>
      </c>
      <c r="AC139">
        <v>146</v>
      </c>
      <c r="AD139">
        <v>151</v>
      </c>
    </row>
    <row r="140" spans="1:30" ht="17" x14ac:dyDescent="0.25">
      <c r="A140" s="1" t="s">
        <v>142</v>
      </c>
      <c r="B140" s="1" t="s">
        <v>2794</v>
      </c>
      <c r="C140" s="1" t="s">
        <v>1469</v>
      </c>
      <c r="D140" t="str">
        <f t="shared" si="21"/>
        <v>019298</v>
      </c>
      <c r="E140" t="str">
        <f t="shared" si="22"/>
        <v>1-146-152</v>
      </c>
      <c r="F140" t="str">
        <f t="shared" si="23"/>
        <v>1146152</v>
      </c>
      <c r="G140">
        <f t="shared" si="24"/>
        <v>1</v>
      </c>
      <c r="H140">
        <f t="shared" si="25"/>
        <v>146</v>
      </c>
      <c r="I140">
        <f t="shared" si="26"/>
        <v>152</v>
      </c>
      <c r="J140" t="str">
        <f t="shared" si="18"/>
        <v>AUDp2\/3",</v>
      </c>
      <c r="K140" t="str">
        <f t="shared" si="18"/>
        <v>Primary auditory area, layer 2\/3",</v>
      </c>
      <c r="L140" t="str">
        <f t="shared" si="19"/>
        <v>AUDp2\/3</v>
      </c>
      <c r="M140" t="str">
        <f t="shared" si="19"/>
        <v>Primary auditory area, layer 2\/3</v>
      </c>
      <c r="N140" t="s">
        <v>7131</v>
      </c>
      <c r="O140" t="s">
        <v>7192</v>
      </c>
      <c r="Q140" s="6">
        <v>175</v>
      </c>
      <c r="R140" s="6">
        <v>433</v>
      </c>
      <c r="S140" s="6" t="s">
        <v>4889</v>
      </c>
      <c r="T140" s="6" t="s">
        <v>4888</v>
      </c>
      <c r="U140" s="6">
        <v>394</v>
      </c>
      <c r="V140" s="6">
        <v>8</v>
      </c>
      <c r="W140" s="6" t="s">
        <v>7384</v>
      </c>
      <c r="Y140" t="s">
        <v>7131</v>
      </c>
      <c r="Z140" t="s">
        <v>7192</v>
      </c>
      <c r="AA140" s="6">
        <f t="shared" si="20"/>
        <v>251</v>
      </c>
      <c r="AB140">
        <v>1</v>
      </c>
      <c r="AC140">
        <v>146</v>
      </c>
      <c r="AD140">
        <v>152</v>
      </c>
    </row>
    <row r="141" spans="1:30" ht="17" x14ac:dyDescent="0.25">
      <c r="A141" s="1" t="s">
        <v>143</v>
      </c>
      <c r="B141" s="1" t="s">
        <v>2795</v>
      </c>
      <c r="C141" s="1" t="s">
        <v>1470</v>
      </c>
      <c r="D141" t="str">
        <f t="shared" si="21"/>
        <v>039397</v>
      </c>
      <c r="E141" t="str">
        <f t="shared" si="22"/>
        <v>3-147-151</v>
      </c>
      <c r="F141" t="str">
        <f t="shared" si="23"/>
        <v>3147151</v>
      </c>
      <c r="G141">
        <f t="shared" si="24"/>
        <v>3</v>
      </c>
      <c r="H141">
        <f t="shared" si="25"/>
        <v>147</v>
      </c>
      <c r="I141">
        <f t="shared" si="26"/>
        <v>151</v>
      </c>
      <c r="J141" t="str">
        <f t="shared" si="18"/>
        <v>AUDp4",</v>
      </c>
      <c r="K141" t="str">
        <f t="shared" si="18"/>
        <v>Primary auditory area, layer 4",</v>
      </c>
      <c r="L141" t="str">
        <f t="shared" si="19"/>
        <v>AUDp4</v>
      </c>
      <c r="M141" t="str">
        <f t="shared" si="19"/>
        <v>Primary auditory area, layer 4</v>
      </c>
      <c r="N141" t="s">
        <v>4826</v>
      </c>
      <c r="O141" t="s">
        <v>4827</v>
      </c>
      <c r="Q141" s="6">
        <v>176</v>
      </c>
      <c r="R141" s="6">
        <v>1046</v>
      </c>
      <c r="S141" s="6" t="s">
        <v>4891</v>
      </c>
      <c r="T141" s="6" t="s">
        <v>4890</v>
      </c>
      <c r="U141" s="6">
        <v>394</v>
      </c>
      <c r="V141" s="6">
        <v>8</v>
      </c>
      <c r="W141" s="6" t="s">
        <v>7385</v>
      </c>
      <c r="Y141" t="s">
        <v>4826</v>
      </c>
      <c r="Z141" t="s">
        <v>4827</v>
      </c>
      <c r="AA141" s="6">
        <f t="shared" si="20"/>
        <v>816</v>
      </c>
      <c r="AB141">
        <v>3</v>
      </c>
      <c r="AC141">
        <v>147</v>
      </c>
      <c r="AD141">
        <v>151</v>
      </c>
    </row>
    <row r="142" spans="1:30" ht="17" x14ac:dyDescent="0.25">
      <c r="A142" s="1" t="s">
        <v>144</v>
      </c>
      <c r="B142" s="1" t="s">
        <v>2796</v>
      </c>
      <c r="C142" s="1" t="s">
        <v>1471</v>
      </c>
      <c r="D142" t="str">
        <f t="shared" si="21"/>
        <v>039199</v>
      </c>
      <c r="E142" t="str">
        <f t="shared" si="22"/>
        <v>3-145-153</v>
      </c>
      <c r="F142" t="str">
        <f t="shared" si="23"/>
        <v>3145153</v>
      </c>
      <c r="G142">
        <f t="shared" si="24"/>
        <v>3</v>
      </c>
      <c r="H142">
        <f t="shared" si="25"/>
        <v>145</v>
      </c>
      <c r="I142">
        <f t="shared" si="26"/>
        <v>153</v>
      </c>
      <c r="J142" t="str">
        <f t="shared" si="18"/>
        <v>AUDp5",</v>
      </c>
      <c r="K142" t="str">
        <f t="shared" si="18"/>
        <v>Primary auditory area, layer 5",</v>
      </c>
      <c r="L142" t="str">
        <f t="shared" si="19"/>
        <v>AUDp5</v>
      </c>
      <c r="M142" t="str">
        <f t="shared" si="19"/>
        <v>Primary auditory area, layer 5</v>
      </c>
      <c r="N142" t="s">
        <v>4828</v>
      </c>
      <c r="O142" t="s">
        <v>4829</v>
      </c>
      <c r="Q142" s="6">
        <v>177</v>
      </c>
      <c r="R142" s="6">
        <v>441</v>
      </c>
      <c r="S142" s="6" t="s">
        <v>4893</v>
      </c>
      <c r="T142" s="6" t="s">
        <v>4892</v>
      </c>
      <c r="U142" s="6">
        <v>394</v>
      </c>
      <c r="V142" s="6">
        <v>8</v>
      </c>
      <c r="W142" s="6" t="s">
        <v>7386</v>
      </c>
      <c r="Y142" t="s">
        <v>4828</v>
      </c>
      <c r="Z142" t="s">
        <v>4829</v>
      </c>
      <c r="AA142" s="6">
        <f t="shared" si="20"/>
        <v>847</v>
      </c>
      <c r="AB142">
        <v>3</v>
      </c>
      <c r="AC142">
        <v>145</v>
      </c>
      <c r="AD142">
        <v>153</v>
      </c>
    </row>
    <row r="143" spans="1:30" ht="17" x14ac:dyDescent="0.25">
      <c r="A143" s="1" t="s">
        <v>145</v>
      </c>
      <c r="B143" s="1" t="s">
        <v>2797</v>
      </c>
      <c r="C143" s="1" t="s">
        <v>1472</v>
      </c>
      <c r="D143" t="str">
        <f t="shared" si="21"/>
        <v>019396</v>
      </c>
      <c r="E143" t="str">
        <f t="shared" si="22"/>
        <v>1-147-150</v>
      </c>
      <c r="F143" t="str">
        <f t="shared" si="23"/>
        <v>1147150</v>
      </c>
      <c r="G143">
        <f t="shared" si="24"/>
        <v>1</v>
      </c>
      <c r="H143">
        <f t="shared" si="25"/>
        <v>147</v>
      </c>
      <c r="I143">
        <f t="shared" si="26"/>
        <v>150</v>
      </c>
      <c r="J143" t="str">
        <f t="shared" si="18"/>
        <v>AUDp6a",</v>
      </c>
      <c r="K143" t="str">
        <f t="shared" si="18"/>
        <v>Primary auditory area, layer 6a",</v>
      </c>
      <c r="L143" t="str">
        <f t="shared" si="19"/>
        <v>AUDp6a</v>
      </c>
      <c r="M143" t="str">
        <f t="shared" si="19"/>
        <v>Primary auditory area, layer 6a</v>
      </c>
      <c r="N143" t="s">
        <v>4830</v>
      </c>
      <c r="O143" t="s">
        <v>4831</v>
      </c>
      <c r="Q143" s="6">
        <v>178</v>
      </c>
      <c r="R143" s="6">
        <v>409</v>
      </c>
      <c r="S143" s="6" t="s">
        <v>4895</v>
      </c>
      <c r="T143" s="6" t="s">
        <v>4894</v>
      </c>
      <c r="U143" s="6">
        <v>669</v>
      </c>
      <c r="V143" s="6">
        <v>7</v>
      </c>
      <c r="W143" s="6" t="s">
        <v>7387</v>
      </c>
      <c r="Y143" t="s">
        <v>4830</v>
      </c>
      <c r="Z143" t="s">
        <v>4831</v>
      </c>
      <c r="AA143" s="6">
        <f t="shared" si="20"/>
        <v>954</v>
      </c>
      <c r="AB143">
        <v>1</v>
      </c>
      <c r="AC143">
        <v>147</v>
      </c>
      <c r="AD143">
        <v>150</v>
      </c>
    </row>
    <row r="144" spans="1:30" ht="17" x14ac:dyDescent="0.25">
      <c r="A144" s="1" t="s">
        <v>146</v>
      </c>
      <c r="B144" s="1" t="s">
        <v>2798</v>
      </c>
      <c r="C144" s="1" t="s">
        <v>1473</v>
      </c>
      <c r="D144" t="str">
        <f t="shared" si="21"/>
        <v>039198</v>
      </c>
      <c r="E144" t="str">
        <f t="shared" si="22"/>
        <v>3-145-152</v>
      </c>
      <c r="F144" t="str">
        <f t="shared" si="23"/>
        <v>3145152</v>
      </c>
      <c r="G144">
        <f t="shared" si="24"/>
        <v>3</v>
      </c>
      <c r="H144">
        <f t="shared" si="25"/>
        <v>145</v>
      </c>
      <c r="I144">
        <f t="shared" si="26"/>
        <v>152</v>
      </c>
      <c r="J144" t="str">
        <f t="shared" si="18"/>
        <v>AUDp6b",</v>
      </c>
      <c r="K144" t="str">
        <f t="shared" si="18"/>
        <v>Primary auditory area, layer 6b",</v>
      </c>
      <c r="L144" t="str">
        <f t="shared" si="19"/>
        <v>AUDp6b</v>
      </c>
      <c r="M144" t="str">
        <f t="shared" si="19"/>
        <v>Primary auditory area, layer 6b</v>
      </c>
      <c r="N144" t="s">
        <v>4832</v>
      </c>
      <c r="O144" t="s">
        <v>4833</v>
      </c>
      <c r="Q144" s="6">
        <v>179</v>
      </c>
      <c r="R144" s="6">
        <v>421</v>
      </c>
      <c r="S144" s="6" t="s">
        <v>4897</v>
      </c>
      <c r="T144" s="6" t="s">
        <v>4896</v>
      </c>
      <c r="U144" s="6">
        <v>409</v>
      </c>
      <c r="V144" s="6">
        <v>8</v>
      </c>
      <c r="W144" s="6" t="s">
        <v>7388</v>
      </c>
      <c r="Y144" t="s">
        <v>4832</v>
      </c>
      <c r="Z144" t="s">
        <v>4833</v>
      </c>
      <c r="AA144" s="6">
        <f t="shared" si="20"/>
        <v>1005</v>
      </c>
      <c r="AB144">
        <v>3</v>
      </c>
      <c r="AC144">
        <v>145</v>
      </c>
      <c r="AD144">
        <v>152</v>
      </c>
    </row>
    <row r="145" spans="1:30" ht="17" x14ac:dyDescent="0.25">
      <c r="A145" s="1" t="s">
        <v>147</v>
      </c>
      <c r="B145" s="1" t="s">
        <v>2799</v>
      </c>
      <c r="C145" s="1" t="s">
        <v>1474</v>
      </c>
      <c r="D145" t="str">
        <f t="shared" si="21"/>
        <v>029396</v>
      </c>
      <c r="E145" t="str">
        <f t="shared" si="22"/>
        <v>2-147-150</v>
      </c>
      <c r="F145" t="str">
        <f t="shared" si="23"/>
        <v>2147150</v>
      </c>
      <c r="G145">
        <f t="shared" si="24"/>
        <v>2</v>
      </c>
      <c r="H145">
        <f t="shared" si="25"/>
        <v>147</v>
      </c>
      <c r="I145">
        <f t="shared" si="26"/>
        <v>150</v>
      </c>
      <c r="J145" t="str">
        <f t="shared" si="18"/>
        <v>AUDpo",</v>
      </c>
      <c r="K145" t="str">
        <f t="shared" si="18"/>
        <v>Posterior auditory area",</v>
      </c>
      <c r="L145" t="str">
        <f t="shared" si="19"/>
        <v>AUDpo</v>
      </c>
      <c r="M145" t="str">
        <f t="shared" si="19"/>
        <v>Posterior auditory area</v>
      </c>
      <c r="N145" t="s">
        <v>4834</v>
      </c>
      <c r="O145" t="s">
        <v>4835</v>
      </c>
      <c r="Q145" s="6">
        <v>180</v>
      </c>
      <c r="R145" s="6">
        <v>973</v>
      </c>
      <c r="S145" s="6" t="s">
        <v>7198</v>
      </c>
      <c r="T145" s="6" t="s">
        <v>7137</v>
      </c>
      <c r="U145" s="6">
        <v>409</v>
      </c>
      <c r="V145" s="6">
        <v>8</v>
      </c>
      <c r="W145" s="6" t="s">
        <v>7389</v>
      </c>
      <c r="Y145" t="s">
        <v>4834</v>
      </c>
      <c r="Z145" t="s">
        <v>4835</v>
      </c>
      <c r="AA145" s="6">
        <f t="shared" si="20"/>
        <v>1027</v>
      </c>
      <c r="AB145">
        <v>2</v>
      </c>
      <c r="AC145">
        <v>147</v>
      </c>
      <c r="AD145">
        <v>150</v>
      </c>
    </row>
    <row r="146" spans="1:30" ht="17" x14ac:dyDescent="0.25">
      <c r="A146" s="1" t="s">
        <v>148</v>
      </c>
      <c r="B146" s="1" t="s">
        <v>2800</v>
      </c>
      <c r="C146" s="1" t="s">
        <v>1475</v>
      </c>
      <c r="D146" t="str">
        <f t="shared" si="21"/>
        <v>039299</v>
      </c>
      <c r="E146" t="str">
        <f t="shared" si="22"/>
        <v>3-146-153</v>
      </c>
      <c r="F146" t="str">
        <f t="shared" si="23"/>
        <v>3146153</v>
      </c>
      <c r="G146">
        <f t="shared" si="24"/>
        <v>3</v>
      </c>
      <c r="H146">
        <f t="shared" si="25"/>
        <v>146</v>
      </c>
      <c r="I146">
        <f t="shared" si="26"/>
        <v>153</v>
      </c>
      <c r="J146" t="str">
        <f t="shared" si="18"/>
        <v>AUDpo1",</v>
      </c>
      <c r="K146" t="str">
        <f t="shared" si="18"/>
        <v>Posterior auditory area, layer 1",</v>
      </c>
      <c r="L146" t="str">
        <f t="shared" si="19"/>
        <v>AUDpo1</v>
      </c>
      <c r="M146" t="str">
        <f t="shared" si="19"/>
        <v>Posterior auditory area, layer 1</v>
      </c>
      <c r="N146" t="s">
        <v>4836</v>
      </c>
      <c r="O146" t="s">
        <v>4837</v>
      </c>
      <c r="Q146" s="6">
        <v>181</v>
      </c>
      <c r="R146" s="6">
        <v>573</v>
      </c>
      <c r="S146" s="6" t="s">
        <v>4899</v>
      </c>
      <c r="T146" s="6" t="s">
        <v>4898</v>
      </c>
      <c r="U146" s="6">
        <v>409</v>
      </c>
      <c r="V146" s="6">
        <v>8</v>
      </c>
      <c r="W146" s="6" t="s">
        <v>7390</v>
      </c>
      <c r="Y146" t="s">
        <v>4836</v>
      </c>
      <c r="Z146" t="s">
        <v>4837</v>
      </c>
      <c r="AA146" s="6">
        <f t="shared" si="20"/>
        <v>696</v>
      </c>
      <c r="AB146">
        <v>3</v>
      </c>
      <c r="AC146">
        <v>146</v>
      </c>
      <c r="AD146">
        <v>153</v>
      </c>
    </row>
    <row r="147" spans="1:30" ht="17" x14ac:dyDescent="0.25">
      <c r="A147" s="1" t="s">
        <v>149</v>
      </c>
      <c r="B147" s="1" t="s">
        <v>2801</v>
      </c>
      <c r="C147" s="1" t="s">
        <v>1476</v>
      </c>
      <c r="D147" t="str">
        <f t="shared" si="21"/>
        <v>029199</v>
      </c>
      <c r="E147" t="str">
        <f t="shared" si="22"/>
        <v>2-145-153</v>
      </c>
      <c r="F147" t="str">
        <f t="shared" si="23"/>
        <v>2145153</v>
      </c>
      <c r="G147">
        <f t="shared" si="24"/>
        <v>2</v>
      </c>
      <c r="H147">
        <f t="shared" si="25"/>
        <v>145</v>
      </c>
      <c r="I147">
        <f t="shared" si="26"/>
        <v>153</v>
      </c>
      <c r="J147" t="str">
        <f t="shared" si="18"/>
        <v>AUDpo2\/3",</v>
      </c>
      <c r="K147" t="str">
        <f t="shared" si="18"/>
        <v>Posterior auditory area, layer 2\/3",</v>
      </c>
      <c r="L147" t="str">
        <f t="shared" si="19"/>
        <v>AUDpo2\/3</v>
      </c>
      <c r="M147" t="str">
        <f t="shared" si="19"/>
        <v>Posterior auditory area, layer 2\/3</v>
      </c>
      <c r="N147" t="s">
        <v>7132</v>
      </c>
      <c r="O147" t="s">
        <v>7193</v>
      </c>
      <c r="Q147" s="6">
        <v>182</v>
      </c>
      <c r="R147" s="6">
        <v>613</v>
      </c>
      <c r="S147" s="6" t="s">
        <v>4901</v>
      </c>
      <c r="T147" s="6" t="s">
        <v>4900</v>
      </c>
      <c r="U147" s="6">
        <v>409</v>
      </c>
      <c r="V147" s="6">
        <v>8</v>
      </c>
      <c r="W147" s="6" t="s">
        <v>7391</v>
      </c>
      <c r="Y147" t="s">
        <v>7132</v>
      </c>
      <c r="Z147" t="s">
        <v>7193</v>
      </c>
      <c r="AA147" s="6">
        <f t="shared" si="20"/>
        <v>643</v>
      </c>
      <c r="AB147">
        <v>2</v>
      </c>
      <c r="AC147">
        <v>145</v>
      </c>
      <c r="AD147">
        <v>153</v>
      </c>
    </row>
    <row r="148" spans="1:30" ht="17" x14ac:dyDescent="0.25">
      <c r="A148" s="1" t="s">
        <v>150</v>
      </c>
      <c r="B148" s="1" t="s">
        <v>2802</v>
      </c>
      <c r="C148" s="1" t="s">
        <v>1477</v>
      </c>
      <c r="D148" t="str">
        <f t="shared" si="21"/>
        <v>039298</v>
      </c>
      <c r="E148" t="str">
        <f t="shared" si="22"/>
        <v>3-146-152</v>
      </c>
      <c r="F148" t="str">
        <f t="shared" si="23"/>
        <v>3146152</v>
      </c>
      <c r="G148">
        <f t="shared" si="24"/>
        <v>3</v>
      </c>
      <c r="H148">
        <f t="shared" si="25"/>
        <v>146</v>
      </c>
      <c r="I148">
        <f t="shared" si="26"/>
        <v>152</v>
      </c>
      <c r="J148" t="str">
        <f t="shared" si="18"/>
        <v>AUDpo4",</v>
      </c>
      <c r="K148" t="str">
        <f t="shared" si="18"/>
        <v>Posterior auditory area, layer 4",</v>
      </c>
      <c r="L148" t="str">
        <f t="shared" si="19"/>
        <v>AUDpo4</v>
      </c>
      <c r="M148" t="str">
        <f t="shared" si="19"/>
        <v>Posterior auditory area, layer 4</v>
      </c>
      <c r="N148" t="s">
        <v>4838</v>
      </c>
      <c r="O148" t="s">
        <v>4839</v>
      </c>
      <c r="Q148" s="6">
        <v>183</v>
      </c>
      <c r="R148" s="6">
        <v>74</v>
      </c>
      <c r="S148" s="6" t="s">
        <v>4903</v>
      </c>
      <c r="T148" s="6" t="s">
        <v>4902</v>
      </c>
      <c r="U148" s="6">
        <v>409</v>
      </c>
      <c r="V148" s="6">
        <v>8</v>
      </c>
      <c r="W148" s="6" t="s">
        <v>7392</v>
      </c>
      <c r="Y148" t="s">
        <v>4838</v>
      </c>
      <c r="Z148" t="s">
        <v>4839</v>
      </c>
      <c r="AA148" s="6">
        <f t="shared" si="20"/>
        <v>759</v>
      </c>
      <c r="AB148">
        <v>3</v>
      </c>
      <c r="AC148">
        <v>146</v>
      </c>
      <c r="AD148">
        <v>152</v>
      </c>
    </row>
    <row r="149" spans="1:30" ht="17" x14ac:dyDescent="0.25">
      <c r="A149" s="1" t="s">
        <v>151</v>
      </c>
      <c r="B149" s="1" t="s">
        <v>2803</v>
      </c>
      <c r="C149" s="1" t="s">
        <v>1478</v>
      </c>
      <c r="D149" t="str">
        <f t="shared" si="21"/>
        <v>019197</v>
      </c>
      <c r="E149" t="str">
        <f t="shared" si="22"/>
        <v>1-145-151</v>
      </c>
      <c r="F149" t="str">
        <f t="shared" si="23"/>
        <v>1145151</v>
      </c>
      <c r="G149">
        <f t="shared" si="24"/>
        <v>1</v>
      </c>
      <c r="H149">
        <f t="shared" si="25"/>
        <v>145</v>
      </c>
      <c r="I149">
        <f t="shared" si="26"/>
        <v>151</v>
      </c>
      <c r="J149" t="str">
        <f t="shared" si="18"/>
        <v>AUDpo5",</v>
      </c>
      <c r="K149" t="str">
        <f t="shared" si="18"/>
        <v>Posterior auditory area, layer 5",</v>
      </c>
      <c r="L149" t="str">
        <f t="shared" si="19"/>
        <v>AUDpo5</v>
      </c>
      <c r="M149" t="str">
        <f t="shared" si="19"/>
        <v>Posterior auditory area, layer 5</v>
      </c>
      <c r="N149" t="s">
        <v>4840</v>
      </c>
      <c r="O149" t="s">
        <v>4841</v>
      </c>
      <c r="Q149" s="6">
        <v>184</v>
      </c>
      <c r="R149" s="6">
        <v>121</v>
      </c>
      <c r="S149" s="6" t="s">
        <v>4905</v>
      </c>
      <c r="T149" s="6" t="s">
        <v>4904</v>
      </c>
      <c r="U149" s="6">
        <v>409</v>
      </c>
      <c r="V149" s="6">
        <v>8</v>
      </c>
      <c r="W149" s="6" t="s">
        <v>7393</v>
      </c>
      <c r="Y149" t="s">
        <v>4840</v>
      </c>
      <c r="Z149" t="s">
        <v>4841</v>
      </c>
      <c r="AA149" s="6">
        <f t="shared" si="20"/>
        <v>791</v>
      </c>
      <c r="AB149">
        <v>1</v>
      </c>
      <c r="AC149">
        <v>145</v>
      </c>
      <c r="AD149">
        <v>151</v>
      </c>
    </row>
    <row r="150" spans="1:30" ht="17" x14ac:dyDescent="0.25">
      <c r="A150" s="1" t="s">
        <v>152</v>
      </c>
      <c r="B150" s="1" t="s">
        <v>2804</v>
      </c>
      <c r="C150" s="1" t="s">
        <v>1479</v>
      </c>
      <c r="D150" t="str">
        <f t="shared" si="21"/>
        <v>029399</v>
      </c>
      <c r="E150" t="str">
        <f t="shared" si="22"/>
        <v>2-147-153</v>
      </c>
      <c r="F150" t="str">
        <f t="shared" si="23"/>
        <v>2147153</v>
      </c>
      <c r="G150">
        <f t="shared" si="24"/>
        <v>2</v>
      </c>
      <c r="H150">
        <f t="shared" si="25"/>
        <v>147</v>
      </c>
      <c r="I150">
        <f t="shared" si="26"/>
        <v>153</v>
      </c>
      <c r="J150" t="str">
        <f t="shared" si="18"/>
        <v>AUDpo6a",</v>
      </c>
      <c r="K150" t="str">
        <f t="shared" si="18"/>
        <v>Posterior auditory area, layer 6a",</v>
      </c>
      <c r="L150" t="str">
        <f t="shared" si="19"/>
        <v>AUDpo6a</v>
      </c>
      <c r="M150" t="str">
        <f t="shared" si="19"/>
        <v>Posterior auditory area, layer 6a</v>
      </c>
      <c r="N150" t="s">
        <v>4842</v>
      </c>
      <c r="O150" t="s">
        <v>4843</v>
      </c>
      <c r="Q150" s="6">
        <v>185</v>
      </c>
      <c r="R150" s="6">
        <v>385</v>
      </c>
      <c r="S150" s="6" t="s">
        <v>4907</v>
      </c>
      <c r="T150" s="6" t="s">
        <v>4906</v>
      </c>
      <c r="U150" s="6">
        <v>669</v>
      </c>
      <c r="V150" s="6">
        <v>7</v>
      </c>
      <c r="W150" s="6" t="s">
        <v>7394</v>
      </c>
      <c r="Y150" t="s">
        <v>4842</v>
      </c>
      <c r="Z150" t="s">
        <v>4843</v>
      </c>
      <c r="AA150" s="6">
        <f t="shared" si="20"/>
        <v>249</v>
      </c>
      <c r="AB150">
        <v>2</v>
      </c>
      <c r="AC150">
        <v>147</v>
      </c>
      <c r="AD150">
        <v>153</v>
      </c>
    </row>
    <row r="151" spans="1:30" ht="17" x14ac:dyDescent="0.25">
      <c r="A151" s="1" t="s">
        <v>153</v>
      </c>
      <c r="B151" s="1" t="s">
        <v>2805</v>
      </c>
      <c r="C151" s="1" t="s">
        <v>1480</v>
      </c>
      <c r="D151" t="str">
        <f t="shared" si="21"/>
        <v>029298</v>
      </c>
      <c r="E151" t="str">
        <f t="shared" si="22"/>
        <v>2-146-152</v>
      </c>
      <c r="F151" t="str">
        <f t="shared" si="23"/>
        <v>2146152</v>
      </c>
      <c r="G151">
        <f t="shared" si="24"/>
        <v>2</v>
      </c>
      <c r="H151">
        <f t="shared" si="25"/>
        <v>146</v>
      </c>
      <c r="I151">
        <f t="shared" si="26"/>
        <v>152</v>
      </c>
      <c r="J151" t="str">
        <f t="shared" si="18"/>
        <v>AUDpo6b",</v>
      </c>
      <c r="K151" t="str">
        <f t="shared" si="18"/>
        <v>Posterior auditory area, layer 6b",</v>
      </c>
      <c r="L151" t="str">
        <f t="shared" si="19"/>
        <v>AUDpo6b</v>
      </c>
      <c r="M151" t="str">
        <f t="shared" si="19"/>
        <v>Posterior auditory area, layer 6b</v>
      </c>
      <c r="N151" t="s">
        <v>4844</v>
      </c>
      <c r="O151" t="s">
        <v>4845</v>
      </c>
      <c r="Q151" s="6">
        <v>186</v>
      </c>
      <c r="R151" s="6">
        <v>593</v>
      </c>
      <c r="S151" s="6" t="s">
        <v>4909</v>
      </c>
      <c r="T151" s="6" t="s">
        <v>4908</v>
      </c>
      <c r="U151" s="6">
        <v>385</v>
      </c>
      <c r="V151" s="6">
        <v>8</v>
      </c>
      <c r="W151" s="6" t="s">
        <v>7395</v>
      </c>
      <c r="Y151" t="s">
        <v>4844</v>
      </c>
      <c r="Z151" t="s">
        <v>4845</v>
      </c>
      <c r="AA151" s="6">
        <f t="shared" si="20"/>
        <v>456</v>
      </c>
      <c r="AB151">
        <v>2</v>
      </c>
      <c r="AC151">
        <v>146</v>
      </c>
      <c r="AD151">
        <v>152</v>
      </c>
    </row>
    <row r="152" spans="1:30" ht="17" x14ac:dyDescent="0.25">
      <c r="A152" s="1" t="s">
        <v>154</v>
      </c>
      <c r="B152" s="1" t="s">
        <v>2806</v>
      </c>
      <c r="C152" s="1" t="s">
        <v>1481</v>
      </c>
      <c r="D152" t="str">
        <f t="shared" si="21"/>
        <v>019296</v>
      </c>
      <c r="E152" t="str">
        <f t="shared" si="22"/>
        <v>1-146-150</v>
      </c>
      <c r="F152" t="str">
        <f t="shared" si="23"/>
        <v>1146150</v>
      </c>
      <c r="G152">
        <f t="shared" si="24"/>
        <v>1</v>
      </c>
      <c r="H152">
        <f t="shared" si="25"/>
        <v>146</v>
      </c>
      <c r="I152">
        <f t="shared" si="26"/>
        <v>150</v>
      </c>
      <c r="J152" t="str">
        <f t="shared" si="18"/>
        <v>AUDv",</v>
      </c>
      <c r="K152" t="str">
        <f t="shared" si="18"/>
        <v>Ventral auditory area",</v>
      </c>
      <c r="L152" t="str">
        <f t="shared" si="19"/>
        <v>AUDv</v>
      </c>
      <c r="M152" t="str">
        <f t="shared" si="19"/>
        <v>Ventral auditory area</v>
      </c>
      <c r="N152" t="s">
        <v>4846</v>
      </c>
      <c r="O152" t="s">
        <v>4847</v>
      </c>
      <c r="Q152" s="6">
        <v>187</v>
      </c>
      <c r="R152" s="6">
        <v>821</v>
      </c>
      <c r="S152" s="6" t="s">
        <v>7199</v>
      </c>
      <c r="T152" s="6" t="s">
        <v>7138</v>
      </c>
      <c r="U152" s="6">
        <v>385</v>
      </c>
      <c r="V152" s="6">
        <v>8</v>
      </c>
      <c r="W152" s="6" t="s">
        <v>7396</v>
      </c>
      <c r="Y152" t="s">
        <v>4846</v>
      </c>
      <c r="Z152" t="s">
        <v>4847</v>
      </c>
      <c r="AA152" s="6">
        <f t="shared" si="20"/>
        <v>1018</v>
      </c>
      <c r="AB152">
        <v>1</v>
      </c>
      <c r="AC152">
        <v>146</v>
      </c>
      <c r="AD152">
        <v>150</v>
      </c>
    </row>
    <row r="153" spans="1:30" ht="17" x14ac:dyDescent="0.25">
      <c r="A153" s="1" t="s">
        <v>155</v>
      </c>
      <c r="B153" s="1" t="s">
        <v>2807</v>
      </c>
      <c r="C153" s="1" t="s">
        <v>1482</v>
      </c>
      <c r="D153" t="str">
        <f t="shared" si="21"/>
        <v>019099</v>
      </c>
      <c r="E153" t="str">
        <f t="shared" si="22"/>
        <v>1-144-153</v>
      </c>
      <c r="F153" t="str">
        <f t="shared" si="23"/>
        <v>1144153</v>
      </c>
      <c r="G153">
        <f t="shared" si="24"/>
        <v>1</v>
      </c>
      <c r="H153">
        <f t="shared" si="25"/>
        <v>144</v>
      </c>
      <c r="I153">
        <f t="shared" si="26"/>
        <v>153</v>
      </c>
      <c r="J153" t="str">
        <f t="shared" si="18"/>
        <v>AUDv1",</v>
      </c>
      <c r="K153" t="str">
        <f t="shared" si="18"/>
        <v>Ventral auditory area, layer 1",</v>
      </c>
      <c r="L153" t="str">
        <f t="shared" si="19"/>
        <v>AUDv1</v>
      </c>
      <c r="M153" t="str">
        <f t="shared" si="19"/>
        <v>Ventral auditory area, layer 1</v>
      </c>
      <c r="N153" t="s">
        <v>4848</v>
      </c>
      <c r="O153" t="s">
        <v>4849</v>
      </c>
      <c r="Q153" s="6">
        <v>188</v>
      </c>
      <c r="R153" s="6">
        <v>721</v>
      </c>
      <c r="S153" s="6" t="s">
        <v>4911</v>
      </c>
      <c r="T153" s="6" t="s">
        <v>4910</v>
      </c>
      <c r="U153" s="6">
        <v>385</v>
      </c>
      <c r="V153" s="6">
        <v>8</v>
      </c>
      <c r="W153" s="6" t="s">
        <v>7397</v>
      </c>
      <c r="Y153" t="s">
        <v>4848</v>
      </c>
      <c r="Z153" t="s">
        <v>4849</v>
      </c>
      <c r="AA153" s="6">
        <f t="shared" si="20"/>
        <v>959</v>
      </c>
      <c r="AB153">
        <v>1</v>
      </c>
      <c r="AC153">
        <v>144</v>
      </c>
      <c r="AD153">
        <v>153</v>
      </c>
    </row>
    <row r="154" spans="1:30" ht="17" x14ac:dyDescent="0.25">
      <c r="A154" s="1" t="s">
        <v>156</v>
      </c>
      <c r="B154" s="1" t="s">
        <v>2808</v>
      </c>
      <c r="C154" s="1" t="s">
        <v>1483</v>
      </c>
      <c r="D154" t="str">
        <f t="shared" si="21"/>
        <v>029198</v>
      </c>
      <c r="E154" t="str">
        <f t="shared" si="22"/>
        <v>2-145-152</v>
      </c>
      <c r="F154" t="str">
        <f t="shared" si="23"/>
        <v>2145152</v>
      </c>
      <c r="G154">
        <f t="shared" si="24"/>
        <v>2</v>
      </c>
      <c r="H154">
        <f t="shared" si="25"/>
        <v>145</v>
      </c>
      <c r="I154">
        <f t="shared" si="26"/>
        <v>152</v>
      </c>
      <c r="J154" t="str">
        <f t="shared" si="18"/>
        <v>AUDv2\/3",</v>
      </c>
      <c r="K154" t="str">
        <f t="shared" si="18"/>
        <v>Ventral auditory area, layer 2\/3",</v>
      </c>
      <c r="L154" t="str">
        <f t="shared" si="19"/>
        <v>AUDv2\/3</v>
      </c>
      <c r="M154" t="str">
        <f t="shared" si="19"/>
        <v>Ventral auditory area, layer 2\/3</v>
      </c>
      <c r="N154" t="s">
        <v>7133</v>
      </c>
      <c r="O154" t="s">
        <v>7194</v>
      </c>
      <c r="Q154" s="6">
        <v>189</v>
      </c>
      <c r="R154" s="6">
        <v>778</v>
      </c>
      <c r="S154" s="6" t="s">
        <v>4913</v>
      </c>
      <c r="T154" s="6" t="s">
        <v>4912</v>
      </c>
      <c r="U154" s="6">
        <v>385</v>
      </c>
      <c r="V154" s="6">
        <v>8</v>
      </c>
      <c r="W154" s="6" t="s">
        <v>7398</v>
      </c>
      <c r="Y154" t="s">
        <v>7133</v>
      </c>
      <c r="Z154" t="s">
        <v>7194</v>
      </c>
      <c r="AA154" s="6">
        <f t="shared" si="20"/>
        <v>755</v>
      </c>
      <c r="AB154">
        <v>2</v>
      </c>
      <c r="AC154">
        <v>145</v>
      </c>
      <c r="AD154">
        <v>152</v>
      </c>
    </row>
    <row r="155" spans="1:30" ht="17" x14ac:dyDescent="0.25">
      <c r="A155" s="1" t="s">
        <v>157</v>
      </c>
      <c r="B155" s="1" t="s">
        <v>2809</v>
      </c>
      <c r="C155" s="1" t="s">
        <v>1484</v>
      </c>
      <c r="D155" t="str">
        <f t="shared" si="21"/>
        <v>029197</v>
      </c>
      <c r="E155" t="str">
        <f t="shared" si="22"/>
        <v>2-145-151</v>
      </c>
      <c r="F155" t="str">
        <f t="shared" si="23"/>
        <v>2145151</v>
      </c>
      <c r="G155">
        <f t="shared" si="24"/>
        <v>2</v>
      </c>
      <c r="H155">
        <f t="shared" si="25"/>
        <v>145</v>
      </c>
      <c r="I155">
        <f t="shared" si="26"/>
        <v>151</v>
      </c>
      <c r="J155" t="str">
        <f t="shared" si="18"/>
        <v>AUDv4",</v>
      </c>
      <c r="K155" t="str">
        <f t="shared" si="18"/>
        <v>Ventral auditory area, layer 4",</v>
      </c>
      <c r="L155" t="str">
        <f t="shared" si="19"/>
        <v>AUDv4</v>
      </c>
      <c r="M155" t="str">
        <f t="shared" si="19"/>
        <v>Ventral auditory area, layer 4</v>
      </c>
      <c r="N155" t="s">
        <v>4850</v>
      </c>
      <c r="O155" t="s">
        <v>4851</v>
      </c>
      <c r="Q155" s="6">
        <v>190</v>
      </c>
      <c r="R155" s="6">
        <v>33</v>
      </c>
      <c r="S155" s="6" t="s">
        <v>4915</v>
      </c>
      <c r="T155" s="6" t="s">
        <v>4914</v>
      </c>
      <c r="U155" s="6">
        <v>385</v>
      </c>
      <c r="V155" s="6">
        <v>8</v>
      </c>
      <c r="W155" s="6" t="s">
        <v>7399</v>
      </c>
      <c r="Y155" t="s">
        <v>4850</v>
      </c>
      <c r="Z155" t="s">
        <v>4851</v>
      </c>
      <c r="AA155" s="6">
        <f t="shared" si="20"/>
        <v>990</v>
      </c>
      <c r="AB155">
        <v>2</v>
      </c>
      <c r="AC155">
        <v>145</v>
      </c>
      <c r="AD155">
        <v>151</v>
      </c>
    </row>
    <row r="156" spans="1:30" ht="17" x14ac:dyDescent="0.25">
      <c r="A156" s="1" t="s">
        <v>158</v>
      </c>
      <c r="B156" s="1" t="s">
        <v>2810</v>
      </c>
      <c r="C156" s="1" t="s">
        <v>1485</v>
      </c>
      <c r="D156" t="str">
        <f t="shared" si="21"/>
        <v>019098</v>
      </c>
      <c r="E156" t="str">
        <f t="shared" si="22"/>
        <v>1-144-152</v>
      </c>
      <c r="F156" t="str">
        <f t="shared" si="23"/>
        <v>1144152</v>
      </c>
      <c r="G156">
        <f t="shared" si="24"/>
        <v>1</v>
      </c>
      <c r="H156">
        <f t="shared" si="25"/>
        <v>144</v>
      </c>
      <c r="I156">
        <f t="shared" si="26"/>
        <v>152</v>
      </c>
      <c r="J156" t="str">
        <f t="shared" si="18"/>
        <v>AUDv5",</v>
      </c>
      <c r="K156" t="str">
        <f t="shared" si="18"/>
        <v>Ventral auditory area, layer 5",</v>
      </c>
      <c r="L156" t="str">
        <f t="shared" si="19"/>
        <v>AUDv5</v>
      </c>
      <c r="M156" t="str">
        <f t="shared" si="19"/>
        <v>Ventral auditory area, layer 5</v>
      </c>
      <c r="N156" t="s">
        <v>4852</v>
      </c>
      <c r="O156" t="s">
        <v>4853</v>
      </c>
      <c r="Q156" s="6">
        <v>191</v>
      </c>
      <c r="R156" s="6">
        <v>305</v>
      </c>
      <c r="S156" s="6" t="s">
        <v>4917</v>
      </c>
      <c r="T156" s="6" t="s">
        <v>4916</v>
      </c>
      <c r="U156" s="6">
        <v>385</v>
      </c>
      <c r="V156" s="6">
        <v>8</v>
      </c>
      <c r="W156" s="6" t="s">
        <v>7400</v>
      </c>
      <c r="Y156" t="s">
        <v>4852</v>
      </c>
      <c r="Z156" t="s">
        <v>4853</v>
      </c>
      <c r="AA156" s="6">
        <f t="shared" si="20"/>
        <v>1023</v>
      </c>
      <c r="AB156">
        <v>1</v>
      </c>
      <c r="AC156">
        <v>144</v>
      </c>
      <c r="AD156">
        <v>152</v>
      </c>
    </row>
    <row r="157" spans="1:30" ht="17" x14ac:dyDescent="0.25">
      <c r="A157" s="1" t="s">
        <v>159</v>
      </c>
      <c r="B157" s="1" t="s">
        <v>2811</v>
      </c>
      <c r="C157" s="1" t="s">
        <v>1486</v>
      </c>
      <c r="D157" t="str">
        <f t="shared" si="21"/>
        <v>019397</v>
      </c>
      <c r="E157" t="str">
        <f t="shared" si="22"/>
        <v>1-147-151</v>
      </c>
      <c r="F157" t="str">
        <f t="shared" si="23"/>
        <v>1147151</v>
      </c>
      <c r="G157">
        <f t="shared" si="24"/>
        <v>1</v>
      </c>
      <c r="H157">
        <f t="shared" si="25"/>
        <v>147</v>
      </c>
      <c r="I157">
        <f t="shared" si="26"/>
        <v>151</v>
      </c>
      <c r="J157" t="str">
        <f t="shared" si="18"/>
        <v>AUDv6a",</v>
      </c>
      <c r="K157" t="str">
        <f t="shared" si="18"/>
        <v>Ventral auditory area, layer 6a",</v>
      </c>
      <c r="L157" t="str">
        <f t="shared" si="19"/>
        <v>AUDv6a</v>
      </c>
      <c r="M157" t="str">
        <f t="shared" si="19"/>
        <v>Ventral auditory area, layer 6a</v>
      </c>
      <c r="N157" t="s">
        <v>4854</v>
      </c>
      <c r="O157" t="s">
        <v>4855</v>
      </c>
      <c r="Q157" s="6">
        <v>192</v>
      </c>
      <c r="R157" s="6">
        <v>425</v>
      </c>
      <c r="S157" s="6" t="s">
        <v>4919</v>
      </c>
      <c r="T157" s="6" t="s">
        <v>4918</v>
      </c>
      <c r="U157" s="6">
        <v>669</v>
      </c>
      <c r="V157" s="6">
        <v>7</v>
      </c>
      <c r="W157" s="6" t="s">
        <v>7401</v>
      </c>
      <c r="Y157" t="s">
        <v>4854</v>
      </c>
      <c r="Z157" t="s">
        <v>4855</v>
      </c>
      <c r="AA157" s="6">
        <f t="shared" si="20"/>
        <v>520</v>
      </c>
      <c r="AB157">
        <v>1</v>
      </c>
      <c r="AC157">
        <v>147</v>
      </c>
      <c r="AD157">
        <v>151</v>
      </c>
    </row>
    <row r="158" spans="1:30" ht="17" x14ac:dyDescent="0.25">
      <c r="A158" s="1" t="s">
        <v>160</v>
      </c>
      <c r="B158" s="1" t="s">
        <v>2812</v>
      </c>
      <c r="C158" s="1" t="s">
        <v>1487</v>
      </c>
      <c r="D158" t="str">
        <f t="shared" si="21"/>
        <v>019198</v>
      </c>
      <c r="E158" t="str">
        <f t="shared" si="22"/>
        <v>1-145-152</v>
      </c>
      <c r="F158" t="str">
        <f t="shared" si="23"/>
        <v>1145152</v>
      </c>
      <c r="G158">
        <f t="shared" si="24"/>
        <v>1</v>
      </c>
      <c r="H158">
        <f t="shared" si="25"/>
        <v>145</v>
      </c>
      <c r="I158">
        <f t="shared" si="26"/>
        <v>152</v>
      </c>
      <c r="J158" t="str">
        <f t="shared" si="18"/>
        <v>AUDv6b",</v>
      </c>
      <c r="K158" t="str">
        <f t="shared" si="18"/>
        <v>Ventral auditory area, layer 6b",</v>
      </c>
      <c r="L158" t="str">
        <f t="shared" si="19"/>
        <v>AUDv6b</v>
      </c>
      <c r="M158" t="str">
        <f t="shared" si="19"/>
        <v>Ventral auditory area, layer 6b</v>
      </c>
      <c r="N158" t="s">
        <v>4856</v>
      </c>
      <c r="O158" t="s">
        <v>4857</v>
      </c>
      <c r="Q158" s="6">
        <v>193</v>
      </c>
      <c r="R158" s="6">
        <v>750</v>
      </c>
      <c r="S158" s="6" t="s">
        <v>4921</v>
      </c>
      <c r="T158" s="6" t="s">
        <v>4920</v>
      </c>
      <c r="U158" s="6">
        <v>425</v>
      </c>
      <c r="V158" s="6">
        <v>8</v>
      </c>
      <c r="W158" s="6" t="s">
        <v>7402</v>
      </c>
      <c r="Y158" t="s">
        <v>4856</v>
      </c>
      <c r="Z158" t="s">
        <v>4857</v>
      </c>
      <c r="AA158" s="6">
        <f t="shared" si="20"/>
        <v>598</v>
      </c>
      <c r="AB158">
        <v>1</v>
      </c>
      <c r="AC158">
        <v>145</v>
      </c>
      <c r="AD158">
        <v>152</v>
      </c>
    </row>
    <row r="159" spans="1:30" ht="17" x14ac:dyDescent="0.25">
      <c r="A159" s="1" t="s">
        <v>161</v>
      </c>
      <c r="B159" s="1" t="s">
        <v>2813</v>
      </c>
      <c r="C159" s="1" t="s">
        <v>1488</v>
      </c>
      <c r="D159" t="str">
        <f t="shared" si="21"/>
        <v>098489</v>
      </c>
      <c r="E159" t="str">
        <f t="shared" si="22"/>
        <v>9-132-137</v>
      </c>
      <c r="F159" t="str">
        <f t="shared" si="23"/>
        <v>9132137</v>
      </c>
      <c r="G159">
        <f t="shared" si="24"/>
        <v>9</v>
      </c>
      <c r="H159">
        <f t="shared" si="25"/>
        <v>132</v>
      </c>
      <c r="I159">
        <f t="shared" si="26"/>
        <v>137</v>
      </c>
      <c r="J159" t="str">
        <f t="shared" si="18"/>
        <v>VIS",</v>
      </c>
      <c r="K159" t="str">
        <f t="shared" si="18"/>
        <v>Visual areas",</v>
      </c>
      <c r="L159" t="str">
        <f t="shared" si="19"/>
        <v>VIS</v>
      </c>
      <c r="M159" t="str">
        <f t="shared" si="19"/>
        <v>Visual areas</v>
      </c>
      <c r="N159" t="s">
        <v>4858</v>
      </c>
      <c r="O159" t="s">
        <v>4859</v>
      </c>
      <c r="Q159" s="6">
        <v>194</v>
      </c>
      <c r="R159" s="6">
        <v>269</v>
      </c>
      <c r="S159" s="6" t="s">
        <v>7200</v>
      </c>
      <c r="T159" s="6" t="s">
        <v>7139</v>
      </c>
      <c r="U159" s="6">
        <v>425</v>
      </c>
      <c r="V159" s="6">
        <v>8</v>
      </c>
      <c r="W159" s="6" t="s">
        <v>7403</v>
      </c>
      <c r="Y159" t="s">
        <v>4858</v>
      </c>
      <c r="Z159" t="s">
        <v>4859</v>
      </c>
      <c r="AA159" s="6">
        <f t="shared" si="20"/>
        <v>669</v>
      </c>
      <c r="AB159">
        <v>9</v>
      </c>
      <c r="AC159">
        <v>132</v>
      </c>
      <c r="AD159">
        <v>137</v>
      </c>
    </row>
    <row r="160" spans="1:30" ht="17" x14ac:dyDescent="0.25">
      <c r="A160" s="1" t="s">
        <v>162</v>
      </c>
      <c r="B160" s="1" t="s">
        <v>2814</v>
      </c>
      <c r="C160" s="1" t="s">
        <v>1489</v>
      </c>
      <c r="D160" t="str">
        <f t="shared" si="21"/>
        <v>08828A</v>
      </c>
      <c r="E160" t="str">
        <f t="shared" si="22"/>
        <v>8-130-138</v>
      </c>
      <c r="F160" t="str">
        <f t="shared" si="23"/>
        <v>8130138</v>
      </c>
      <c r="G160">
        <f t="shared" si="24"/>
        <v>8</v>
      </c>
      <c r="H160">
        <f t="shared" si="25"/>
        <v>130</v>
      </c>
      <c r="I160">
        <f t="shared" si="26"/>
        <v>138</v>
      </c>
      <c r="J160" t="str">
        <f t="shared" si="18"/>
        <v>VIS1",</v>
      </c>
      <c r="K160" t="str">
        <f t="shared" si="18"/>
        <v>Visual areas, layer 1",</v>
      </c>
      <c r="L160" t="str">
        <f t="shared" si="19"/>
        <v>VIS1</v>
      </c>
      <c r="M160" t="str">
        <f t="shared" si="19"/>
        <v>Visual areas, layer 1</v>
      </c>
      <c r="N160" t="s">
        <v>4860</v>
      </c>
      <c r="O160" t="s">
        <v>4861</v>
      </c>
      <c r="Q160" s="6">
        <v>195</v>
      </c>
      <c r="R160" s="6">
        <v>869</v>
      </c>
      <c r="S160" s="6" t="s">
        <v>4923</v>
      </c>
      <c r="T160" s="6" t="s">
        <v>4922</v>
      </c>
      <c r="U160" s="6">
        <v>425</v>
      </c>
      <c r="V160" s="6">
        <v>8</v>
      </c>
      <c r="W160" s="6" t="s">
        <v>7404</v>
      </c>
      <c r="Y160" t="s">
        <v>4860</v>
      </c>
      <c r="Z160" t="s">
        <v>4861</v>
      </c>
      <c r="AA160" s="6" t="str">
        <f t="shared" si="20"/>
        <v/>
      </c>
      <c r="AB160">
        <v>8</v>
      </c>
      <c r="AC160">
        <v>130</v>
      </c>
      <c r="AD160">
        <v>138</v>
      </c>
    </row>
    <row r="161" spans="1:30" ht="17" x14ac:dyDescent="0.25">
      <c r="A161" s="1" t="s">
        <v>163</v>
      </c>
      <c r="B161" s="1" t="s">
        <v>2815</v>
      </c>
      <c r="C161" s="1" t="s">
        <v>1490</v>
      </c>
      <c r="D161" t="str">
        <f t="shared" si="21"/>
        <v>0B858C</v>
      </c>
      <c r="E161" t="str">
        <f t="shared" si="22"/>
        <v>11-133-140</v>
      </c>
      <c r="F161" t="str">
        <f t="shared" si="23"/>
        <v>11133140</v>
      </c>
      <c r="G161">
        <f t="shared" si="24"/>
        <v>11</v>
      </c>
      <c r="H161">
        <f t="shared" si="25"/>
        <v>133</v>
      </c>
      <c r="I161">
        <f t="shared" si="26"/>
        <v>140</v>
      </c>
      <c r="J161" t="str">
        <f t="shared" si="18"/>
        <v>VIS2\/3",</v>
      </c>
      <c r="K161" t="str">
        <f t="shared" si="18"/>
        <v>Visual areas, layer 2\/3",</v>
      </c>
      <c r="L161" t="str">
        <f t="shared" si="19"/>
        <v>VIS2\/3</v>
      </c>
      <c r="M161" t="str">
        <f t="shared" si="19"/>
        <v>Visual areas, layer 2\/3</v>
      </c>
      <c r="N161" t="s">
        <v>7134</v>
      </c>
      <c r="O161" t="s">
        <v>7195</v>
      </c>
      <c r="Q161" s="6">
        <v>196</v>
      </c>
      <c r="R161" s="6">
        <v>902</v>
      </c>
      <c r="S161" s="6" t="s">
        <v>4925</v>
      </c>
      <c r="T161" s="6" t="s">
        <v>4924</v>
      </c>
      <c r="U161" s="6">
        <v>425</v>
      </c>
      <c r="V161" s="6">
        <v>8</v>
      </c>
      <c r="W161" s="6" t="s">
        <v>7405</v>
      </c>
      <c r="Y161" t="s">
        <v>7134</v>
      </c>
      <c r="Z161" t="s">
        <v>7195</v>
      </c>
      <c r="AA161" s="6" t="str">
        <f t="shared" si="20"/>
        <v/>
      </c>
      <c r="AB161">
        <v>11</v>
      </c>
      <c r="AC161">
        <v>133</v>
      </c>
      <c r="AD161">
        <v>140</v>
      </c>
    </row>
    <row r="162" spans="1:30" ht="17" x14ac:dyDescent="0.25">
      <c r="A162" s="1" t="s">
        <v>164</v>
      </c>
      <c r="B162" s="1" t="s">
        <v>2816</v>
      </c>
      <c r="C162" s="1" t="s">
        <v>1491</v>
      </c>
      <c r="D162" t="str">
        <f t="shared" si="21"/>
        <v>09828A</v>
      </c>
      <c r="E162" t="str">
        <f t="shared" si="22"/>
        <v>9-130-138</v>
      </c>
      <c r="F162" t="str">
        <f t="shared" si="23"/>
        <v>9130138</v>
      </c>
      <c r="G162">
        <f t="shared" si="24"/>
        <v>9</v>
      </c>
      <c r="H162">
        <f t="shared" si="25"/>
        <v>130</v>
      </c>
      <c r="I162">
        <f t="shared" si="26"/>
        <v>138</v>
      </c>
      <c r="J162" t="str">
        <f t="shared" si="18"/>
        <v>VIS4",</v>
      </c>
      <c r="K162" t="str">
        <f t="shared" si="18"/>
        <v>Visual areas, layer 4",</v>
      </c>
      <c r="L162" t="str">
        <f t="shared" si="19"/>
        <v>VIS4</v>
      </c>
      <c r="M162" t="str">
        <f t="shared" si="19"/>
        <v>Visual areas, layer 4</v>
      </c>
      <c r="N162" t="s">
        <v>4862</v>
      </c>
      <c r="O162" t="s">
        <v>4863</v>
      </c>
      <c r="Q162" s="6">
        <v>197</v>
      </c>
      <c r="R162" s="6">
        <v>377</v>
      </c>
      <c r="S162" s="6" t="s">
        <v>4927</v>
      </c>
      <c r="T162" s="6" t="s">
        <v>4926</v>
      </c>
      <c r="U162" s="6">
        <v>425</v>
      </c>
      <c r="V162" s="6">
        <v>8</v>
      </c>
      <c r="W162" s="6" t="s">
        <v>7406</v>
      </c>
      <c r="Y162" t="s">
        <v>4862</v>
      </c>
      <c r="Z162" t="s">
        <v>4863</v>
      </c>
      <c r="AA162" s="6" t="str">
        <f t="shared" si="20"/>
        <v/>
      </c>
      <c r="AB162">
        <v>9</v>
      </c>
      <c r="AC162">
        <v>130</v>
      </c>
      <c r="AD162">
        <v>138</v>
      </c>
    </row>
    <row r="163" spans="1:30" ht="17" x14ac:dyDescent="0.25">
      <c r="A163" s="1" t="s">
        <v>165</v>
      </c>
      <c r="B163" s="1" t="s">
        <v>2817</v>
      </c>
      <c r="C163" s="1" t="s">
        <v>1492</v>
      </c>
      <c r="D163" t="str">
        <f t="shared" si="21"/>
        <v>08818C</v>
      </c>
      <c r="E163" t="str">
        <f t="shared" si="22"/>
        <v>8-129-140</v>
      </c>
      <c r="F163" t="str">
        <f t="shared" si="23"/>
        <v>8129140</v>
      </c>
      <c r="G163">
        <f t="shared" si="24"/>
        <v>8</v>
      </c>
      <c r="H163">
        <f t="shared" si="25"/>
        <v>129</v>
      </c>
      <c r="I163">
        <f t="shared" si="26"/>
        <v>140</v>
      </c>
      <c r="J163" t="str">
        <f t="shared" si="18"/>
        <v>VIS5",</v>
      </c>
      <c r="K163" t="str">
        <f t="shared" si="18"/>
        <v>Visual areas, layer 5",</v>
      </c>
      <c r="L163" t="str">
        <f t="shared" si="19"/>
        <v>VIS5</v>
      </c>
      <c r="M163" t="str">
        <f t="shared" si="19"/>
        <v>Visual areas, layer 5</v>
      </c>
      <c r="N163" t="s">
        <v>4864</v>
      </c>
      <c r="O163" t="s">
        <v>4865</v>
      </c>
      <c r="Q163" s="6">
        <v>198</v>
      </c>
      <c r="R163" s="6">
        <v>393</v>
      </c>
      <c r="S163" s="6" t="s">
        <v>4929</v>
      </c>
      <c r="T163" s="6" t="s">
        <v>4928</v>
      </c>
      <c r="U163" s="6">
        <v>425</v>
      </c>
      <c r="V163" s="6">
        <v>8</v>
      </c>
      <c r="W163" s="6" t="s">
        <v>7407</v>
      </c>
      <c r="Y163" t="s">
        <v>4864</v>
      </c>
      <c r="Z163" t="s">
        <v>4865</v>
      </c>
      <c r="AA163" s="6" t="str">
        <f t="shared" si="20"/>
        <v/>
      </c>
      <c r="AB163">
        <v>8</v>
      </c>
      <c r="AC163">
        <v>129</v>
      </c>
      <c r="AD163">
        <v>140</v>
      </c>
    </row>
    <row r="164" spans="1:30" ht="17" x14ac:dyDescent="0.25">
      <c r="A164" s="1" t="s">
        <v>166</v>
      </c>
      <c r="B164" s="1" t="s">
        <v>2818</v>
      </c>
      <c r="C164" s="1" t="s">
        <v>1493</v>
      </c>
      <c r="D164" t="str">
        <f t="shared" si="21"/>
        <v>0A838C</v>
      </c>
      <c r="E164" t="str">
        <f t="shared" si="22"/>
        <v>10-131-140</v>
      </c>
      <c r="F164" t="str">
        <f t="shared" si="23"/>
        <v>10131140</v>
      </c>
      <c r="G164">
        <f t="shared" si="24"/>
        <v>10</v>
      </c>
      <c r="H164">
        <f t="shared" si="25"/>
        <v>131</v>
      </c>
      <c r="I164">
        <f t="shared" si="26"/>
        <v>140</v>
      </c>
      <c r="J164" t="str">
        <f t="shared" si="18"/>
        <v>VIS6a",</v>
      </c>
      <c r="K164" t="str">
        <f t="shared" si="18"/>
        <v>Visual areas, layer 6a",</v>
      </c>
      <c r="L164" t="str">
        <f t="shared" si="19"/>
        <v>VIS6a</v>
      </c>
      <c r="M164" t="str">
        <f t="shared" si="19"/>
        <v>Visual areas, layer 6a</v>
      </c>
      <c r="N164" t="s">
        <v>4866</v>
      </c>
      <c r="O164" t="s">
        <v>4867</v>
      </c>
      <c r="Q164" s="6">
        <v>199</v>
      </c>
      <c r="R164" s="6">
        <v>533</v>
      </c>
      <c r="S164" s="6" t="s">
        <v>7408</v>
      </c>
      <c r="T164" s="6" t="s">
        <v>4930</v>
      </c>
      <c r="U164" s="6">
        <v>669</v>
      </c>
      <c r="V164" s="6">
        <v>7</v>
      </c>
      <c r="W164" s="6" t="s">
        <v>7409</v>
      </c>
      <c r="Y164" t="s">
        <v>4866</v>
      </c>
      <c r="Z164" t="s">
        <v>4867</v>
      </c>
      <c r="AA164" s="6" t="str">
        <f t="shared" si="20"/>
        <v/>
      </c>
      <c r="AB164">
        <v>10</v>
      </c>
      <c r="AC164">
        <v>131</v>
      </c>
      <c r="AD164">
        <v>140</v>
      </c>
    </row>
    <row r="165" spans="1:30" ht="17" x14ac:dyDescent="0.25">
      <c r="A165" s="1" t="s">
        <v>167</v>
      </c>
      <c r="B165" s="1" t="s">
        <v>2819</v>
      </c>
      <c r="C165" s="1" t="s">
        <v>1494</v>
      </c>
      <c r="D165" t="str">
        <f t="shared" si="21"/>
        <v>09838A</v>
      </c>
      <c r="E165" t="str">
        <f t="shared" si="22"/>
        <v>9-131-138</v>
      </c>
      <c r="F165" t="str">
        <f t="shared" si="23"/>
        <v>9131138</v>
      </c>
      <c r="G165">
        <f t="shared" si="24"/>
        <v>9</v>
      </c>
      <c r="H165">
        <f t="shared" si="25"/>
        <v>131</v>
      </c>
      <c r="I165">
        <f t="shared" si="26"/>
        <v>138</v>
      </c>
      <c r="J165" t="str">
        <f t="shared" si="18"/>
        <v>VIS6b",</v>
      </c>
      <c r="K165" t="str">
        <f t="shared" si="18"/>
        <v>Visual areas, layer 6b",</v>
      </c>
      <c r="L165" t="str">
        <f t="shared" si="19"/>
        <v>VIS6b</v>
      </c>
      <c r="M165" t="str">
        <f t="shared" si="19"/>
        <v>Visual areas, layer 6b</v>
      </c>
      <c r="N165" t="s">
        <v>4868</v>
      </c>
      <c r="O165" t="s">
        <v>4869</v>
      </c>
      <c r="Q165" s="6">
        <v>200</v>
      </c>
      <c r="R165" s="6">
        <v>805</v>
      </c>
      <c r="S165" s="6" t="s">
        <v>7410</v>
      </c>
      <c r="T165" s="6" t="s">
        <v>4932</v>
      </c>
      <c r="U165" s="6">
        <v>533</v>
      </c>
      <c r="V165" s="6">
        <v>8</v>
      </c>
      <c r="W165" s="6" t="s">
        <v>7411</v>
      </c>
      <c r="Y165" t="s">
        <v>4868</v>
      </c>
      <c r="Z165" t="s">
        <v>4869</v>
      </c>
      <c r="AA165" s="6" t="str">
        <f t="shared" si="20"/>
        <v/>
      </c>
      <c r="AB165">
        <v>9</v>
      </c>
      <c r="AC165">
        <v>131</v>
      </c>
      <c r="AD165">
        <v>138</v>
      </c>
    </row>
    <row r="166" spans="1:30" ht="17" x14ac:dyDescent="0.25">
      <c r="A166" s="1" t="s">
        <v>168</v>
      </c>
      <c r="B166" s="1" t="s">
        <v>2820</v>
      </c>
      <c r="C166" s="1" t="s">
        <v>1495</v>
      </c>
      <c r="D166" t="str">
        <f t="shared" si="21"/>
        <v>09838C</v>
      </c>
      <c r="E166" t="str">
        <f t="shared" si="22"/>
        <v>9-131-140</v>
      </c>
      <c r="F166" t="str">
        <f t="shared" si="23"/>
        <v>9131140</v>
      </c>
      <c r="G166">
        <f t="shared" si="24"/>
        <v>9</v>
      </c>
      <c r="H166">
        <f t="shared" si="25"/>
        <v>131</v>
      </c>
      <c r="I166">
        <f t="shared" si="26"/>
        <v>140</v>
      </c>
      <c r="J166" t="str">
        <f t="shared" si="18"/>
        <v>VISal",</v>
      </c>
      <c r="K166" t="str">
        <f t="shared" si="18"/>
        <v>Anterolateral visual area",</v>
      </c>
      <c r="L166" t="str">
        <f t="shared" si="19"/>
        <v>VISal</v>
      </c>
      <c r="M166" t="str">
        <f t="shared" si="19"/>
        <v>Anterolateral visual area</v>
      </c>
      <c r="N166" t="s">
        <v>4870</v>
      </c>
      <c r="O166" t="s">
        <v>4871</v>
      </c>
      <c r="Q166" s="6">
        <v>201</v>
      </c>
      <c r="R166" s="6">
        <v>41</v>
      </c>
      <c r="S166" s="6" t="s">
        <v>7412</v>
      </c>
      <c r="T166" s="6" t="s">
        <v>7140</v>
      </c>
      <c r="U166" s="6">
        <v>533</v>
      </c>
      <c r="V166" s="6">
        <v>8</v>
      </c>
      <c r="W166" s="6" t="s">
        <v>7413</v>
      </c>
      <c r="Y166" t="s">
        <v>4870</v>
      </c>
      <c r="Z166" t="s">
        <v>4871</v>
      </c>
      <c r="AA166" s="6">
        <f t="shared" si="20"/>
        <v>402</v>
      </c>
      <c r="AB166">
        <v>9</v>
      </c>
      <c r="AC166">
        <v>131</v>
      </c>
      <c r="AD166">
        <v>140</v>
      </c>
    </row>
    <row r="167" spans="1:30" ht="17" x14ac:dyDescent="0.25">
      <c r="A167" s="1" t="s">
        <v>169</v>
      </c>
      <c r="B167" s="1" t="s">
        <v>2821</v>
      </c>
      <c r="C167" s="1" t="s">
        <v>1496</v>
      </c>
      <c r="D167" t="str">
        <f t="shared" si="21"/>
        <v>0B838B</v>
      </c>
      <c r="E167" t="str">
        <f t="shared" si="22"/>
        <v>11-131-139</v>
      </c>
      <c r="F167" t="str">
        <f t="shared" si="23"/>
        <v>11131139</v>
      </c>
      <c r="G167">
        <f t="shared" si="24"/>
        <v>11</v>
      </c>
      <c r="H167">
        <f t="shared" si="25"/>
        <v>131</v>
      </c>
      <c r="I167">
        <f t="shared" si="26"/>
        <v>139</v>
      </c>
      <c r="J167" t="str">
        <f t="shared" si="18"/>
        <v>VISal1",</v>
      </c>
      <c r="K167" t="str">
        <f t="shared" si="18"/>
        <v>Anterolateral visual area, layer 1",</v>
      </c>
      <c r="L167" t="str">
        <f t="shared" si="19"/>
        <v>VISal1</v>
      </c>
      <c r="M167" t="str">
        <f t="shared" si="19"/>
        <v>Anterolateral visual area, layer 1</v>
      </c>
      <c r="N167" t="s">
        <v>4872</v>
      </c>
      <c r="O167" t="s">
        <v>4873</v>
      </c>
      <c r="Q167" s="6">
        <v>202</v>
      </c>
      <c r="R167" s="6">
        <v>501</v>
      </c>
      <c r="S167" s="6" t="s">
        <v>7414</v>
      </c>
      <c r="T167" s="6" t="s">
        <v>4934</v>
      </c>
      <c r="U167" s="6">
        <v>533</v>
      </c>
      <c r="V167" s="6">
        <v>8</v>
      </c>
      <c r="W167" s="6" t="s">
        <v>7415</v>
      </c>
      <c r="Y167" t="s">
        <v>4872</v>
      </c>
      <c r="Z167" t="s">
        <v>4873</v>
      </c>
      <c r="AA167" s="6">
        <f t="shared" si="20"/>
        <v>1074</v>
      </c>
      <c r="AB167">
        <v>11</v>
      </c>
      <c r="AC167">
        <v>131</v>
      </c>
      <c r="AD167">
        <v>139</v>
      </c>
    </row>
    <row r="168" spans="1:30" ht="17" x14ac:dyDescent="0.25">
      <c r="A168" s="1" t="s">
        <v>170</v>
      </c>
      <c r="B168" s="1" t="s">
        <v>2822</v>
      </c>
      <c r="C168" s="1" t="s">
        <v>1497</v>
      </c>
      <c r="D168" t="str">
        <f t="shared" si="21"/>
        <v>098389</v>
      </c>
      <c r="E168" t="str">
        <f t="shared" si="22"/>
        <v>9-131-137</v>
      </c>
      <c r="F168" t="str">
        <f t="shared" si="23"/>
        <v>9131137</v>
      </c>
      <c r="G168">
        <f t="shared" si="24"/>
        <v>9</v>
      </c>
      <c r="H168">
        <f t="shared" si="25"/>
        <v>131</v>
      </c>
      <c r="I168">
        <f t="shared" si="26"/>
        <v>137</v>
      </c>
      <c r="J168" t="str">
        <f t="shared" si="18"/>
        <v>VISal2\/3",</v>
      </c>
      <c r="K168" t="str">
        <f t="shared" si="18"/>
        <v>Anterolateral visual area, layer 2\/3",</v>
      </c>
      <c r="L168" t="str">
        <f t="shared" si="19"/>
        <v>VISal2\/3</v>
      </c>
      <c r="M168" t="str">
        <f t="shared" si="19"/>
        <v>Anterolateral visual area, layer 2\/3</v>
      </c>
      <c r="N168" t="s">
        <v>7135</v>
      </c>
      <c r="O168" t="s">
        <v>7196</v>
      </c>
      <c r="Q168" s="6">
        <v>203</v>
      </c>
      <c r="R168" s="6">
        <v>565</v>
      </c>
      <c r="S168" s="6" t="s">
        <v>7416</v>
      </c>
      <c r="T168" s="6" t="s">
        <v>4936</v>
      </c>
      <c r="U168" s="6">
        <v>533</v>
      </c>
      <c r="V168" s="6">
        <v>8</v>
      </c>
      <c r="W168" s="6" t="s">
        <v>7417</v>
      </c>
      <c r="Y168" t="s">
        <v>7135</v>
      </c>
      <c r="Z168" t="s">
        <v>7196</v>
      </c>
      <c r="AA168" s="6">
        <f t="shared" si="20"/>
        <v>905</v>
      </c>
      <c r="AB168">
        <v>9</v>
      </c>
      <c r="AC168">
        <v>131</v>
      </c>
      <c r="AD168">
        <v>137</v>
      </c>
    </row>
    <row r="169" spans="1:30" ht="17" x14ac:dyDescent="0.25">
      <c r="A169" s="1" t="s">
        <v>171</v>
      </c>
      <c r="B169" s="1" t="s">
        <v>2823</v>
      </c>
      <c r="C169" s="1" t="s">
        <v>1498</v>
      </c>
      <c r="D169" t="str">
        <f t="shared" si="21"/>
        <v>088588</v>
      </c>
      <c r="E169" t="str">
        <f t="shared" si="22"/>
        <v>8-133-136</v>
      </c>
      <c r="F169" t="str">
        <f t="shared" si="23"/>
        <v>8133136</v>
      </c>
      <c r="G169">
        <f t="shared" si="24"/>
        <v>8</v>
      </c>
      <c r="H169">
        <f t="shared" si="25"/>
        <v>133</v>
      </c>
      <c r="I169">
        <f t="shared" si="26"/>
        <v>136</v>
      </c>
      <c r="J169" t="str">
        <f t="shared" si="18"/>
        <v>VISal4",</v>
      </c>
      <c r="K169" t="str">
        <f t="shared" si="18"/>
        <v>Anterolateral visual area, layer 4",</v>
      </c>
      <c r="L169" t="str">
        <f t="shared" si="19"/>
        <v>VISal4</v>
      </c>
      <c r="M169" t="str">
        <f t="shared" si="19"/>
        <v>Anterolateral visual area, layer 4</v>
      </c>
      <c r="N169" t="s">
        <v>4874</v>
      </c>
      <c r="O169" t="s">
        <v>4875</v>
      </c>
      <c r="Q169" s="6">
        <v>204</v>
      </c>
      <c r="R169" s="6">
        <v>257</v>
      </c>
      <c r="S169" s="6" t="s">
        <v>7418</v>
      </c>
      <c r="T169" s="6" t="s">
        <v>4938</v>
      </c>
      <c r="U169" s="6">
        <v>533</v>
      </c>
      <c r="V169" s="6">
        <v>8</v>
      </c>
      <c r="W169" s="6" t="s">
        <v>7419</v>
      </c>
      <c r="Y169" t="s">
        <v>4874</v>
      </c>
      <c r="Z169" t="s">
        <v>4875</v>
      </c>
      <c r="AA169" s="6">
        <f t="shared" si="20"/>
        <v>1114</v>
      </c>
      <c r="AB169">
        <v>8</v>
      </c>
      <c r="AC169">
        <v>133</v>
      </c>
      <c r="AD169">
        <v>136</v>
      </c>
    </row>
    <row r="170" spans="1:30" ht="17" x14ac:dyDescent="0.25">
      <c r="A170" s="1" t="s">
        <v>172</v>
      </c>
      <c r="B170" s="1" t="s">
        <v>2824</v>
      </c>
      <c r="C170" s="1" t="s">
        <v>1499</v>
      </c>
      <c r="D170" t="str">
        <f t="shared" si="21"/>
        <v>08848B</v>
      </c>
      <c r="E170" t="str">
        <f t="shared" si="22"/>
        <v>8-132-139</v>
      </c>
      <c r="F170" t="str">
        <f t="shared" si="23"/>
        <v>8132139</v>
      </c>
      <c r="G170">
        <f t="shared" si="24"/>
        <v>8</v>
      </c>
      <c r="H170">
        <f t="shared" si="25"/>
        <v>132</v>
      </c>
      <c r="I170">
        <f t="shared" si="26"/>
        <v>139</v>
      </c>
      <c r="J170" t="str">
        <f t="shared" si="18"/>
        <v>VISal5",</v>
      </c>
      <c r="K170" t="str">
        <f t="shared" si="18"/>
        <v>Anterolateral visual area, layer 5",</v>
      </c>
      <c r="L170" t="str">
        <f t="shared" si="19"/>
        <v>VISal5</v>
      </c>
      <c r="M170" t="str">
        <f t="shared" si="19"/>
        <v>Anterolateral visual area, layer 5</v>
      </c>
      <c r="N170" t="s">
        <v>4876</v>
      </c>
      <c r="O170" t="s">
        <v>4877</v>
      </c>
      <c r="Q170" s="6">
        <v>205</v>
      </c>
      <c r="R170" s="6">
        <v>469</v>
      </c>
      <c r="S170" s="6" t="s">
        <v>7420</v>
      </c>
      <c r="T170" s="6" t="s">
        <v>4940</v>
      </c>
      <c r="U170" s="6">
        <v>533</v>
      </c>
      <c r="V170" s="6">
        <v>8</v>
      </c>
      <c r="W170" s="6" t="s">
        <v>7421</v>
      </c>
      <c r="Y170" t="s">
        <v>4876</v>
      </c>
      <c r="Z170" t="s">
        <v>4877</v>
      </c>
      <c r="AA170" s="6">
        <f t="shared" si="20"/>
        <v>233</v>
      </c>
      <c r="AB170">
        <v>8</v>
      </c>
      <c r="AC170">
        <v>132</v>
      </c>
      <c r="AD170">
        <v>139</v>
      </c>
    </row>
    <row r="171" spans="1:30" ht="17" x14ac:dyDescent="0.25">
      <c r="A171" s="1" t="s">
        <v>173</v>
      </c>
      <c r="B171" s="1" t="s">
        <v>2825</v>
      </c>
      <c r="C171" s="1" t="s">
        <v>1500</v>
      </c>
      <c r="D171" t="str">
        <f t="shared" si="21"/>
        <v>09828C</v>
      </c>
      <c r="E171" t="str">
        <f t="shared" si="22"/>
        <v>9-130-140</v>
      </c>
      <c r="F171" t="str">
        <f t="shared" si="23"/>
        <v>9130140</v>
      </c>
      <c r="G171">
        <f t="shared" si="24"/>
        <v>9</v>
      </c>
      <c r="H171">
        <f t="shared" si="25"/>
        <v>130</v>
      </c>
      <c r="I171">
        <f t="shared" si="26"/>
        <v>140</v>
      </c>
      <c r="J171" t="str">
        <f t="shared" si="18"/>
        <v>VISal6a",</v>
      </c>
      <c r="K171" t="str">
        <f t="shared" si="18"/>
        <v>Anterolateral visual area, layer 6a",</v>
      </c>
      <c r="L171" t="str">
        <f t="shared" si="19"/>
        <v>VISal6a</v>
      </c>
      <c r="M171" t="str">
        <f t="shared" si="19"/>
        <v>Anterolateral visual area, layer 6a</v>
      </c>
      <c r="N171" t="s">
        <v>4878</v>
      </c>
      <c r="O171" t="s">
        <v>4879</v>
      </c>
      <c r="Q171" s="6">
        <v>206</v>
      </c>
      <c r="R171" s="6">
        <v>312782574</v>
      </c>
      <c r="S171" s="6" t="s">
        <v>4943</v>
      </c>
      <c r="T171" s="6" t="s">
        <v>4942</v>
      </c>
      <c r="U171" s="6">
        <v>669</v>
      </c>
      <c r="V171" s="6">
        <v>7</v>
      </c>
      <c r="W171" s="6" t="s">
        <v>7422</v>
      </c>
      <c r="Y171" t="s">
        <v>4878</v>
      </c>
      <c r="Z171" t="s">
        <v>4879</v>
      </c>
      <c r="AA171" s="6">
        <f t="shared" si="20"/>
        <v>601</v>
      </c>
      <c r="AB171">
        <v>9</v>
      </c>
      <c r="AC171">
        <v>130</v>
      </c>
      <c r="AD171">
        <v>140</v>
      </c>
    </row>
    <row r="172" spans="1:30" ht="17" x14ac:dyDescent="0.25">
      <c r="A172" s="1" t="s">
        <v>174</v>
      </c>
      <c r="B172" s="1" t="s">
        <v>2826</v>
      </c>
      <c r="C172" s="1" t="s">
        <v>1501</v>
      </c>
      <c r="D172" t="str">
        <f t="shared" si="21"/>
        <v>0B848C</v>
      </c>
      <c r="E172" t="str">
        <f t="shared" si="22"/>
        <v>11-132-140</v>
      </c>
      <c r="F172" t="str">
        <f t="shared" si="23"/>
        <v>11132140</v>
      </c>
      <c r="G172">
        <f t="shared" si="24"/>
        <v>11</v>
      </c>
      <c r="H172">
        <f t="shared" si="25"/>
        <v>132</v>
      </c>
      <c r="I172">
        <f t="shared" si="26"/>
        <v>140</v>
      </c>
      <c r="J172" t="str">
        <f t="shared" si="18"/>
        <v>VISal6b",</v>
      </c>
      <c r="K172" t="str">
        <f t="shared" si="18"/>
        <v>Anterolateral visual area, layer 6b",</v>
      </c>
      <c r="L172" t="str">
        <f t="shared" si="19"/>
        <v>VISal6b</v>
      </c>
      <c r="M172" t="str">
        <f t="shared" si="19"/>
        <v>Anterolateral visual area, layer 6b</v>
      </c>
      <c r="N172" t="s">
        <v>4880</v>
      </c>
      <c r="O172" t="s">
        <v>4881</v>
      </c>
      <c r="Q172" s="6">
        <v>207</v>
      </c>
      <c r="R172" s="6">
        <v>312782578</v>
      </c>
      <c r="S172" s="6" t="s">
        <v>4945</v>
      </c>
      <c r="T172" s="6" t="s">
        <v>4944</v>
      </c>
      <c r="U172" s="6">
        <v>312782574</v>
      </c>
      <c r="V172" s="6">
        <v>8</v>
      </c>
      <c r="W172" s="6" t="s">
        <v>7423</v>
      </c>
      <c r="Y172" t="s">
        <v>4880</v>
      </c>
      <c r="Z172" t="s">
        <v>4881</v>
      </c>
      <c r="AA172" s="6">
        <f t="shared" si="20"/>
        <v>649</v>
      </c>
      <c r="AB172">
        <v>11</v>
      </c>
      <c r="AC172">
        <v>132</v>
      </c>
      <c r="AD172">
        <v>140</v>
      </c>
    </row>
    <row r="173" spans="1:30" ht="17" x14ac:dyDescent="0.25">
      <c r="A173" s="1" t="s">
        <v>175</v>
      </c>
      <c r="B173" s="1" t="s">
        <v>2827</v>
      </c>
      <c r="C173" s="1" t="s">
        <v>1502</v>
      </c>
      <c r="D173" t="str">
        <f t="shared" si="21"/>
        <v>08838B</v>
      </c>
      <c r="E173" t="str">
        <f t="shared" si="22"/>
        <v>8-131-139</v>
      </c>
      <c r="F173" t="str">
        <f t="shared" si="23"/>
        <v>8131139</v>
      </c>
      <c r="G173">
        <f t="shared" si="24"/>
        <v>8</v>
      </c>
      <c r="H173">
        <f t="shared" si="25"/>
        <v>131</v>
      </c>
      <c r="I173">
        <f t="shared" si="26"/>
        <v>139</v>
      </c>
      <c r="J173" t="str">
        <f t="shared" si="18"/>
        <v>VISam",</v>
      </c>
      <c r="K173" t="str">
        <f t="shared" si="18"/>
        <v>Anteromedial visual area",</v>
      </c>
      <c r="L173" t="str">
        <f t="shared" si="19"/>
        <v>VISam</v>
      </c>
      <c r="M173" t="str">
        <f t="shared" si="19"/>
        <v>Anteromedial visual area</v>
      </c>
      <c r="N173" t="s">
        <v>4882</v>
      </c>
      <c r="O173" t="s">
        <v>4883</v>
      </c>
      <c r="Q173" s="6">
        <v>208</v>
      </c>
      <c r="R173" s="6">
        <v>312782582</v>
      </c>
      <c r="S173" s="6" t="s">
        <v>7202</v>
      </c>
      <c r="T173" s="6" t="s">
        <v>7141</v>
      </c>
      <c r="U173" s="6">
        <v>312782574</v>
      </c>
      <c r="V173" s="6">
        <v>8</v>
      </c>
      <c r="W173" s="6" t="s">
        <v>7424</v>
      </c>
      <c r="Y173" t="s">
        <v>4882</v>
      </c>
      <c r="Z173" t="s">
        <v>4883</v>
      </c>
      <c r="AA173" s="6">
        <f t="shared" si="20"/>
        <v>394</v>
      </c>
      <c r="AB173">
        <v>8</v>
      </c>
      <c r="AC173">
        <v>131</v>
      </c>
      <c r="AD173">
        <v>139</v>
      </c>
    </row>
    <row r="174" spans="1:30" ht="17" x14ac:dyDescent="0.25">
      <c r="A174" s="1" t="s">
        <v>176</v>
      </c>
      <c r="B174" s="1" t="s">
        <v>2828</v>
      </c>
      <c r="C174" s="1" t="s">
        <v>1503</v>
      </c>
      <c r="D174" t="str">
        <f t="shared" si="21"/>
        <v>09848B</v>
      </c>
      <c r="E174" t="str">
        <f t="shared" si="22"/>
        <v>9-132-139</v>
      </c>
      <c r="F174" t="str">
        <f t="shared" si="23"/>
        <v>9132139</v>
      </c>
      <c r="G174">
        <f t="shared" si="24"/>
        <v>9</v>
      </c>
      <c r="H174">
        <f t="shared" si="25"/>
        <v>132</v>
      </c>
      <c r="I174">
        <f t="shared" si="26"/>
        <v>139</v>
      </c>
      <c r="J174" t="str">
        <f t="shared" si="18"/>
        <v>VISam1",</v>
      </c>
      <c r="K174" t="str">
        <f t="shared" si="18"/>
        <v>Anteromedial visual area, layer 1",</v>
      </c>
      <c r="L174" t="str">
        <f t="shared" si="19"/>
        <v>VISam1</v>
      </c>
      <c r="M174" t="str">
        <f t="shared" si="19"/>
        <v>Anteromedial visual area, layer 1</v>
      </c>
      <c r="N174" t="s">
        <v>4884</v>
      </c>
      <c r="O174" t="s">
        <v>4885</v>
      </c>
      <c r="Q174" s="6">
        <v>209</v>
      </c>
      <c r="R174" s="6">
        <v>312782586</v>
      </c>
      <c r="S174" s="6" t="s">
        <v>4947</v>
      </c>
      <c r="T174" s="6" t="s">
        <v>4946</v>
      </c>
      <c r="U174" s="6">
        <v>312782574</v>
      </c>
      <c r="V174" s="6">
        <v>8</v>
      </c>
      <c r="W174" s="6" t="s">
        <v>7425</v>
      </c>
      <c r="Y174" t="s">
        <v>4884</v>
      </c>
      <c r="Z174" t="s">
        <v>4885</v>
      </c>
      <c r="AA174" s="6">
        <f t="shared" si="20"/>
        <v>281</v>
      </c>
      <c r="AB174">
        <v>9</v>
      </c>
      <c r="AC174">
        <v>132</v>
      </c>
      <c r="AD174">
        <v>139</v>
      </c>
    </row>
    <row r="175" spans="1:30" ht="17" x14ac:dyDescent="0.25">
      <c r="A175" s="1" t="s">
        <v>177</v>
      </c>
      <c r="B175" s="1" t="s">
        <v>2829</v>
      </c>
      <c r="C175" s="1" t="s">
        <v>1504</v>
      </c>
      <c r="D175" t="str">
        <f t="shared" si="21"/>
        <v>0B848A</v>
      </c>
      <c r="E175" t="str">
        <f t="shared" si="22"/>
        <v>11-132-138</v>
      </c>
      <c r="F175" t="str">
        <f t="shared" si="23"/>
        <v>11132138</v>
      </c>
      <c r="G175">
        <f t="shared" si="24"/>
        <v>11</v>
      </c>
      <c r="H175">
        <f t="shared" si="25"/>
        <v>132</v>
      </c>
      <c r="I175">
        <f t="shared" si="26"/>
        <v>138</v>
      </c>
      <c r="J175" t="str">
        <f t="shared" si="18"/>
        <v>VISam2\/3",</v>
      </c>
      <c r="K175" t="str">
        <f t="shared" si="18"/>
        <v>Anteromedial visual area, layer 2\/3",</v>
      </c>
      <c r="L175" t="str">
        <f t="shared" si="19"/>
        <v>VISam2\/3</v>
      </c>
      <c r="M175" t="str">
        <f t="shared" si="19"/>
        <v>Anteromedial visual area, layer 2\/3</v>
      </c>
      <c r="N175" t="s">
        <v>7136</v>
      </c>
      <c r="O175" t="s">
        <v>7197</v>
      </c>
      <c r="Q175" s="6">
        <v>210</v>
      </c>
      <c r="R175" s="6">
        <v>312782590</v>
      </c>
      <c r="S175" s="6" t="s">
        <v>4949</v>
      </c>
      <c r="T175" s="6" t="s">
        <v>4948</v>
      </c>
      <c r="U175" s="6">
        <v>312782574</v>
      </c>
      <c r="V175" s="6">
        <v>8</v>
      </c>
      <c r="W175" s="6" t="s">
        <v>7426</v>
      </c>
      <c r="Y175" t="s">
        <v>7136</v>
      </c>
      <c r="Z175" t="s">
        <v>7197</v>
      </c>
      <c r="AA175" s="6">
        <f t="shared" si="20"/>
        <v>1066</v>
      </c>
      <c r="AB175">
        <v>11</v>
      </c>
      <c r="AC175">
        <v>132</v>
      </c>
      <c r="AD175">
        <v>138</v>
      </c>
    </row>
    <row r="176" spans="1:30" ht="17" x14ac:dyDescent="0.25">
      <c r="A176" s="1" t="s">
        <v>178</v>
      </c>
      <c r="B176" s="1" t="s">
        <v>2830</v>
      </c>
      <c r="C176" s="1" t="s">
        <v>1505</v>
      </c>
      <c r="D176" t="str">
        <f t="shared" si="21"/>
        <v>09858A</v>
      </c>
      <c r="E176" t="str">
        <f t="shared" si="22"/>
        <v>9-133-138</v>
      </c>
      <c r="F176" t="str">
        <f t="shared" si="23"/>
        <v>9133138</v>
      </c>
      <c r="G176">
        <f t="shared" si="24"/>
        <v>9</v>
      </c>
      <c r="H176">
        <f t="shared" si="25"/>
        <v>133</v>
      </c>
      <c r="I176">
        <f t="shared" si="26"/>
        <v>138</v>
      </c>
      <c r="J176" t="str">
        <f t="shared" si="18"/>
        <v>VISam4",</v>
      </c>
      <c r="K176" t="str">
        <f t="shared" si="18"/>
        <v>Anteromedial visual area, layer 4",</v>
      </c>
      <c r="L176" t="str">
        <f t="shared" si="19"/>
        <v>VISam4</v>
      </c>
      <c r="M176" t="str">
        <f t="shared" si="19"/>
        <v>Anteromedial visual area, layer 4</v>
      </c>
      <c r="N176" t="s">
        <v>4886</v>
      </c>
      <c r="O176" t="s">
        <v>4887</v>
      </c>
      <c r="Q176" s="6">
        <v>211</v>
      </c>
      <c r="R176" s="6">
        <v>312782594</v>
      </c>
      <c r="S176" s="6" t="s">
        <v>4951</v>
      </c>
      <c r="T176" s="6" t="s">
        <v>4950</v>
      </c>
      <c r="U176" s="6">
        <v>312782574</v>
      </c>
      <c r="V176" s="6">
        <v>8</v>
      </c>
      <c r="W176" s="6" t="s">
        <v>7427</v>
      </c>
      <c r="Y176" t="s">
        <v>4886</v>
      </c>
      <c r="Z176" t="s">
        <v>4887</v>
      </c>
      <c r="AA176" s="6">
        <f t="shared" si="20"/>
        <v>401</v>
      </c>
      <c r="AB176">
        <v>9</v>
      </c>
      <c r="AC176">
        <v>133</v>
      </c>
      <c r="AD176">
        <v>138</v>
      </c>
    </row>
    <row r="177" spans="1:30" ht="17" x14ac:dyDescent="0.25">
      <c r="A177" s="1" t="s">
        <v>179</v>
      </c>
      <c r="B177" s="1" t="s">
        <v>2831</v>
      </c>
      <c r="C177" s="1" t="s">
        <v>1506</v>
      </c>
      <c r="D177" t="str">
        <f t="shared" si="21"/>
        <v>0A848B</v>
      </c>
      <c r="E177" t="str">
        <f t="shared" si="22"/>
        <v>10-132-139</v>
      </c>
      <c r="F177" t="str">
        <f t="shared" si="23"/>
        <v>10132139</v>
      </c>
      <c r="G177">
        <f t="shared" si="24"/>
        <v>10</v>
      </c>
      <c r="H177">
        <f t="shared" si="25"/>
        <v>132</v>
      </c>
      <c r="I177">
        <f t="shared" si="26"/>
        <v>139</v>
      </c>
      <c r="J177" t="str">
        <f t="shared" si="18"/>
        <v>VISam5",</v>
      </c>
      <c r="K177" t="str">
        <f t="shared" si="18"/>
        <v>Anteromedial visual area, layer 5",</v>
      </c>
      <c r="L177" t="str">
        <f t="shared" si="19"/>
        <v>VISam5</v>
      </c>
      <c r="M177" t="str">
        <f t="shared" si="19"/>
        <v>Anteromedial visual area, layer 5</v>
      </c>
      <c r="N177" t="s">
        <v>4888</v>
      </c>
      <c r="O177" t="s">
        <v>4889</v>
      </c>
      <c r="Q177" s="6">
        <v>212</v>
      </c>
      <c r="R177" s="6">
        <v>312782598</v>
      </c>
      <c r="S177" s="6" t="s">
        <v>4953</v>
      </c>
      <c r="T177" s="6" t="s">
        <v>4952</v>
      </c>
      <c r="U177" s="6">
        <v>312782574</v>
      </c>
      <c r="V177" s="6">
        <v>8</v>
      </c>
      <c r="W177" s="6" t="s">
        <v>7428</v>
      </c>
      <c r="Y177" t="s">
        <v>4888</v>
      </c>
      <c r="Z177" t="s">
        <v>4889</v>
      </c>
      <c r="AA177" s="6">
        <f t="shared" si="20"/>
        <v>433</v>
      </c>
      <c r="AB177">
        <v>10</v>
      </c>
      <c r="AC177">
        <v>132</v>
      </c>
      <c r="AD177">
        <v>139</v>
      </c>
    </row>
    <row r="178" spans="1:30" ht="17" x14ac:dyDescent="0.25">
      <c r="A178" s="1" t="s">
        <v>180</v>
      </c>
      <c r="B178" s="1" t="s">
        <v>2832</v>
      </c>
      <c r="C178" s="1" t="s">
        <v>1507</v>
      </c>
      <c r="D178" t="str">
        <f t="shared" si="21"/>
        <v>0A828B</v>
      </c>
      <c r="E178" t="str">
        <f t="shared" si="22"/>
        <v>10-130-139</v>
      </c>
      <c r="F178" t="str">
        <f t="shared" si="23"/>
        <v>10130139</v>
      </c>
      <c r="G178">
        <f t="shared" si="24"/>
        <v>10</v>
      </c>
      <c r="H178">
        <f t="shared" si="25"/>
        <v>130</v>
      </c>
      <c r="I178">
        <f t="shared" si="26"/>
        <v>139</v>
      </c>
      <c r="J178" t="str">
        <f t="shared" si="18"/>
        <v>VISam6a",</v>
      </c>
      <c r="K178" t="str">
        <f t="shared" si="18"/>
        <v>Anteromedial visual area, layer 6a",</v>
      </c>
      <c r="L178" t="str">
        <f t="shared" si="19"/>
        <v>VISam6a</v>
      </c>
      <c r="M178" t="str">
        <f t="shared" si="19"/>
        <v>Anteromedial visual area, layer 6a</v>
      </c>
      <c r="N178" t="s">
        <v>4890</v>
      </c>
      <c r="O178" t="s">
        <v>4891</v>
      </c>
      <c r="Q178" s="6">
        <v>213</v>
      </c>
      <c r="R178" s="6">
        <v>312782628</v>
      </c>
      <c r="S178" s="6" t="s">
        <v>4955</v>
      </c>
      <c r="T178" s="6" t="s">
        <v>4954</v>
      </c>
      <c r="U178" s="6">
        <v>669</v>
      </c>
      <c r="V178" s="6">
        <v>7</v>
      </c>
      <c r="W178" s="6" t="s">
        <v>7429</v>
      </c>
      <c r="Y178" t="s">
        <v>4890</v>
      </c>
      <c r="Z178" t="s">
        <v>4891</v>
      </c>
      <c r="AA178" s="6">
        <f t="shared" si="20"/>
        <v>1046</v>
      </c>
      <c r="AB178">
        <v>10</v>
      </c>
      <c r="AC178">
        <v>130</v>
      </c>
      <c r="AD178">
        <v>139</v>
      </c>
    </row>
    <row r="179" spans="1:30" ht="17" x14ac:dyDescent="0.25">
      <c r="A179" s="1" t="s">
        <v>181</v>
      </c>
      <c r="B179" s="1" t="s">
        <v>2833</v>
      </c>
      <c r="C179" s="1" t="s">
        <v>1508</v>
      </c>
      <c r="D179" t="str">
        <f t="shared" si="21"/>
        <v>08838A</v>
      </c>
      <c r="E179" t="str">
        <f t="shared" si="22"/>
        <v>8-131-138</v>
      </c>
      <c r="F179" t="str">
        <f t="shared" si="23"/>
        <v>8131138</v>
      </c>
      <c r="G179">
        <f t="shared" si="24"/>
        <v>8</v>
      </c>
      <c r="H179">
        <f t="shared" si="25"/>
        <v>131</v>
      </c>
      <c r="I179">
        <f t="shared" si="26"/>
        <v>138</v>
      </c>
      <c r="J179" t="str">
        <f t="shared" si="18"/>
        <v>VISam6b",</v>
      </c>
      <c r="K179" t="str">
        <f t="shared" si="18"/>
        <v>Anteromedial visual area, layer 6b",</v>
      </c>
      <c r="L179" t="str">
        <f t="shared" si="19"/>
        <v>VISam6b</v>
      </c>
      <c r="M179" t="str">
        <f t="shared" si="19"/>
        <v>Anteromedial visual area, layer 6b</v>
      </c>
      <c r="N179" t="s">
        <v>4892</v>
      </c>
      <c r="O179" t="s">
        <v>4893</v>
      </c>
      <c r="Q179" s="6">
        <v>214</v>
      </c>
      <c r="R179" s="6">
        <v>312782632</v>
      </c>
      <c r="S179" s="6" t="s">
        <v>4957</v>
      </c>
      <c r="T179" s="6" t="s">
        <v>4956</v>
      </c>
      <c r="U179" s="6">
        <v>312782628</v>
      </c>
      <c r="V179" s="6">
        <v>8</v>
      </c>
      <c r="W179" s="6" t="s">
        <v>7430</v>
      </c>
      <c r="Y179" t="s">
        <v>4892</v>
      </c>
      <c r="Z179" t="s">
        <v>4893</v>
      </c>
      <c r="AA179" s="6">
        <f t="shared" si="20"/>
        <v>441</v>
      </c>
      <c r="AB179">
        <v>8</v>
      </c>
      <c r="AC179">
        <v>131</v>
      </c>
      <c r="AD179">
        <v>138</v>
      </c>
    </row>
    <row r="180" spans="1:30" ht="17" x14ac:dyDescent="0.25">
      <c r="A180" s="1" t="s">
        <v>182</v>
      </c>
      <c r="B180" s="1" t="s">
        <v>2834</v>
      </c>
      <c r="C180" s="1" t="s">
        <v>1509</v>
      </c>
      <c r="D180" t="str">
        <f t="shared" si="21"/>
        <v>0A848C</v>
      </c>
      <c r="E180" t="str">
        <f t="shared" si="22"/>
        <v>10-132-140</v>
      </c>
      <c r="F180" t="str">
        <f t="shared" si="23"/>
        <v>10132140</v>
      </c>
      <c r="G180">
        <f t="shared" si="24"/>
        <v>10</v>
      </c>
      <c r="H180">
        <f t="shared" si="25"/>
        <v>132</v>
      </c>
      <c r="I180">
        <f t="shared" si="26"/>
        <v>140</v>
      </c>
      <c r="J180" t="str">
        <f t="shared" si="18"/>
        <v>VISl",</v>
      </c>
      <c r="K180" t="str">
        <f t="shared" si="18"/>
        <v>Lateral visual area",</v>
      </c>
      <c r="L180" t="str">
        <f t="shared" si="19"/>
        <v>VISl</v>
      </c>
      <c r="M180" t="str">
        <f t="shared" si="19"/>
        <v>Lateral visual area</v>
      </c>
      <c r="N180" t="s">
        <v>4894</v>
      </c>
      <c r="O180" t="s">
        <v>4895</v>
      </c>
      <c r="Q180" s="6">
        <v>215</v>
      </c>
      <c r="R180" s="6">
        <v>312782636</v>
      </c>
      <c r="S180" s="6" t="s">
        <v>7203</v>
      </c>
      <c r="T180" s="6" t="s">
        <v>7142</v>
      </c>
      <c r="U180" s="6">
        <v>312782628</v>
      </c>
      <c r="V180" s="6">
        <v>8</v>
      </c>
      <c r="W180" s="6" t="s">
        <v>7431</v>
      </c>
      <c r="Y180" t="s">
        <v>4894</v>
      </c>
      <c r="Z180" t="s">
        <v>4895</v>
      </c>
      <c r="AA180" s="6">
        <f t="shared" si="20"/>
        <v>409</v>
      </c>
      <c r="AB180">
        <v>10</v>
      </c>
      <c r="AC180">
        <v>132</v>
      </c>
      <c r="AD180">
        <v>140</v>
      </c>
    </row>
    <row r="181" spans="1:30" ht="17" x14ac:dyDescent="0.25">
      <c r="A181" s="1" t="s">
        <v>183</v>
      </c>
      <c r="B181" s="1" t="s">
        <v>2835</v>
      </c>
      <c r="C181" s="1" t="s">
        <v>1510</v>
      </c>
      <c r="D181" t="str">
        <f t="shared" si="21"/>
        <v>09848A</v>
      </c>
      <c r="E181" t="str">
        <f t="shared" si="22"/>
        <v>9-132-138</v>
      </c>
      <c r="F181" t="str">
        <f t="shared" si="23"/>
        <v>9132138</v>
      </c>
      <c r="G181">
        <f t="shared" si="24"/>
        <v>9</v>
      </c>
      <c r="H181">
        <f t="shared" si="25"/>
        <v>132</v>
      </c>
      <c r="I181">
        <f t="shared" si="26"/>
        <v>138</v>
      </c>
      <c r="J181" t="str">
        <f t="shared" si="18"/>
        <v>VISl1",</v>
      </c>
      <c r="K181" t="str">
        <f t="shared" si="18"/>
        <v>Lateral visual area, layer 1",</v>
      </c>
      <c r="L181" t="str">
        <f t="shared" si="19"/>
        <v>VISl1</v>
      </c>
      <c r="M181" t="str">
        <f t="shared" si="19"/>
        <v>Lateral visual area, layer 1</v>
      </c>
      <c r="N181" t="s">
        <v>4896</v>
      </c>
      <c r="O181" t="s">
        <v>4897</v>
      </c>
      <c r="Q181" s="6">
        <v>216</v>
      </c>
      <c r="R181" s="6">
        <v>312782640</v>
      </c>
      <c r="S181" s="6" t="s">
        <v>4959</v>
      </c>
      <c r="T181" s="6" t="s">
        <v>4958</v>
      </c>
      <c r="U181" s="6">
        <v>312782628</v>
      </c>
      <c r="V181" s="6">
        <v>8</v>
      </c>
      <c r="W181" s="6" t="s">
        <v>7432</v>
      </c>
      <c r="Y181" t="s">
        <v>4896</v>
      </c>
      <c r="Z181" t="s">
        <v>4897</v>
      </c>
      <c r="AA181" s="6">
        <f t="shared" si="20"/>
        <v>421</v>
      </c>
      <c r="AB181">
        <v>9</v>
      </c>
      <c r="AC181">
        <v>132</v>
      </c>
      <c r="AD181">
        <v>138</v>
      </c>
    </row>
    <row r="182" spans="1:30" ht="17" x14ac:dyDescent="0.25">
      <c r="A182" s="1" t="s">
        <v>184</v>
      </c>
      <c r="B182" s="1" t="s">
        <v>2836</v>
      </c>
      <c r="C182" s="1" t="s">
        <v>1511</v>
      </c>
      <c r="D182" t="str">
        <f t="shared" si="21"/>
        <v>0A8489</v>
      </c>
      <c r="E182" t="str">
        <f t="shared" si="22"/>
        <v>10-132-137</v>
      </c>
      <c r="F182" t="str">
        <f t="shared" si="23"/>
        <v>10132137</v>
      </c>
      <c r="G182">
        <f t="shared" si="24"/>
        <v>10</v>
      </c>
      <c r="H182">
        <f t="shared" si="25"/>
        <v>132</v>
      </c>
      <c r="I182">
        <f t="shared" si="26"/>
        <v>137</v>
      </c>
      <c r="J182" t="str">
        <f t="shared" si="18"/>
        <v>VISl2\/3",</v>
      </c>
      <c r="K182" t="str">
        <f t="shared" si="18"/>
        <v>Lateral visual area, layer 2\/3",</v>
      </c>
      <c r="L182" t="str">
        <f t="shared" si="19"/>
        <v>VISl2\/3</v>
      </c>
      <c r="M182" t="str">
        <f t="shared" si="19"/>
        <v>Lateral visual area, layer 2\/3</v>
      </c>
      <c r="N182" t="s">
        <v>7137</v>
      </c>
      <c r="O182" t="s">
        <v>7198</v>
      </c>
      <c r="Q182" s="6">
        <v>217</v>
      </c>
      <c r="R182" s="6">
        <v>312782644</v>
      </c>
      <c r="S182" s="6" t="s">
        <v>4961</v>
      </c>
      <c r="T182" s="6" t="s">
        <v>4960</v>
      </c>
      <c r="U182" s="6">
        <v>312782628</v>
      </c>
      <c r="V182" s="6">
        <v>8</v>
      </c>
      <c r="W182" s="6" t="s">
        <v>7433</v>
      </c>
      <c r="Y182" t="s">
        <v>7137</v>
      </c>
      <c r="Z182" t="s">
        <v>7198</v>
      </c>
      <c r="AA182" s="6">
        <f t="shared" si="20"/>
        <v>973</v>
      </c>
      <c r="AB182">
        <v>10</v>
      </c>
      <c r="AC182">
        <v>132</v>
      </c>
      <c r="AD182">
        <v>137</v>
      </c>
    </row>
    <row r="183" spans="1:30" ht="17" x14ac:dyDescent="0.25">
      <c r="A183" s="1" t="s">
        <v>185</v>
      </c>
      <c r="B183" s="1" t="s">
        <v>2837</v>
      </c>
      <c r="C183" s="1" t="s">
        <v>1512</v>
      </c>
      <c r="D183" t="str">
        <f t="shared" si="21"/>
        <v>08828B</v>
      </c>
      <c r="E183" t="str">
        <f t="shared" si="22"/>
        <v>8-130-139</v>
      </c>
      <c r="F183" t="str">
        <f t="shared" si="23"/>
        <v>8130139</v>
      </c>
      <c r="G183">
        <f t="shared" si="24"/>
        <v>8</v>
      </c>
      <c r="H183">
        <f t="shared" si="25"/>
        <v>130</v>
      </c>
      <c r="I183">
        <f t="shared" si="26"/>
        <v>139</v>
      </c>
      <c r="J183" t="str">
        <f t="shared" si="18"/>
        <v>VISl4",</v>
      </c>
      <c r="K183" t="str">
        <f t="shared" si="18"/>
        <v>Lateral visual area, layer 4",</v>
      </c>
      <c r="L183" t="str">
        <f t="shared" si="19"/>
        <v>VISl4</v>
      </c>
      <c r="M183" t="str">
        <f t="shared" si="19"/>
        <v>Lateral visual area, layer 4</v>
      </c>
      <c r="N183" t="s">
        <v>4898</v>
      </c>
      <c r="O183" t="s">
        <v>4899</v>
      </c>
      <c r="Q183" s="6">
        <v>218</v>
      </c>
      <c r="R183" s="6">
        <v>312782648</v>
      </c>
      <c r="S183" s="6" t="s">
        <v>4963</v>
      </c>
      <c r="T183" s="6" t="s">
        <v>4962</v>
      </c>
      <c r="U183" s="6">
        <v>312782628</v>
      </c>
      <c r="V183" s="6">
        <v>8</v>
      </c>
      <c r="W183" s="6" t="s">
        <v>7434</v>
      </c>
      <c r="Y183" t="s">
        <v>4898</v>
      </c>
      <c r="Z183" t="s">
        <v>4899</v>
      </c>
      <c r="AA183" s="6">
        <f t="shared" si="20"/>
        <v>573</v>
      </c>
      <c r="AB183">
        <v>8</v>
      </c>
      <c r="AC183">
        <v>130</v>
      </c>
      <c r="AD183">
        <v>139</v>
      </c>
    </row>
    <row r="184" spans="1:30" ht="17" x14ac:dyDescent="0.25">
      <c r="A184" s="1" t="s">
        <v>186</v>
      </c>
      <c r="B184" s="1" t="s">
        <v>2838</v>
      </c>
      <c r="C184" s="1" t="s">
        <v>1513</v>
      </c>
      <c r="D184" t="str">
        <f t="shared" si="21"/>
        <v>0B858B</v>
      </c>
      <c r="E184" t="str">
        <f t="shared" si="22"/>
        <v>11-133-139</v>
      </c>
      <c r="F184" t="str">
        <f t="shared" si="23"/>
        <v>11133139</v>
      </c>
      <c r="G184">
        <f t="shared" si="24"/>
        <v>11</v>
      </c>
      <c r="H184">
        <f t="shared" si="25"/>
        <v>133</v>
      </c>
      <c r="I184">
        <f t="shared" si="26"/>
        <v>139</v>
      </c>
      <c r="J184" t="str">
        <f t="shared" si="18"/>
        <v>VISl5",</v>
      </c>
      <c r="K184" t="str">
        <f t="shared" si="18"/>
        <v>Lateral visual area, layer 5",</v>
      </c>
      <c r="L184" t="str">
        <f t="shared" si="19"/>
        <v>VISl5</v>
      </c>
      <c r="M184" t="str">
        <f t="shared" si="19"/>
        <v>Lateral visual area, layer 5</v>
      </c>
      <c r="N184" t="s">
        <v>4900</v>
      </c>
      <c r="O184" t="s">
        <v>4901</v>
      </c>
      <c r="Q184" s="6">
        <v>219</v>
      </c>
      <c r="R184" s="6">
        <v>312782652</v>
      </c>
      <c r="S184" s="6" t="s">
        <v>4965</v>
      </c>
      <c r="T184" s="6" t="s">
        <v>4964</v>
      </c>
      <c r="U184" s="6">
        <v>312782628</v>
      </c>
      <c r="V184" s="6">
        <v>8</v>
      </c>
      <c r="W184" s="6" t="s">
        <v>7435</v>
      </c>
      <c r="Y184" t="s">
        <v>4900</v>
      </c>
      <c r="Z184" t="s">
        <v>4901</v>
      </c>
      <c r="AA184" s="6">
        <f t="shared" si="20"/>
        <v>613</v>
      </c>
      <c r="AB184">
        <v>11</v>
      </c>
      <c r="AC184">
        <v>133</v>
      </c>
      <c r="AD184">
        <v>139</v>
      </c>
    </row>
    <row r="185" spans="1:30" ht="17" x14ac:dyDescent="0.25">
      <c r="A185" s="1" t="s">
        <v>187</v>
      </c>
      <c r="B185" s="1" t="s">
        <v>2839</v>
      </c>
      <c r="C185" s="1" t="s">
        <v>1514</v>
      </c>
      <c r="D185" t="str">
        <f t="shared" si="21"/>
        <v>08848C</v>
      </c>
      <c r="E185" t="str">
        <f t="shared" si="22"/>
        <v>8-132-140</v>
      </c>
      <c r="F185" t="str">
        <f t="shared" si="23"/>
        <v>8132140</v>
      </c>
      <c r="G185">
        <f t="shared" si="24"/>
        <v>8</v>
      </c>
      <c r="H185">
        <f t="shared" si="25"/>
        <v>132</v>
      </c>
      <c r="I185">
        <f t="shared" si="26"/>
        <v>140</v>
      </c>
      <c r="J185" t="str">
        <f t="shared" si="18"/>
        <v>VISl6a",</v>
      </c>
      <c r="K185" t="str">
        <f t="shared" si="18"/>
        <v>Lateral visual area, layer 6a",</v>
      </c>
      <c r="L185" t="str">
        <f t="shared" si="19"/>
        <v>VISl6a</v>
      </c>
      <c r="M185" t="str">
        <f t="shared" si="19"/>
        <v>Lateral visual area, layer 6a</v>
      </c>
      <c r="N185" t="s">
        <v>4902</v>
      </c>
      <c r="O185" t="s">
        <v>4903</v>
      </c>
      <c r="Q185" s="6">
        <v>220</v>
      </c>
      <c r="R185" s="6">
        <v>31</v>
      </c>
      <c r="S185" s="6" t="s">
        <v>4967</v>
      </c>
      <c r="T185" s="6" t="s">
        <v>4966</v>
      </c>
      <c r="U185" s="6">
        <v>315</v>
      </c>
      <c r="V185" s="6">
        <v>6</v>
      </c>
      <c r="W185" s="6" t="s">
        <v>7436</v>
      </c>
      <c r="Y185" t="s">
        <v>4902</v>
      </c>
      <c r="Z185" t="s">
        <v>4903</v>
      </c>
      <c r="AA185" s="6">
        <f t="shared" si="20"/>
        <v>74</v>
      </c>
      <c r="AB185">
        <v>8</v>
      </c>
      <c r="AC185">
        <v>132</v>
      </c>
      <c r="AD185">
        <v>140</v>
      </c>
    </row>
    <row r="186" spans="1:30" ht="17" x14ac:dyDescent="0.25">
      <c r="A186" s="1" t="s">
        <v>188</v>
      </c>
      <c r="B186" s="1" t="s">
        <v>2840</v>
      </c>
      <c r="C186" s="1" t="s">
        <v>1515</v>
      </c>
      <c r="D186" t="str">
        <f t="shared" si="21"/>
        <v>09858C</v>
      </c>
      <c r="E186" t="str">
        <f t="shared" si="22"/>
        <v>9-133-140</v>
      </c>
      <c r="F186" t="str">
        <f t="shared" si="23"/>
        <v>9133140</v>
      </c>
      <c r="G186">
        <f t="shared" si="24"/>
        <v>9</v>
      </c>
      <c r="H186">
        <f t="shared" si="25"/>
        <v>133</v>
      </c>
      <c r="I186">
        <f t="shared" si="26"/>
        <v>140</v>
      </c>
      <c r="J186" t="str">
        <f t="shared" si="18"/>
        <v>VISl6b",</v>
      </c>
      <c r="K186" t="str">
        <f t="shared" si="18"/>
        <v>Lateral visual area, layer 6b",</v>
      </c>
      <c r="L186" t="str">
        <f t="shared" si="19"/>
        <v>VISl6b</v>
      </c>
      <c r="M186" t="str">
        <f t="shared" si="19"/>
        <v>Lateral visual area, layer 6b</v>
      </c>
      <c r="N186" t="s">
        <v>4904</v>
      </c>
      <c r="O186" t="s">
        <v>4905</v>
      </c>
      <c r="Q186" s="6">
        <v>226</v>
      </c>
      <c r="R186" s="6">
        <v>39</v>
      </c>
      <c r="S186" s="6" t="s">
        <v>4977</v>
      </c>
      <c r="T186" s="6" t="s">
        <v>4976</v>
      </c>
      <c r="U186" s="6">
        <v>31</v>
      </c>
      <c r="V186" s="6">
        <v>7</v>
      </c>
      <c r="W186" s="6" t="s">
        <v>7437</v>
      </c>
      <c r="Y186" t="s">
        <v>4904</v>
      </c>
      <c r="Z186" t="s">
        <v>4905</v>
      </c>
      <c r="AA186" s="6">
        <f t="shared" si="20"/>
        <v>121</v>
      </c>
      <c r="AB186">
        <v>9</v>
      </c>
      <c r="AC186">
        <v>133</v>
      </c>
      <c r="AD186">
        <v>140</v>
      </c>
    </row>
    <row r="187" spans="1:30" ht="17" x14ac:dyDescent="0.25">
      <c r="A187" s="1" t="s">
        <v>189</v>
      </c>
      <c r="B187" s="1" t="s">
        <v>2841</v>
      </c>
      <c r="C187" s="1" t="s">
        <v>1516</v>
      </c>
      <c r="D187" t="str">
        <f t="shared" si="21"/>
        <v>0A858C</v>
      </c>
      <c r="E187" t="str">
        <f t="shared" si="22"/>
        <v>10-133-140</v>
      </c>
      <c r="F187" t="str">
        <f t="shared" si="23"/>
        <v>10133140</v>
      </c>
      <c r="G187">
        <f t="shared" si="24"/>
        <v>10</v>
      </c>
      <c r="H187">
        <f t="shared" si="25"/>
        <v>133</v>
      </c>
      <c r="I187">
        <f t="shared" si="26"/>
        <v>140</v>
      </c>
      <c r="J187" t="str">
        <f t="shared" si="18"/>
        <v>VISp",</v>
      </c>
      <c r="K187" t="str">
        <f t="shared" si="18"/>
        <v>Primary visual area",</v>
      </c>
      <c r="L187" t="str">
        <f t="shared" si="19"/>
        <v>VISp</v>
      </c>
      <c r="M187" t="str">
        <f t="shared" si="19"/>
        <v>Primary visual area</v>
      </c>
      <c r="N187" t="s">
        <v>4906</v>
      </c>
      <c r="O187" t="s">
        <v>4907</v>
      </c>
      <c r="Q187" s="6">
        <v>227</v>
      </c>
      <c r="R187" s="6">
        <v>935</v>
      </c>
      <c r="S187" s="6" t="s">
        <v>4979</v>
      </c>
      <c r="T187" s="6" t="s">
        <v>4978</v>
      </c>
      <c r="U187" s="6">
        <v>39</v>
      </c>
      <c r="V187" s="6">
        <v>8</v>
      </c>
      <c r="W187" s="6" t="s">
        <v>7438</v>
      </c>
      <c r="Y187" t="s">
        <v>4906</v>
      </c>
      <c r="Z187" t="s">
        <v>4907</v>
      </c>
      <c r="AA187" s="6">
        <f t="shared" si="20"/>
        <v>385</v>
      </c>
      <c r="AB187">
        <v>10</v>
      </c>
      <c r="AC187">
        <v>133</v>
      </c>
      <c r="AD187">
        <v>140</v>
      </c>
    </row>
    <row r="188" spans="1:30" ht="17" x14ac:dyDescent="0.25">
      <c r="A188" s="1" t="s">
        <v>190</v>
      </c>
      <c r="B188" s="1" t="s">
        <v>2842</v>
      </c>
      <c r="C188" s="1" t="s">
        <v>1517</v>
      </c>
      <c r="D188" t="str">
        <f t="shared" si="21"/>
        <v>098589</v>
      </c>
      <c r="E188" t="str">
        <f t="shared" si="22"/>
        <v>9-133-137</v>
      </c>
      <c r="F188" t="str">
        <f t="shared" si="23"/>
        <v>9133137</v>
      </c>
      <c r="G188">
        <f t="shared" si="24"/>
        <v>9</v>
      </c>
      <c r="H188">
        <f t="shared" si="25"/>
        <v>133</v>
      </c>
      <c r="I188">
        <f t="shared" si="26"/>
        <v>137</v>
      </c>
      <c r="J188" t="str">
        <f t="shared" si="18"/>
        <v>VISp1",</v>
      </c>
      <c r="K188" t="str">
        <f t="shared" si="18"/>
        <v>Primary visual area, layer 1",</v>
      </c>
      <c r="L188" t="str">
        <f t="shared" si="19"/>
        <v>VISp1</v>
      </c>
      <c r="M188" t="str">
        <f t="shared" si="19"/>
        <v>Primary visual area, layer 1</v>
      </c>
      <c r="N188" t="s">
        <v>4908</v>
      </c>
      <c r="O188" t="s">
        <v>4909</v>
      </c>
      <c r="Q188" s="6">
        <v>228</v>
      </c>
      <c r="R188" s="6">
        <v>211</v>
      </c>
      <c r="S188" s="6" t="s">
        <v>7205</v>
      </c>
      <c r="T188" s="6" t="s">
        <v>7144</v>
      </c>
      <c r="U188" s="6">
        <v>39</v>
      </c>
      <c r="V188" s="6">
        <v>8</v>
      </c>
      <c r="W188" s="6" t="s">
        <v>7439</v>
      </c>
      <c r="Y188" t="s">
        <v>4908</v>
      </c>
      <c r="Z188" t="s">
        <v>4909</v>
      </c>
      <c r="AA188" s="6">
        <f t="shared" si="20"/>
        <v>593</v>
      </c>
      <c r="AB188">
        <v>9</v>
      </c>
      <c r="AC188">
        <v>133</v>
      </c>
      <c r="AD188">
        <v>137</v>
      </c>
    </row>
    <row r="189" spans="1:30" ht="17" x14ac:dyDescent="0.25">
      <c r="A189" s="1" t="s">
        <v>191</v>
      </c>
      <c r="B189" s="1" t="s">
        <v>2843</v>
      </c>
      <c r="C189" s="1" t="s">
        <v>1518</v>
      </c>
      <c r="D189" t="str">
        <f t="shared" si="21"/>
        <v>0A828C</v>
      </c>
      <c r="E189" t="str">
        <f t="shared" si="22"/>
        <v>10-130-140</v>
      </c>
      <c r="F189" t="str">
        <f t="shared" si="23"/>
        <v>10130140</v>
      </c>
      <c r="G189">
        <f t="shared" si="24"/>
        <v>10</v>
      </c>
      <c r="H189">
        <f t="shared" si="25"/>
        <v>130</v>
      </c>
      <c r="I189">
        <f t="shared" si="26"/>
        <v>140</v>
      </c>
      <c r="J189" t="str">
        <f t="shared" si="18"/>
        <v>VISp2\/3",</v>
      </c>
      <c r="K189" t="str">
        <f t="shared" si="18"/>
        <v>Primary visual area, layer 2\/3",</v>
      </c>
      <c r="L189" t="str">
        <f t="shared" si="19"/>
        <v>VISp2\/3</v>
      </c>
      <c r="M189" t="str">
        <f t="shared" si="19"/>
        <v>Primary visual area, layer 2\/3</v>
      </c>
      <c r="N189" t="s">
        <v>7138</v>
      </c>
      <c r="O189" t="s">
        <v>7199</v>
      </c>
      <c r="Q189" s="6">
        <v>229</v>
      </c>
      <c r="R189" s="6">
        <v>1015</v>
      </c>
      <c r="S189" s="6" t="s">
        <v>4981</v>
      </c>
      <c r="T189" s="6" t="s">
        <v>4980</v>
      </c>
      <c r="U189" s="6">
        <v>39</v>
      </c>
      <c r="V189" s="6">
        <v>8</v>
      </c>
      <c r="W189" s="6" t="s">
        <v>7440</v>
      </c>
      <c r="Y189" t="s">
        <v>7138</v>
      </c>
      <c r="Z189" t="s">
        <v>7199</v>
      </c>
      <c r="AA189" s="6">
        <f t="shared" si="20"/>
        <v>821</v>
      </c>
      <c r="AB189">
        <v>10</v>
      </c>
      <c r="AC189">
        <v>130</v>
      </c>
      <c r="AD189">
        <v>140</v>
      </c>
    </row>
    <row r="190" spans="1:30" ht="17" x14ac:dyDescent="0.25">
      <c r="A190" s="1" t="s">
        <v>192</v>
      </c>
      <c r="B190" s="1" t="s">
        <v>2844</v>
      </c>
      <c r="C190" s="1" t="s">
        <v>1519</v>
      </c>
      <c r="D190" t="str">
        <f t="shared" si="21"/>
        <v>0B848B</v>
      </c>
      <c r="E190" t="str">
        <f t="shared" si="22"/>
        <v>11-132-139</v>
      </c>
      <c r="F190" t="str">
        <f t="shared" si="23"/>
        <v>11132139</v>
      </c>
      <c r="G190">
        <f t="shared" si="24"/>
        <v>11</v>
      </c>
      <c r="H190">
        <f t="shared" si="25"/>
        <v>132</v>
      </c>
      <c r="I190">
        <f t="shared" si="26"/>
        <v>139</v>
      </c>
      <c r="J190" t="str">
        <f t="shared" si="18"/>
        <v>VISp4",</v>
      </c>
      <c r="K190" t="str">
        <f t="shared" si="18"/>
        <v>Primary visual area, layer 4",</v>
      </c>
      <c r="L190" t="str">
        <f t="shared" si="19"/>
        <v>VISp4</v>
      </c>
      <c r="M190" t="str">
        <f t="shared" si="19"/>
        <v>Primary visual area, layer 4</v>
      </c>
      <c r="N190" t="s">
        <v>4910</v>
      </c>
      <c r="O190" t="s">
        <v>4911</v>
      </c>
      <c r="Q190" s="6">
        <v>230</v>
      </c>
      <c r="R190" s="6">
        <v>919</v>
      </c>
      <c r="S190" s="6" t="s">
        <v>4983</v>
      </c>
      <c r="T190" s="6" t="s">
        <v>4982</v>
      </c>
      <c r="U190" s="6">
        <v>39</v>
      </c>
      <c r="V190" s="6">
        <v>8</v>
      </c>
      <c r="W190" s="6" t="s">
        <v>7441</v>
      </c>
      <c r="Y190" t="s">
        <v>4910</v>
      </c>
      <c r="Z190" t="s">
        <v>4911</v>
      </c>
      <c r="AA190" s="6">
        <f t="shared" si="20"/>
        <v>721</v>
      </c>
      <c r="AB190">
        <v>11</v>
      </c>
      <c r="AC190">
        <v>132</v>
      </c>
      <c r="AD190">
        <v>139</v>
      </c>
    </row>
    <row r="191" spans="1:30" ht="17" x14ac:dyDescent="0.25">
      <c r="A191" s="1" t="s">
        <v>193</v>
      </c>
      <c r="B191" s="1" t="s">
        <v>2845</v>
      </c>
      <c r="C191" s="1" t="s">
        <v>1520</v>
      </c>
      <c r="D191" t="str">
        <f t="shared" si="21"/>
        <v>088389</v>
      </c>
      <c r="E191" t="str">
        <f t="shared" si="22"/>
        <v>8-131-137</v>
      </c>
      <c r="F191" t="str">
        <f t="shared" si="23"/>
        <v>8131137</v>
      </c>
      <c r="G191">
        <f t="shared" si="24"/>
        <v>8</v>
      </c>
      <c r="H191">
        <f t="shared" si="25"/>
        <v>131</v>
      </c>
      <c r="I191">
        <f t="shared" si="26"/>
        <v>137</v>
      </c>
      <c r="J191" t="str">
        <f t="shared" si="18"/>
        <v>VISp5",</v>
      </c>
      <c r="K191" t="str">
        <f t="shared" si="18"/>
        <v>Primary visual area, layer 5",</v>
      </c>
      <c r="L191" t="str">
        <f t="shared" si="19"/>
        <v>VISp5</v>
      </c>
      <c r="M191" t="str">
        <f t="shared" si="19"/>
        <v>Primary visual area, layer 5</v>
      </c>
      <c r="N191" t="s">
        <v>4912</v>
      </c>
      <c r="O191" t="s">
        <v>4913</v>
      </c>
      <c r="Q191" s="6">
        <v>231</v>
      </c>
      <c r="R191" s="6">
        <v>927</v>
      </c>
      <c r="S191" s="6" t="s">
        <v>4985</v>
      </c>
      <c r="T191" s="6" t="s">
        <v>4984</v>
      </c>
      <c r="U191" s="6">
        <v>39</v>
      </c>
      <c r="V191" s="6">
        <v>8</v>
      </c>
      <c r="W191" s="6" t="s">
        <v>7442</v>
      </c>
      <c r="Y191" t="s">
        <v>4912</v>
      </c>
      <c r="Z191" t="s">
        <v>4913</v>
      </c>
      <c r="AA191" s="6">
        <f t="shared" si="20"/>
        <v>778</v>
      </c>
      <c r="AB191">
        <v>8</v>
      </c>
      <c r="AC191">
        <v>131</v>
      </c>
      <c r="AD191">
        <v>137</v>
      </c>
    </row>
    <row r="192" spans="1:30" ht="17" x14ac:dyDescent="0.25">
      <c r="A192" s="1" t="s">
        <v>194</v>
      </c>
      <c r="B192" s="1" t="s">
        <v>2846</v>
      </c>
      <c r="C192" s="1" t="s">
        <v>1521</v>
      </c>
      <c r="D192" t="str">
        <f t="shared" si="21"/>
        <v>08858C</v>
      </c>
      <c r="E192" t="str">
        <f t="shared" si="22"/>
        <v>8-133-140</v>
      </c>
      <c r="F192" t="str">
        <f t="shared" si="23"/>
        <v>8133140</v>
      </c>
      <c r="G192">
        <f t="shared" si="24"/>
        <v>8</v>
      </c>
      <c r="H192">
        <f t="shared" si="25"/>
        <v>133</v>
      </c>
      <c r="I192">
        <f t="shared" si="26"/>
        <v>140</v>
      </c>
      <c r="J192" t="str">
        <f t="shared" si="18"/>
        <v>VISp6a",</v>
      </c>
      <c r="K192" t="str">
        <f t="shared" si="18"/>
        <v>Primary visual area, layer 6a",</v>
      </c>
      <c r="L192" t="str">
        <f t="shared" si="19"/>
        <v>VISp6a</v>
      </c>
      <c r="M192" t="str">
        <f t="shared" si="19"/>
        <v>Primary visual area, layer 6a</v>
      </c>
      <c r="N192" t="s">
        <v>4914</v>
      </c>
      <c r="O192" t="s">
        <v>4915</v>
      </c>
      <c r="Q192" s="6">
        <v>232</v>
      </c>
      <c r="R192" s="6">
        <v>48</v>
      </c>
      <c r="S192" s="6" t="s">
        <v>4987</v>
      </c>
      <c r="T192" s="6" t="s">
        <v>4986</v>
      </c>
      <c r="U192" s="6">
        <v>31</v>
      </c>
      <c r="V192" s="6">
        <v>7</v>
      </c>
      <c r="W192" s="6" t="s">
        <v>7443</v>
      </c>
      <c r="Y192" t="s">
        <v>4914</v>
      </c>
      <c r="Z192" t="s">
        <v>4915</v>
      </c>
      <c r="AA192" s="6">
        <f t="shared" si="20"/>
        <v>33</v>
      </c>
      <c r="AB192">
        <v>8</v>
      </c>
      <c r="AC192">
        <v>133</v>
      </c>
      <c r="AD192">
        <v>140</v>
      </c>
    </row>
    <row r="193" spans="1:30" ht="17" x14ac:dyDescent="0.25">
      <c r="A193" s="1" t="s">
        <v>195</v>
      </c>
      <c r="B193" s="1" t="s">
        <v>2847</v>
      </c>
      <c r="C193" s="1" t="s">
        <v>1522</v>
      </c>
      <c r="D193" t="str">
        <f t="shared" si="21"/>
        <v>08858A</v>
      </c>
      <c r="E193" t="str">
        <f t="shared" si="22"/>
        <v>8-133-138</v>
      </c>
      <c r="F193" t="str">
        <f t="shared" si="23"/>
        <v>8133138</v>
      </c>
      <c r="G193">
        <f t="shared" si="24"/>
        <v>8</v>
      </c>
      <c r="H193">
        <f t="shared" si="25"/>
        <v>133</v>
      </c>
      <c r="I193">
        <f t="shared" si="26"/>
        <v>138</v>
      </c>
      <c r="J193" t="str">
        <f t="shared" si="18"/>
        <v>VISp6b",</v>
      </c>
      <c r="K193" t="str">
        <f t="shared" si="18"/>
        <v>Primary visual area, layer 6b",</v>
      </c>
      <c r="L193" t="str">
        <f t="shared" si="19"/>
        <v>VISp6b</v>
      </c>
      <c r="M193" t="str">
        <f t="shared" si="19"/>
        <v>Primary visual area, layer 6b</v>
      </c>
      <c r="N193" t="s">
        <v>4916</v>
      </c>
      <c r="O193" t="s">
        <v>4917</v>
      </c>
      <c r="Q193" s="6">
        <v>233</v>
      </c>
      <c r="R193" s="6">
        <v>588</v>
      </c>
      <c r="S193" s="6" t="s">
        <v>4989</v>
      </c>
      <c r="T193" s="6" t="s">
        <v>4988</v>
      </c>
      <c r="U193" s="6">
        <v>48</v>
      </c>
      <c r="V193" s="6">
        <v>8</v>
      </c>
      <c r="W193" s="6" t="s">
        <v>7444</v>
      </c>
      <c r="Y193" t="s">
        <v>4916</v>
      </c>
      <c r="Z193" t="s">
        <v>4917</v>
      </c>
      <c r="AA193" s="6">
        <f t="shared" si="20"/>
        <v>305</v>
      </c>
      <c r="AB193">
        <v>8</v>
      </c>
      <c r="AC193">
        <v>133</v>
      </c>
      <c r="AD193">
        <v>138</v>
      </c>
    </row>
    <row r="194" spans="1:30" ht="17" x14ac:dyDescent="0.25">
      <c r="A194" s="1" t="s">
        <v>196</v>
      </c>
      <c r="B194" s="1" t="s">
        <v>2848</v>
      </c>
      <c r="C194" s="1" t="s">
        <v>1523</v>
      </c>
      <c r="D194" t="str">
        <f t="shared" si="21"/>
        <v>09838B</v>
      </c>
      <c r="E194" t="str">
        <f t="shared" si="22"/>
        <v>9-131-139</v>
      </c>
      <c r="F194" t="str">
        <f t="shared" si="23"/>
        <v>9131139</v>
      </c>
      <c r="G194">
        <f t="shared" si="24"/>
        <v>9</v>
      </c>
      <c r="H194">
        <f t="shared" si="25"/>
        <v>131</v>
      </c>
      <c r="I194">
        <f t="shared" si="26"/>
        <v>139</v>
      </c>
      <c r="J194" t="str">
        <f t="shared" si="18"/>
        <v>VISpl",</v>
      </c>
      <c r="K194" t="str">
        <f t="shared" si="18"/>
        <v>Posterolateral visual area",</v>
      </c>
      <c r="L194" t="str">
        <f t="shared" si="19"/>
        <v>VISpl</v>
      </c>
      <c r="M194" t="str">
        <f t="shared" si="19"/>
        <v>Posterolateral visual area</v>
      </c>
      <c r="N194" t="s">
        <v>4918</v>
      </c>
      <c r="O194" t="s">
        <v>4919</v>
      </c>
      <c r="Q194" s="6">
        <v>234</v>
      </c>
      <c r="R194" s="6">
        <v>296</v>
      </c>
      <c r="S194" s="6" t="s">
        <v>7206</v>
      </c>
      <c r="T194" s="6" t="s">
        <v>7145</v>
      </c>
      <c r="U194" s="6">
        <v>48</v>
      </c>
      <c r="V194" s="6">
        <v>8</v>
      </c>
      <c r="W194" s="6" t="s">
        <v>7445</v>
      </c>
      <c r="Y194" t="s">
        <v>4918</v>
      </c>
      <c r="Z194" t="s">
        <v>4919</v>
      </c>
      <c r="AA194" s="6">
        <f t="shared" si="20"/>
        <v>425</v>
      </c>
      <c r="AB194">
        <v>9</v>
      </c>
      <c r="AC194">
        <v>131</v>
      </c>
      <c r="AD194">
        <v>139</v>
      </c>
    </row>
    <row r="195" spans="1:30" ht="17" x14ac:dyDescent="0.25">
      <c r="A195" s="1" t="s">
        <v>197</v>
      </c>
      <c r="B195" s="1" t="s">
        <v>2849</v>
      </c>
      <c r="C195" s="1" t="s">
        <v>1524</v>
      </c>
      <c r="D195" t="str">
        <f t="shared" si="21"/>
        <v>0A838A</v>
      </c>
      <c r="E195" t="str">
        <f t="shared" si="22"/>
        <v>10-131-138</v>
      </c>
      <c r="F195" t="str">
        <f t="shared" si="23"/>
        <v>10131138</v>
      </c>
      <c r="G195">
        <f t="shared" si="24"/>
        <v>10</v>
      </c>
      <c r="H195">
        <f t="shared" si="25"/>
        <v>131</v>
      </c>
      <c r="I195">
        <f t="shared" si="26"/>
        <v>138</v>
      </c>
      <c r="J195" t="str">
        <f t="shared" ref="J195:K258" si="27">RIGHT(A195,LEN(A195)-3)</f>
        <v>VISpl1",</v>
      </c>
      <c r="K195" t="str">
        <f t="shared" si="27"/>
        <v>Posterolateral visual area, layer 1",</v>
      </c>
      <c r="L195" t="str">
        <f t="shared" ref="L195:M258" si="28">LEFT(J195,LEN(J195)-2)</f>
        <v>VISpl1</v>
      </c>
      <c r="M195" t="str">
        <f t="shared" si="28"/>
        <v>Posterolateral visual area, layer 1</v>
      </c>
      <c r="N195" t="s">
        <v>4920</v>
      </c>
      <c r="O195" t="s">
        <v>4921</v>
      </c>
      <c r="Q195" s="6">
        <v>235</v>
      </c>
      <c r="R195" s="6">
        <v>772</v>
      </c>
      <c r="S195" s="6" t="s">
        <v>4991</v>
      </c>
      <c r="T195" s="6" t="s">
        <v>4990</v>
      </c>
      <c r="U195" s="6">
        <v>48</v>
      </c>
      <c r="V195" s="6">
        <v>8</v>
      </c>
      <c r="W195" s="6" t="s">
        <v>7446</v>
      </c>
      <c r="Y195" t="s">
        <v>4920</v>
      </c>
      <c r="Z195" t="s">
        <v>4921</v>
      </c>
      <c r="AA195" s="6">
        <f t="shared" ref="AA195:AA258" si="29">IFERROR(INDEX(R:R,MATCH($Z195,S:S,0)),"")</f>
        <v>750</v>
      </c>
      <c r="AB195">
        <v>10</v>
      </c>
      <c r="AC195">
        <v>131</v>
      </c>
      <c r="AD195">
        <v>138</v>
      </c>
    </row>
    <row r="196" spans="1:30" ht="17" x14ac:dyDescent="0.25">
      <c r="A196" s="1" t="s">
        <v>198</v>
      </c>
      <c r="B196" s="1" t="s">
        <v>2850</v>
      </c>
      <c r="C196" s="1" t="s">
        <v>1525</v>
      </c>
      <c r="D196" t="str">
        <f t="shared" ref="D196:D259" si="30">RIGHT(LEFT(C196,9),6)</f>
        <v>09848C</v>
      </c>
      <c r="E196" t="str">
        <f t="shared" ref="E196:E259" si="31">HEX2DEC(LEFT(D196,2))&amp;"-"&amp;HEX2DEC(MID(D196,3,2))&amp;"-"&amp;HEX2DEC(RIGHT(D196,2))</f>
        <v>9-132-140</v>
      </c>
      <c r="F196" t="str">
        <f t="shared" ref="F196:F259" si="32">HEX2DEC(LEFT(D196,2))&amp;HEX2DEC(MID(D196,3,2))&amp;HEX2DEC(RIGHT(D196,2))</f>
        <v>9132140</v>
      </c>
      <c r="G196">
        <f t="shared" ref="G196:G259" si="33">HEX2DEC(LEFT(D196,2))</f>
        <v>9</v>
      </c>
      <c r="H196">
        <f t="shared" ref="H196:H259" si="34">HEX2DEC(MID(D196,3,2))</f>
        <v>132</v>
      </c>
      <c r="I196">
        <f t="shared" ref="I196:I259" si="35">HEX2DEC(RIGHT(D196,2))</f>
        <v>140</v>
      </c>
      <c r="J196" t="str">
        <f t="shared" si="27"/>
        <v>VISpl2\/3",</v>
      </c>
      <c r="K196" t="str">
        <f t="shared" si="27"/>
        <v>Posterolateral visual area, layer 2\/3",</v>
      </c>
      <c r="L196" t="str">
        <f t="shared" si="28"/>
        <v>VISpl2\/3</v>
      </c>
      <c r="M196" t="str">
        <f t="shared" si="28"/>
        <v>Posterolateral visual area, layer 2\/3</v>
      </c>
      <c r="N196" t="s">
        <v>7139</v>
      </c>
      <c r="O196" t="s">
        <v>7200</v>
      </c>
      <c r="Q196" s="6">
        <v>236</v>
      </c>
      <c r="R196" s="6">
        <v>810</v>
      </c>
      <c r="S196" s="6" t="s">
        <v>4993</v>
      </c>
      <c r="T196" s="6" t="s">
        <v>4992</v>
      </c>
      <c r="U196" s="6">
        <v>48</v>
      </c>
      <c r="V196" s="6">
        <v>8</v>
      </c>
      <c r="W196" s="6" t="s">
        <v>7447</v>
      </c>
      <c r="Y196" t="s">
        <v>7139</v>
      </c>
      <c r="Z196" t="s">
        <v>7200</v>
      </c>
      <c r="AA196" s="6">
        <f t="shared" si="29"/>
        <v>269</v>
      </c>
      <c r="AB196">
        <v>9</v>
      </c>
      <c r="AC196">
        <v>132</v>
      </c>
      <c r="AD196">
        <v>140</v>
      </c>
    </row>
    <row r="197" spans="1:30" ht="17" x14ac:dyDescent="0.25">
      <c r="A197" s="1" t="s">
        <v>199</v>
      </c>
      <c r="B197" s="1" t="s">
        <v>2851</v>
      </c>
      <c r="C197" s="1" t="s">
        <v>1526</v>
      </c>
      <c r="D197" t="str">
        <f t="shared" si="30"/>
        <v>0B858A</v>
      </c>
      <c r="E197" t="str">
        <f t="shared" si="31"/>
        <v>11-133-138</v>
      </c>
      <c r="F197" t="str">
        <f t="shared" si="32"/>
        <v>11133138</v>
      </c>
      <c r="G197">
        <f t="shared" si="33"/>
        <v>11</v>
      </c>
      <c r="H197">
        <f t="shared" si="34"/>
        <v>133</v>
      </c>
      <c r="I197">
        <f t="shared" si="35"/>
        <v>138</v>
      </c>
      <c r="J197" t="str">
        <f t="shared" si="27"/>
        <v>VISpl4",</v>
      </c>
      <c r="K197" t="str">
        <f t="shared" si="27"/>
        <v>Posterolateral visual area, layer 4",</v>
      </c>
      <c r="L197" t="str">
        <f t="shared" si="28"/>
        <v>VISpl4</v>
      </c>
      <c r="M197" t="str">
        <f t="shared" si="28"/>
        <v>Posterolateral visual area, layer 4</v>
      </c>
      <c r="N197" t="s">
        <v>4922</v>
      </c>
      <c r="O197" t="s">
        <v>4923</v>
      </c>
      <c r="Q197" s="6">
        <v>237</v>
      </c>
      <c r="R197" s="6">
        <v>819</v>
      </c>
      <c r="S197" s="6" t="s">
        <v>4995</v>
      </c>
      <c r="T197" s="6" t="s">
        <v>4994</v>
      </c>
      <c r="U197" s="6">
        <v>48</v>
      </c>
      <c r="V197" s="6">
        <v>8</v>
      </c>
      <c r="W197" s="6" t="s">
        <v>7448</v>
      </c>
      <c r="Y197" t="s">
        <v>4922</v>
      </c>
      <c r="Z197" t="s">
        <v>4923</v>
      </c>
      <c r="AA197" s="6">
        <f t="shared" si="29"/>
        <v>869</v>
      </c>
      <c r="AB197">
        <v>11</v>
      </c>
      <c r="AC197">
        <v>133</v>
      </c>
      <c r="AD197">
        <v>138</v>
      </c>
    </row>
    <row r="198" spans="1:30" ht="17" x14ac:dyDescent="0.25">
      <c r="A198" s="1" t="s">
        <v>200</v>
      </c>
      <c r="B198" s="1" t="s">
        <v>2852</v>
      </c>
      <c r="C198" s="1" t="s">
        <v>1527</v>
      </c>
      <c r="D198" t="str">
        <f t="shared" si="30"/>
        <v>0B838C</v>
      </c>
      <c r="E198" t="str">
        <f t="shared" si="31"/>
        <v>11-131-140</v>
      </c>
      <c r="F198" t="str">
        <f t="shared" si="32"/>
        <v>11131140</v>
      </c>
      <c r="G198">
        <f t="shared" si="33"/>
        <v>11</v>
      </c>
      <c r="H198">
        <f t="shared" si="34"/>
        <v>131</v>
      </c>
      <c r="I198">
        <f t="shared" si="35"/>
        <v>140</v>
      </c>
      <c r="J198" t="str">
        <f t="shared" si="27"/>
        <v>VISpl5",</v>
      </c>
      <c r="K198" t="str">
        <f t="shared" si="27"/>
        <v>Posterolateral visual area, layer 5",</v>
      </c>
      <c r="L198" t="str">
        <f t="shared" si="28"/>
        <v>VISpl5</v>
      </c>
      <c r="M198" t="str">
        <f t="shared" si="28"/>
        <v>Posterolateral visual area, layer 5</v>
      </c>
      <c r="N198" t="s">
        <v>4924</v>
      </c>
      <c r="O198" t="s">
        <v>4925</v>
      </c>
      <c r="Q198" s="6">
        <v>238</v>
      </c>
      <c r="R198" s="6">
        <v>972</v>
      </c>
      <c r="S198" s="6" t="s">
        <v>4997</v>
      </c>
      <c r="T198" s="6" t="s">
        <v>4996</v>
      </c>
      <c r="U198" s="6">
        <v>315</v>
      </c>
      <c r="V198" s="6">
        <v>6</v>
      </c>
      <c r="W198" s="6" t="s">
        <v>7449</v>
      </c>
      <c r="Y198" t="s">
        <v>4924</v>
      </c>
      <c r="Z198" t="s">
        <v>4925</v>
      </c>
      <c r="AA198" s="6">
        <f t="shared" si="29"/>
        <v>902</v>
      </c>
      <c r="AB198">
        <v>11</v>
      </c>
      <c r="AC198">
        <v>131</v>
      </c>
      <c r="AD198">
        <v>140</v>
      </c>
    </row>
    <row r="199" spans="1:30" ht="17" x14ac:dyDescent="0.25">
      <c r="A199" s="1" t="s">
        <v>201</v>
      </c>
      <c r="B199" s="1" t="s">
        <v>2853</v>
      </c>
      <c r="C199" s="1" t="s">
        <v>1528</v>
      </c>
      <c r="D199" t="str">
        <f t="shared" si="30"/>
        <v>08838C</v>
      </c>
      <c r="E199" t="str">
        <f t="shared" si="31"/>
        <v>8-131-140</v>
      </c>
      <c r="F199" t="str">
        <f t="shared" si="32"/>
        <v>8131140</v>
      </c>
      <c r="G199">
        <f t="shared" si="33"/>
        <v>8</v>
      </c>
      <c r="H199">
        <f t="shared" si="34"/>
        <v>131</v>
      </c>
      <c r="I199">
        <f t="shared" si="35"/>
        <v>140</v>
      </c>
      <c r="J199" t="str">
        <f t="shared" si="27"/>
        <v>VISpl6a",</v>
      </c>
      <c r="K199" t="str">
        <f t="shared" si="27"/>
        <v>Posterolateral visual area, layer 6a",</v>
      </c>
      <c r="L199" t="str">
        <f t="shared" si="28"/>
        <v>VISpl6a</v>
      </c>
      <c r="M199" t="str">
        <f t="shared" si="28"/>
        <v>Posterolateral visual area, layer 6a</v>
      </c>
      <c r="N199" t="s">
        <v>4926</v>
      </c>
      <c r="O199" t="s">
        <v>4927</v>
      </c>
      <c r="Q199" s="6">
        <v>239</v>
      </c>
      <c r="R199" s="6">
        <v>171</v>
      </c>
      <c r="S199" s="6" t="s">
        <v>4999</v>
      </c>
      <c r="T199" s="6" t="s">
        <v>4998</v>
      </c>
      <c r="U199" s="6">
        <v>972</v>
      </c>
      <c r="V199" s="6">
        <v>7</v>
      </c>
      <c r="W199" s="6" t="s">
        <v>7450</v>
      </c>
      <c r="Y199" t="s">
        <v>4926</v>
      </c>
      <c r="Z199" t="s">
        <v>4927</v>
      </c>
      <c r="AA199" s="6">
        <f t="shared" si="29"/>
        <v>377</v>
      </c>
      <c r="AB199">
        <v>8</v>
      </c>
      <c r="AC199">
        <v>131</v>
      </c>
      <c r="AD199">
        <v>140</v>
      </c>
    </row>
    <row r="200" spans="1:30" ht="17" x14ac:dyDescent="0.25">
      <c r="A200" s="1" t="s">
        <v>202</v>
      </c>
      <c r="B200" s="1" t="s">
        <v>2854</v>
      </c>
      <c r="C200" s="1" t="s">
        <v>1529</v>
      </c>
      <c r="D200" t="str">
        <f t="shared" si="30"/>
        <v>08848A</v>
      </c>
      <c r="E200" t="str">
        <f t="shared" si="31"/>
        <v>8-132-138</v>
      </c>
      <c r="F200" t="str">
        <f t="shared" si="32"/>
        <v>8132138</v>
      </c>
      <c r="G200">
        <f t="shared" si="33"/>
        <v>8</v>
      </c>
      <c r="H200">
        <f t="shared" si="34"/>
        <v>132</v>
      </c>
      <c r="I200">
        <f t="shared" si="35"/>
        <v>138</v>
      </c>
      <c r="J200" t="str">
        <f t="shared" si="27"/>
        <v>VISpl6b",</v>
      </c>
      <c r="K200" t="str">
        <f t="shared" si="27"/>
        <v>Posterolateral visual area, layer 6b",</v>
      </c>
      <c r="L200" t="str">
        <f t="shared" si="28"/>
        <v>VISpl6b</v>
      </c>
      <c r="M200" t="str">
        <f t="shared" si="28"/>
        <v>Posterolateral visual area, layer 6b</v>
      </c>
      <c r="N200" t="s">
        <v>4928</v>
      </c>
      <c r="O200" t="s">
        <v>4929</v>
      </c>
      <c r="Q200" s="6">
        <v>241</v>
      </c>
      <c r="R200" s="6">
        <v>304</v>
      </c>
      <c r="S200" s="6" t="s">
        <v>7207</v>
      </c>
      <c r="T200" s="6" t="s">
        <v>7146</v>
      </c>
      <c r="U200" s="6">
        <v>972</v>
      </c>
      <c r="V200" s="6">
        <v>7</v>
      </c>
      <c r="W200" s="6" t="s">
        <v>7451</v>
      </c>
      <c r="Y200" t="s">
        <v>4928</v>
      </c>
      <c r="Z200" t="s">
        <v>4929</v>
      </c>
      <c r="AA200" s="6">
        <f t="shared" si="29"/>
        <v>393</v>
      </c>
      <c r="AB200">
        <v>8</v>
      </c>
      <c r="AC200">
        <v>132</v>
      </c>
      <c r="AD200">
        <v>138</v>
      </c>
    </row>
    <row r="201" spans="1:30" ht="17" x14ac:dyDescent="0.25">
      <c r="A201" s="1" t="s">
        <v>203</v>
      </c>
      <c r="B201" s="1" t="s">
        <v>2855</v>
      </c>
      <c r="C201" s="1" t="s">
        <v>1530</v>
      </c>
      <c r="D201" t="str">
        <f t="shared" si="30"/>
        <v>0A838B</v>
      </c>
      <c r="E201" t="str">
        <f t="shared" si="31"/>
        <v>10-131-139</v>
      </c>
      <c r="F201" t="str">
        <f t="shared" si="32"/>
        <v>10131139</v>
      </c>
      <c r="G201">
        <f t="shared" si="33"/>
        <v>10</v>
      </c>
      <c r="H201">
        <f t="shared" si="34"/>
        <v>131</v>
      </c>
      <c r="I201">
        <f t="shared" si="35"/>
        <v>139</v>
      </c>
      <c r="J201" t="str">
        <f t="shared" si="27"/>
        <v>VISpm",</v>
      </c>
      <c r="K201" t="str">
        <f t="shared" si="27"/>
        <v>posteromedial visual area",</v>
      </c>
      <c r="L201" t="str">
        <f t="shared" si="28"/>
        <v>VISpm</v>
      </c>
      <c r="M201" t="str">
        <f t="shared" si="28"/>
        <v>posteromedial visual area</v>
      </c>
      <c r="N201" t="s">
        <v>4930</v>
      </c>
      <c r="O201" t="s">
        <v>4931</v>
      </c>
      <c r="Q201" s="6">
        <v>242</v>
      </c>
      <c r="R201" s="6">
        <v>363</v>
      </c>
      <c r="S201" s="6" t="s">
        <v>5003</v>
      </c>
      <c r="T201" s="6" t="s">
        <v>5002</v>
      </c>
      <c r="U201" s="6">
        <v>972</v>
      </c>
      <c r="V201" s="6">
        <v>7</v>
      </c>
      <c r="W201" s="6" t="s">
        <v>7452</v>
      </c>
      <c r="Y201" t="s">
        <v>4930</v>
      </c>
      <c r="Z201" t="s">
        <v>4931</v>
      </c>
      <c r="AA201" s="6">
        <f t="shared" si="29"/>
        <v>533</v>
      </c>
      <c r="AB201">
        <v>10</v>
      </c>
      <c r="AC201">
        <v>131</v>
      </c>
      <c r="AD201">
        <v>139</v>
      </c>
    </row>
    <row r="202" spans="1:30" ht="17" x14ac:dyDescent="0.25">
      <c r="A202" s="1" t="s">
        <v>204</v>
      </c>
      <c r="B202" s="1" t="s">
        <v>2856</v>
      </c>
      <c r="C202" s="1" t="s">
        <v>1531</v>
      </c>
      <c r="D202" t="str">
        <f t="shared" si="30"/>
        <v>0A8589</v>
      </c>
      <c r="E202" t="str">
        <f t="shared" si="31"/>
        <v>10-133-137</v>
      </c>
      <c r="F202" t="str">
        <f t="shared" si="32"/>
        <v>10133137</v>
      </c>
      <c r="G202">
        <f t="shared" si="33"/>
        <v>10</v>
      </c>
      <c r="H202">
        <f t="shared" si="34"/>
        <v>133</v>
      </c>
      <c r="I202">
        <f t="shared" si="35"/>
        <v>137</v>
      </c>
      <c r="J202" t="str">
        <f t="shared" si="27"/>
        <v>VISpm1",</v>
      </c>
      <c r="K202" t="str">
        <f t="shared" si="27"/>
        <v>posteromedial visual area, layer 1",</v>
      </c>
      <c r="L202" t="str">
        <f t="shared" si="28"/>
        <v>VISpm1</v>
      </c>
      <c r="M202" t="str">
        <f t="shared" si="28"/>
        <v>posteromedial visual area, layer 1</v>
      </c>
      <c r="N202" t="s">
        <v>4932</v>
      </c>
      <c r="O202" t="s">
        <v>4933</v>
      </c>
      <c r="Q202" s="6">
        <v>243</v>
      </c>
      <c r="R202" s="6">
        <v>84</v>
      </c>
      <c r="S202" s="6" t="s">
        <v>5005</v>
      </c>
      <c r="T202" s="6" t="s">
        <v>5004</v>
      </c>
      <c r="U202" s="6">
        <v>972</v>
      </c>
      <c r="V202" s="6">
        <v>7</v>
      </c>
      <c r="W202" s="6" t="s">
        <v>7453</v>
      </c>
      <c r="Y202" t="s">
        <v>4932</v>
      </c>
      <c r="Z202" t="s">
        <v>4933</v>
      </c>
      <c r="AA202" s="6">
        <f t="shared" si="29"/>
        <v>805</v>
      </c>
      <c r="AB202">
        <v>10</v>
      </c>
      <c r="AC202">
        <v>133</v>
      </c>
      <c r="AD202">
        <v>137</v>
      </c>
    </row>
    <row r="203" spans="1:30" ht="17" x14ac:dyDescent="0.25">
      <c r="A203" s="1" t="s">
        <v>205</v>
      </c>
      <c r="B203" s="1" t="s">
        <v>2857</v>
      </c>
      <c r="C203" s="1" t="s">
        <v>1532</v>
      </c>
      <c r="D203" t="str">
        <f t="shared" si="30"/>
        <v>08858B</v>
      </c>
      <c r="E203" t="str">
        <f t="shared" si="31"/>
        <v>8-133-139</v>
      </c>
      <c r="F203" t="str">
        <f t="shared" si="32"/>
        <v>8133139</v>
      </c>
      <c r="G203">
        <f t="shared" si="33"/>
        <v>8</v>
      </c>
      <c r="H203">
        <f t="shared" si="34"/>
        <v>133</v>
      </c>
      <c r="I203">
        <f t="shared" si="35"/>
        <v>139</v>
      </c>
      <c r="J203" t="str">
        <f t="shared" si="27"/>
        <v>VISpm2\/3",</v>
      </c>
      <c r="K203" t="str">
        <f t="shared" si="27"/>
        <v>posteromedial visual area, layer 2\/3",</v>
      </c>
      <c r="L203" t="str">
        <f t="shared" si="28"/>
        <v>VISpm2\/3</v>
      </c>
      <c r="M203" t="str">
        <f t="shared" si="28"/>
        <v>posteromedial visual area, layer 2\/3</v>
      </c>
      <c r="N203" t="s">
        <v>7140</v>
      </c>
      <c r="O203" t="s">
        <v>7201</v>
      </c>
      <c r="Q203" s="6">
        <v>244</v>
      </c>
      <c r="R203" s="6">
        <v>132</v>
      </c>
      <c r="S203" s="6" t="s">
        <v>5007</v>
      </c>
      <c r="T203" s="6" t="s">
        <v>5006</v>
      </c>
      <c r="U203" s="6">
        <v>972</v>
      </c>
      <c r="V203" s="6">
        <v>7</v>
      </c>
      <c r="W203" s="6" t="s">
        <v>7454</v>
      </c>
      <c r="Y203" t="s">
        <v>7140</v>
      </c>
      <c r="Z203" t="s">
        <v>7201</v>
      </c>
      <c r="AA203" s="6">
        <f t="shared" si="29"/>
        <v>41</v>
      </c>
      <c r="AB203">
        <v>8</v>
      </c>
      <c r="AC203">
        <v>133</v>
      </c>
      <c r="AD203">
        <v>139</v>
      </c>
    </row>
    <row r="204" spans="1:30" ht="17" x14ac:dyDescent="0.25">
      <c r="A204" s="1" t="s">
        <v>206</v>
      </c>
      <c r="B204" s="1" t="s">
        <v>2858</v>
      </c>
      <c r="C204" s="1" t="s">
        <v>1533</v>
      </c>
      <c r="D204" t="str">
        <f t="shared" si="30"/>
        <v>09828B</v>
      </c>
      <c r="E204" t="str">
        <f t="shared" si="31"/>
        <v>9-130-139</v>
      </c>
      <c r="F204" t="str">
        <f t="shared" si="32"/>
        <v>9130139</v>
      </c>
      <c r="G204">
        <f t="shared" si="33"/>
        <v>9</v>
      </c>
      <c r="H204">
        <f t="shared" si="34"/>
        <v>130</v>
      </c>
      <c r="I204">
        <f t="shared" si="35"/>
        <v>139</v>
      </c>
      <c r="J204" t="str">
        <f t="shared" si="27"/>
        <v>VISpm4",</v>
      </c>
      <c r="K204" t="str">
        <f t="shared" si="27"/>
        <v>posteromedial visual area, layer 4",</v>
      </c>
      <c r="L204" t="str">
        <f t="shared" si="28"/>
        <v>VISpm4</v>
      </c>
      <c r="M204" t="str">
        <f t="shared" si="28"/>
        <v>posteromedial visual area, layer 4</v>
      </c>
      <c r="N204" t="s">
        <v>4934</v>
      </c>
      <c r="O204" t="s">
        <v>4935</v>
      </c>
      <c r="Q204" s="6">
        <v>245</v>
      </c>
      <c r="R204" s="6">
        <v>44</v>
      </c>
      <c r="S204" s="6" t="s">
        <v>5009</v>
      </c>
      <c r="T204" s="6" t="s">
        <v>5008</v>
      </c>
      <c r="U204" s="6">
        <v>315</v>
      </c>
      <c r="V204" s="6">
        <v>6</v>
      </c>
      <c r="W204" s="6" t="s">
        <v>7455</v>
      </c>
      <c r="Y204" t="s">
        <v>4934</v>
      </c>
      <c r="Z204" t="s">
        <v>4935</v>
      </c>
      <c r="AA204" s="6">
        <f t="shared" si="29"/>
        <v>501</v>
      </c>
      <c r="AB204">
        <v>9</v>
      </c>
      <c r="AC204">
        <v>130</v>
      </c>
      <c r="AD204">
        <v>139</v>
      </c>
    </row>
    <row r="205" spans="1:30" ht="17" x14ac:dyDescent="0.25">
      <c r="A205" s="1" t="s">
        <v>207</v>
      </c>
      <c r="B205" s="1" t="s">
        <v>2859</v>
      </c>
      <c r="C205" s="1" t="s">
        <v>1534</v>
      </c>
      <c r="D205" t="str">
        <f t="shared" si="30"/>
        <v>088489</v>
      </c>
      <c r="E205" t="str">
        <f t="shared" si="31"/>
        <v>8-132-137</v>
      </c>
      <c r="F205" t="str">
        <f t="shared" si="32"/>
        <v>8132137</v>
      </c>
      <c r="G205">
        <f t="shared" si="33"/>
        <v>8</v>
      </c>
      <c r="H205">
        <f t="shared" si="34"/>
        <v>132</v>
      </c>
      <c r="I205">
        <f t="shared" si="35"/>
        <v>137</v>
      </c>
      <c r="J205" t="str">
        <f t="shared" si="27"/>
        <v>VISpm5",</v>
      </c>
      <c r="K205" t="str">
        <f t="shared" si="27"/>
        <v>posteromedial visual area, layer 5",</v>
      </c>
      <c r="L205" t="str">
        <f t="shared" si="28"/>
        <v>VISpm5</v>
      </c>
      <c r="M205" t="str">
        <f t="shared" si="28"/>
        <v>posteromedial visual area, layer 5</v>
      </c>
      <c r="N205" t="s">
        <v>4936</v>
      </c>
      <c r="O205" t="s">
        <v>4937</v>
      </c>
      <c r="Q205" s="6">
        <v>246</v>
      </c>
      <c r="R205" s="6">
        <v>707</v>
      </c>
      <c r="S205" s="6" t="s">
        <v>5011</v>
      </c>
      <c r="T205" s="6" t="s">
        <v>5010</v>
      </c>
      <c r="U205" s="6">
        <v>44</v>
      </c>
      <c r="V205" s="6">
        <v>7</v>
      </c>
      <c r="W205" s="6" t="s">
        <v>7456</v>
      </c>
      <c r="Y205" t="s">
        <v>4936</v>
      </c>
      <c r="Z205" t="s">
        <v>4937</v>
      </c>
      <c r="AA205" s="6">
        <f t="shared" si="29"/>
        <v>565</v>
      </c>
      <c r="AB205">
        <v>8</v>
      </c>
      <c r="AC205">
        <v>132</v>
      </c>
      <c r="AD205">
        <v>137</v>
      </c>
    </row>
    <row r="206" spans="1:30" ht="17" x14ac:dyDescent="0.25">
      <c r="A206" s="1" t="s">
        <v>208</v>
      </c>
      <c r="B206" s="1" t="s">
        <v>2860</v>
      </c>
      <c r="C206" s="1" t="s">
        <v>1535</v>
      </c>
      <c r="D206" t="str">
        <f t="shared" si="30"/>
        <v>09858B</v>
      </c>
      <c r="E206" t="str">
        <f t="shared" si="31"/>
        <v>9-133-139</v>
      </c>
      <c r="F206" t="str">
        <f t="shared" si="32"/>
        <v>9133139</v>
      </c>
      <c r="G206">
        <f t="shared" si="33"/>
        <v>9</v>
      </c>
      <c r="H206">
        <f t="shared" si="34"/>
        <v>133</v>
      </c>
      <c r="I206">
        <f t="shared" si="35"/>
        <v>139</v>
      </c>
      <c r="J206" t="str">
        <f t="shared" si="27"/>
        <v>VISpm6a",</v>
      </c>
      <c r="K206" t="str">
        <f t="shared" si="27"/>
        <v>posteromedial visual area, layer 6a",</v>
      </c>
      <c r="L206" t="str">
        <f t="shared" si="28"/>
        <v>VISpm6a</v>
      </c>
      <c r="M206" t="str">
        <f t="shared" si="28"/>
        <v>posteromedial visual area, layer 6a</v>
      </c>
      <c r="N206" t="s">
        <v>4938</v>
      </c>
      <c r="O206" t="s">
        <v>4939</v>
      </c>
      <c r="Q206" s="6">
        <v>248</v>
      </c>
      <c r="R206" s="6">
        <v>556</v>
      </c>
      <c r="S206" s="6" t="s">
        <v>7208</v>
      </c>
      <c r="T206" s="6" t="s">
        <v>7147</v>
      </c>
      <c r="U206" s="6">
        <v>44</v>
      </c>
      <c r="V206" s="6">
        <v>7</v>
      </c>
      <c r="W206" s="6" t="s">
        <v>7457</v>
      </c>
      <c r="Y206" t="s">
        <v>4938</v>
      </c>
      <c r="Z206" t="s">
        <v>4939</v>
      </c>
      <c r="AA206" s="6">
        <f t="shared" si="29"/>
        <v>257</v>
      </c>
      <c r="AB206">
        <v>9</v>
      </c>
      <c r="AC206">
        <v>133</v>
      </c>
      <c r="AD206">
        <v>139</v>
      </c>
    </row>
    <row r="207" spans="1:30" ht="17" x14ac:dyDescent="0.25">
      <c r="A207" s="1" t="s">
        <v>209</v>
      </c>
      <c r="B207" s="1" t="s">
        <v>2861</v>
      </c>
      <c r="C207" s="1" t="s">
        <v>1536</v>
      </c>
      <c r="D207" t="str">
        <f t="shared" si="30"/>
        <v>088589</v>
      </c>
      <c r="E207" t="str">
        <f t="shared" si="31"/>
        <v>8-133-137</v>
      </c>
      <c r="F207" t="str">
        <f t="shared" si="32"/>
        <v>8133137</v>
      </c>
      <c r="G207">
        <f t="shared" si="33"/>
        <v>8</v>
      </c>
      <c r="H207">
        <f t="shared" si="34"/>
        <v>133</v>
      </c>
      <c r="I207">
        <f t="shared" si="35"/>
        <v>137</v>
      </c>
      <c r="J207" t="str">
        <f t="shared" si="27"/>
        <v>VISpm6b",</v>
      </c>
      <c r="K207" t="str">
        <f t="shared" si="27"/>
        <v>posteromedial visual area, layer 6b",</v>
      </c>
      <c r="L207" t="str">
        <f t="shared" si="28"/>
        <v>VISpm6b</v>
      </c>
      <c r="M207" t="str">
        <f t="shared" si="28"/>
        <v>posteromedial visual area, layer 6b</v>
      </c>
      <c r="N207" t="s">
        <v>4940</v>
      </c>
      <c r="O207" t="s">
        <v>4941</v>
      </c>
      <c r="Q207" s="6">
        <v>249</v>
      </c>
      <c r="R207" s="6">
        <v>827</v>
      </c>
      <c r="S207" s="6" t="s">
        <v>5015</v>
      </c>
      <c r="T207" s="6" t="s">
        <v>5014</v>
      </c>
      <c r="U207" s="6">
        <v>44</v>
      </c>
      <c r="V207" s="6">
        <v>7</v>
      </c>
      <c r="W207" s="6" t="s">
        <v>7458</v>
      </c>
      <c r="Y207" t="s">
        <v>4940</v>
      </c>
      <c r="Z207" t="s">
        <v>4941</v>
      </c>
      <c r="AA207" s="6">
        <f t="shared" si="29"/>
        <v>469</v>
      </c>
      <c r="AB207">
        <v>8</v>
      </c>
      <c r="AC207">
        <v>133</v>
      </c>
      <c r="AD207">
        <v>137</v>
      </c>
    </row>
    <row r="208" spans="1:30" ht="17" x14ac:dyDescent="0.25">
      <c r="A208" s="1" t="s">
        <v>210</v>
      </c>
      <c r="B208" s="1" t="s">
        <v>2862</v>
      </c>
      <c r="C208" s="1" t="s">
        <v>1537</v>
      </c>
      <c r="D208" t="str">
        <f t="shared" si="30"/>
        <v>0A858B</v>
      </c>
      <c r="E208" t="str">
        <f t="shared" si="31"/>
        <v>10-133-139</v>
      </c>
      <c r="F208" t="str">
        <f t="shared" si="32"/>
        <v>10133139</v>
      </c>
      <c r="G208">
        <f t="shared" si="33"/>
        <v>10</v>
      </c>
      <c r="H208">
        <f t="shared" si="34"/>
        <v>133</v>
      </c>
      <c r="I208">
        <f t="shared" si="35"/>
        <v>139</v>
      </c>
      <c r="J208" t="str">
        <f t="shared" si="27"/>
        <v>VISli",</v>
      </c>
      <c r="K208" t="str">
        <f t="shared" si="27"/>
        <v>Laterointermediate area",</v>
      </c>
      <c r="L208" t="str">
        <f t="shared" si="28"/>
        <v>VISli</v>
      </c>
      <c r="M208" t="str">
        <f t="shared" si="28"/>
        <v>Laterointermediate area</v>
      </c>
      <c r="N208" t="s">
        <v>4942</v>
      </c>
      <c r="O208" t="s">
        <v>4943</v>
      </c>
      <c r="Q208" s="6">
        <v>250</v>
      </c>
      <c r="R208" s="6">
        <v>1054</v>
      </c>
      <c r="S208" s="6" t="s">
        <v>5017</v>
      </c>
      <c r="T208" s="6" t="s">
        <v>5016</v>
      </c>
      <c r="U208" s="6">
        <v>44</v>
      </c>
      <c r="V208" s="6">
        <v>7</v>
      </c>
      <c r="W208" s="6" t="s">
        <v>7459</v>
      </c>
      <c r="Y208" t="s">
        <v>4942</v>
      </c>
      <c r="Z208" t="s">
        <v>4943</v>
      </c>
      <c r="AA208" s="6">
        <f t="shared" si="29"/>
        <v>312782574</v>
      </c>
      <c r="AB208">
        <v>10</v>
      </c>
      <c r="AC208">
        <v>133</v>
      </c>
      <c r="AD208">
        <v>139</v>
      </c>
    </row>
    <row r="209" spans="1:30" ht="17" x14ac:dyDescent="0.25">
      <c r="A209" s="1" t="s">
        <v>211</v>
      </c>
      <c r="B209" s="1" t="s">
        <v>2863</v>
      </c>
      <c r="C209" s="1" t="s">
        <v>1538</v>
      </c>
      <c r="D209" t="str">
        <f t="shared" si="30"/>
        <v>0C858C</v>
      </c>
      <c r="E209" t="str">
        <f t="shared" si="31"/>
        <v>12-133-140</v>
      </c>
      <c r="F209" t="str">
        <f t="shared" si="32"/>
        <v>12133140</v>
      </c>
      <c r="G209">
        <f t="shared" si="33"/>
        <v>12</v>
      </c>
      <c r="H209">
        <f t="shared" si="34"/>
        <v>133</v>
      </c>
      <c r="I209">
        <f t="shared" si="35"/>
        <v>140</v>
      </c>
      <c r="J209" t="str">
        <f t="shared" si="27"/>
        <v>VISli1",</v>
      </c>
      <c r="K209" t="str">
        <f t="shared" si="27"/>
        <v>Laterointermediate area, layer 1",</v>
      </c>
      <c r="L209" t="str">
        <f t="shared" si="28"/>
        <v>VISli1</v>
      </c>
      <c r="M209" t="str">
        <f t="shared" si="28"/>
        <v>Laterointermediate area, layer 1</v>
      </c>
      <c r="N209" t="s">
        <v>4944</v>
      </c>
      <c r="O209" t="s">
        <v>4945</v>
      </c>
      <c r="Q209" s="6">
        <v>251</v>
      </c>
      <c r="R209" s="6">
        <v>1081</v>
      </c>
      <c r="S209" s="6" t="s">
        <v>5019</v>
      </c>
      <c r="T209" s="6" t="s">
        <v>5018</v>
      </c>
      <c r="U209" s="6">
        <v>44</v>
      </c>
      <c r="V209" s="6">
        <v>7</v>
      </c>
      <c r="W209" s="6" t="s">
        <v>7460</v>
      </c>
      <c r="Y209" t="s">
        <v>4944</v>
      </c>
      <c r="Z209" t="s">
        <v>4945</v>
      </c>
      <c r="AA209" s="6">
        <f t="shared" si="29"/>
        <v>312782578</v>
      </c>
      <c r="AB209">
        <v>12</v>
      </c>
      <c r="AC209">
        <v>133</v>
      </c>
      <c r="AD209">
        <v>140</v>
      </c>
    </row>
    <row r="210" spans="1:30" ht="17" x14ac:dyDescent="0.25">
      <c r="A210" s="1" t="s">
        <v>212</v>
      </c>
      <c r="B210" s="1" t="s">
        <v>2864</v>
      </c>
      <c r="C210" s="1" t="s">
        <v>1539</v>
      </c>
      <c r="D210" t="str">
        <f t="shared" si="30"/>
        <v>0A858A</v>
      </c>
      <c r="E210" t="str">
        <f t="shared" si="31"/>
        <v>10-133-138</v>
      </c>
      <c r="F210" t="str">
        <f t="shared" si="32"/>
        <v>10133138</v>
      </c>
      <c r="G210">
        <f t="shared" si="33"/>
        <v>10</v>
      </c>
      <c r="H210">
        <f t="shared" si="34"/>
        <v>133</v>
      </c>
      <c r="I210">
        <f t="shared" si="35"/>
        <v>138</v>
      </c>
      <c r="J210" t="str">
        <f t="shared" si="27"/>
        <v>VISli2\/3",</v>
      </c>
      <c r="K210" t="str">
        <f t="shared" si="27"/>
        <v>Laterointermediate area, layer 2\/3",</v>
      </c>
      <c r="L210" t="str">
        <f t="shared" si="28"/>
        <v>VISli2\/3</v>
      </c>
      <c r="M210" t="str">
        <f t="shared" si="28"/>
        <v>Laterointermediate area, layer 2\/3</v>
      </c>
      <c r="N210" t="s">
        <v>7141</v>
      </c>
      <c r="O210" t="s">
        <v>7202</v>
      </c>
      <c r="Q210" s="6">
        <v>252</v>
      </c>
      <c r="R210" s="6">
        <v>714</v>
      </c>
      <c r="S210" s="6" t="s">
        <v>5021</v>
      </c>
      <c r="T210" s="6" t="s">
        <v>5020</v>
      </c>
      <c r="U210" s="6">
        <v>315</v>
      </c>
      <c r="V210" s="6">
        <v>6</v>
      </c>
      <c r="W210" s="6" t="s">
        <v>7461</v>
      </c>
      <c r="Y210" t="s">
        <v>7141</v>
      </c>
      <c r="Z210" t="s">
        <v>7202</v>
      </c>
      <c r="AA210" s="6">
        <f t="shared" si="29"/>
        <v>312782582</v>
      </c>
      <c r="AB210">
        <v>10</v>
      </c>
      <c r="AC210">
        <v>133</v>
      </c>
      <c r="AD210">
        <v>138</v>
      </c>
    </row>
    <row r="211" spans="1:30" ht="17" x14ac:dyDescent="0.25">
      <c r="A211" s="1" t="s">
        <v>213</v>
      </c>
      <c r="B211" s="1" t="s">
        <v>2865</v>
      </c>
      <c r="C211" s="1" t="s">
        <v>1540</v>
      </c>
      <c r="D211" t="str">
        <f t="shared" si="30"/>
        <v>08828C</v>
      </c>
      <c r="E211" t="str">
        <f t="shared" si="31"/>
        <v>8-130-140</v>
      </c>
      <c r="F211" t="str">
        <f t="shared" si="32"/>
        <v>8130140</v>
      </c>
      <c r="G211">
        <f t="shared" si="33"/>
        <v>8</v>
      </c>
      <c r="H211">
        <f t="shared" si="34"/>
        <v>130</v>
      </c>
      <c r="I211">
        <f t="shared" si="35"/>
        <v>140</v>
      </c>
      <c r="J211" t="str">
        <f t="shared" si="27"/>
        <v>VISli4",</v>
      </c>
      <c r="K211" t="str">
        <f t="shared" si="27"/>
        <v>Laterointermediate area, layer 4",</v>
      </c>
      <c r="L211" t="str">
        <f t="shared" si="28"/>
        <v>VISli4</v>
      </c>
      <c r="M211" t="str">
        <f t="shared" si="28"/>
        <v>Laterointermediate area, layer 4</v>
      </c>
      <c r="N211" t="s">
        <v>4946</v>
      </c>
      <c r="O211" t="s">
        <v>4947</v>
      </c>
      <c r="Q211" s="6">
        <v>258</v>
      </c>
      <c r="R211" s="6">
        <v>723</v>
      </c>
      <c r="S211" s="6" t="s">
        <v>5031</v>
      </c>
      <c r="T211" s="6" t="s">
        <v>5030</v>
      </c>
      <c r="U211" s="6">
        <v>714</v>
      </c>
      <c r="V211" s="6">
        <v>7</v>
      </c>
      <c r="W211" s="6" t="s">
        <v>7462</v>
      </c>
      <c r="Y211" t="s">
        <v>4946</v>
      </c>
      <c r="Z211" t="s">
        <v>4947</v>
      </c>
      <c r="AA211" s="6">
        <f t="shared" si="29"/>
        <v>312782586</v>
      </c>
      <c r="AB211">
        <v>8</v>
      </c>
      <c r="AC211">
        <v>130</v>
      </c>
      <c r="AD211">
        <v>140</v>
      </c>
    </row>
    <row r="212" spans="1:30" ht="17" x14ac:dyDescent="0.25">
      <c r="A212" s="1" t="s">
        <v>214</v>
      </c>
      <c r="B212" s="1" t="s">
        <v>2866</v>
      </c>
      <c r="C212" s="1" t="s">
        <v>1541</v>
      </c>
      <c r="D212" t="str">
        <f t="shared" si="30"/>
        <v>0A848A</v>
      </c>
      <c r="E212" t="str">
        <f t="shared" si="31"/>
        <v>10-132-138</v>
      </c>
      <c r="F212" t="str">
        <f t="shared" si="32"/>
        <v>10132138</v>
      </c>
      <c r="G212">
        <f t="shared" si="33"/>
        <v>10</v>
      </c>
      <c r="H212">
        <f t="shared" si="34"/>
        <v>132</v>
      </c>
      <c r="I212">
        <f t="shared" si="35"/>
        <v>138</v>
      </c>
      <c r="J212" t="str">
        <f t="shared" si="27"/>
        <v>VISli5",</v>
      </c>
      <c r="K212" t="str">
        <f t="shared" si="27"/>
        <v>Laterointermediate area, layer 5",</v>
      </c>
      <c r="L212" t="str">
        <f t="shared" si="28"/>
        <v>VISli5</v>
      </c>
      <c r="M212" t="str">
        <f t="shared" si="28"/>
        <v>Laterointermediate area, layer 5</v>
      </c>
      <c r="N212" t="s">
        <v>4948</v>
      </c>
      <c r="O212" t="s">
        <v>4949</v>
      </c>
      <c r="Q212" s="6">
        <v>259</v>
      </c>
      <c r="R212" s="6">
        <v>448</v>
      </c>
      <c r="S212" s="6" t="s">
        <v>5033</v>
      </c>
      <c r="T212" s="6" t="s">
        <v>5032</v>
      </c>
      <c r="U212" s="6">
        <v>723</v>
      </c>
      <c r="V212" s="6">
        <v>8</v>
      </c>
      <c r="W212" s="6" t="s">
        <v>7463</v>
      </c>
      <c r="Y212" t="s">
        <v>4948</v>
      </c>
      <c r="Z212" t="s">
        <v>4949</v>
      </c>
      <c r="AA212" s="6">
        <f t="shared" si="29"/>
        <v>312782590</v>
      </c>
      <c r="AB212">
        <v>10</v>
      </c>
      <c r="AC212">
        <v>132</v>
      </c>
      <c r="AD212">
        <v>138</v>
      </c>
    </row>
    <row r="213" spans="1:30" ht="17" x14ac:dyDescent="0.25">
      <c r="A213" s="1" t="s">
        <v>215</v>
      </c>
      <c r="B213" s="1" t="s">
        <v>2867</v>
      </c>
      <c r="C213" s="1" t="s">
        <v>1542</v>
      </c>
      <c r="D213" t="str">
        <f t="shared" si="30"/>
        <v>088488</v>
      </c>
      <c r="E213" t="str">
        <f t="shared" si="31"/>
        <v>8-132-136</v>
      </c>
      <c r="F213" t="str">
        <f t="shared" si="32"/>
        <v>8132136</v>
      </c>
      <c r="G213">
        <f t="shared" si="33"/>
        <v>8</v>
      </c>
      <c r="H213">
        <f t="shared" si="34"/>
        <v>132</v>
      </c>
      <c r="I213">
        <f t="shared" si="35"/>
        <v>136</v>
      </c>
      <c r="J213" t="str">
        <f t="shared" si="27"/>
        <v>VISli6a",</v>
      </c>
      <c r="K213" t="str">
        <f t="shared" si="27"/>
        <v>Laterointermediate area, layer 6a",</v>
      </c>
      <c r="L213" t="str">
        <f t="shared" si="28"/>
        <v>VISli6a</v>
      </c>
      <c r="M213" t="str">
        <f t="shared" si="28"/>
        <v>Laterointermediate area, layer 6a</v>
      </c>
      <c r="N213" t="s">
        <v>4950</v>
      </c>
      <c r="O213" t="s">
        <v>4951</v>
      </c>
      <c r="Q213" s="6">
        <v>260</v>
      </c>
      <c r="R213" s="6">
        <v>412</v>
      </c>
      <c r="S213" s="6" t="s">
        <v>7210</v>
      </c>
      <c r="T213" s="6" t="s">
        <v>7149</v>
      </c>
      <c r="U213" s="6">
        <v>723</v>
      </c>
      <c r="V213" s="6">
        <v>8</v>
      </c>
      <c r="W213" s="6" t="s">
        <v>7464</v>
      </c>
      <c r="Y213" t="s">
        <v>4950</v>
      </c>
      <c r="Z213" t="s">
        <v>4951</v>
      </c>
      <c r="AA213" s="6">
        <f t="shared" si="29"/>
        <v>312782594</v>
      </c>
      <c r="AB213">
        <v>8</v>
      </c>
      <c r="AC213">
        <v>132</v>
      </c>
      <c r="AD213">
        <v>136</v>
      </c>
    </row>
    <row r="214" spans="1:30" ht="17" x14ac:dyDescent="0.25">
      <c r="A214" s="1" t="s">
        <v>216</v>
      </c>
      <c r="B214" s="1" t="s">
        <v>2868</v>
      </c>
      <c r="C214" s="1" t="s">
        <v>1543</v>
      </c>
      <c r="D214" t="str">
        <f t="shared" si="30"/>
        <v>08818B</v>
      </c>
      <c r="E214" t="str">
        <f t="shared" si="31"/>
        <v>8-129-139</v>
      </c>
      <c r="F214" t="str">
        <f t="shared" si="32"/>
        <v>8129139</v>
      </c>
      <c r="G214">
        <f t="shared" si="33"/>
        <v>8</v>
      </c>
      <c r="H214">
        <f t="shared" si="34"/>
        <v>129</v>
      </c>
      <c r="I214">
        <f t="shared" si="35"/>
        <v>139</v>
      </c>
      <c r="J214" t="str">
        <f t="shared" si="27"/>
        <v>VISli6b",</v>
      </c>
      <c r="K214" t="str">
        <f t="shared" si="27"/>
        <v>Laterointermediate area, layer 6b",</v>
      </c>
      <c r="L214" t="str">
        <f t="shared" si="28"/>
        <v>VISli6b</v>
      </c>
      <c r="M214" t="str">
        <f t="shared" si="28"/>
        <v>Laterointermediate area, layer 6b</v>
      </c>
      <c r="N214" t="s">
        <v>4952</v>
      </c>
      <c r="O214" t="s">
        <v>4953</v>
      </c>
      <c r="Q214" s="6">
        <v>261</v>
      </c>
      <c r="R214" s="6">
        <v>630</v>
      </c>
      <c r="S214" s="6" t="s">
        <v>5035</v>
      </c>
      <c r="T214" s="6" t="s">
        <v>5034</v>
      </c>
      <c r="U214" s="6">
        <v>723</v>
      </c>
      <c r="V214" s="6">
        <v>8</v>
      </c>
      <c r="W214" s="6" t="s">
        <v>7465</v>
      </c>
      <c r="Y214" t="s">
        <v>4952</v>
      </c>
      <c r="Z214" t="s">
        <v>4953</v>
      </c>
      <c r="AA214" s="6">
        <f t="shared" si="29"/>
        <v>312782598</v>
      </c>
      <c r="AB214">
        <v>8</v>
      </c>
      <c r="AC214">
        <v>129</v>
      </c>
      <c r="AD214">
        <v>139</v>
      </c>
    </row>
    <row r="215" spans="1:30" ht="17" x14ac:dyDescent="0.25">
      <c r="A215" s="1" t="s">
        <v>217</v>
      </c>
      <c r="B215" s="1" t="s">
        <v>2869</v>
      </c>
      <c r="C215" s="1" t="s">
        <v>1544</v>
      </c>
      <c r="D215" t="str">
        <f t="shared" si="30"/>
        <v>098588</v>
      </c>
      <c r="E215" t="str">
        <f t="shared" si="31"/>
        <v>9-133-136</v>
      </c>
      <c r="F215" t="str">
        <f t="shared" si="32"/>
        <v>9133136</v>
      </c>
      <c r="G215">
        <f t="shared" si="33"/>
        <v>9</v>
      </c>
      <c r="H215">
        <f t="shared" si="34"/>
        <v>133</v>
      </c>
      <c r="I215">
        <f t="shared" si="35"/>
        <v>136</v>
      </c>
      <c r="J215" t="str">
        <f t="shared" si="27"/>
        <v>VISpor",</v>
      </c>
      <c r="K215" t="str">
        <f t="shared" si="27"/>
        <v>Postrhinal area",</v>
      </c>
      <c r="L215" t="str">
        <f t="shared" si="28"/>
        <v>VISpor</v>
      </c>
      <c r="M215" t="str">
        <f t="shared" si="28"/>
        <v>Postrhinal area</v>
      </c>
      <c r="N215" t="s">
        <v>4954</v>
      </c>
      <c r="O215" t="s">
        <v>4955</v>
      </c>
      <c r="Q215" s="6">
        <v>262</v>
      </c>
      <c r="R215" s="6">
        <v>440</v>
      </c>
      <c r="S215" s="6" t="s">
        <v>5037</v>
      </c>
      <c r="T215" s="6" t="s">
        <v>5036</v>
      </c>
      <c r="U215" s="6">
        <v>723</v>
      </c>
      <c r="V215" s="6">
        <v>8</v>
      </c>
      <c r="W215" s="6" t="s">
        <v>7466</v>
      </c>
      <c r="Y215" t="s">
        <v>4954</v>
      </c>
      <c r="Z215" t="s">
        <v>4955</v>
      </c>
      <c r="AA215" s="6">
        <f t="shared" si="29"/>
        <v>312782628</v>
      </c>
      <c r="AB215">
        <v>9</v>
      </c>
      <c r="AC215">
        <v>133</v>
      </c>
      <c r="AD215">
        <v>136</v>
      </c>
    </row>
    <row r="216" spans="1:30" ht="17" x14ac:dyDescent="0.25">
      <c r="A216" s="1" t="s">
        <v>218</v>
      </c>
      <c r="B216" s="1" t="s">
        <v>2870</v>
      </c>
      <c r="C216" s="1" t="s">
        <v>1545</v>
      </c>
      <c r="D216" t="str">
        <f t="shared" si="30"/>
        <v>09818C</v>
      </c>
      <c r="E216" t="str">
        <f t="shared" si="31"/>
        <v>9-129-140</v>
      </c>
      <c r="F216" t="str">
        <f t="shared" si="32"/>
        <v>9129140</v>
      </c>
      <c r="G216">
        <f t="shared" si="33"/>
        <v>9</v>
      </c>
      <c r="H216">
        <f t="shared" si="34"/>
        <v>129</v>
      </c>
      <c r="I216">
        <f t="shared" si="35"/>
        <v>140</v>
      </c>
      <c r="J216" t="str">
        <f t="shared" si="27"/>
        <v>VISpor1",</v>
      </c>
      <c r="K216" t="str">
        <f t="shared" si="27"/>
        <v>Postrhinal area, layer 1",</v>
      </c>
      <c r="L216" t="str">
        <f t="shared" si="28"/>
        <v>VISpor1</v>
      </c>
      <c r="M216" t="str">
        <f t="shared" si="28"/>
        <v>Postrhinal area, layer 1</v>
      </c>
      <c r="N216" t="s">
        <v>4956</v>
      </c>
      <c r="O216" t="s">
        <v>4957</v>
      </c>
      <c r="Q216" s="6">
        <v>263</v>
      </c>
      <c r="R216" s="6">
        <v>488</v>
      </c>
      <c r="S216" s="6" t="s">
        <v>5039</v>
      </c>
      <c r="T216" s="6" t="s">
        <v>5038</v>
      </c>
      <c r="U216" s="6">
        <v>723</v>
      </c>
      <c r="V216" s="6">
        <v>8</v>
      </c>
      <c r="W216" s="6" t="s">
        <v>7467</v>
      </c>
      <c r="Y216" t="s">
        <v>4956</v>
      </c>
      <c r="Z216" t="s">
        <v>4957</v>
      </c>
      <c r="AA216" s="6">
        <f t="shared" si="29"/>
        <v>312782632</v>
      </c>
      <c r="AB216">
        <v>9</v>
      </c>
      <c r="AC216">
        <v>129</v>
      </c>
      <c r="AD216">
        <v>140</v>
      </c>
    </row>
    <row r="217" spans="1:30" ht="17" x14ac:dyDescent="0.25">
      <c r="A217" s="1" t="s">
        <v>219</v>
      </c>
      <c r="B217" s="1" t="s">
        <v>2871</v>
      </c>
      <c r="C217" s="1" t="s">
        <v>1546</v>
      </c>
      <c r="D217" t="str">
        <f t="shared" si="30"/>
        <v>0A8389</v>
      </c>
      <c r="E217" t="str">
        <f t="shared" si="31"/>
        <v>10-131-137</v>
      </c>
      <c r="F217" t="str">
        <f t="shared" si="32"/>
        <v>10131137</v>
      </c>
      <c r="G217">
        <f t="shared" si="33"/>
        <v>10</v>
      </c>
      <c r="H217">
        <f t="shared" si="34"/>
        <v>131</v>
      </c>
      <c r="I217">
        <f t="shared" si="35"/>
        <v>137</v>
      </c>
      <c r="J217" t="str">
        <f t="shared" si="27"/>
        <v>VISpor2\/3",</v>
      </c>
      <c r="K217" t="str">
        <f t="shared" si="27"/>
        <v>Postrhinal area, layer 2\/3",</v>
      </c>
      <c r="L217" t="str">
        <f t="shared" si="28"/>
        <v>VISpor2\/3</v>
      </c>
      <c r="M217" t="str">
        <f t="shared" si="28"/>
        <v>Postrhinal area, layer 2\/3</v>
      </c>
      <c r="N217" t="s">
        <v>7142</v>
      </c>
      <c r="O217" t="s">
        <v>7203</v>
      </c>
      <c r="Q217" s="6">
        <v>264</v>
      </c>
      <c r="R217" s="6">
        <v>731</v>
      </c>
      <c r="S217" s="6" t="s">
        <v>5041</v>
      </c>
      <c r="T217" s="6" t="s">
        <v>5040</v>
      </c>
      <c r="U217" s="6">
        <v>714</v>
      </c>
      <c r="V217" s="6">
        <v>7</v>
      </c>
      <c r="W217" s="6" t="s">
        <v>7468</v>
      </c>
      <c r="Y217" t="s">
        <v>7142</v>
      </c>
      <c r="Z217" t="s">
        <v>7203</v>
      </c>
      <c r="AA217" s="6">
        <f t="shared" si="29"/>
        <v>312782636</v>
      </c>
      <c r="AB217">
        <v>10</v>
      </c>
      <c r="AC217">
        <v>131</v>
      </c>
      <c r="AD217">
        <v>137</v>
      </c>
    </row>
    <row r="218" spans="1:30" ht="17" x14ac:dyDescent="0.25">
      <c r="A218" s="1" t="s">
        <v>220</v>
      </c>
      <c r="B218" s="1" t="s">
        <v>2872</v>
      </c>
      <c r="C218" s="1" t="s">
        <v>1547</v>
      </c>
      <c r="D218" t="str">
        <f t="shared" si="30"/>
        <v>0A828A</v>
      </c>
      <c r="E218" t="str">
        <f t="shared" si="31"/>
        <v>10-130-138</v>
      </c>
      <c r="F218" t="str">
        <f t="shared" si="32"/>
        <v>10130138</v>
      </c>
      <c r="G218">
        <f t="shared" si="33"/>
        <v>10</v>
      </c>
      <c r="H218">
        <f t="shared" si="34"/>
        <v>130</v>
      </c>
      <c r="I218">
        <f t="shared" si="35"/>
        <v>138</v>
      </c>
      <c r="J218" t="str">
        <f t="shared" si="27"/>
        <v>VISpor4",</v>
      </c>
      <c r="K218" t="str">
        <f t="shared" si="27"/>
        <v>Postrhinal area, layer 4",</v>
      </c>
      <c r="L218" t="str">
        <f t="shared" si="28"/>
        <v>VISpor4</v>
      </c>
      <c r="M218" t="str">
        <f t="shared" si="28"/>
        <v>Postrhinal area, layer 4</v>
      </c>
      <c r="N218" t="s">
        <v>4958</v>
      </c>
      <c r="O218" t="s">
        <v>4959</v>
      </c>
      <c r="Q218" s="6">
        <v>265</v>
      </c>
      <c r="R218" s="6">
        <v>484</v>
      </c>
      <c r="S218" s="6" t="s">
        <v>5043</v>
      </c>
      <c r="T218" s="6" t="s">
        <v>5042</v>
      </c>
      <c r="U218" s="6">
        <v>731</v>
      </c>
      <c r="V218" s="6">
        <v>8</v>
      </c>
      <c r="W218" s="6" t="s">
        <v>7469</v>
      </c>
      <c r="Y218" t="s">
        <v>4958</v>
      </c>
      <c r="Z218" t="s">
        <v>4959</v>
      </c>
      <c r="AA218" s="6">
        <f t="shared" si="29"/>
        <v>312782640</v>
      </c>
      <c r="AB218">
        <v>10</v>
      </c>
      <c r="AC218">
        <v>130</v>
      </c>
      <c r="AD218">
        <v>138</v>
      </c>
    </row>
    <row r="219" spans="1:30" ht="17" x14ac:dyDescent="0.25">
      <c r="A219" s="1" t="s">
        <v>221</v>
      </c>
      <c r="B219" s="1" t="s">
        <v>2873</v>
      </c>
      <c r="C219" s="1" t="s">
        <v>1548</v>
      </c>
      <c r="D219" t="str">
        <f t="shared" si="30"/>
        <v>0B838A</v>
      </c>
      <c r="E219" t="str">
        <f t="shared" si="31"/>
        <v>11-131-138</v>
      </c>
      <c r="F219" t="str">
        <f t="shared" si="32"/>
        <v>11131138</v>
      </c>
      <c r="G219">
        <f t="shared" si="33"/>
        <v>11</v>
      </c>
      <c r="H219">
        <f t="shared" si="34"/>
        <v>131</v>
      </c>
      <c r="I219">
        <f t="shared" si="35"/>
        <v>138</v>
      </c>
      <c r="J219" t="str">
        <f t="shared" si="27"/>
        <v>VISpor5",</v>
      </c>
      <c r="K219" t="str">
        <f t="shared" si="27"/>
        <v>Postrhinal area, layer 5",</v>
      </c>
      <c r="L219" t="str">
        <f t="shared" si="28"/>
        <v>VISpor5</v>
      </c>
      <c r="M219" t="str">
        <f t="shared" si="28"/>
        <v>Postrhinal area, layer 5</v>
      </c>
      <c r="N219" t="s">
        <v>4960</v>
      </c>
      <c r="O219" t="s">
        <v>4961</v>
      </c>
      <c r="Q219" s="6">
        <v>267</v>
      </c>
      <c r="R219" s="6">
        <v>582</v>
      </c>
      <c r="S219" s="6" t="s">
        <v>7211</v>
      </c>
      <c r="T219" s="6" t="s">
        <v>7150</v>
      </c>
      <c r="U219" s="6">
        <v>731</v>
      </c>
      <c r="V219" s="6">
        <v>8</v>
      </c>
      <c r="W219" s="6" t="s">
        <v>7470</v>
      </c>
      <c r="Y219" t="s">
        <v>4960</v>
      </c>
      <c r="Z219" t="s">
        <v>4961</v>
      </c>
      <c r="AA219" s="6">
        <f t="shared" si="29"/>
        <v>312782644</v>
      </c>
      <c r="AB219">
        <v>11</v>
      </c>
      <c r="AC219">
        <v>131</v>
      </c>
      <c r="AD219">
        <v>138</v>
      </c>
    </row>
    <row r="220" spans="1:30" ht="17" x14ac:dyDescent="0.25">
      <c r="A220" s="1" t="s">
        <v>222</v>
      </c>
      <c r="B220" s="1" t="s">
        <v>2874</v>
      </c>
      <c r="C220" s="1" t="s">
        <v>1549</v>
      </c>
      <c r="D220" t="str">
        <f t="shared" si="30"/>
        <v>0C858B</v>
      </c>
      <c r="E220" t="str">
        <f t="shared" si="31"/>
        <v>12-133-139</v>
      </c>
      <c r="F220" t="str">
        <f t="shared" si="32"/>
        <v>12133139</v>
      </c>
      <c r="G220">
        <f t="shared" si="33"/>
        <v>12</v>
      </c>
      <c r="H220">
        <f t="shared" si="34"/>
        <v>133</v>
      </c>
      <c r="I220">
        <f t="shared" si="35"/>
        <v>139</v>
      </c>
      <c r="J220" t="str">
        <f t="shared" si="27"/>
        <v>VISpor6a",</v>
      </c>
      <c r="K220" t="str">
        <f t="shared" si="27"/>
        <v>Postrhinal area, layer 6a",</v>
      </c>
      <c r="L220" t="str">
        <f t="shared" si="28"/>
        <v>VISpor6a</v>
      </c>
      <c r="M220" t="str">
        <f t="shared" si="28"/>
        <v>Postrhinal area, layer 6a</v>
      </c>
      <c r="N220" t="s">
        <v>4962</v>
      </c>
      <c r="O220" t="s">
        <v>4963</v>
      </c>
      <c r="Q220" s="6">
        <v>268</v>
      </c>
      <c r="R220" s="6">
        <v>620</v>
      </c>
      <c r="S220" s="6" t="s">
        <v>5047</v>
      </c>
      <c r="T220" s="6" t="s">
        <v>5046</v>
      </c>
      <c r="U220" s="6">
        <v>731</v>
      </c>
      <c r="V220" s="6">
        <v>8</v>
      </c>
      <c r="W220" s="6" t="s">
        <v>7471</v>
      </c>
      <c r="Y220" t="s">
        <v>4962</v>
      </c>
      <c r="Z220" t="s">
        <v>4963</v>
      </c>
      <c r="AA220" s="6">
        <f t="shared" si="29"/>
        <v>312782648</v>
      </c>
      <c r="AB220">
        <v>12</v>
      </c>
      <c r="AC220">
        <v>133</v>
      </c>
      <c r="AD220">
        <v>139</v>
      </c>
    </row>
    <row r="221" spans="1:30" ht="17" x14ac:dyDescent="0.25">
      <c r="A221" s="1" t="s">
        <v>223</v>
      </c>
      <c r="B221" s="1" t="s">
        <v>2875</v>
      </c>
      <c r="C221" s="1" t="s">
        <v>1550</v>
      </c>
      <c r="D221" t="str">
        <f t="shared" si="30"/>
        <v>0C848C</v>
      </c>
      <c r="E221" t="str">
        <f t="shared" si="31"/>
        <v>12-132-140</v>
      </c>
      <c r="F221" t="str">
        <f t="shared" si="32"/>
        <v>12132140</v>
      </c>
      <c r="G221">
        <f t="shared" si="33"/>
        <v>12</v>
      </c>
      <c r="H221">
        <f t="shared" si="34"/>
        <v>132</v>
      </c>
      <c r="I221">
        <f t="shared" si="35"/>
        <v>140</v>
      </c>
      <c r="J221" t="str">
        <f t="shared" si="27"/>
        <v>VISpor6b",</v>
      </c>
      <c r="K221" t="str">
        <f t="shared" si="27"/>
        <v>Postrhinal area, layer 6b",</v>
      </c>
      <c r="L221" t="str">
        <f t="shared" si="28"/>
        <v>VISpor6b</v>
      </c>
      <c r="M221" t="str">
        <f t="shared" si="28"/>
        <v>Postrhinal area, layer 6b</v>
      </c>
      <c r="N221" t="s">
        <v>4964</v>
      </c>
      <c r="O221" t="s">
        <v>4965</v>
      </c>
      <c r="Q221" s="6">
        <v>269</v>
      </c>
      <c r="R221" s="6">
        <v>910</v>
      </c>
      <c r="S221" s="6" t="s">
        <v>5049</v>
      </c>
      <c r="T221" s="6" t="s">
        <v>5048</v>
      </c>
      <c r="U221" s="6">
        <v>731</v>
      </c>
      <c r="V221" s="6">
        <v>8</v>
      </c>
      <c r="W221" s="6" t="s">
        <v>7472</v>
      </c>
      <c r="Y221" t="s">
        <v>4964</v>
      </c>
      <c r="Z221" t="s">
        <v>4965</v>
      </c>
      <c r="AA221" s="6">
        <f t="shared" si="29"/>
        <v>312782652</v>
      </c>
      <c r="AB221">
        <v>12</v>
      </c>
      <c r="AC221">
        <v>132</v>
      </c>
      <c r="AD221">
        <v>140</v>
      </c>
    </row>
    <row r="222" spans="1:30" ht="17" x14ac:dyDescent="0.25">
      <c r="A222" s="1" t="s">
        <v>224</v>
      </c>
      <c r="B222" s="1" t="s">
        <v>2876</v>
      </c>
      <c r="C222" s="1" t="s">
        <v>1551</v>
      </c>
      <c r="D222" t="str">
        <f t="shared" si="30"/>
        <v>40A666</v>
      </c>
      <c r="E222" t="str">
        <f t="shared" si="31"/>
        <v>64-166-102</v>
      </c>
      <c r="F222" t="str">
        <f t="shared" si="32"/>
        <v>64166102</v>
      </c>
      <c r="G222">
        <f t="shared" si="33"/>
        <v>64</v>
      </c>
      <c r="H222">
        <f t="shared" si="34"/>
        <v>166</v>
      </c>
      <c r="I222">
        <f t="shared" si="35"/>
        <v>102</v>
      </c>
      <c r="J222" t="str">
        <f t="shared" si="27"/>
        <v>ACA",</v>
      </c>
      <c r="K222" t="str">
        <f t="shared" si="27"/>
        <v>Anterior cingulate area",</v>
      </c>
      <c r="L222" t="str">
        <f t="shared" si="28"/>
        <v>ACA</v>
      </c>
      <c r="M222" t="str">
        <f t="shared" si="28"/>
        <v>Anterior cingulate area</v>
      </c>
      <c r="N222" t="s">
        <v>4966</v>
      </c>
      <c r="O222" t="s">
        <v>4967</v>
      </c>
      <c r="Q222" s="6">
        <v>270</v>
      </c>
      <c r="R222" s="6">
        <v>527696977</v>
      </c>
      <c r="S222" s="6" t="s">
        <v>5051</v>
      </c>
      <c r="T222" s="6" t="s">
        <v>5050</v>
      </c>
      <c r="U222" s="6">
        <v>731</v>
      </c>
      <c r="V222" s="6">
        <v>8</v>
      </c>
      <c r="W222" s="6" t="s">
        <v>7473</v>
      </c>
      <c r="Y222" t="s">
        <v>4966</v>
      </c>
      <c r="Z222" t="s">
        <v>4967</v>
      </c>
      <c r="AA222" s="6">
        <f t="shared" si="29"/>
        <v>31</v>
      </c>
      <c r="AB222">
        <v>64</v>
      </c>
      <c r="AC222">
        <v>166</v>
      </c>
      <c r="AD222">
        <v>102</v>
      </c>
    </row>
    <row r="223" spans="1:30" ht="17" x14ac:dyDescent="0.25">
      <c r="A223" s="1" t="s">
        <v>225</v>
      </c>
      <c r="B223" s="1" t="s">
        <v>2877</v>
      </c>
      <c r="C223" s="1" t="s">
        <v>1552</v>
      </c>
      <c r="D223" t="str">
        <f t="shared" si="30"/>
        <v>3FA565</v>
      </c>
      <c r="E223" t="str">
        <f t="shared" si="31"/>
        <v>63-165-101</v>
      </c>
      <c r="F223" t="str">
        <f t="shared" si="32"/>
        <v>63165101</v>
      </c>
      <c r="G223">
        <f t="shared" si="33"/>
        <v>63</v>
      </c>
      <c r="H223">
        <f t="shared" si="34"/>
        <v>165</v>
      </c>
      <c r="I223">
        <f t="shared" si="35"/>
        <v>101</v>
      </c>
      <c r="J223" t="str">
        <f t="shared" si="27"/>
        <v>ACA1",</v>
      </c>
      <c r="K223" t="str">
        <f t="shared" si="27"/>
        <v>Anterior cingulate area, layer 1",</v>
      </c>
      <c r="L223" t="str">
        <f t="shared" si="28"/>
        <v>ACA1</v>
      </c>
      <c r="M223" t="str">
        <f t="shared" si="28"/>
        <v>Anterior cingulate area, layer 1</v>
      </c>
      <c r="N223" t="s">
        <v>4968</v>
      </c>
      <c r="O223" t="s">
        <v>4969</v>
      </c>
      <c r="Q223" s="6">
        <v>272</v>
      </c>
      <c r="R223" s="6">
        <v>746</v>
      </c>
      <c r="S223" s="6" t="s">
        <v>5055</v>
      </c>
      <c r="T223" s="6" t="s">
        <v>5054</v>
      </c>
      <c r="U223" s="6">
        <v>714</v>
      </c>
      <c r="V223" s="6">
        <v>7</v>
      </c>
      <c r="W223" s="6" t="s">
        <v>7474</v>
      </c>
      <c r="Y223" t="s">
        <v>4968</v>
      </c>
      <c r="Z223" t="s">
        <v>4969</v>
      </c>
      <c r="AA223" s="6" t="str">
        <f t="shared" si="29"/>
        <v/>
      </c>
      <c r="AB223">
        <v>63</v>
      </c>
      <c r="AC223">
        <v>165</v>
      </c>
      <c r="AD223">
        <v>101</v>
      </c>
    </row>
    <row r="224" spans="1:30" ht="17" x14ac:dyDescent="0.25">
      <c r="A224" s="1" t="s">
        <v>226</v>
      </c>
      <c r="B224" s="1" t="s">
        <v>2878</v>
      </c>
      <c r="C224" s="1" t="s">
        <v>1553</v>
      </c>
      <c r="D224" t="str">
        <f t="shared" si="30"/>
        <v>3FA564</v>
      </c>
      <c r="E224" t="str">
        <f t="shared" si="31"/>
        <v>63-165-100</v>
      </c>
      <c r="F224" t="str">
        <f t="shared" si="32"/>
        <v>63165100</v>
      </c>
      <c r="G224">
        <f t="shared" si="33"/>
        <v>63</v>
      </c>
      <c r="H224">
        <f t="shared" si="34"/>
        <v>165</v>
      </c>
      <c r="I224">
        <f t="shared" si="35"/>
        <v>100</v>
      </c>
      <c r="J224" t="str">
        <f t="shared" si="27"/>
        <v>ACA2\/3",</v>
      </c>
      <c r="K224" t="str">
        <f t="shared" si="27"/>
        <v>Anterior cingulate area, layer 2\/3",</v>
      </c>
      <c r="L224" t="str">
        <f t="shared" si="28"/>
        <v>ACA2\/3</v>
      </c>
      <c r="M224" t="str">
        <f t="shared" si="28"/>
        <v>Anterior cingulate area, layer 2\/3</v>
      </c>
      <c r="N224" t="s">
        <v>7143</v>
      </c>
      <c r="O224" t="s">
        <v>7204</v>
      </c>
      <c r="Q224" s="6">
        <v>273</v>
      </c>
      <c r="R224" s="6">
        <v>969</v>
      </c>
      <c r="S224" s="6" t="s">
        <v>5057</v>
      </c>
      <c r="T224" s="6" t="s">
        <v>5056</v>
      </c>
      <c r="U224" s="6">
        <v>746</v>
      </c>
      <c r="V224" s="6">
        <v>8</v>
      </c>
      <c r="W224" s="6" t="s">
        <v>7475</v>
      </c>
      <c r="Y224" t="s">
        <v>7143</v>
      </c>
      <c r="Z224" t="s">
        <v>7204</v>
      </c>
      <c r="AA224" s="6" t="str">
        <f t="shared" si="29"/>
        <v/>
      </c>
      <c r="AB224">
        <v>63</v>
      </c>
      <c r="AC224">
        <v>165</v>
      </c>
      <c r="AD224">
        <v>100</v>
      </c>
    </row>
    <row r="225" spans="1:30" ht="17" x14ac:dyDescent="0.25">
      <c r="A225" s="1" t="s">
        <v>227</v>
      </c>
      <c r="B225" s="1" t="s">
        <v>2879</v>
      </c>
      <c r="C225" s="1" t="s">
        <v>1554</v>
      </c>
      <c r="D225" t="str">
        <f t="shared" si="30"/>
        <v>40A466</v>
      </c>
      <c r="E225" t="str">
        <f t="shared" si="31"/>
        <v>64-164-102</v>
      </c>
      <c r="F225" t="str">
        <f t="shared" si="32"/>
        <v>64164102</v>
      </c>
      <c r="G225">
        <f t="shared" si="33"/>
        <v>64</v>
      </c>
      <c r="H225">
        <f t="shared" si="34"/>
        <v>164</v>
      </c>
      <c r="I225">
        <f t="shared" si="35"/>
        <v>102</v>
      </c>
      <c r="J225" t="str">
        <f t="shared" si="27"/>
        <v>ACA5",</v>
      </c>
      <c r="K225" t="str">
        <f t="shared" si="27"/>
        <v>Anterior cingulate area, layer 5",</v>
      </c>
      <c r="L225" t="str">
        <f t="shared" si="28"/>
        <v>ACA5</v>
      </c>
      <c r="M225" t="str">
        <f t="shared" si="28"/>
        <v>Anterior cingulate area, layer 5</v>
      </c>
      <c r="N225" t="s">
        <v>4970</v>
      </c>
      <c r="O225" t="s">
        <v>4971</v>
      </c>
      <c r="Q225" s="6">
        <v>274</v>
      </c>
      <c r="R225" s="6">
        <v>288</v>
      </c>
      <c r="S225" s="6" t="s">
        <v>7212</v>
      </c>
      <c r="T225" s="6" t="s">
        <v>7151</v>
      </c>
      <c r="U225" s="6">
        <v>746</v>
      </c>
      <c r="V225" s="6">
        <v>8</v>
      </c>
      <c r="W225" s="6" t="s">
        <v>7476</v>
      </c>
      <c r="Y225" t="s">
        <v>4970</v>
      </c>
      <c r="Z225" t="s">
        <v>4971</v>
      </c>
      <c r="AA225" s="6" t="str">
        <f t="shared" si="29"/>
        <v/>
      </c>
      <c r="AB225">
        <v>64</v>
      </c>
      <c r="AC225">
        <v>164</v>
      </c>
      <c r="AD225">
        <v>102</v>
      </c>
    </row>
    <row r="226" spans="1:30" ht="17" x14ac:dyDescent="0.25">
      <c r="A226" s="1" t="s">
        <v>228</v>
      </c>
      <c r="B226" s="1" t="s">
        <v>2880</v>
      </c>
      <c r="C226" s="1" t="s">
        <v>1555</v>
      </c>
      <c r="D226" t="str">
        <f t="shared" si="30"/>
        <v>3FA666</v>
      </c>
      <c r="E226" t="str">
        <f t="shared" si="31"/>
        <v>63-166-102</v>
      </c>
      <c r="F226" t="str">
        <f t="shared" si="32"/>
        <v>63166102</v>
      </c>
      <c r="G226">
        <f t="shared" si="33"/>
        <v>63</v>
      </c>
      <c r="H226">
        <f t="shared" si="34"/>
        <v>166</v>
      </c>
      <c r="I226">
        <f t="shared" si="35"/>
        <v>102</v>
      </c>
      <c r="J226" t="str">
        <f t="shared" si="27"/>
        <v>ACA6a",</v>
      </c>
      <c r="K226" t="str">
        <f t="shared" si="27"/>
        <v>Anterior cingulate area, layer 6a",</v>
      </c>
      <c r="L226" t="str">
        <f t="shared" si="28"/>
        <v>ACA6a</v>
      </c>
      <c r="M226" t="str">
        <f t="shared" si="28"/>
        <v>Anterior cingulate area, layer 6a</v>
      </c>
      <c r="N226" t="s">
        <v>4972</v>
      </c>
      <c r="O226" t="s">
        <v>4973</v>
      </c>
      <c r="Q226" s="6">
        <v>275</v>
      </c>
      <c r="R226" s="6">
        <v>1125</v>
      </c>
      <c r="S226" s="6" t="s">
        <v>5059</v>
      </c>
      <c r="T226" s="6" t="s">
        <v>5058</v>
      </c>
      <c r="U226" s="6">
        <v>746</v>
      </c>
      <c r="V226" s="6">
        <v>8</v>
      </c>
      <c r="W226" s="6" t="s">
        <v>7477</v>
      </c>
      <c r="Y226" t="s">
        <v>4972</v>
      </c>
      <c r="Z226" t="s">
        <v>4973</v>
      </c>
      <c r="AA226" s="6" t="str">
        <f t="shared" si="29"/>
        <v/>
      </c>
      <c r="AB226">
        <v>63</v>
      </c>
      <c r="AC226">
        <v>166</v>
      </c>
      <c r="AD226">
        <v>102</v>
      </c>
    </row>
    <row r="227" spans="1:30" ht="17" x14ac:dyDescent="0.25">
      <c r="A227" s="1" t="s">
        <v>229</v>
      </c>
      <c r="B227" s="1" t="s">
        <v>2881</v>
      </c>
      <c r="C227" s="1" t="s">
        <v>1556</v>
      </c>
      <c r="D227" t="str">
        <f t="shared" si="30"/>
        <v>3FA665</v>
      </c>
      <c r="E227" t="str">
        <f t="shared" si="31"/>
        <v>63-166-101</v>
      </c>
      <c r="F227" t="str">
        <f t="shared" si="32"/>
        <v>63166101</v>
      </c>
      <c r="G227">
        <f t="shared" si="33"/>
        <v>63</v>
      </c>
      <c r="H227">
        <f t="shared" si="34"/>
        <v>166</v>
      </c>
      <c r="I227">
        <f t="shared" si="35"/>
        <v>101</v>
      </c>
      <c r="J227" t="str">
        <f t="shared" si="27"/>
        <v>ACA6b",</v>
      </c>
      <c r="K227" t="str">
        <f t="shared" si="27"/>
        <v>Anterior cingulate area, layer 6b",</v>
      </c>
      <c r="L227" t="str">
        <f t="shared" si="28"/>
        <v>ACA6b</v>
      </c>
      <c r="M227" t="str">
        <f t="shared" si="28"/>
        <v>Anterior cingulate area, layer 6b</v>
      </c>
      <c r="N227" t="s">
        <v>4974</v>
      </c>
      <c r="O227" t="s">
        <v>4975</v>
      </c>
      <c r="Q227" s="6">
        <v>276</v>
      </c>
      <c r="R227" s="6">
        <v>608</v>
      </c>
      <c r="S227" s="6" t="s">
        <v>5061</v>
      </c>
      <c r="T227" s="6" t="s">
        <v>5060</v>
      </c>
      <c r="U227" s="6">
        <v>746</v>
      </c>
      <c r="V227" s="6">
        <v>8</v>
      </c>
      <c r="W227" s="6" t="s">
        <v>7478</v>
      </c>
      <c r="Y227" t="s">
        <v>4974</v>
      </c>
      <c r="Z227" t="s">
        <v>4975</v>
      </c>
      <c r="AA227" s="6" t="str">
        <f t="shared" si="29"/>
        <v/>
      </c>
      <c r="AB227">
        <v>63</v>
      </c>
      <c r="AC227">
        <v>166</v>
      </c>
      <c r="AD227">
        <v>101</v>
      </c>
    </row>
    <row r="228" spans="1:30" ht="17" x14ac:dyDescent="0.25">
      <c r="A228" s="1" t="s">
        <v>230</v>
      </c>
      <c r="B228" s="1" t="s">
        <v>2882</v>
      </c>
      <c r="C228" s="1" t="s">
        <v>1557</v>
      </c>
      <c r="D228" t="str">
        <f t="shared" si="30"/>
        <v>40A665</v>
      </c>
      <c r="E228" t="str">
        <f t="shared" si="31"/>
        <v>64-166-101</v>
      </c>
      <c r="F228" t="str">
        <f t="shared" si="32"/>
        <v>64166101</v>
      </c>
      <c r="G228">
        <f t="shared" si="33"/>
        <v>64</v>
      </c>
      <c r="H228">
        <f t="shared" si="34"/>
        <v>166</v>
      </c>
      <c r="I228">
        <f t="shared" si="35"/>
        <v>101</v>
      </c>
      <c r="J228" t="str">
        <f t="shared" si="27"/>
        <v>ACAd",</v>
      </c>
      <c r="K228" t="str">
        <f t="shared" si="27"/>
        <v>Anterior cingulate area, dorsal part",</v>
      </c>
      <c r="L228" t="str">
        <f t="shared" si="28"/>
        <v>ACAd</v>
      </c>
      <c r="M228" t="str">
        <f t="shared" si="28"/>
        <v>Anterior cingulate area, dorsal part</v>
      </c>
      <c r="N228" t="s">
        <v>4976</v>
      </c>
      <c r="O228" t="s">
        <v>4977</v>
      </c>
      <c r="Q228" s="6">
        <v>277</v>
      </c>
      <c r="R228" s="6">
        <v>680</v>
      </c>
      <c r="S228" s="6" t="s">
        <v>5063</v>
      </c>
      <c r="T228" s="6" t="s">
        <v>5062</v>
      </c>
      <c r="U228" s="6">
        <v>746</v>
      </c>
      <c r="V228" s="6">
        <v>8</v>
      </c>
      <c r="W228" s="6" t="s">
        <v>7479</v>
      </c>
      <c r="Y228" t="s">
        <v>4976</v>
      </c>
      <c r="Z228" t="s">
        <v>4977</v>
      </c>
      <c r="AA228" s="6">
        <f t="shared" si="29"/>
        <v>39</v>
      </c>
      <c r="AB228">
        <v>64</v>
      </c>
      <c r="AC228">
        <v>166</v>
      </c>
      <c r="AD228">
        <v>101</v>
      </c>
    </row>
    <row r="229" spans="1:30" ht="17" x14ac:dyDescent="0.25">
      <c r="A229" s="1" t="s">
        <v>231</v>
      </c>
      <c r="B229" s="1" t="s">
        <v>2883</v>
      </c>
      <c r="C229" s="1" t="s">
        <v>1558</v>
      </c>
      <c r="D229" t="str">
        <f t="shared" si="30"/>
        <v>3EA665</v>
      </c>
      <c r="E229" t="str">
        <f t="shared" si="31"/>
        <v>62-166-101</v>
      </c>
      <c r="F229" t="str">
        <f t="shared" si="32"/>
        <v>62166101</v>
      </c>
      <c r="G229">
        <f t="shared" si="33"/>
        <v>62</v>
      </c>
      <c r="H229">
        <f t="shared" si="34"/>
        <v>166</v>
      </c>
      <c r="I229">
        <f t="shared" si="35"/>
        <v>101</v>
      </c>
      <c r="J229" t="str">
        <f t="shared" si="27"/>
        <v>ACAd1",</v>
      </c>
      <c r="K229" t="str">
        <f t="shared" si="27"/>
        <v>Anterior cingulate area, dorsal part, layer 1",</v>
      </c>
      <c r="L229" t="str">
        <f t="shared" si="28"/>
        <v>ACAd1</v>
      </c>
      <c r="M229" t="str">
        <f t="shared" si="28"/>
        <v>Anterior cingulate area, dorsal part, layer 1</v>
      </c>
      <c r="N229" t="s">
        <v>4978</v>
      </c>
      <c r="O229" t="s">
        <v>4979</v>
      </c>
      <c r="Q229" s="6">
        <v>278</v>
      </c>
      <c r="R229" s="6">
        <v>95</v>
      </c>
      <c r="S229" s="6" t="s">
        <v>5065</v>
      </c>
      <c r="T229" s="6" t="s">
        <v>5064</v>
      </c>
      <c r="U229" s="6">
        <v>315</v>
      </c>
      <c r="V229" s="6">
        <v>6</v>
      </c>
      <c r="W229" s="6" t="s">
        <v>7480</v>
      </c>
      <c r="Y229" t="s">
        <v>4978</v>
      </c>
      <c r="Z229" t="s">
        <v>4979</v>
      </c>
      <c r="AA229" s="6">
        <f t="shared" si="29"/>
        <v>935</v>
      </c>
      <c r="AB229">
        <v>62</v>
      </c>
      <c r="AC229">
        <v>166</v>
      </c>
      <c r="AD229">
        <v>101</v>
      </c>
    </row>
    <row r="230" spans="1:30" ht="17" x14ac:dyDescent="0.25">
      <c r="A230" s="1" t="s">
        <v>232</v>
      </c>
      <c r="B230" s="1" t="s">
        <v>2884</v>
      </c>
      <c r="C230" s="1" t="s">
        <v>1559</v>
      </c>
      <c r="D230" t="str">
        <f t="shared" si="30"/>
        <v>40A565</v>
      </c>
      <c r="E230" t="str">
        <f t="shared" si="31"/>
        <v>64-165-101</v>
      </c>
      <c r="F230" t="str">
        <f t="shared" si="32"/>
        <v>64165101</v>
      </c>
      <c r="G230">
        <f t="shared" si="33"/>
        <v>64</v>
      </c>
      <c r="H230">
        <f t="shared" si="34"/>
        <v>165</v>
      </c>
      <c r="I230">
        <f t="shared" si="35"/>
        <v>101</v>
      </c>
      <c r="J230" t="str">
        <f t="shared" si="27"/>
        <v>ACAd2\/3",</v>
      </c>
      <c r="K230" t="str">
        <f t="shared" si="27"/>
        <v>Anterior cingulate area, dorsal part, layer 2\/3",</v>
      </c>
      <c r="L230" t="str">
        <f t="shared" si="28"/>
        <v>ACAd2\/3</v>
      </c>
      <c r="M230" t="str">
        <f t="shared" si="28"/>
        <v>Anterior cingulate area, dorsal part, layer 2\/3</v>
      </c>
      <c r="N230" t="s">
        <v>7144</v>
      </c>
      <c r="O230" t="s">
        <v>7205</v>
      </c>
      <c r="Q230" s="6">
        <v>279</v>
      </c>
      <c r="R230" s="6">
        <v>104</v>
      </c>
      <c r="S230" s="6" t="s">
        <v>5067</v>
      </c>
      <c r="T230" s="6" t="s">
        <v>5066</v>
      </c>
      <c r="U230" s="6">
        <v>95</v>
      </c>
      <c r="V230" s="6">
        <v>7</v>
      </c>
      <c r="W230" s="6" t="s">
        <v>7481</v>
      </c>
      <c r="Y230" t="s">
        <v>7144</v>
      </c>
      <c r="Z230" t="s">
        <v>7205</v>
      </c>
      <c r="AA230" s="6">
        <f t="shared" si="29"/>
        <v>211</v>
      </c>
      <c r="AB230">
        <v>64</v>
      </c>
      <c r="AC230">
        <v>165</v>
      </c>
      <c r="AD230">
        <v>101</v>
      </c>
    </row>
    <row r="231" spans="1:30" ht="17" x14ac:dyDescent="0.25">
      <c r="A231" s="1" t="s">
        <v>233</v>
      </c>
      <c r="B231" s="1" t="s">
        <v>2885</v>
      </c>
      <c r="C231" s="1" t="s">
        <v>1560</v>
      </c>
      <c r="D231" t="str">
        <f t="shared" si="30"/>
        <v>3EA566</v>
      </c>
      <c r="E231" t="str">
        <f t="shared" si="31"/>
        <v>62-165-102</v>
      </c>
      <c r="F231" t="str">
        <f t="shared" si="32"/>
        <v>62165102</v>
      </c>
      <c r="G231">
        <f t="shared" si="33"/>
        <v>62</v>
      </c>
      <c r="H231">
        <f t="shared" si="34"/>
        <v>165</v>
      </c>
      <c r="I231">
        <f t="shared" si="35"/>
        <v>102</v>
      </c>
      <c r="J231" t="str">
        <f t="shared" si="27"/>
        <v>ACAd5",</v>
      </c>
      <c r="K231" t="str">
        <f t="shared" si="27"/>
        <v>Anterior cingulate area, dorsal part, layer 5",</v>
      </c>
      <c r="L231" t="str">
        <f t="shared" si="28"/>
        <v>ACAd5</v>
      </c>
      <c r="M231" t="str">
        <f t="shared" si="28"/>
        <v>Anterior cingulate area, dorsal part, layer 5</v>
      </c>
      <c r="N231" t="s">
        <v>4980</v>
      </c>
      <c r="O231" t="s">
        <v>4981</v>
      </c>
      <c r="Q231" s="6">
        <v>280</v>
      </c>
      <c r="R231" s="6">
        <v>996</v>
      </c>
      <c r="S231" s="6" t="s">
        <v>5069</v>
      </c>
      <c r="T231" s="6" t="s">
        <v>5068</v>
      </c>
      <c r="U231" s="6">
        <v>104</v>
      </c>
      <c r="V231" s="6">
        <v>8</v>
      </c>
      <c r="W231" s="6" t="s">
        <v>7482</v>
      </c>
      <c r="Y231" t="s">
        <v>4980</v>
      </c>
      <c r="Z231" t="s">
        <v>4981</v>
      </c>
      <c r="AA231" s="6">
        <f t="shared" si="29"/>
        <v>1015</v>
      </c>
      <c r="AB231">
        <v>62</v>
      </c>
      <c r="AC231">
        <v>165</v>
      </c>
      <c r="AD231">
        <v>102</v>
      </c>
    </row>
    <row r="232" spans="1:30" ht="17" x14ac:dyDescent="0.25">
      <c r="A232" s="1" t="s">
        <v>234</v>
      </c>
      <c r="B232" s="1" t="s">
        <v>2886</v>
      </c>
      <c r="C232" s="1" t="s">
        <v>1561</v>
      </c>
      <c r="D232" t="str">
        <f t="shared" si="30"/>
        <v>3FA664</v>
      </c>
      <c r="E232" t="str">
        <f t="shared" si="31"/>
        <v>63-166-100</v>
      </c>
      <c r="F232" t="str">
        <f t="shared" si="32"/>
        <v>63166100</v>
      </c>
      <c r="G232">
        <f t="shared" si="33"/>
        <v>63</v>
      </c>
      <c r="H232">
        <f t="shared" si="34"/>
        <v>166</v>
      </c>
      <c r="I232">
        <f t="shared" si="35"/>
        <v>100</v>
      </c>
      <c r="J232" t="str">
        <f t="shared" si="27"/>
        <v>ACAd6a",</v>
      </c>
      <c r="K232" t="str">
        <f t="shared" si="27"/>
        <v>Anterior cingulate area, dorsal part, layer 6a",</v>
      </c>
      <c r="L232" t="str">
        <f t="shared" si="28"/>
        <v>ACAd6a</v>
      </c>
      <c r="M232" t="str">
        <f t="shared" si="28"/>
        <v>Anterior cingulate area, dorsal part, layer 6a</v>
      </c>
      <c r="N232" t="s">
        <v>4982</v>
      </c>
      <c r="O232" t="s">
        <v>4983</v>
      </c>
      <c r="Q232" s="6">
        <v>281</v>
      </c>
      <c r="R232" s="6">
        <v>328</v>
      </c>
      <c r="S232" s="6" t="s">
        <v>7213</v>
      </c>
      <c r="T232" s="6" t="s">
        <v>7152</v>
      </c>
      <c r="U232" s="6">
        <v>104</v>
      </c>
      <c r="V232" s="6">
        <v>8</v>
      </c>
      <c r="W232" s="6" t="s">
        <v>7483</v>
      </c>
      <c r="Y232" t="s">
        <v>4982</v>
      </c>
      <c r="Z232" t="s">
        <v>4983</v>
      </c>
      <c r="AA232" s="6">
        <f t="shared" si="29"/>
        <v>919</v>
      </c>
      <c r="AB232">
        <v>63</v>
      </c>
      <c r="AC232">
        <v>166</v>
      </c>
      <c r="AD232">
        <v>100</v>
      </c>
    </row>
    <row r="233" spans="1:30" ht="17" x14ac:dyDescent="0.25">
      <c r="A233" s="1" t="s">
        <v>235</v>
      </c>
      <c r="B233" s="1" t="s">
        <v>2887</v>
      </c>
      <c r="C233" s="1" t="s">
        <v>1562</v>
      </c>
      <c r="D233" t="str">
        <f t="shared" si="30"/>
        <v>3FA466</v>
      </c>
      <c r="E233" t="str">
        <f t="shared" si="31"/>
        <v>63-164-102</v>
      </c>
      <c r="F233" t="str">
        <f t="shared" si="32"/>
        <v>63164102</v>
      </c>
      <c r="G233">
        <f t="shared" si="33"/>
        <v>63</v>
      </c>
      <c r="H233">
        <f t="shared" si="34"/>
        <v>164</v>
      </c>
      <c r="I233">
        <f t="shared" si="35"/>
        <v>102</v>
      </c>
      <c r="J233" t="str">
        <f t="shared" si="27"/>
        <v>ACAd6b",</v>
      </c>
      <c r="K233" t="str">
        <f t="shared" si="27"/>
        <v>Anterior cingulate area, dorsal part, layer 6b",</v>
      </c>
      <c r="L233" t="str">
        <f t="shared" si="28"/>
        <v>ACAd6b</v>
      </c>
      <c r="M233" t="str">
        <f t="shared" si="28"/>
        <v>Anterior cingulate area, dorsal part, layer 6b</v>
      </c>
      <c r="N233" t="s">
        <v>4984</v>
      </c>
      <c r="O233" t="s">
        <v>4985</v>
      </c>
      <c r="Q233" s="6">
        <v>282</v>
      </c>
      <c r="R233" s="6">
        <v>1101</v>
      </c>
      <c r="S233" s="6" t="s">
        <v>5071</v>
      </c>
      <c r="T233" s="6" t="s">
        <v>5070</v>
      </c>
      <c r="U233" s="6">
        <v>104</v>
      </c>
      <c r="V233" s="6">
        <v>8</v>
      </c>
      <c r="W233" s="6" t="s">
        <v>7484</v>
      </c>
      <c r="Y233" t="s">
        <v>4984</v>
      </c>
      <c r="Z233" t="s">
        <v>4985</v>
      </c>
      <c r="AA233" s="6">
        <f t="shared" si="29"/>
        <v>927</v>
      </c>
      <c r="AB233">
        <v>63</v>
      </c>
      <c r="AC233">
        <v>164</v>
      </c>
      <c r="AD233">
        <v>102</v>
      </c>
    </row>
    <row r="234" spans="1:30" ht="17" x14ac:dyDescent="0.25">
      <c r="A234" s="1" t="s">
        <v>236</v>
      </c>
      <c r="B234" s="1" t="s">
        <v>2888</v>
      </c>
      <c r="C234" s="1" t="s">
        <v>1563</v>
      </c>
      <c r="D234" t="str">
        <f t="shared" si="30"/>
        <v>40A566</v>
      </c>
      <c r="E234" t="str">
        <f t="shared" si="31"/>
        <v>64-165-102</v>
      </c>
      <c r="F234" t="str">
        <f t="shared" si="32"/>
        <v>64165102</v>
      </c>
      <c r="G234">
        <f t="shared" si="33"/>
        <v>64</v>
      </c>
      <c r="H234">
        <f t="shared" si="34"/>
        <v>165</v>
      </c>
      <c r="I234">
        <f t="shared" si="35"/>
        <v>102</v>
      </c>
      <c r="J234" t="str">
        <f t="shared" si="27"/>
        <v>ACAv",</v>
      </c>
      <c r="K234" t="str">
        <f t="shared" si="27"/>
        <v>Anterior cingulate area, ventral part",</v>
      </c>
      <c r="L234" t="str">
        <f t="shared" si="28"/>
        <v>ACAv</v>
      </c>
      <c r="M234" t="str">
        <f t="shared" si="28"/>
        <v>Anterior cingulate area, ventral part</v>
      </c>
      <c r="N234" t="s">
        <v>4986</v>
      </c>
      <c r="O234" t="s">
        <v>4987</v>
      </c>
      <c r="Q234" s="6">
        <v>283</v>
      </c>
      <c r="R234" s="6">
        <v>783</v>
      </c>
      <c r="S234" s="6" t="s">
        <v>5073</v>
      </c>
      <c r="T234" s="6" t="s">
        <v>5072</v>
      </c>
      <c r="U234" s="6">
        <v>104</v>
      </c>
      <c r="V234" s="6">
        <v>8</v>
      </c>
      <c r="W234" s="6" t="s">
        <v>7485</v>
      </c>
      <c r="Y234" t="s">
        <v>4986</v>
      </c>
      <c r="Z234" t="s">
        <v>4987</v>
      </c>
      <c r="AA234" s="6">
        <f t="shared" si="29"/>
        <v>48</v>
      </c>
      <c r="AB234">
        <v>64</v>
      </c>
      <c r="AC234">
        <v>165</v>
      </c>
      <c r="AD234">
        <v>102</v>
      </c>
    </row>
    <row r="235" spans="1:30" ht="17" x14ac:dyDescent="0.25">
      <c r="A235" s="1" t="s">
        <v>237</v>
      </c>
      <c r="B235" s="1" t="s">
        <v>2889</v>
      </c>
      <c r="C235" s="1" t="s">
        <v>1564</v>
      </c>
      <c r="D235" t="str">
        <f t="shared" si="30"/>
        <v>40A664</v>
      </c>
      <c r="E235" t="str">
        <f t="shared" si="31"/>
        <v>64-166-100</v>
      </c>
      <c r="F235" t="str">
        <f t="shared" si="32"/>
        <v>64166100</v>
      </c>
      <c r="G235">
        <f t="shared" si="33"/>
        <v>64</v>
      </c>
      <c r="H235">
        <f t="shared" si="34"/>
        <v>166</v>
      </c>
      <c r="I235">
        <f t="shared" si="35"/>
        <v>100</v>
      </c>
      <c r="J235" t="str">
        <f t="shared" si="27"/>
        <v>ACAv1",</v>
      </c>
      <c r="K235" t="str">
        <f t="shared" si="27"/>
        <v>Anterior cingulate area, ventral part, layer 1",</v>
      </c>
      <c r="L235" t="str">
        <f t="shared" si="28"/>
        <v>ACAv1</v>
      </c>
      <c r="M235" t="str">
        <f t="shared" si="28"/>
        <v>Anterior cingulate area, ventral part, layer 1</v>
      </c>
      <c r="N235" t="s">
        <v>4988</v>
      </c>
      <c r="O235" t="s">
        <v>4989</v>
      </c>
      <c r="Q235" s="6">
        <v>284</v>
      </c>
      <c r="R235" s="6">
        <v>831</v>
      </c>
      <c r="S235" s="6" t="s">
        <v>5075</v>
      </c>
      <c r="T235" s="6" t="s">
        <v>5074</v>
      </c>
      <c r="U235" s="6">
        <v>104</v>
      </c>
      <c r="V235" s="6">
        <v>8</v>
      </c>
      <c r="W235" s="6" t="s">
        <v>7486</v>
      </c>
      <c r="Y235" t="s">
        <v>4988</v>
      </c>
      <c r="Z235" t="s">
        <v>4989</v>
      </c>
      <c r="AA235" s="6">
        <f t="shared" si="29"/>
        <v>588</v>
      </c>
      <c r="AB235">
        <v>64</v>
      </c>
      <c r="AC235">
        <v>166</v>
      </c>
      <c r="AD235">
        <v>100</v>
      </c>
    </row>
    <row r="236" spans="1:30" ht="17" x14ac:dyDescent="0.25">
      <c r="A236" s="1" t="s">
        <v>238</v>
      </c>
      <c r="B236" s="1" t="s">
        <v>2890</v>
      </c>
      <c r="C236" s="1" t="s">
        <v>1565</v>
      </c>
      <c r="D236" t="str">
        <f t="shared" si="30"/>
        <v>3FA566</v>
      </c>
      <c r="E236" t="str">
        <f t="shared" si="31"/>
        <v>63-165-102</v>
      </c>
      <c r="F236" t="str">
        <f t="shared" si="32"/>
        <v>63165102</v>
      </c>
      <c r="G236">
        <f t="shared" si="33"/>
        <v>63</v>
      </c>
      <c r="H236">
        <f t="shared" si="34"/>
        <v>165</v>
      </c>
      <c r="I236">
        <f t="shared" si="35"/>
        <v>102</v>
      </c>
      <c r="J236" t="str">
        <f t="shared" si="27"/>
        <v>ACAv2\/3",</v>
      </c>
      <c r="K236" t="str">
        <f t="shared" si="27"/>
        <v>Anterior cingulate area, ventral part, layer 2\/3",</v>
      </c>
      <c r="L236" t="str">
        <f t="shared" si="28"/>
        <v>ACAv2\/3</v>
      </c>
      <c r="M236" t="str">
        <f t="shared" si="28"/>
        <v>Anterior cingulate area, ventral part, layer 2\/3</v>
      </c>
      <c r="N236" t="s">
        <v>7145</v>
      </c>
      <c r="O236" t="s">
        <v>7206</v>
      </c>
      <c r="Q236" s="6">
        <v>285</v>
      </c>
      <c r="R236" s="6">
        <v>111</v>
      </c>
      <c r="S236" s="6" t="s">
        <v>5077</v>
      </c>
      <c r="T236" s="6" t="s">
        <v>5076</v>
      </c>
      <c r="U236" s="6">
        <v>95</v>
      </c>
      <c r="V236" s="6">
        <v>7</v>
      </c>
      <c r="W236" s="6" t="s">
        <v>7487</v>
      </c>
      <c r="Y236" t="s">
        <v>7145</v>
      </c>
      <c r="Z236" t="s">
        <v>7206</v>
      </c>
      <c r="AA236" s="6">
        <f t="shared" si="29"/>
        <v>296</v>
      </c>
      <c r="AB236">
        <v>63</v>
      </c>
      <c r="AC236">
        <v>165</v>
      </c>
      <c r="AD236">
        <v>102</v>
      </c>
    </row>
    <row r="237" spans="1:30" ht="17" x14ac:dyDescent="0.25">
      <c r="A237" s="1" t="s">
        <v>239</v>
      </c>
      <c r="B237" s="1" t="s">
        <v>2891</v>
      </c>
      <c r="C237" s="1" t="s">
        <v>1566</v>
      </c>
      <c r="D237" t="str">
        <f t="shared" si="30"/>
        <v>3EA666</v>
      </c>
      <c r="E237" t="str">
        <f t="shared" si="31"/>
        <v>62-166-102</v>
      </c>
      <c r="F237" t="str">
        <f t="shared" si="32"/>
        <v>62166102</v>
      </c>
      <c r="G237">
        <f t="shared" si="33"/>
        <v>62</v>
      </c>
      <c r="H237">
        <f t="shared" si="34"/>
        <v>166</v>
      </c>
      <c r="I237">
        <f t="shared" si="35"/>
        <v>102</v>
      </c>
      <c r="J237" t="str">
        <f t="shared" si="27"/>
        <v>ACAv5",</v>
      </c>
      <c r="K237" t="str">
        <f t="shared" si="27"/>
        <v>Anterior cingulate area, ventral part, layer 5",</v>
      </c>
      <c r="L237" t="str">
        <f t="shared" si="28"/>
        <v>ACAv5</v>
      </c>
      <c r="M237" t="str">
        <f t="shared" si="28"/>
        <v>Anterior cingulate area, ventral part, layer 5</v>
      </c>
      <c r="N237" t="s">
        <v>4990</v>
      </c>
      <c r="O237" t="s">
        <v>4991</v>
      </c>
      <c r="Q237" s="6">
        <v>286</v>
      </c>
      <c r="R237" s="6">
        <v>120</v>
      </c>
      <c r="S237" s="6" t="s">
        <v>5079</v>
      </c>
      <c r="T237" s="6" t="s">
        <v>5078</v>
      </c>
      <c r="U237" s="6">
        <v>111</v>
      </c>
      <c r="V237" s="6">
        <v>8</v>
      </c>
      <c r="W237" s="6" t="s">
        <v>7488</v>
      </c>
      <c r="Y237" t="s">
        <v>4990</v>
      </c>
      <c r="Z237" t="s">
        <v>4991</v>
      </c>
      <c r="AA237" s="6">
        <f t="shared" si="29"/>
        <v>772</v>
      </c>
      <c r="AB237">
        <v>62</v>
      </c>
      <c r="AC237">
        <v>166</v>
      </c>
      <c r="AD237">
        <v>102</v>
      </c>
    </row>
    <row r="238" spans="1:30" ht="17" x14ac:dyDescent="0.25">
      <c r="A238" s="1" t="s">
        <v>240</v>
      </c>
      <c r="B238" s="1" t="s">
        <v>2892</v>
      </c>
      <c r="C238" s="1" t="s">
        <v>1567</v>
      </c>
      <c r="D238" t="str">
        <f t="shared" si="30"/>
        <v>40A564</v>
      </c>
      <c r="E238" t="str">
        <f t="shared" si="31"/>
        <v>64-165-100</v>
      </c>
      <c r="F238" t="str">
        <f t="shared" si="32"/>
        <v>64165100</v>
      </c>
      <c r="G238">
        <f t="shared" si="33"/>
        <v>64</v>
      </c>
      <c r="H238">
        <f t="shared" si="34"/>
        <v>165</v>
      </c>
      <c r="I238">
        <f t="shared" si="35"/>
        <v>100</v>
      </c>
      <c r="J238" t="str">
        <f t="shared" si="27"/>
        <v>ACAv6a",</v>
      </c>
      <c r="K238" t="str">
        <f t="shared" si="27"/>
        <v>Anterior cingulate area, ventral part, 6a",</v>
      </c>
      <c r="L238" t="str">
        <f t="shared" si="28"/>
        <v>ACAv6a</v>
      </c>
      <c r="M238" t="str">
        <f t="shared" si="28"/>
        <v>Anterior cingulate area, ventral part, 6a</v>
      </c>
      <c r="N238" t="s">
        <v>4992</v>
      </c>
      <c r="O238" t="s">
        <v>4993</v>
      </c>
      <c r="Q238" s="6">
        <v>287</v>
      </c>
      <c r="R238" s="6">
        <v>163</v>
      </c>
      <c r="S238" s="6" t="s">
        <v>7214</v>
      </c>
      <c r="T238" s="6" t="s">
        <v>7153</v>
      </c>
      <c r="U238" s="6">
        <v>111</v>
      </c>
      <c r="V238" s="6">
        <v>8</v>
      </c>
      <c r="W238" s="6" t="s">
        <v>7489</v>
      </c>
      <c r="Y238" t="s">
        <v>4992</v>
      </c>
      <c r="Z238" t="s">
        <v>4993</v>
      </c>
      <c r="AA238" s="6">
        <f t="shared" si="29"/>
        <v>810</v>
      </c>
      <c r="AB238">
        <v>64</v>
      </c>
      <c r="AC238">
        <v>165</v>
      </c>
      <c r="AD238">
        <v>100</v>
      </c>
    </row>
    <row r="239" spans="1:30" ht="17" x14ac:dyDescent="0.25">
      <c r="A239" s="1" t="s">
        <v>241</v>
      </c>
      <c r="B239" s="1" t="s">
        <v>2893</v>
      </c>
      <c r="C239" s="1" t="s">
        <v>1568</v>
      </c>
      <c r="D239" t="str">
        <f t="shared" si="30"/>
        <v>40A465</v>
      </c>
      <c r="E239" t="str">
        <f t="shared" si="31"/>
        <v>64-164-101</v>
      </c>
      <c r="F239" t="str">
        <f t="shared" si="32"/>
        <v>64164101</v>
      </c>
      <c r="G239">
        <f t="shared" si="33"/>
        <v>64</v>
      </c>
      <c r="H239">
        <f t="shared" si="34"/>
        <v>164</v>
      </c>
      <c r="I239">
        <f t="shared" si="35"/>
        <v>101</v>
      </c>
      <c r="J239" t="str">
        <f t="shared" si="27"/>
        <v>ACAv6b",</v>
      </c>
      <c r="K239" t="str">
        <f t="shared" si="27"/>
        <v>Anterior cingulate area, ventral part, 6b",</v>
      </c>
      <c r="L239" t="str">
        <f t="shared" si="28"/>
        <v>ACAv6b</v>
      </c>
      <c r="M239" t="str">
        <f t="shared" si="28"/>
        <v>Anterior cingulate area, ventral part, 6b</v>
      </c>
      <c r="N239" t="s">
        <v>4994</v>
      </c>
      <c r="O239" t="s">
        <v>4995</v>
      </c>
      <c r="Q239" s="6">
        <v>288</v>
      </c>
      <c r="R239" s="6">
        <v>344</v>
      </c>
      <c r="S239" s="6" t="s">
        <v>5081</v>
      </c>
      <c r="T239" s="6" t="s">
        <v>5080</v>
      </c>
      <c r="U239" s="6">
        <v>111</v>
      </c>
      <c r="V239" s="6">
        <v>8</v>
      </c>
      <c r="W239" s="6" t="s">
        <v>7490</v>
      </c>
      <c r="Y239" t="s">
        <v>4994</v>
      </c>
      <c r="Z239" t="s">
        <v>4995</v>
      </c>
      <c r="AA239" s="6">
        <f t="shared" si="29"/>
        <v>819</v>
      </c>
      <c r="AB239">
        <v>64</v>
      </c>
      <c r="AC239">
        <v>164</v>
      </c>
      <c r="AD239">
        <v>101</v>
      </c>
    </row>
    <row r="240" spans="1:30" ht="17" x14ac:dyDescent="0.25">
      <c r="A240" s="1" t="s">
        <v>242</v>
      </c>
      <c r="B240" s="1" t="s">
        <v>2894</v>
      </c>
      <c r="C240" s="1" t="s">
        <v>1569</v>
      </c>
      <c r="D240" t="str">
        <f t="shared" si="30"/>
        <v>2EA750</v>
      </c>
      <c r="E240" t="str">
        <f t="shared" si="31"/>
        <v>46-167-80</v>
      </c>
      <c r="F240" t="str">
        <f t="shared" si="32"/>
        <v>4616780</v>
      </c>
      <c r="G240">
        <f t="shared" si="33"/>
        <v>46</v>
      </c>
      <c r="H240">
        <f t="shared" si="34"/>
        <v>167</v>
      </c>
      <c r="I240">
        <f t="shared" si="35"/>
        <v>80</v>
      </c>
      <c r="J240" t="str">
        <f t="shared" si="27"/>
        <v>PL",</v>
      </c>
      <c r="K240" t="str">
        <f t="shared" si="27"/>
        <v>Prelimbic area",</v>
      </c>
      <c r="L240" t="str">
        <f t="shared" si="28"/>
        <v>PL</v>
      </c>
      <c r="M240" t="str">
        <f t="shared" si="28"/>
        <v>Prelimbic area</v>
      </c>
      <c r="N240" t="s">
        <v>4996</v>
      </c>
      <c r="O240" t="s">
        <v>4997</v>
      </c>
      <c r="Q240" s="6">
        <v>289</v>
      </c>
      <c r="R240" s="6">
        <v>314</v>
      </c>
      <c r="S240" s="6" t="s">
        <v>5083</v>
      </c>
      <c r="T240" s="6" t="s">
        <v>5082</v>
      </c>
      <c r="U240" s="6">
        <v>111</v>
      </c>
      <c r="V240" s="6">
        <v>8</v>
      </c>
      <c r="W240" s="6" t="s">
        <v>7491</v>
      </c>
      <c r="Y240" t="s">
        <v>4996</v>
      </c>
      <c r="Z240" t="s">
        <v>4997</v>
      </c>
      <c r="AA240" s="6">
        <f t="shared" si="29"/>
        <v>972</v>
      </c>
      <c r="AB240">
        <v>46</v>
      </c>
      <c r="AC240">
        <v>167</v>
      </c>
      <c r="AD240">
        <v>80</v>
      </c>
    </row>
    <row r="241" spans="1:30" ht="17" x14ac:dyDescent="0.25">
      <c r="A241" s="1" t="s">
        <v>243</v>
      </c>
      <c r="B241" s="1" t="s">
        <v>2895</v>
      </c>
      <c r="C241" s="1" t="s">
        <v>1570</v>
      </c>
      <c r="D241" t="str">
        <f t="shared" si="30"/>
        <v>2FA750</v>
      </c>
      <c r="E241" t="str">
        <f t="shared" si="31"/>
        <v>47-167-80</v>
      </c>
      <c r="F241" t="str">
        <f t="shared" si="32"/>
        <v>4716780</v>
      </c>
      <c r="G241">
        <f t="shared" si="33"/>
        <v>47</v>
      </c>
      <c r="H241">
        <f t="shared" si="34"/>
        <v>167</v>
      </c>
      <c r="I241">
        <f t="shared" si="35"/>
        <v>80</v>
      </c>
      <c r="J241" t="str">
        <f t="shared" si="27"/>
        <v>PL1",</v>
      </c>
      <c r="K241" t="str">
        <f t="shared" si="27"/>
        <v>Prelimbic area, layer 1",</v>
      </c>
      <c r="L241" t="str">
        <f t="shared" si="28"/>
        <v>PL1</v>
      </c>
      <c r="M241" t="str">
        <f t="shared" si="28"/>
        <v>Prelimbic area, layer 1</v>
      </c>
      <c r="N241" t="s">
        <v>4998</v>
      </c>
      <c r="O241" t="s">
        <v>4999</v>
      </c>
      <c r="Q241" s="6">
        <v>290</v>
      </c>
      <c r="R241" s="6">
        <v>355</v>
      </c>
      <c r="S241" s="6" t="s">
        <v>5085</v>
      </c>
      <c r="T241" s="6" t="s">
        <v>5084</v>
      </c>
      <c r="U241" s="6">
        <v>111</v>
      </c>
      <c r="V241" s="6">
        <v>8</v>
      </c>
      <c r="W241" s="6" t="s">
        <v>7492</v>
      </c>
      <c r="Y241" t="s">
        <v>4998</v>
      </c>
      <c r="Z241" t="s">
        <v>4999</v>
      </c>
      <c r="AA241" s="6">
        <f t="shared" si="29"/>
        <v>171</v>
      </c>
      <c r="AB241">
        <v>47</v>
      </c>
      <c r="AC241">
        <v>167</v>
      </c>
      <c r="AD241">
        <v>80</v>
      </c>
    </row>
    <row r="242" spans="1:30" ht="17" x14ac:dyDescent="0.25">
      <c r="A242" s="1" t="s">
        <v>244</v>
      </c>
      <c r="B242" s="1" t="s">
        <v>2896</v>
      </c>
      <c r="C242" s="1" t="s">
        <v>1571</v>
      </c>
      <c r="D242" t="str">
        <f t="shared" si="30"/>
        <v>2EA850</v>
      </c>
      <c r="E242" t="str">
        <f t="shared" si="31"/>
        <v>46-168-80</v>
      </c>
      <c r="F242" t="str">
        <f t="shared" si="32"/>
        <v>4616880</v>
      </c>
      <c r="G242">
        <f t="shared" si="33"/>
        <v>46</v>
      </c>
      <c r="H242">
        <f t="shared" si="34"/>
        <v>168</v>
      </c>
      <c r="I242">
        <f t="shared" si="35"/>
        <v>80</v>
      </c>
      <c r="J242" t="str">
        <f t="shared" si="27"/>
        <v>PL2",</v>
      </c>
      <c r="K242" t="str">
        <f t="shared" si="27"/>
        <v>Prelimbic area, layer 2",</v>
      </c>
      <c r="L242" t="str">
        <f t="shared" si="28"/>
        <v>PL2</v>
      </c>
      <c r="M242" t="str">
        <f t="shared" si="28"/>
        <v>Prelimbic area, layer 2</v>
      </c>
      <c r="N242" t="s">
        <v>5000</v>
      </c>
      <c r="O242" t="s">
        <v>5001</v>
      </c>
      <c r="Q242" s="6">
        <v>291</v>
      </c>
      <c r="R242" s="6">
        <v>119</v>
      </c>
      <c r="S242" s="6" t="s">
        <v>5087</v>
      </c>
      <c r="T242" s="6" t="s">
        <v>5086</v>
      </c>
      <c r="U242" s="6">
        <v>95</v>
      </c>
      <c r="V242" s="6">
        <v>7</v>
      </c>
      <c r="W242" s="6" t="s">
        <v>7493</v>
      </c>
      <c r="Y242" t="s">
        <v>5000</v>
      </c>
      <c r="Z242" t="s">
        <v>5001</v>
      </c>
      <c r="AA242" s="6" t="str">
        <f t="shared" si="29"/>
        <v/>
      </c>
      <c r="AB242">
        <v>46</v>
      </c>
      <c r="AC242">
        <v>168</v>
      </c>
      <c r="AD242">
        <v>80</v>
      </c>
    </row>
    <row r="243" spans="1:30" ht="17" x14ac:dyDescent="0.25">
      <c r="A243" s="1" t="s">
        <v>245</v>
      </c>
      <c r="B243" s="1" t="s">
        <v>2897</v>
      </c>
      <c r="C243" s="1" t="s">
        <v>1572</v>
      </c>
      <c r="D243" t="str">
        <f t="shared" si="30"/>
        <v>2FA74F</v>
      </c>
      <c r="E243" t="str">
        <f t="shared" si="31"/>
        <v>47-167-79</v>
      </c>
      <c r="F243" t="str">
        <f t="shared" si="32"/>
        <v>4716779</v>
      </c>
      <c r="G243">
        <f t="shared" si="33"/>
        <v>47</v>
      </c>
      <c r="H243">
        <f t="shared" si="34"/>
        <v>167</v>
      </c>
      <c r="I243">
        <f t="shared" si="35"/>
        <v>79</v>
      </c>
      <c r="J243" t="str">
        <f t="shared" si="27"/>
        <v>PL2\/3",</v>
      </c>
      <c r="K243" t="str">
        <f t="shared" si="27"/>
        <v>Prelimbic area, layer 2\/3",</v>
      </c>
      <c r="L243" t="str">
        <f t="shared" si="28"/>
        <v>PL2\/3</v>
      </c>
      <c r="M243" t="str">
        <f t="shared" si="28"/>
        <v>Prelimbic area, layer 2\/3</v>
      </c>
      <c r="N243" t="s">
        <v>7146</v>
      </c>
      <c r="O243" t="s">
        <v>7207</v>
      </c>
      <c r="Q243" s="6">
        <v>292</v>
      </c>
      <c r="R243" s="6">
        <v>704</v>
      </c>
      <c r="S243" s="6" t="s">
        <v>5089</v>
      </c>
      <c r="T243" s="6" t="s">
        <v>5088</v>
      </c>
      <c r="U243" s="6">
        <v>119</v>
      </c>
      <c r="V243" s="6">
        <v>8</v>
      </c>
      <c r="W243" s="6" t="s">
        <v>7494</v>
      </c>
      <c r="Y243" t="s">
        <v>7146</v>
      </c>
      <c r="Z243" t="s">
        <v>7207</v>
      </c>
      <c r="AA243" s="6">
        <f t="shared" si="29"/>
        <v>304</v>
      </c>
      <c r="AB243">
        <v>47</v>
      </c>
      <c r="AC243">
        <v>167</v>
      </c>
      <c r="AD243">
        <v>79</v>
      </c>
    </row>
    <row r="244" spans="1:30" ht="17" x14ac:dyDescent="0.25">
      <c r="A244" s="1" t="s">
        <v>246</v>
      </c>
      <c r="B244" s="1" t="s">
        <v>2898</v>
      </c>
      <c r="C244" s="1" t="s">
        <v>1573</v>
      </c>
      <c r="D244" t="str">
        <f t="shared" si="30"/>
        <v>2EA84F</v>
      </c>
      <c r="E244" t="str">
        <f t="shared" si="31"/>
        <v>46-168-79</v>
      </c>
      <c r="F244" t="str">
        <f t="shared" si="32"/>
        <v>4616879</v>
      </c>
      <c r="G244">
        <f t="shared" si="33"/>
        <v>46</v>
      </c>
      <c r="H244">
        <f t="shared" si="34"/>
        <v>168</v>
      </c>
      <c r="I244">
        <f t="shared" si="35"/>
        <v>79</v>
      </c>
      <c r="J244" t="str">
        <f t="shared" si="27"/>
        <v>PL5",</v>
      </c>
      <c r="K244" t="str">
        <f t="shared" si="27"/>
        <v>Prelimbic area, layer 5",</v>
      </c>
      <c r="L244" t="str">
        <f t="shared" si="28"/>
        <v>PL5</v>
      </c>
      <c r="M244" t="str">
        <f t="shared" si="28"/>
        <v>Prelimbic area, layer 5</v>
      </c>
      <c r="N244" t="s">
        <v>5002</v>
      </c>
      <c r="O244" t="s">
        <v>5003</v>
      </c>
      <c r="Q244" s="6">
        <v>293</v>
      </c>
      <c r="R244" s="6">
        <v>694</v>
      </c>
      <c r="S244" s="6" t="s">
        <v>7215</v>
      </c>
      <c r="T244" s="6" t="s">
        <v>7154</v>
      </c>
      <c r="U244" s="6">
        <v>119</v>
      </c>
      <c r="V244" s="6">
        <v>8</v>
      </c>
      <c r="W244" s="6" t="s">
        <v>7495</v>
      </c>
      <c r="Y244" t="s">
        <v>5002</v>
      </c>
      <c r="Z244" t="s">
        <v>5003</v>
      </c>
      <c r="AA244" s="6">
        <f t="shared" si="29"/>
        <v>363</v>
      </c>
      <c r="AB244">
        <v>46</v>
      </c>
      <c r="AC244">
        <v>168</v>
      </c>
      <c r="AD244">
        <v>79</v>
      </c>
    </row>
    <row r="245" spans="1:30" ht="17" x14ac:dyDescent="0.25">
      <c r="A245" s="1" t="s">
        <v>247</v>
      </c>
      <c r="B245" s="1" t="s">
        <v>2899</v>
      </c>
      <c r="C245" s="1" t="s">
        <v>1574</v>
      </c>
      <c r="D245" t="str">
        <f t="shared" si="30"/>
        <v>2FA850</v>
      </c>
      <c r="E245" t="str">
        <f t="shared" si="31"/>
        <v>47-168-80</v>
      </c>
      <c r="F245" t="str">
        <f t="shared" si="32"/>
        <v>4716880</v>
      </c>
      <c r="G245">
        <f t="shared" si="33"/>
        <v>47</v>
      </c>
      <c r="H245">
        <f t="shared" si="34"/>
        <v>168</v>
      </c>
      <c r="I245">
        <f t="shared" si="35"/>
        <v>80</v>
      </c>
      <c r="J245" t="str">
        <f t="shared" si="27"/>
        <v>PL6a",</v>
      </c>
      <c r="K245" t="str">
        <f t="shared" si="27"/>
        <v>Prelimbic area, layer 6a",</v>
      </c>
      <c r="L245" t="str">
        <f t="shared" si="28"/>
        <v>PL6a</v>
      </c>
      <c r="M245" t="str">
        <f t="shared" si="28"/>
        <v>Prelimbic area, layer 6a</v>
      </c>
      <c r="N245" t="s">
        <v>5004</v>
      </c>
      <c r="O245" t="s">
        <v>5005</v>
      </c>
      <c r="Q245" s="6">
        <v>294</v>
      </c>
      <c r="R245" s="6">
        <v>800</v>
      </c>
      <c r="S245" s="6" t="s">
        <v>5091</v>
      </c>
      <c r="T245" s="6" t="s">
        <v>5090</v>
      </c>
      <c r="U245" s="6">
        <v>119</v>
      </c>
      <c r="V245" s="6">
        <v>8</v>
      </c>
      <c r="W245" s="6" t="s">
        <v>7496</v>
      </c>
      <c r="Y245" t="s">
        <v>5004</v>
      </c>
      <c r="Z245" t="s">
        <v>5005</v>
      </c>
      <c r="AA245" s="6">
        <f t="shared" si="29"/>
        <v>84</v>
      </c>
      <c r="AB245">
        <v>47</v>
      </c>
      <c r="AC245">
        <v>168</v>
      </c>
      <c r="AD245">
        <v>80</v>
      </c>
    </row>
    <row r="246" spans="1:30" ht="17" x14ac:dyDescent="0.25">
      <c r="A246" s="1" t="s">
        <v>248</v>
      </c>
      <c r="B246" s="1" t="s">
        <v>2900</v>
      </c>
      <c r="C246" s="1" t="s">
        <v>1575</v>
      </c>
      <c r="D246" t="str">
        <f t="shared" si="30"/>
        <v>2FA84F</v>
      </c>
      <c r="E246" t="str">
        <f t="shared" si="31"/>
        <v>47-168-79</v>
      </c>
      <c r="F246" t="str">
        <f t="shared" si="32"/>
        <v>4716879</v>
      </c>
      <c r="G246">
        <f t="shared" si="33"/>
        <v>47</v>
      </c>
      <c r="H246">
        <f t="shared" si="34"/>
        <v>168</v>
      </c>
      <c r="I246">
        <f t="shared" si="35"/>
        <v>79</v>
      </c>
      <c r="J246" t="str">
        <f t="shared" si="27"/>
        <v>PL6b",</v>
      </c>
      <c r="K246" t="str">
        <f t="shared" si="27"/>
        <v>Prelimbic area, layer 6b",</v>
      </c>
      <c r="L246" t="str">
        <f t="shared" si="28"/>
        <v>PL6b</v>
      </c>
      <c r="M246" t="str">
        <f t="shared" si="28"/>
        <v>Prelimbic area, layer 6b</v>
      </c>
      <c r="N246" t="s">
        <v>5006</v>
      </c>
      <c r="O246" t="s">
        <v>5007</v>
      </c>
      <c r="Q246" s="6">
        <v>295</v>
      </c>
      <c r="R246" s="6">
        <v>675</v>
      </c>
      <c r="S246" s="6" t="s">
        <v>5093</v>
      </c>
      <c r="T246" s="6" t="s">
        <v>5092</v>
      </c>
      <c r="U246" s="6">
        <v>119</v>
      </c>
      <c r="V246" s="6">
        <v>8</v>
      </c>
      <c r="W246" s="6" t="s">
        <v>7497</v>
      </c>
      <c r="Y246" t="s">
        <v>5006</v>
      </c>
      <c r="Z246" t="s">
        <v>5007</v>
      </c>
      <c r="AA246" s="6">
        <f t="shared" si="29"/>
        <v>132</v>
      </c>
      <c r="AB246">
        <v>47</v>
      </c>
      <c r="AC246">
        <v>168</v>
      </c>
      <c r="AD246">
        <v>79</v>
      </c>
    </row>
    <row r="247" spans="1:30" ht="17" x14ac:dyDescent="0.25">
      <c r="A247" s="1" t="s">
        <v>249</v>
      </c>
      <c r="B247" s="1" t="s">
        <v>2901</v>
      </c>
      <c r="C247" s="1" t="s">
        <v>1576</v>
      </c>
      <c r="D247" t="str">
        <f t="shared" si="30"/>
        <v>59B363</v>
      </c>
      <c r="E247" t="str">
        <f t="shared" si="31"/>
        <v>89-179-99</v>
      </c>
      <c r="F247" t="str">
        <f t="shared" si="32"/>
        <v>8917999</v>
      </c>
      <c r="G247">
        <f t="shared" si="33"/>
        <v>89</v>
      </c>
      <c r="H247">
        <f t="shared" si="34"/>
        <v>179</v>
      </c>
      <c r="I247">
        <f t="shared" si="35"/>
        <v>99</v>
      </c>
      <c r="J247" t="str">
        <f t="shared" si="27"/>
        <v>ILA",</v>
      </c>
      <c r="K247" t="str">
        <f t="shared" si="27"/>
        <v>Infralimbic area",</v>
      </c>
      <c r="L247" t="str">
        <f t="shared" si="28"/>
        <v>ILA</v>
      </c>
      <c r="M247" t="str">
        <f t="shared" si="28"/>
        <v>Infralimbic area</v>
      </c>
      <c r="N247" t="s">
        <v>5008</v>
      </c>
      <c r="O247" t="s">
        <v>5009</v>
      </c>
      <c r="Q247" s="6">
        <v>296</v>
      </c>
      <c r="R247" s="6">
        <v>699</v>
      </c>
      <c r="S247" s="6" t="s">
        <v>5095</v>
      </c>
      <c r="T247" s="6" t="s">
        <v>5094</v>
      </c>
      <c r="U247" s="6">
        <v>119</v>
      </c>
      <c r="V247" s="6">
        <v>8</v>
      </c>
      <c r="W247" s="6" t="s">
        <v>7498</v>
      </c>
      <c r="Y247" t="s">
        <v>5008</v>
      </c>
      <c r="Z247" t="s">
        <v>5009</v>
      </c>
      <c r="AA247" s="6">
        <f t="shared" si="29"/>
        <v>44</v>
      </c>
      <c r="AB247">
        <v>89</v>
      </c>
      <c r="AC247">
        <v>179</v>
      </c>
      <c r="AD247">
        <v>99</v>
      </c>
    </row>
    <row r="248" spans="1:30" ht="17" x14ac:dyDescent="0.25">
      <c r="A248" s="1" t="s">
        <v>250</v>
      </c>
      <c r="B248" s="1" t="s">
        <v>2902</v>
      </c>
      <c r="C248" s="1" t="s">
        <v>1577</v>
      </c>
      <c r="D248" t="str">
        <f t="shared" si="30"/>
        <v>59B263</v>
      </c>
      <c r="E248" t="str">
        <f t="shared" si="31"/>
        <v>89-178-99</v>
      </c>
      <c r="F248" t="str">
        <f t="shared" si="32"/>
        <v>8917899</v>
      </c>
      <c r="G248">
        <f t="shared" si="33"/>
        <v>89</v>
      </c>
      <c r="H248">
        <f t="shared" si="34"/>
        <v>178</v>
      </c>
      <c r="I248">
        <f t="shared" si="35"/>
        <v>99</v>
      </c>
      <c r="J248" t="str">
        <f t="shared" si="27"/>
        <v>ILA1",</v>
      </c>
      <c r="K248" t="str">
        <f t="shared" si="27"/>
        <v>Infralimbic area, layer 1",</v>
      </c>
      <c r="L248" t="str">
        <f t="shared" si="28"/>
        <v>ILA1</v>
      </c>
      <c r="M248" t="str">
        <f t="shared" si="28"/>
        <v>Infralimbic area, layer 1</v>
      </c>
      <c r="N248" t="s">
        <v>5010</v>
      </c>
      <c r="O248" t="s">
        <v>5011</v>
      </c>
      <c r="Q248" s="6">
        <v>297</v>
      </c>
      <c r="R248" s="6">
        <v>254</v>
      </c>
      <c r="S248" s="6" t="s">
        <v>5097</v>
      </c>
      <c r="T248" s="6" t="s">
        <v>5096</v>
      </c>
      <c r="U248" s="6">
        <v>315</v>
      </c>
      <c r="V248" s="6">
        <v>6</v>
      </c>
      <c r="W248" s="6" t="s">
        <v>7499</v>
      </c>
      <c r="Y248" t="s">
        <v>5010</v>
      </c>
      <c r="Z248" t="s">
        <v>5011</v>
      </c>
      <c r="AA248" s="6">
        <f t="shared" si="29"/>
        <v>707</v>
      </c>
      <c r="AB248">
        <v>89</v>
      </c>
      <c r="AC248">
        <v>178</v>
      </c>
      <c r="AD248">
        <v>99</v>
      </c>
    </row>
    <row r="249" spans="1:30" ht="17" x14ac:dyDescent="0.25">
      <c r="A249" s="1" t="s">
        <v>251</v>
      </c>
      <c r="B249" s="1" t="s">
        <v>2903</v>
      </c>
      <c r="C249" s="1" t="s">
        <v>1578</v>
      </c>
      <c r="D249" t="str">
        <f t="shared" si="30"/>
        <v>58B363</v>
      </c>
      <c r="E249" t="str">
        <f t="shared" si="31"/>
        <v>88-179-99</v>
      </c>
      <c r="F249" t="str">
        <f t="shared" si="32"/>
        <v>8817999</v>
      </c>
      <c r="G249">
        <f t="shared" si="33"/>
        <v>88</v>
      </c>
      <c r="H249">
        <f t="shared" si="34"/>
        <v>179</v>
      </c>
      <c r="I249">
        <f t="shared" si="35"/>
        <v>99</v>
      </c>
      <c r="J249" t="str">
        <f t="shared" si="27"/>
        <v>ILA2",</v>
      </c>
      <c r="K249" t="str">
        <f t="shared" si="27"/>
        <v>Infralimbic area, layer 2",</v>
      </c>
      <c r="L249" t="str">
        <f t="shared" si="28"/>
        <v>ILA2</v>
      </c>
      <c r="M249" t="str">
        <f t="shared" si="28"/>
        <v>Infralimbic area, layer 2</v>
      </c>
      <c r="N249" t="s">
        <v>5012</v>
      </c>
      <c r="O249" t="s">
        <v>5013</v>
      </c>
      <c r="Q249" s="6">
        <v>298</v>
      </c>
      <c r="R249" s="6">
        <v>894</v>
      </c>
      <c r="S249" s="6" t="s">
        <v>5099</v>
      </c>
      <c r="T249" s="6" t="s">
        <v>5098</v>
      </c>
      <c r="U249" s="6">
        <v>254</v>
      </c>
      <c r="V249" s="6">
        <v>7</v>
      </c>
      <c r="W249" s="6" t="s">
        <v>7500</v>
      </c>
      <c r="Y249" t="s">
        <v>5012</v>
      </c>
      <c r="Z249" t="s">
        <v>5013</v>
      </c>
      <c r="AA249" s="6" t="str">
        <f t="shared" si="29"/>
        <v/>
      </c>
      <c r="AB249">
        <v>88</v>
      </c>
      <c r="AC249">
        <v>179</v>
      </c>
      <c r="AD249">
        <v>99</v>
      </c>
    </row>
    <row r="250" spans="1:30" ht="17" x14ac:dyDescent="0.25">
      <c r="A250" s="1" t="s">
        <v>252</v>
      </c>
      <c r="B250" s="1" t="s">
        <v>2904</v>
      </c>
      <c r="C250" s="1" t="s">
        <v>1579</v>
      </c>
      <c r="D250" t="str">
        <f t="shared" si="30"/>
        <v>59B362</v>
      </c>
      <c r="E250" t="str">
        <f t="shared" si="31"/>
        <v>89-179-98</v>
      </c>
      <c r="F250" t="str">
        <f t="shared" si="32"/>
        <v>8917998</v>
      </c>
      <c r="G250">
        <f t="shared" si="33"/>
        <v>89</v>
      </c>
      <c r="H250">
        <f t="shared" si="34"/>
        <v>179</v>
      </c>
      <c r="I250">
        <f t="shared" si="35"/>
        <v>98</v>
      </c>
      <c r="J250" t="str">
        <f t="shared" si="27"/>
        <v>ILA2\/3",</v>
      </c>
      <c r="K250" t="str">
        <f t="shared" si="27"/>
        <v>Infralimbic area, layer 2\/3",</v>
      </c>
      <c r="L250" t="str">
        <f t="shared" si="28"/>
        <v>ILA2\/3</v>
      </c>
      <c r="M250" t="str">
        <f t="shared" si="28"/>
        <v>Infralimbic area, layer 2\/3</v>
      </c>
      <c r="N250" t="s">
        <v>7147</v>
      </c>
      <c r="O250" t="s">
        <v>7208</v>
      </c>
      <c r="Q250" s="6">
        <v>299</v>
      </c>
      <c r="R250" s="6">
        <v>671</v>
      </c>
      <c r="S250" s="6" t="s">
        <v>5101</v>
      </c>
      <c r="T250" s="6" t="s">
        <v>5100</v>
      </c>
      <c r="U250" s="6">
        <v>894</v>
      </c>
      <c r="V250" s="6">
        <v>8</v>
      </c>
      <c r="W250" s="6" t="s">
        <v>7501</v>
      </c>
      <c r="Y250" t="s">
        <v>7147</v>
      </c>
      <c r="Z250" t="s">
        <v>7208</v>
      </c>
      <c r="AA250" s="6">
        <f t="shared" si="29"/>
        <v>556</v>
      </c>
      <c r="AB250">
        <v>89</v>
      </c>
      <c r="AC250">
        <v>179</v>
      </c>
      <c r="AD250">
        <v>98</v>
      </c>
    </row>
    <row r="251" spans="1:30" ht="17" x14ac:dyDescent="0.25">
      <c r="A251" s="1" t="s">
        <v>253</v>
      </c>
      <c r="B251" s="1" t="s">
        <v>2905</v>
      </c>
      <c r="C251" s="1" t="s">
        <v>1580</v>
      </c>
      <c r="D251" t="str">
        <f t="shared" si="30"/>
        <v>59B262</v>
      </c>
      <c r="E251" t="str">
        <f t="shared" si="31"/>
        <v>89-178-98</v>
      </c>
      <c r="F251" t="str">
        <f t="shared" si="32"/>
        <v>8917898</v>
      </c>
      <c r="G251">
        <f t="shared" si="33"/>
        <v>89</v>
      </c>
      <c r="H251">
        <f t="shared" si="34"/>
        <v>178</v>
      </c>
      <c r="I251">
        <f t="shared" si="35"/>
        <v>98</v>
      </c>
      <c r="J251" t="str">
        <f t="shared" si="27"/>
        <v>ILA5",</v>
      </c>
      <c r="K251" t="str">
        <f t="shared" si="27"/>
        <v>Infralimbic area, layer 5",</v>
      </c>
      <c r="L251" t="str">
        <f t="shared" si="28"/>
        <v>ILA5</v>
      </c>
      <c r="M251" t="str">
        <f t="shared" si="28"/>
        <v>Infralimbic area, layer 5</v>
      </c>
      <c r="N251" t="s">
        <v>5014</v>
      </c>
      <c r="O251" t="s">
        <v>5015</v>
      </c>
      <c r="Q251" s="6">
        <v>300</v>
      </c>
      <c r="R251" s="6">
        <v>965</v>
      </c>
      <c r="S251" s="6" t="s">
        <v>7216</v>
      </c>
      <c r="T251" s="6" t="s">
        <v>7155</v>
      </c>
      <c r="U251" s="6">
        <v>894</v>
      </c>
      <c r="V251" s="6">
        <v>8</v>
      </c>
      <c r="W251" s="6" t="s">
        <v>7502</v>
      </c>
      <c r="Y251" t="s">
        <v>5014</v>
      </c>
      <c r="Z251" t="s">
        <v>5015</v>
      </c>
      <c r="AA251" s="6">
        <f t="shared" si="29"/>
        <v>827</v>
      </c>
      <c r="AB251">
        <v>89</v>
      </c>
      <c r="AC251">
        <v>178</v>
      </c>
      <c r="AD251">
        <v>98</v>
      </c>
    </row>
    <row r="252" spans="1:30" ht="17" x14ac:dyDescent="0.25">
      <c r="A252" s="1" t="s">
        <v>254</v>
      </c>
      <c r="B252" s="1" t="s">
        <v>2906</v>
      </c>
      <c r="C252" s="1" t="s">
        <v>1581</v>
      </c>
      <c r="D252" t="str">
        <f t="shared" si="30"/>
        <v>58B362</v>
      </c>
      <c r="E252" t="str">
        <f t="shared" si="31"/>
        <v>88-179-98</v>
      </c>
      <c r="F252" t="str">
        <f t="shared" si="32"/>
        <v>8817998</v>
      </c>
      <c r="G252">
        <f t="shared" si="33"/>
        <v>88</v>
      </c>
      <c r="H252">
        <f t="shared" si="34"/>
        <v>179</v>
      </c>
      <c r="I252">
        <f t="shared" si="35"/>
        <v>98</v>
      </c>
      <c r="J252" t="str">
        <f t="shared" si="27"/>
        <v>ILA6a",</v>
      </c>
      <c r="K252" t="str">
        <f t="shared" si="27"/>
        <v>Infralimbic area, layer 6a",</v>
      </c>
      <c r="L252" t="str">
        <f t="shared" si="28"/>
        <v>ILA6a</v>
      </c>
      <c r="M252" t="str">
        <f t="shared" si="28"/>
        <v>Infralimbic area, layer 6a</v>
      </c>
      <c r="N252" t="s">
        <v>5016</v>
      </c>
      <c r="O252" t="s">
        <v>5017</v>
      </c>
      <c r="Q252" s="6">
        <v>301</v>
      </c>
      <c r="R252" s="6">
        <v>774</v>
      </c>
      <c r="S252" s="6" t="s">
        <v>5103</v>
      </c>
      <c r="T252" s="6" t="s">
        <v>5102</v>
      </c>
      <c r="U252" s="6">
        <v>894</v>
      </c>
      <c r="V252" s="6">
        <v>8</v>
      </c>
      <c r="W252" s="6" t="s">
        <v>7503</v>
      </c>
      <c r="Y252" t="s">
        <v>5016</v>
      </c>
      <c r="Z252" t="s">
        <v>5017</v>
      </c>
      <c r="AA252" s="6">
        <f t="shared" si="29"/>
        <v>1054</v>
      </c>
      <c r="AB252">
        <v>88</v>
      </c>
      <c r="AC252">
        <v>179</v>
      </c>
      <c r="AD252">
        <v>98</v>
      </c>
    </row>
    <row r="253" spans="1:30" ht="17" x14ac:dyDescent="0.25">
      <c r="A253" s="1" t="s">
        <v>255</v>
      </c>
      <c r="B253" s="1" t="s">
        <v>2907</v>
      </c>
      <c r="C253" s="1" t="s">
        <v>1582</v>
      </c>
      <c r="D253" t="str">
        <f t="shared" si="30"/>
        <v>58B263</v>
      </c>
      <c r="E253" t="str">
        <f t="shared" si="31"/>
        <v>88-178-99</v>
      </c>
      <c r="F253" t="str">
        <f t="shared" si="32"/>
        <v>8817899</v>
      </c>
      <c r="G253">
        <f t="shared" si="33"/>
        <v>88</v>
      </c>
      <c r="H253">
        <f t="shared" si="34"/>
        <v>178</v>
      </c>
      <c r="I253">
        <f t="shared" si="35"/>
        <v>99</v>
      </c>
      <c r="J253" t="str">
        <f t="shared" si="27"/>
        <v>ILA6b",</v>
      </c>
      <c r="K253" t="str">
        <f t="shared" si="27"/>
        <v>Infralimbic area, layer 6b",</v>
      </c>
      <c r="L253" t="str">
        <f t="shared" si="28"/>
        <v>ILA6b</v>
      </c>
      <c r="M253" t="str">
        <f t="shared" si="28"/>
        <v>Infralimbic area, layer 6b</v>
      </c>
      <c r="N253" t="s">
        <v>5018</v>
      </c>
      <c r="O253" t="s">
        <v>5019</v>
      </c>
      <c r="Q253" s="6">
        <v>302</v>
      </c>
      <c r="R253" s="6">
        <v>906</v>
      </c>
      <c r="S253" s="6" t="s">
        <v>5105</v>
      </c>
      <c r="T253" s="6" t="s">
        <v>5104</v>
      </c>
      <c r="U253" s="6">
        <v>894</v>
      </c>
      <c r="V253" s="6">
        <v>8</v>
      </c>
      <c r="W253" s="6" t="s">
        <v>7504</v>
      </c>
      <c r="Y253" t="s">
        <v>5018</v>
      </c>
      <c r="Z253" t="s">
        <v>5019</v>
      </c>
      <c r="AA253" s="6">
        <f t="shared" si="29"/>
        <v>1081</v>
      </c>
      <c r="AB253">
        <v>88</v>
      </c>
      <c r="AC253">
        <v>178</v>
      </c>
      <c r="AD253">
        <v>99</v>
      </c>
    </row>
    <row r="254" spans="1:30" ht="17" x14ac:dyDescent="0.25">
      <c r="A254" s="1" t="s">
        <v>256</v>
      </c>
      <c r="B254" s="1" t="s">
        <v>2908</v>
      </c>
      <c r="C254" s="1" t="s">
        <v>1583</v>
      </c>
      <c r="D254" t="str">
        <f t="shared" si="30"/>
        <v>23895C</v>
      </c>
      <c r="E254" t="str">
        <f t="shared" si="31"/>
        <v>35-137-92</v>
      </c>
      <c r="F254" t="str">
        <f t="shared" si="32"/>
        <v>3513792</v>
      </c>
      <c r="G254">
        <f t="shared" si="33"/>
        <v>35</v>
      </c>
      <c r="H254">
        <f t="shared" si="34"/>
        <v>137</v>
      </c>
      <c r="I254">
        <f t="shared" si="35"/>
        <v>92</v>
      </c>
      <c r="J254" t="str">
        <f t="shared" si="27"/>
        <v>ORB",</v>
      </c>
      <c r="K254" t="str">
        <f t="shared" si="27"/>
        <v>Orbital area",</v>
      </c>
      <c r="L254" t="str">
        <f t="shared" si="28"/>
        <v>ORB</v>
      </c>
      <c r="M254" t="str">
        <f t="shared" si="28"/>
        <v>Orbital area</v>
      </c>
      <c r="N254" t="s">
        <v>5020</v>
      </c>
      <c r="O254" t="s">
        <v>5021</v>
      </c>
      <c r="Q254" s="6">
        <v>303</v>
      </c>
      <c r="R254" s="6">
        <v>279</v>
      </c>
      <c r="S254" s="6" t="s">
        <v>5107</v>
      </c>
      <c r="T254" s="6" t="s">
        <v>5106</v>
      </c>
      <c r="U254" s="6">
        <v>894</v>
      </c>
      <c r="V254" s="6">
        <v>8</v>
      </c>
      <c r="W254" s="6" t="s">
        <v>7505</v>
      </c>
      <c r="Y254" t="s">
        <v>5020</v>
      </c>
      <c r="Z254" t="s">
        <v>5021</v>
      </c>
      <c r="AA254" s="6">
        <f t="shared" si="29"/>
        <v>714</v>
      </c>
      <c r="AB254">
        <v>35</v>
      </c>
      <c r="AC254">
        <v>137</v>
      </c>
      <c r="AD254">
        <v>92</v>
      </c>
    </row>
    <row r="255" spans="1:30" ht="17" x14ac:dyDescent="0.25">
      <c r="A255" s="1" t="s">
        <v>257</v>
      </c>
      <c r="B255" s="1" t="s">
        <v>2909</v>
      </c>
      <c r="C255" s="1" t="s">
        <v>1584</v>
      </c>
      <c r="D255" t="str">
        <f t="shared" si="30"/>
        <v>248A5E</v>
      </c>
      <c r="E255" t="str">
        <f t="shared" si="31"/>
        <v>36-138-94</v>
      </c>
      <c r="F255" t="str">
        <f t="shared" si="32"/>
        <v>3613894</v>
      </c>
      <c r="G255">
        <f t="shared" si="33"/>
        <v>36</v>
      </c>
      <c r="H255">
        <f t="shared" si="34"/>
        <v>138</v>
      </c>
      <c r="I255">
        <f t="shared" si="35"/>
        <v>94</v>
      </c>
      <c r="J255" t="str">
        <f t="shared" si="27"/>
        <v>ORB1",</v>
      </c>
      <c r="K255" t="str">
        <f t="shared" si="27"/>
        <v>Orbital area, layer 1",</v>
      </c>
      <c r="L255" t="str">
        <f t="shared" si="28"/>
        <v>ORB1</v>
      </c>
      <c r="M255" t="str">
        <f t="shared" si="28"/>
        <v>Orbital area, layer 1</v>
      </c>
      <c r="N255" t="s">
        <v>5022</v>
      </c>
      <c r="O255" t="s">
        <v>5023</v>
      </c>
      <c r="Q255" s="6">
        <v>325</v>
      </c>
      <c r="R255" s="6">
        <v>879</v>
      </c>
      <c r="S255" s="6" t="s">
        <v>5145</v>
      </c>
      <c r="T255" s="6" t="s">
        <v>5144</v>
      </c>
      <c r="U255" s="6">
        <v>254</v>
      </c>
      <c r="V255" s="6">
        <v>7</v>
      </c>
      <c r="W255" s="6" t="s">
        <v>7506</v>
      </c>
      <c r="Y255" t="s">
        <v>5022</v>
      </c>
      <c r="Z255" t="s">
        <v>5023</v>
      </c>
      <c r="AA255" s="6" t="str">
        <f t="shared" si="29"/>
        <v/>
      </c>
      <c r="AB255">
        <v>36</v>
      </c>
      <c r="AC255">
        <v>138</v>
      </c>
      <c r="AD255">
        <v>94</v>
      </c>
    </row>
    <row r="256" spans="1:30" ht="17" x14ac:dyDescent="0.25">
      <c r="A256" s="1" t="s">
        <v>258</v>
      </c>
      <c r="B256" s="1" t="s">
        <v>2910</v>
      </c>
      <c r="C256" s="1" t="s">
        <v>1585</v>
      </c>
      <c r="D256" t="str">
        <f t="shared" si="30"/>
        <v>24885E</v>
      </c>
      <c r="E256" t="str">
        <f t="shared" si="31"/>
        <v>36-136-94</v>
      </c>
      <c r="F256" t="str">
        <f t="shared" si="32"/>
        <v>3613694</v>
      </c>
      <c r="G256">
        <f t="shared" si="33"/>
        <v>36</v>
      </c>
      <c r="H256">
        <f t="shared" si="34"/>
        <v>136</v>
      </c>
      <c r="I256">
        <f t="shared" si="35"/>
        <v>94</v>
      </c>
      <c r="J256" t="str">
        <f t="shared" si="27"/>
        <v>ORB2\/3",</v>
      </c>
      <c r="K256" t="str">
        <f t="shared" si="27"/>
        <v>Orbital area, layer 2\/3",</v>
      </c>
      <c r="L256" t="str">
        <f t="shared" si="28"/>
        <v>ORB2\/3</v>
      </c>
      <c r="M256" t="str">
        <f t="shared" si="28"/>
        <v>Orbital area, layer 2\/3</v>
      </c>
      <c r="N256" t="s">
        <v>7148</v>
      </c>
      <c r="O256" t="s">
        <v>7209</v>
      </c>
      <c r="Q256" s="6">
        <v>326</v>
      </c>
      <c r="R256" s="6">
        <v>442</v>
      </c>
      <c r="S256" s="6" t="s">
        <v>5147</v>
      </c>
      <c r="T256" s="6" t="s">
        <v>5146</v>
      </c>
      <c r="U256" s="6">
        <v>879</v>
      </c>
      <c r="V256" s="6">
        <v>8</v>
      </c>
      <c r="W256" s="6" t="s">
        <v>7507</v>
      </c>
      <c r="Y256" t="s">
        <v>7148</v>
      </c>
      <c r="Z256" t="s">
        <v>7209</v>
      </c>
      <c r="AA256" s="6" t="str">
        <f t="shared" si="29"/>
        <v/>
      </c>
      <c r="AB256">
        <v>36</v>
      </c>
      <c r="AC256">
        <v>136</v>
      </c>
      <c r="AD256">
        <v>94</v>
      </c>
    </row>
    <row r="257" spans="1:30" ht="17" x14ac:dyDescent="0.25">
      <c r="A257" s="1" t="s">
        <v>259</v>
      </c>
      <c r="B257" s="1" t="s">
        <v>2911</v>
      </c>
      <c r="C257" s="1" t="s">
        <v>1586</v>
      </c>
      <c r="D257" t="str">
        <f t="shared" si="30"/>
        <v>24895E</v>
      </c>
      <c r="E257" t="str">
        <f t="shared" si="31"/>
        <v>36-137-94</v>
      </c>
      <c r="F257" t="str">
        <f t="shared" si="32"/>
        <v>3613794</v>
      </c>
      <c r="G257">
        <f t="shared" si="33"/>
        <v>36</v>
      </c>
      <c r="H257">
        <f t="shared" si="34"/>
        <v>137</v>
      </c>
      <c r="I257">
        <f t="shared" si="35"/>
        <v>94</v>
      </c>
      <c r="J257" t="str">
        <f t="shared" si="27"/>
        <v>ORB5",</v>
      </c>
      <c r="K257" t="str">
        <f t="shared" si="27"/>
        <v>Orbital area, layer 5",</v>
      </c>
      <c r="L257" t="str">
        <f t="shared" si="28"/>
        <v>ORB5</v>
      </c>
      <c r="M257" t="str">
        <f t="shared" si="28"/>
        <v>Orbital area, layer 5</v>
      </c>
      <c r="N257" t="s">
        <v>5024</v>
      </c>
      <c r="O257" t="s">
        <v>5025</v>
      </c>
      <c r="Q257" s="6">
        <v>327</v>
      </c>
      <c r="R257" s="6">
        <v>434</v>
      </c>
      <c r="S257" s="6" t="s">
        <v>7220</v>
      </c>
      <c r="T257" s="6" t="s">
        <v>7159</v>
      </c>
      <c r="U257" s="6">
        <v>879</v>
      </c>
      <c r="V257" s="6">
        <v>8</v>
      </c>
      <c r="W257" s="6" t="s">
        <v>7508</v>
      </c>
      <c r="Y257" t="s">
        <v>5024</v>
      </c>
      <c r="Z257" t="s">
        <v>5025</v>
      </c>
      <c r="AA257" s="6" t="str">
        <f t="shared" si="29"/>
        <v/>
      </c>
      <c r="AB257">
        <v>36</v>
      </c>
      <c r="AC257">
        <v>137</v>
      </c>
      <c r="AD257">
        <v>94</v>
      </c>
    </row>
    <row r="258" spans="1:30" ht="17" x14ac:dyDescent="0.25">
      <c r="A258" s="1" t="s">
        <v>260</v>
      </c>
      <c r="B258" s="1" t="s">
        <v>2912</v>
      </c>
      <c r="C258" s="1" t="s">
        <v>1587</v>
      </c>
      <c r="D258" t="str">
        <f t="shared" si="30"/>
        <v>23895E</v>
      </c>
      <c r="E258" t="str">
        <f t="shared" si="31"/>
        <v>35-137-94</v>
      </c>
      <c r="F258" t="str">
        <f t="shared" si="32"/>
        <v>3513794</v>
      </c>
      <c r="G258">
        <f t="shared" si="33"/>
        <v>35</v>
      </c>
      <c r="H258">
        <f t="shared" si="34"/>
        <v>137</v>
      </c>
      <c r="I258">
        <f t="shared" si="35"/>
        <v>94</v>
      </c>
      <c r="J258" t="str">
        <f t="shared" si="27"/>
        <v>ORB6a",</v>
      </c>
      <c r="K258" t="str">
        <f t="shared" si="27"/>
        <v>Orbital area, layer 6a",</v>
      </c>
      <c r="L258" t="str">
        <f t="shared" si="28"/>
        <v>ORB6a</v>
      </c>
      <c r="M258" t="str">
        <f t="shared" si="28"/>
        <v>Orbital area, layer 6a</v>
      </c>
      <c r="N258" t="s">
        <v>5026</v>
      </c>
      <c r="O258" t="s">
        <v>5027</v>
      </c>
      <c r="Q258" s="6">
        <v>329</v>
      </c>
      <c r="R258" s="6">
        <v>610</v>
      </c>
      <c r="S258" s="6" t="s">
        <v>5151</v>
      </c>
      <c r="T258" s="6" t="s">
        <v>5150</v>
      </c>
      <c r="U258" s="6">
        <v>879</v>
      </c>
      <c r="V258" s="6">
        <v>8</v>
      </c>
      <c r="W258" s="6" t="s">
        <v>7509</v>
      </c>
      <c r="Y258" t="s">
        <v>5026</v>
      </c>
      <c r="Z258" t="s">
        <v>5027</v>
      </c>
      <c r="AA258" s="6" t="str">
        <f t="shared" si="29"/>
        <v/>
      </c>
      <c r="AB258">
        <v>35</v>
      </c>
      <c r="AC258">
        <v>137</v>
      </c>
      <c r="AD258">
        <v>94</v>
      </c>
    </row>
    <row r="259" spans="1:30" ht="17" x14ac:dyDescent="0.25">
      <c r="A259" s="1" t="s">
        <v>261</v>
      </c>
      <c r="B259" s="1" t="s">
        <v>2913</v>
      </c>
      <c r="C259" s="1" t="s">
        <v>1588</v>
      </c>
      <c r="D259" t="str">
        <f t="shared" si="30"/>
        <v>228A5E</v>
      </c>
      <c r="E259" t="str">
        <f t="shared" si="31"/>
        <v>34-138-94</v>
      </c>
      <c r="F259" t="str">
        <f t="shared" si="32"/>
        <v>3413894</v>
      </c>
      <c r="G259">
        <f t="shared" si="33"/>
        <v>34</v>
      </c>
      <c r="H259">
        <f t="shared" si="34"/>
        <v>138</v>
      </c>
      <c r="I259">
        <f t="shared" si="35"/>
        <v>94</v>
      </c>
      <c r="J259" t="str">
        <f t="shared" ref="J259:K322" si="36">RIGHT(A259,LEN(A259)-3)</f>
        <v>ORB6b",</v>
      </c>
      <c r="K259" t="str">
        <f t="shared" si="36"/>
        <v>Orbital area, layer 6b",</v>
      </c>
      <c r="L259" t="str">
        <f t="shared" ref="L259:M322" si="37">LEFT(J259,LEN(J259)-2)</f>
        <v>ORB6b</v>
      </c>
      <c r="M259" t="str">
        <f t="shared" si="37"/>
        <v>Orbital area, layer 6b</v>
      </c>
      <c r="N259" t="s">
        <v>5028</v>
      </c>
      <c r="O259" t="s">
        <v>5029</v>
      </c>
      <c r="Q259" s="6">
        <v>330</v>
      </c>
      <c r="R259" s="6">
        <v>274</v>
      </c>
      <c r="S259" s="6" t="s">
        <v>5153</v>
      </c>
      <c r="T259" s="6" t="s">
        <v>5152</v>
      </c>
      <c r="U259" s="6">
        <v>879</v>
      </c>
      <c r="V259" s="6">
        <v>8</v>
      </c>
      <c r="W259" s="6" t="s">
        <v>7510</v>
      </c>
      <c r="Y259" t="s">
        <v>5028</v>
      </c>
      <c r="Z259" t="s">
        <v>5029</v>
      </c>
      <c r="AA259" s="6" t="str">
        <f t="shared" ref="AA259:AA322" si="38">IFERROR(INDEX(R:R,MATCH($Z259,S:S,0)),"")</f>
        <v/>
      </c>
      <c r="AB259">
        <v>34</v>
      </c>
      <c r="AC259">
        <v>138</v>
      </c>
      <c r="AD259">
        <v>94</v>
      </c>
    </row>
    <row r="260" spans="1:30" ht="17" x14ac:dyDescent="0.25">
      <c r="A260" s="1" t="s">
        <v>262</v>
      </c>
      <c r="B260" s="1" t="s">
        <v>2914</v>
      </c>
      <c r="C260" s="1" t="s">
        <v>1589</v>
      </c>
      <c r="D260" t="str">
        <f t="shared" ref="D260:D323" si="39">RIGHT(LEFT(C260,9),6)</f>
        <v>23885D</v>
      </c>
      <c r="E260" t="str">
        <f t="shared" ref="E260:E323" si="40">HEX2DEC(LEFT(D260,2))&amp;"-"&amp;HEX2DEC(MID(D260,3,2))&amp;"-"&amp;HEX2DEC(RIGHT(D260,2))</f>
        <v>35-136-93</v>
      </c>
      <c r="F260" t="str">
        <f t="shared" ref="F260:F323" si="41">HEX2DEC(LEFT(D260,2))&amp;HEX2DEC(MID(D260,3,2))&amp;HEX2DEC(RIGHT(D260,2))</f>
        <v>3513693</v>
      </c>
      <c r="G260">
        <f t="shared" ref="G260:G323" si="42">HEX2DEC(LEFT(D260,2))</f>
        <v>35</v>
      </c>
      <c r="H260">
        <f t="shared" ref="H260:H323" si="43">HEX2DEC(MID(D260,3,2))</f>
        <v>136</v>
      </c>
      <c r="I260">
        <f t="shared" ref="I260:I323" si="44">HEX2DEC(RIGHT(D260,2))</f>
        <v>93</v>
      </c>
      <c r="J260" t="str">
        <f t="shared" si="36"/>
        <v>ORBl",</v>
      </c>
      <c r="K260" t="str">
        <f t="shared" si="36"/>
        <v>Orbital area, lateral part",</v>
      </c>
      <c r="L260" t="str">
        <f t="shared" si="37"/>
        <v>ORBl</v>
      </c>
      <c r="M260" t="str">
        <f t="shared" si="37"/>
        <v>Orbital area, lateral part</v>
      </c>
      <c r="N260" t="s">
        <v>5030</v>
      </c>
      <c r="O260" t="s">
        <v>5031</v>
      </c>
      <c r="Q260" s="6">
        <v>331</v>
      </c>
      <c r="R260" s="6">
        <v>330</v>
      </c>
      <c r="S260" s="6" t="s">
        <v>5155</v>
      </c>
      <c r="T260" s="6" t="s">
        <v>5154</v>
      </c>
      <c r="U260" s="6">
        <v>879</v>
      </c>
      <c r="V260" s="6">
        <v>8</v>
      </c>
      <c r="W260" s="6" t="s">
        <v>7511</v>
      </c>
      <c r="Y260" t="s">
        <v>5030</v>
      </c>
      <c r="Z260" t="s">
        <v>5031</v>
      </c>
      <c r="AA260" s="6">
        <f t="shared" si="38"/>
        <v>723</v>
      </c>
      <c r="AB260">
        <v>35</v>
      </c>
      <c r="AC260">
        <v>136</v>
      </c>
      <c r="AD260">
        <v>93</v>
      </c>
    </row>
    <row r="261" spans="1:30" ht="17" x14ac:dyDescent="0.25">
      <c r="A261" s="1" t="s">
        <v>263</v>
      </c>
      <c r="B261" s="1" t="s">
        <v>2915</v>
      </c>
      <c r="C261" s="1" t="s">
        <v>1590</v>
      </c>
      <c r="D261" t="str">
        <f t="shared" si="39"/>
        <v>238A5D</v>
      </c>
      <c r="E261" t="str">
        <f t="shared" si="40"/>
        <v>35-138-93</v>
      </c>
      <c r="F261" t="str">
        <f t="shared" si="41"/>
        <v>3513893</v>
      </c>
      <c r="G261">
        <f t="shared" si="42"/>
        <v>35</v>
      </c>
      <c r="H261">
        <f t="shared" si="43"/>
        <v>138</v>
      </c>
      <c r="I261">
        <f t="shared" si="44"/>
        <v>93</v>
      </c>
      <c r="J261" t="str">
        <f t="shared" si="36"/>
        <v>ORBl1",</v>
      </c>
      <c r="K261" t="str">
        <f t="shared" si="36"/>
        <v>Orbital area, lateral part, layer 1",</v>
      </c>
      <c r="L261" t="str">
        <f t="shared" si="37"/>
        <v>ORBl1</v>
      </c>
      <c r="M261" t="str">
        <f t="shared" si="37"/>
        <v>Orbital area, lateral part, layer 1</v>
      </c>
      <c r="N261" t="s">
        <v>5032</v>
      </c>
      <c r="O261" t="s">
        <v>5033</v>
      </c>
      <c r="Q261" s="6">
        <v>332</v>
      </c>
      <c r="R261" s="6">
        <v>886</v>
      </c>
      <c r="S261" s="6" t="s">
        <v>5157</v>
      </c>
      <c r="T261" s="6" t="s">
        <v>5156</v>
      </c>
      <c r="U261" s="6">
        <v>254</v>
      </c>
      <c r="V261" s="6">
        <v>7</v>
      </c>
      <c r="W261" s="6" t="s">
        <v>7512</v>
      </c>
      <c r="Y261" t="s">
        <v>5032</v>
      </c>
      <c r="Z261" t="s">
        <v>5033</v>
      </c>
      <c r="AA261" s="6">
        <f t="shared" si="38"/>
        <v>448</v>
      </c>
      <c r="AB261">
        <v>35</v>
      </c>
      <c r="AC261">
        <v>138</v>
      </c>
      <c r="AD261">
        <v>93</v>
      </c>
    </row>
    <row r="262" spans="1:30" ht="17" x14ac:dyDescent="0.25">
      <c r="A262" s="1" t="s">
        <v>264</v>
      </c>
      <c r="B262" s="1" t="s">
        <v>2916</v>
      </c>
      <c r="C262" s="1" t="s">
        <v>1591</v>
      </c>
      <c r="D262" t="str">
        <f t="shared" si="39"/>
        <v>238A5E</v>
      </c>
      <c r="E262" t="str">
        <f t="shared" si="40"/>
        <v>35-138-94</v>
      </c>
      <c r="F262" t="str">
        <f t="shared" si="41"/>
        <v>3513894</v>
      </c>
      <c r="G262">
        <f t="shared" si="42"/>
        <v>35</v>
      </c>
      <c r="H262">
        <f t="shared" si="43"/>
        <v>138</v>
      </c>
      <c r="I262">
        <f t="shared" si="44"/>
        <v>94</v>
      </c>
      <c r="J262" t="str">
        <f t="shared" si="36"/>
        <v>ORBl2\/3",</v>
      </c>
      <c r="K262" t="str">
        <f t="shared" si="36"/>
        <v>Orbital area, lateral part, layer 2\/3",</v>
      </c>
      <c r="L262" t="str">
        <f t="shared" si="37"/>
        <v>ORBl2\/3</v>
      </c>
      <c r="M262" t="str">
        <f t="shared" si="37"/>
        <v>Orbital area, lateral part, layer 2\/3</v>
      </c>
      <c r="N262" t="s">
        <v>7149</v>
      </c>
      <c r="O262" t="s">
        <v>7210</v>
      </c>
      <c r="Q262" s="6">
        <v>333</v>
      </c>
      <c r="R262" s="6">
        <v>542</v>
      </c>
      <c r="S262" s="6" t="s">
        <v>5159</v>
      </c>
      <c r="T262" s="6" t="s">
        <v>5158</v>
      </c>
      <c r="U262" s="6">
        <v>886</v>
      </c>
      <c r="V262" s="6">
        <v>8</v>
      </c>
      <c r="W262" s="6" t="s">
        <v>7513</v>
      </c>
      <c r="Y262" t="s">
        <v>7149</v>
      </c>
      <c r="Z262" t="s">
        <v>7210</v>
      </c>
      <c r="AA262" s="6">
        <f t="shared" si="38"/>
        <v>412</v>
      </c>
      <c r="AB262">
        <v>35</v>
      </c>
      <c r="AC262">
        <v>138</v>
      </c>
      <c r="AD262">
        <v>94</v>
      </c>
    </row>
    <row r="263" spans="1:30" ht="17" x14ac:dyDescent="0.25">
      <c r="A263" s="1" t="s">
        <v>265</v>
      </c>
      <c r="B263" s="1" t="s">
        <v>2917</v>
      </c>
      <c r="C263" s="1" t="s">
        <v>1592</v>
      </c>
      <c r="D263" t="str">
        <f t="shared" si="39"/>
        <v>228A5D</v>
      </c>
      <c r="E263" t="str">
        <f t="shared" si="40"/>
        <v>34-138-93</v>
      </c>
      <c r="F263" t="str">
        <f t="shared" si="41"/>
        <v>3413893</v>
      </c>
      <c r="G263">
        <f t="shared" si="42"/>
        <v>34</v>
      </c>
      <c r="H263">
        <f t="shared" si="43"/>
        <v>138</v>
      </c>
      <c r="I263">
        <f t="shared" si="44"/>
        <v>93</v>
      </c>
      <c r="J263" t="str">
        <f t="shared" si="36"/>
        <v>ORBl5",</v>
      </c>
      <c r="K263" t="str">
        <f t="shared" si="36"/>
        <v>Orbital area, lateral part, layer 5",</v>
      </c>
      <c r="L263" t="str">
        <f t="shared" si="37"/>
        <v>ORBl5</v>
      </c>
      <c r="M263" t="str">
        <f t="shared" si="37"/>
        <v>Orbital area, lateral part, layer 5</v>
      </c>
      <c r="N263" t="s">
        <v>5034</v>
      </c>
      <c r="O263" t="s">
        <v>5035</v>
      </c>
      <c r="Q263" s="6">
        <v>335</v>
      </c>
      <c r="R263" s="6">
        <v>430</v>
      </c>
      <c r="S263" s="6" t="s">
        <v>7221</v>
      </c>
      <c r="T263" s="6" t="s">
        <v>7160</v>
      </c>
      <c r="U263" s="6">
        <v>886</v>
      </c>
      <c r="V263" s="6">
        <v>8</v>
      </c>
      <c r="W263" s="6" t="s">
        <v>7514</v>
      </c>
      <c r="Y263" t="s">
        <v>5034</v>
      </c>
      <c r="Z263" t="s">
        <v>5035</v>
      </c>
      <c r="AA263" s="6">
        <f t="shared" si="38"/>
        <v>630</v>
      </c>
      <c r="AB263">
        <v>34</v>
      </c>
      <c r="AC263">
        <v>138</v>
      </c>
      <c r="AD263">
        <v>93</v>
      </c>
    </row>
    <row r="264" spans="1:30" ht="17" x14ac:dyDescent="0.25">
      <c r="A264" s="1" t="s">
        <v>266</v>
      </c>
      <c r="B264" s="1" t="s">
        <v>2918</v>
      </c>
      <c r="C264" s="1" t="s">
        <v>1593</v>
      </c>
      <c r="D264" t="str">
        <f t="shared" si="39"/>
        <v>24895D</v>
      </c>
      <c r="E264" t="str">
        <f t="shared" si="40"/>
        <v>36-137-93</v>
      </c>
      <c r="F264" t="str">
        <f t="shared" si="41"/>
        <v>3613793</v>
      </c>
      <c r="G264">
        <f t="shared" si="42"/>
        <v>36</v>
      </c>
      <c r="H264">
        <f t="shared" si="43"/>
        <v>137</v>
      </c>
      <c r="I264">
        <f t="shared" si="44"/>
        <v>93</v>
      </c>
      <c r="J264" t="str">
        <f t="shared" si="36"/>
        <v>ORBl6a",</v>
      </c>
      <c r="K264" t="str">
        <f t="shared" si="36"/>
        <v>Orbital area, lateral part, layer 6a",</v>
      </c>
      <c r="L264" t="str">
        <f t="shared" si="37"/>
        <v>ORBl6a</v>
      </c>
      <c r="M264" t="str">
        <f t="shared" si="37"/>
        <v>Orbital area, lateral part, layer 6a</v>
      </c>
      <c r="N264" t="s">
        <v>5036</v>
      </c>
      <c r="O264" t="s">
        <v>5037</v>
      </c>
      <c r="Q264" s="6">
        <v>336</v>
      </c>
      <c r="R264" s="6">
        <v>687</v>
      </c>
      <c r="S264" s="6" t="s">
        <v>5163</v>
      </c>
      <c r="T264" s="6" t="s">
        <v>5162</v>
      </c>
      <c r="U264" s="6">
        <v>886</v>
      </c>
      <c r="V264" s="6">
        <v>8</v>
      </c>
      <c r="W264" s="6" t="s">
        <v>7515</v>
      </c>
      <c r="Y264" t="s">
        <v>5036</v>
      </c>
      <c r="Z264" t="s">
        <v>5037</v>
      </c>
      <c r="AA264" s="6">
        <f t="shared" si="38"/>
        <v>440</v>
      </c>
      <c r="AB264">
        <v>36</v>
      </c>
      <c r="AC264">
        <v>137</v>
      </c>
      <c r="AD264">
        <v>93</v>
      </c>
    </row>
    <row r="265" spans="1:30" ht="17" x14ac:dyDescent="0.25">
      <c r="A265" s="1" t="s">
        <v>267</v>
      </c>
      <c r="B265" s="1" t="s">
        <v>2919</v>
      </c>
      <c r="C265" s="1" t="s">
        <v>1594</v>
      </c>
      <c r="D265" t="str">
        <f t="shared" si="39"/>
        <v>248A5C</v>
      </c>
      <c r="E265" t="str">
        <f t="shared" si="40"/>
        <v>36-138-92</v>
      </c>
      <c r="F265" t="str">
        <f t="shared" si="41"/>
        <v>3613892</v>
      </c>
      <c r="G265">
        <f t="shared" si="42"/>
        <v>36</v>
      </c>
      <c r="H265">
        <f t="shared" si="43"/>
        <v>138</v>
      </c>
      <c r="I265">
        <f t="shared" si="44"/>
        <v>92</v>
      </c>
      <c r="J265" t="str">
        <f t="shared" si="36"/>
        <v>ORBl6b",</v>
      </c>
      <c r="K265" t="str">
        <f t="shared" si="36"/>
        <v>Orbital area, lateral part, layer 6b",</v>
      </c>
      <c r="L265" t="str">
        <f t="shared" si="37"/>
        <v>ORBl6b</v>
      </c>
      <c r="M265" t="str">
        <f t="shared" si="37"/>
        <v>Orbital area, lateral part, layer 6b</v>
      </c>
      <c r="N265" t="s">
        <v>5038</v>
      </c>
      <c r="O265" t="s">
        <v>5039</v>
      </c>
      <c r="Q265" s="6">
        <v>337</v>
      </c>
      <c r="R265" s="6">
        <v>590</v>
      </c>
      <c r="S265" s="6" t="s">
        <v>5165</v>
      </c>
      <c r="T265" s="6" t="s">
        <v>5164</v>
      </c>
      <c r="U265" s="6">
        <v>886</v>
      </c>
      <c r="V265" s="6">
        <v>8</v>
      </c>
      <c r="W265" s="6" t="s">
        <v>7516</v>
      </c>
      <c r="Y265" t="s">
        <v>5038</v>
      </c>
      <c r="Z265" t="s">
        <v>5039</v>
      </c>
      <c r="AA265" s="6">
        <f t="shared" si="38"/>
        <v>488</v>
      </c>
      <c r="AB265">
        <v>36</v>
      </c>
      <c r="AC265">
        <v>138</v>
      </c>
      <c r="AD265">
        <v>92</v>
      </c>
    </row>
    <row r="266" spans="1:30" ht="17" x14ac:dyDescent="0.25">
      <c r="A266" s="1" t="s">
        <v>268</v>
      </c>
      <c r="B266" s="1" t="s">
        <v>2920</v>
      </c>
      <c r="C266" s="1" t="s">
        <v>1595</v>
      </c>
      <c r="D266" t="str">
        <f t="shared" si="39"/>
        <v>22895D</v>
      </c>
      <c r="E266" t="str">
        <f t="shared" si="40"/>
        <v>34-137-93</v>
      </c>
      <c r="F266" t="str">
        <f t="shared" si="41"/>
        <v>3413793</v>
      </c>
      <c r="G266">
        <f t="shared" si="42"/>
        <v>34</v>
      </c>
      <c r="H266">
        <f t="shared" si="43"/>
        <v>137</v>
      </c>
      <c r="I266">
        <f t="shared" si="44"/>
        <v>93</v>
      </c>
      <c r="J266" t="str">
        <f t="shared" si="36"/>
        <v>ORBm",</v>
      </c>
      <c r="K266" t="str">
        <f t="shared" si="36"/>
        <v>Orbital area, medial part",</v>
      </c>
      <c r="L266" t="str">
        <f t="shared" si="37"/>
        <v>ORBm</v>
      </c>
      <c r="M266" t="str">
        <f t="shared" si="37"/>
        <v>Orbital area, medial part</v>
      </c>
      <c r="N266" t="s">
        <v>5040</v>
      </c>
      <c r="O266" t="s">
        <v>5041</v>
      </c>
      <c r="Q266" s="6">
        <v>338</v>
      </c>
      <c r="R266" s="6">
        <v>622</v>
      </c>
      <c r="S266" s="6" t="s">
        <v>5167</v>
      </c>
      <c r="T266" s="6" t="s">
        <v>5166</v>
      </c>
      <c r="U266" s="6">
        <v>886</v>
      </c>
      <c r="V266" s="6">
        <v>8</v>
      </c>
      <c r="W266" s="6" t="s">
        <v>7517</v>
      </c>
      <c r="Y266" t="s">
        <v>5040</v>
      </c>
      <c r="Z266" t="s">
        <v>5041</v>
      </c>
      <c r="AA266" s="6">
        <f t="shared" si="38"/>
        <v>731</v>
      </c>
      <c r="AB266">
        <v>34</v>
      </c>
      <c r="AC266">
        <v>137</v>
      </c>
      <c r="AD266">
        <v>93</v>
      </c>
    </row>
    <row r="267" spans="1:30" ht="17" x14ac:dyDescent="0.25">
      <c r="A267" s="1" t="s">
        <v>269</v>
      </c>
      <c r="B267" s="1" t="s">
        <v>2921</v>
      </c>
      <c r="C267" s="1" t="s">
        <v>1596</v>
      </c>
      <c r="D267" t="str">
        <f t="shared" si="39"/>
        <v>23895D</v>
      </c>
      <c r="E267" t="str">
        <f t="shared" si="40"/>
        <v>35-137-93</v>
      </c>
      <c r="F267" t="str">
        <f t="shared" si="41"/>
        <v>3513793</v>
      </c>
      <c r="G267">
        <f t="shared" si="42"/>
        <v>35</v>
      </c>
      <c r="H267">
        <f t="shared" si="43"/>
        <v>137</v>
      </c>
      <c r="I267">
        <f t="shared" si="44"/>
        <v>93</v>
      </c>
      <c r="J267" t="str">
        <f t="shared" si="36"/>
        <v>ORBm1",</v>
      </c>
      <c r="K267" t="str">
        <f t="shared" si="36"/>
        <v>Orbital area, medial part, layer 1",</v>
      </c>
      <c r="L267" t="str">
        <f t="shared" si="37"/>
        <v>ORBm1</v>
      </c>
      <c r="M267" t="str">
        <f t="shared" si="37"/>
        <v>Orbital area, medial part, layer 1</v>
      </c>
      <c r="N267" t="s">
        <v>5042</v>
      </c>
      <c r="O267" t="s">
        <v>5043</v>
      </c>
      <c r="Q267" s="6">
        <v>339</v>
      </c>
      <c r="R267" s="6">
        <v>22</v>
      </c>
      <c r="S267" s="6" t="s">
        <v>5169</v>
      </c>
      <c r="T267" s="6" t="s">
        <v>5168</v>
      </c>
      <c r="U267" s="6">
        <v>315</v>
      </c>
      <c r="V267" s="6">
        <v>6</v>
      </c>
      <c r="W267" s="6" t="s">
        <v>7518</v>
      </c>
      <c r="Y267" t="s">
        <v>5042</v>
      </c>
      <c r="Z267" t="s">
        <v>5043</v>
      </c>
      <c r="AA267" s="6">
        <f t="shared" si="38"/>
        <v>484</v>
      </c>
      <c r="AB267">
        <v>35</v>
      </c>
      <c r="AC267">
        <v>137</v>
      </c>
      <c r="AD267">
        <v>93</v>
      </c>
    </row>
    <row r="268" spans="1:30" ht="17" x14ac:dyDescent="0.25">
      <c r="A268" s="1" t="s">
        <v>270</v>
      </c>
      <c r="B268" s="1" t="s">
        <v>2922</v>
      </c>
      <c r="C268" s="1" t="s">
        <v>1597</v>
      </c>
      <c r="D268" t="str">
        <f t="shared" si="39"/>
        <v>24895C</v>
      </c>
      <c r="E268" t="str">
        <f t="shared" si="40"/>
        <v>36-137-92</v>
      </c>
      <c r="F268" t="str">
        <f t="shared" si="41"/>
        <v>3613792</v>
      </c>
      <c r="G268">
        <f t="shared" si="42"/>
        <v>36</v>
      </c>
      <c r="H268">
        <f t="shared" si="43"/>
        <v>137</v>
      </c>
      <c r="I268">
        <f t="shared" si="44"/>
        <v>92</v>
      </c>
      <c r="J268" t="str">
        <f t="shared" si="36"/>
        <v>ORBm2",</v>
      </c>
      <c r="K268" t="str">
        <f t="shared" si="36"/>
        <v>Orbital area, medial part, layer 2",</v>
      </c>
      <c r="L268" t="str">
        <f t="shared" si="37"/>
        <v>ORBm2</v>
      </c>
      <c r="M268" t="str">
        <f t="shared" si="37"/>
        <v>Orbital area, medial part, layer 2</v>
      </c>
      <c r="N268" t="s">
        <v>5044</v>
      </c>
      <c r="O268" t="s">
        <v>5045</v>
      </c>
      <c r="Q268" s="6">
        <v>346</v>
      </c>
      <c r="R268" s="6">
        <v>312782546</v>
      </c>
      <c r="S268" s="6" t="s">
        <v>5181</v>
      </c>
      <c r="T268" s="6" t="s">
        <v>5180</v>
      </c>
      <c r="U268" s="6">
        <v>22</v>
      </c>
      <c r="V268" s="6">
        <v>7</v>
      </c>
      <c r="W268" s="6" t="s">
        <v>7519</v>
      </c>
      <c r="Y268" t="s">
        <v>5044</v>
      </c>
      <c r="Z268" t="s">
        <v>5045</v>
      </c>
      <c r="AA268" s="6" t="str">
        <f t="shared" si="38"/>
        <v/>
      </c>
      <c r="AB268">
        <v>36</v>
      </c>
      <c r="AC268">
        <v>137</v>
      </c>
      <c r="AD268">
        <v>92</v>
      </c>
    </row>
    <row r="269" spans="1:30" ht="17" x14ac:dyDescent="0.25">
      <c r="A269" s="1" t="s">
        <v>271</v>
      </c>
      <c r="B269" s="1" t="s">
        <v>2923</v>
      </c>
      <c r="C269" s="1" t="s">
        <v>1598</v>
      </c>
      <c r="D269" t="str">
        <f t="shared" si="39"/>
        <v>24885D</v>
      </c>
      <c r="E269" t="str">
        <f t="shared" si="40"/>
        <v>36-136-93</v>
      </c>
      <c r="F269" t="str">
        <f t="shared" si="41"/>
        <v>3613693</v>
      </c>
      <c r="G269">
        <f t="shared" si="42"/>
        <v>36</v>
      </c>
      <c r="H269">
        <f t="shared" si="43"/>
        <v>136</v>
      </c>
      <c r="I269">
        <f t="shared" si="44"/>
        <v>93</v>
      </c>
      <c r="J269" t="str">
        <f t="shared" si="36"/>
        <v>ORBm2\/3",</v>
      </c>
      <c r="K269" t="str">
        <f t="shared" si="36"/>
        <v>Orbital area, medial part, layer 2\/3",</v>
      </c>
      <c r="L269" t="str">
        <f t="shared" si="37"/>
        <v>ORBm2\/3</v>
      </c>
      <c r="M269" t="str">
        <f t="shared" si="37"/>
        <v>Orbital area, medial part, layer 2\/3</v>
      </c>
      <c r="N269" t="s">
        <v>7150</v>
      </c>
      <c r="O269" t="s">
        <v>7211</v>
      </c>
      <c r="Q269" s="6">
        <v>347</v>
      </c>
      <c r="R269" s="6">
        <v>312782550</v>
      </c>
      <c r="S269" s="6" t="s">
        <v>5183</v>
      </c>
      <c r="T269" s="6" t="s">
        <v>5182</v>
      </c>
      <c r="U269" s="6">
        <v>312782546</v>
      </c>
      <c r="V269" s="6">
        <v>8</v>
      </c>
      <c r="W269" s="6" t="s">
        <v>7520</v>
      </c>
      <c r="Y269" t="s">
        <v>7150</v>
      </c>
      <c r="Z269" t="s">
        <v>7211</v>
      </c>
      <c r="AA269" s="6">
        <f t="shared" si="38"/>
        <v>582</v>
      </c>
      <c r="AB269">
        <v>36</v>
      </c>
      <c r="AC269">
        <v>136</v>
      </c>
      <c r="AD269">
        <v>93</v>
      </c>
    </row>
    <row r="270" spans="1:30" ht="17" x14ac:dyDescent="0.25">
      <c r="A270" s="1" t="s">
        <v>272</v>
      </c>
      <c r="B270" s="1" t="s">
        <v>2924</v>
      </c>
      <c r="C270" s="1" t="s">
        <v>1599</v>
      </c>
      <c r="D270" t="str">
        <f t="shared" si="39"/>
        <v>23885E</v>
      </c>
      <c r="E270" t="str">
        <f t="shared" si="40"/>
        <v>35-136-94</v>
      </c>
      <c r="F270" t="str">
        <f t="shared" si="41"/>
        <v>3513694</v>
      </c>
      <c r="G270">
        <f t="shared" si="42"/>
        <v>35</v>
      </c>
      <c r="H270">
        <f t="shared" si="43"/>
        <v>136</v>
      </c>
      <c r="I270">
        <f t="shared" si="44"/>
        <v>94</v>
      </c>
      <c r="J270" t="str">
        <f t="shared" si="36"/>
        <v>ORBm5",</v>
      </c>
      <c r="K270" t="str">
        <f t="shared" si="36"/>
        <v>Orbital area, medial part, layer 5",</v>
      </c>
      <c r="L270" t="str">
        <f t="shared" si="37"/>
        <v>ORBm5</v>
      </c>
      <c r="M270" t="str">
        <f t="shared" si="37"/>
        <v>Orbital area, medial part, layer 5</v>
      </c>
      <c r="N270" t="s">
        <v>5046</v>
      </c>
      <c r="O270" t="s">
        <v>5047</v>
      </c>
      <c r="Q270" s="6">
        <v>348</v>
      </c>
      <c r="R270" s="6">
        <v>312782554</v>
      </c>
      <c r="S270" s="6" t="s">
        <v>7223</v>
      </c>
      <c r="T270" s="6" t="s">
        <v>7162</v>
      </c>
      <c r="U270" s="6">
        <v>312782546</v>
      </c>
      <c r="V270" s="6">
        <v>8</v>
      </c>
      <c r="W270" s="6" t="s">
        <v>7521</v>
      </c>
      <c r="Y270" t="s">
        <v>5046</v>
      </c>
      <c r="Z270" t="s">
        <v>5047</v>
      </c>
      <c r="AA270" s="6">
        <f t="shared" si="38"/>
        <v>620</v>
      </c>
      <c r="AB270">
        <v>35</v>
      </c>
      <c r="AC270">
        <v>136</v>
      </c>
      <c r="AD270">
        <v>94</v>
      </c>
    </row>
    <row r="271" spans="1:30" ht="17" x14ac:dyDescent="0.25">
      <c r="A271" s="1" t="s">
        <v>273</v>
      </c>
      <c r="B271" s="1" t="s">
        <v>2925</v>
      </c>
      <c r="C271" s="1" t="s">
        <v>1600</v>
      </c>
      <c r="D271" t="str">
        <f t="shared" si="39"/>
        <v>22885E</v>
      </c>
      <c r="E271" t="str">
        <f t="shared" si="40"/>
        <v>34-136-94</v>
      </c>
      <c r="F271" t="str">
        <f t="shared" si="41"/>
        <v>3413694</v>
      </c>
      <c r="G271">
        <f t="shared" si="42"/>
        <v>34</v>
      </c>
      <c r="H271">
        <f t="shared" si="43"/>
        <v>136</v>
      </c>
      <c r="I271">
        <f t="shared" si="44"/>
        <v>94</v>
      </c>
      <c r="J271" t="str">
        <f t="shared" si="36"/>
        <v>ORBm6a",</v>
      </c>
      <c r="K271" t="str">
        <f t="shared" si="36"/>
        <v>Orbital area, medial part, layer 6a",</v>
      </c>
      <c r="L271" t="str">
        <f t="shared" si="37"/>
        <v>ORBm6a</v>
      </c>
      <c r="M271" t="str">
        <f t="shared" si="37"/>
        <v>Orbital area, medial part, layer 6a</v>
      </c>
      <c r="N271" t="s">
        <v>5048</v>
      </c>
      <c r="O271" t="s">
        <v>5049</v>
      </c>
      <c r="Q271" s="6">
        <v>349</v>
      </c>
      <c r="R271" s="6">
        <v>312782558</v>
      </c>
      <c r="S271" s="6" t="s">
        <v>5185</v>
      </c>
      <c r="T271" s="6" t="s">
        <v>5184</v>
      </c>
      <c r="U271" s="6">
        <v>312782546</v>
      </c>
      <c r="V271" s="6">
        <v>8</v>
      </c>
      <c r="W271" s="6" t="s">
        <v>7522</v>
      </c>
      <c r="Y271" t="s">
        <v>5048</v>
      </c>
      <c r="Z271" t="s">
        <v>5049</v>
      </c>
      <c r="AA271" s="6">
        <f t="shared" si="38"/>
        <v>910</v>
      </c>
      <c r="AB271">
        <v>34</v>
      </c>
      <c r="AC271">
        <v>136</v>
      </c>
      <c r="AD271">
        <v>94</v>
      </c>
    </row>
    <row r="272" spans="1:30" ht="17" x14ac:dyDescent="0.25">
      <c r="A272" s="1" t="s">
        <v>274</v>
      </c>
      <c r="B272" s="1" t="s">
        <v>2926</v>
      </c>
      <c r="C272" s="1" t="s">
        <v>1601</v>
      </c>
      <c r="D272" t="str">
        <f t="shared" si="39"/>
        <v>24875E</v>
      </c>
      <c r="E272" t="str">
        <f t="shared" si="40"/>
        <v>36-135-94</v>
      </c>
      <c r="F272" t="str">
        <f t="shared" si="41"/>
        <v>3613594</v>
      </c>
      <c r="G272">
        <f t="shared" si="42"/>
        <v>36</v>
      </c>
      <c r="H272">
        <f t="shared" si="43"/>
        <v>135</v>
      </c>
      <c r="I272">
        <f t="shared" si="44"/>
        <v>94</v>
      </c>
      <c r="J272" t="str">
        <f t="shared" si="36"/>
        <v>ORBm6b",</v>
      </c>
      <c r="K272" t="str">
        <f t="shared" si="36"/>
        <v>Orbital area, medial part, layer 6b",</v>
      </c>
      <c r="L272" t="str">
        <f t="shared" si="37"/>
        <v>ORBm6b</v>
      </c>
      <c r="M272" t="str">
        <f t="shared" si="37"/>
        <v>Orbital area, medial part, layer 6b</v>
      </c>
      <c r="N272" t="s">
        <v>5050</v>
      </c>
      <c r="O272" t="s">
        <v>5051</v>
      </c>
      <c r="Q272" s="6">
        <v>350</v>
      </c>
      <c r="R272" s="6">
        <v>312782562</v>
      </c>
      <c r="S272" s="6" t="s">
        <v>5187</v>
      </c>
      <c r="T272" s="6" t="s">
        <v>5186</v>
      </c>
      <c r="U272" s="6">
        <v>312782546</v>
      </c>
      <c r="V272" s="6">
        <v>8</v>
      </c>
      <c r="W272" s="6" t="s">
        <v>7523</v>
      </c>
      <c r="Y272" t="s">
        <v>5050</v>
      </c>
      <c r="Z272" t="s">
        <v>5051</v>
      </c>
      <c r="AA272" s="6">
        <f t="shared" si="38"/>
        <v>527696977</v>
      </c>
      <c r="AB272">
        <v>36</v>
      </c>
      <c r="AC272">
        <v>135</v>
      </c>
      <c r="AD272">
        <v>94</v>
      </c>
    </row>
    <row r="273" spans="1:30" ht="17" x14ac:dyDescent="0.25">
      <c r="A273" s="1" t="s">
        <v>275</v>
      </c>
      <c r="B273" s="1" t="s">
        <v>2927</v>
      </c>
      <c r="C273" s="1" t="s">
        <v>1602</v>
      </c>
      <c r="D273" t="str">
        <f t="shared" si="39"/>
        <v>24885C</v>
      </c>
      <c r="E273" t="str">
        <f t="shared" si="40"/>
        <v>36-136-92</v>
      </c>
      <c r="F273" t="str">
        <f t="shared" si="41"/>
        <v>3613692</v>
      </c>
      <c r="G273">
        <f t="shared" si="42"/>
        <v>36</v>
      </c>
      <c r="H273">
        <f t="shared" si="43"/>
        <v>136</v>
      </c>
      <c r="I273">
        <f t="shared" si="44"/>
        <v>92</v>
      </c>
      <c r="J273" t="str">
        <f t="shared" si="36"/>
        <v>ORBv",</v>
      </c>
      <c r="K273" t="str">
        <f t="shared" si="36"/>
        <v>Orbital area, ventral part",</v>
      </c>
      <c r="L273" t="str">
        <f t="shared" si="37"/>
        <v>ORBv</v>
      </c>
      <c r="M273" t="str">
        <f t="shared" si="37"/>
        <v>Orbital area, ventral part</v>
      </c>
      <c r="N273" t="s">
        <v>5052</v>
      </c>
      <c r="O273" t="s">
        <v>5053</v>
      </c>
      <c r="Q273" s="6">
        <v>351</v>
      </c>
      <c r="R273" s="6">
        <v>312782566</v>
      </c>
      <c r="S273" s="6" t="s">
        <v>5189</v>
      </c>
      <c r="T273" s="6" t="s">
        <v>5188</v>
      </c>
      <c r="U273" s="6">
        <v>312782546</v>
      </c>
      <c r="V273" s="6">
        <v>8</v>
      </c>
      <c r="W273" s="6" t="s">
        <v>7524</v>
      </c>
      <c r="Y273" t="s">
        <v>5052</v>
      </c>
      <c r="Z273" t="s">
        <v>5053</v>
      </c>
      <c r="AA273" s="6" t="str">
        <f t="shared" si="38"/>
        <v/>
      </c>
      <c r="AB273">
        <v>36</v>
      </c>
      <c r="AC273">
        <v>136</v>
      </c>
      <c r="AD273">
        <v>92</v>
      </c>
    </row>
    <row r="274" spans="1:30" ht="17" x14ac:dyDescent="0.25">
      <c r="A274" s="1" t="s">
        <v>276</v>
      </c>
      <c r="B274" s="1" t="s">
        <v>2928</v>
      </c>
      <c r="C274" s="1" t="s">
        <v>1603</v>
      </c>
      <c r="D274" t="str">
        <f t="shared" si="39"/>
        <v>228A5C</v>
      </c>
      <c r="E274" t="str">
        <f t="shared" si="40"/>
        <v>34-138-92</v>
      </c>
      <c r="F274" t="str">
        <f t="shared" si="41"/>
        <v>3413892</v>
      </c>
      <c r="G274">
        <f t="shared" si="42"/>
        <v>34</v>
      </c>
      <c r="H274">
        <f t="shared" si="43"/>
        <v>138</v>
      </c>
      <c r="I274">
        <f t="shared" si="44"/>
        <v>92</v>
      </c>
      <c r="J274" t="str">
        <f t="shared" si="36"/>
        <v>ORBvl",</v>
      </c>
      <c r="K274" t="str">
        <f t="shared" si="36"/>
        <v>Orbital area, ventrolateral part",</v>
      </c>
      <c r="L274" t="str">
        <f t="shared" si="37"/>
        <v>ORBvl</v>
      </c>
      <c r="M274" t="str">
        <f t="shared" si="37"/>
        <v>Orbital area, ventrolateral part</v>
      </c>
      <c r="N274" t="s">
        <v>5054</v>
      </c>
      <c r="O274" t="s">
        <v>5055</v>
      </c>
      <c r="Q274" s="6">
        <v>352</v>
      </c>
      <c r="R274" s="6">
        <v>312782570</v>
      </c>
      <c r="S274" s="6" t="s">
        <v>5191</v>
      </c>
      <c r="T274" s="6" t="s">
        <v>5190</v>
      </c>
      <c r="U274" s="6">
        <v>312782546</v>
      </c>
      <c r="V274" s="6">
        <v>8</v>
      </c>
      <c r="W274" s="6" t="s">
        <v>7525</v>
      </c>
      <c r="Y274" t="s">
        <v>5054</v>
      </c>
      <c r="Z274" t="s">
        <v>5055</v>
      </c>
      <c r="AA274" s="6">
        <f t="shared" si="38"/>
        <v>746</v>
      </c>
      <c r="AB274">
        <v>34</v>
      </c>
      <c r="AC274">
        <v>138</v>
      </c>
      <c r="AD274">
        <v>92</v>
      </c>
    </row>
    <row r="275" spans="1:30" ht="17" x14ac:dyDescent="0.25">
      <c r="A275" s="1" t="s">
        <v>277</v>
      </c>
      <c r="B275" s="1" t="s">
        <v>2929</v>
      </c>
      <c r="C275" s="1" t="s">
        <v>1604</v>
      </c>
      <c r="D275" t="str">
        <f t="shared" si="39"/>
        <v>248A5B</v>
      </c>
      <c r="E275" t="str">
        <f t="shared" si="40"/>
        <v>36-138-91</v>
      </c>
      <c r="F275" t="str">
        <f t="shared" si="41"/>
        <v>3613891</v>
      </c>
      <c r="G275">
        <f t="shared" si="42"/>
        <v>36</v>
      </c>
      <c r="H275">
        <f t="shared" si="43"/>
        <v>138</v>
      </c>
      <c r="I275">
        <f t="shared" si="44"/>
        <v>91</v>
      </c>
      <c r="J275" t="str">
        <f t="shared" si="36"/>
        <v>ORBvl1",</v>
      </c>
      <c r="K275" t="str">
        <f t="shared" si="36"/>
        <v>Orbital area, ventrolateral part, layer 1",</v>
      </c>
      <c r="L275" t="str">
        <f t="shared" si="37"/>
        <v>ORBvl1</v>
      </c>
      <c r="M275" t="str">
        <f t="shared" si="37"/>
        <v>Orbital area, ventrolateral part, layer 1</v>
      </c>
      <c r="N275" t="s">
        <v>5056</v>
      </c>
      <c r="O275" t="s">
        <v>5057</v>
      </c>
      <c r="Q275" s="6">
        <v>353</v>
      </c>
      <c r="R275" s="6">
        <v>417</v>
      </c>
      <c r="S275" s="6" t="s">
        <v>5193</v>
      </c>
      <c r="T275" s="6" t="s">
        <v>5192</v>
      </c>
      <c r="U275" s="6">
        <v>22</v>
      </c>
      <c r="V275" s="6">
        <v>7</v>
      </c>
      <c r="W275" s="6" t="s">
        <v>7526</v>
      </c>
      <c r="Y275" t="s">
        <v>5056</v>
      </c>
      <c r="Z275" t="s">
        <v>5057</v>
      </c>
      <c r="AA275" s="6">
        <f t="shared" si="38"/>
        <v>969</v>
      </c>
      <c r="AB275">
        <v>36</v>
      </c>
      <c r="AC275">
        <v>138</v>
      </c>
      <c r="AD275">
        <v>91</v>
      </c>
    </row>
    <row r="276" spans="1:30" ht="17" x14ac:dyDescent="0.25">
      <c r="A276" s="1" t="s">
        <v>278</v>
      </c>
      <c r="B276" s="1" t="s">
        <v>2930</v>
      </c>
      <c r="C276" s="1" t="s">
        <v>1605</v>
      </c>
      <c r="D276" t="str">
        <f t="shared" si="39"/>
        <v>248A5D</v>
      </c>
      <c r="E276" t="str">
        <f t="shared" si="40"/>
        <v>36-138-93</v>
      </c>
      <c r="F276" t="str">
        <f t="shared" si="41"/>
        <v>3613893</v>
      </c>
      <c r="G276">
        <f t="shared" si="42"/>
        <v>36</v>
      </c>
      <c r="H276">
        <f t="shared" si="43"/>
        <v>138</v>
      </c>
      <c r="I276">
        <f t="shared" si="44"/>
        <v>93</v>
      </c>
      <c r="J276" t="str">
        <f t="shared" si="36"/>
        <v>ORBvl2\/3",</v>
      </c>
      <c r="K276" t="str">
        <f t="shared" si="36"/>
        <v>Orbital area, ventrolateral part, layer 2\/3",</v>
      </c>
      <c r="L276" t="str">
        <f t="shared" si="37"/>
        <v>ORBvl2\/3</v>
      </c>
      <c r="M276" t="str">
        <f t="shared" si="37"/>
        <v>Orbital area, ventrolateral part, layer 2\/3</v>
      </c>
      <c r="N276" t="s">
        <v>7151</v>
      </c>
      <c r="O276" t="s">
        <v>7212</v>
      </c>
      <c r="Q276" s="6">
        <v>354</v>
      </c>
      <c r="R276" s="6">
        <v>312782604</v>
      </c>
      <c r="S276" s="6" t="s">
        <v>5195</v>
      </c>
      <c r="T276" s="6" t="s">
        <v>5194</v>
      </c>
      <c r="U276" s="6">
        <v>417</v>
      </c>
      <c r="V276" s="6">
        <v>8</v>
      </c>
      <c r="W276" s="6" t="s">
        <v>7527</v>
      </c>
      <c r="Y276" t="s">
        <v>7151</v>
      </c>
      <c r="Z276" t="s">
        <v>7212</v>
      </c>
      <c r="AA276" s="6">
        <f t="shared" si="38"/>
        <v>288</v>
      </c>
      <c r="AB276">
        <v>36</v>
      </c>
      <c r="AC276">
        <v>138</v>
      </c>
      <c r="AD276">
        <v>93</v>
      </c>
    </row>
    <row r="277" spans="1:30" ht="17" x14ac:dyDescent="0.25">
      <c r="A277" s="1" t="s">
        <v>279</v>
      </c>
      <c r="B277" s="1" t="s">
        <v>2931</v>
      </c>
      <c r="C277" s="1" t="s">
        <v>1606</v>
      </c>
      <c r="D277" t="str">
        <f t="shared" si="39"/>
        <v>23885C</v>
      </c>
      <c r="E277" t="str">
        <f t="shared" si="40"/>
        <v>35-136-92</v>
      </c>
      <c r="F277" t="str">
        <f t="shared" si="41"/>
        <v>3513692</v>
      </c>
      <c r="G277">
        <f t="shared" si="42"/>
        <v>35</v>
      </c>
      <c r="H277">
        <f t="shared" si="43"/>
        <v>136</v>
      </c>
      <c r="I277">
        <f t="shared" si="44"/>
        <v>92</v>
      </c>
      <c r="J277" t="str">
        <f t="shared" si="36"/>
        <v>ORBvl5",</v>
      </c>
      <c r="K277" t="str">
        <f t="shared" si="36"/>
        <v>Orbital area, ventrolateral part, layer 5",</v>
      </c>
      <c r="L277" t="str">
        <f t="shared" si="37"/>
        <v>ORBvl5</v>
      </c>
      <c r="M277" t="str">
        <f t="shared" si="37"/>
        <v>Orbital area, ventrolateral part, layer 5</v>
      </c>
      <c r="N277" t="s">
        <v>5058</v>
      </c>
      <c r="O277" t="s">
        <v>5059</v>
      </c>
      <c r="Q277" s="6">
        <v>355</v>
      </c>
      <c r="R277" s="6">
        <v>312782608</v>
      </c>
      <c r="S277" s="6" t="s">
        <v>7224</v>
      </c>
      <c r="T277" s="6" t="s">
        <v>7163</v>
      </c>
      <c r="U277" s="6">
        <v>417</v>
      </c>
      <c r="V277" s="6">
        <v>8</v>
      </c>
      <c r="W277" s="6" t="s">
        <v>7528</v>
      </c>
      <c r="Y277" t="s">
        <v>5058</v>
      </c>
      <c r="Z277" t="s">
        <v>5059</v>
      </c>
      <c r="AA277" s="6">
        <f t="shared" si="38"/>
        <v>1125</v>
      </c>
      <c r="AB277">
        <v>35</v>
      </c>
      <c r="AC277">
        <v>136</v>
      </c>
      <c r="AD277">
        <v>92</v>
      </c>
    </row>
    <row r="278" spans="1:30" ht="17" x14ac:dyDescent="0.25">
      <c r="A278" s="1" t="s">
        <v>280</v>
      </c>
      <c r="B278" s="1" t="s">
        <v>2932</v>
      </c>
      <c r="C278" s="1" t="s">
        <v>1607</v>
      </c>
      <c r="D278" t="str">
        <f t="shared" si="39"/>
        <v>238A5C</v>
      </c>
      <c r="E278" t="str">
        <f t="shared" si="40"/>
        <v>35-138-92</v>
      </c>
      <c r="F278" t="str">
        <f t="shared" si="41"/>
        <v>3513892</v>
      </c>
      <c r="G278">
        <f t="shared" si="42"/>
        <v>35</v>
      </c>
      <c r="H278">
        <f t="shared" si="43"/>
        <v>138</v>
      </c>
      <c r="I278">
        <f t="shared" si="44"/>
        <v>92</v>
      </c>
      <c r="J278" t="str">
        <f t="shared" si="36"/>
        <v>ORBvl6a",</v>
      </c>
      <c r="K278" t="str">
        <f t="shared" si="36"/>
        <v>Orbital area, ventrolateral part, layer 6a",</v>
      </c>
      <c r="L278" t="str">
        <f t="shared" si="37"/>
        <v>ORBvl6a</v>
      </c>
      <c r="M278" t="str">
        <f t="shared" si="37"/>
        <v>Orbital area, ventrolateral part, layer 6a</v>
      </c>
      <c r="N278" t="s">
        <v>5060</v>
      </c>
      <c r="O278" t="s">
        <v>5061</v>
      </c>
      <c r="Q278" s="6">
        <v>356</v>
      </c>
      <c r="R278" s="6">
        <v>312782612</v>
      </c>
      <c r="S278" s="6" t="s">
        <v>5197</v>
      </c>
      <c r="T278" s="6" t="s">
        <v>5196</v>
      </c>
      <c r="U278" s="6">
        <v>417</v>
      </c>
      <c r="V278" s="6">
        <v>8</v>
      </c>
      <c r="W278" s="6" t="s">
        <v>7529</v>
      </c>
      <c r="Y278" t="s">
        <v>5060</v>
      </c>
      <c r="Z278" t="s">
        <v>5061</v>
      </c>
      <c r="AA278" s="6">
        <f t="shared" si="38"/>
        <v>608</v>
      </c>
      <c r="AB278">
        <v>35</v>
      </c>
      <c r="AC278">
        <v>138</v>
      </c>
      <c r="AD278">
        <v>92</v>
      </c>
    </row>
    <row r="279" spans="1:30" ht="17" x14ac:dyDescent="0.25">
      <c r="A279" s="1" t="s">
        <v>281</v>
      </c>
      <c r="B279" s="1" t="s">
        <v>2933</v>
      </c>
      <c r="C279" s="1" t="s">
        <v>1608</v>
      </c>
      <c r="D279" t="str">
        <f t="shared" si="39"/>
        <v>22895E</v>
      </c>
      <c r="E279" t="str">
        <f t="shared" si="40"/>
        <v>34-137-94</v>
      </c>
      <c r="F279" t="str">
        <f t="shared" si="41"/>
        <v>3413794</v>
      </c>
      <c r="G279">
        <f t="shared" si="42"/>
        <v>34</v>
      </c>
      <c r="H279">
        <f t="shared" si="43"/>
        <v>137</v>
      </c>
      <c r="I279">
        <f t="shared" si="44"/>
        <v>94</v>
      </c>
      <c r="J279" t="str">
        <f t="shared" si="36"/>
        <v>ORBvl6b",</v>
      </c>
      <c r="K279" t="str">
        <f t="shared" si="36"/>
        <v>Orbital area, ventrolateral part, layer 6b",</v>
      </c>
      <c r="L279" t="str">
        <f t="shared" si="37"/>
        <v>ORBvl6b</v>
      </c>
      <c r="M279" t="str">
        <f t="shared" si="37"/>
        <v>Orbital area, ventrolateral part, layer 6b</v>
      </c>
      <c r="N279" t="s">
        <v>5062</v>
      </c>
      <c r="O279" t="s">
        <v>5063</v>
      </c>
      <c r="Q279" s="6">
        <v>357</v>
      </c>
      <c r="R279" s="6">
        <v>312782616</v>
      </c>
      <c r="S279" s="6" t="s">
        <v>5199</v>
      </c>
      <c r="T279" s="6" t="s">
        <v>5198</v>
      </c>
      <c r="U279" s="6">
        <v>417</v>
      </c>
      <c r="V279" s="6">
        <v>8</v>
      </c>
      <c r="W279" s="6" t="s">
        <v>7530</v>
      </c>
      <c r="Y279" t="s">
        <v>5062</v>
      </c>
      <c r="Z279" t="s">
        <v>5063</v>
      </c>
      <c r="AA279" s="6">
        <f t="shared" si="38"/>
        <v>680</v>
      </c>
      <c r="AB279">
        <v>34</v>
      </c>
      <c r="AC279">
        <v>137</v>
      </c>
      <c r="AD279">
        <v>94</v>
      </c>
    </row>
    <row r="280" spans="1:30" ht="17" x14ac:dyDescent="0.25">
      <c r="A280" s="1" t="s">
        <v>282</v>
      </c>
      <c r="B280" s="1" t="s">
        <v>2934</v>
      </c>
      <c r="C280" s="1" t="s">
        <v>1609</v>
      </c>
      <c r="D280" t="str">
        <f t="shared" si="39"/>
        <v>219866</v>
      </c>
      <c r="E280" t="str">
        <f t="shared" si="40"/>
        <v>33-152-102</v>
      </c>
      <c r="F280" t="str">
        <f t="shared" si="41"/>
        <v>33152102</v>
      </c>
      <c r="G280">
        <f t="shared" si="42"/>
        <v>33</v>
      </c>
      <c r="H280">
        <f t="shared" si="43"/>
        <v>152</v>
      </c>
      <c r="I280">
        <f t="shared" si="44"/>
        <v>102</v>
      </c>
      <c r="J280" t="str">
        <f t="shared" si="36"/>
        <v>AI",</v>
      </c>
      <c r="K280" t="str">
        <f t="shared" si="36"/>
        <v>Agranular insular area",</v>
      </c>
      <c r="L280" t="str">
        <f t="shared" si="37"/>
        <v>AI</v>
      </c>
      <c r="M280" t="str">
        <f t="shared" si="37"/>
        <v>Agranular insular area</v>
      </c>
      <c r="N280" t="s">
        <v>5064</v>
      </c>
      <c r="O280" t="s">
        <v>5065</v>
      </c>
      <c r="Q280" s="6">
        <v>358</v>
      </c>
      <c r="R280" s="6">
        <v>312782620</v>
      </c>
      <c r="S280" s="6" t="s">
        <v>5201</v>
      </c>
      <c r="T280" s="6" t="s">
        <v>5200</v>
      </c>
      <c r="U280" s="6">
        <v>417</v>
      </c>
      <c r="V280" s="6">
        <v>8</v>
      </c>
      <c r="W280" s="6" t="s">
        <v>7531</v>
      </c>
      <c r="Y280" t="s">
        <v>5064</v>
      </c>
      <c r="Z280" t="s">
        <v>5065</v>
      </c>
      <c r="AA280" s="6">
        <f t="shared" si="38"/>
        <v>95</v>
      </c>
      <c r="AB280">
        <v>33</v>
      </c>
      <c r="AC280">
        <v>152</v>
      </c>
      <c r="AD280">
        <v>102</v>
      </c>
    </row>
    <row r="281" spans="1:30" ht="17" x14ac:dyDescent="0.25">
      <c r="A281" s="1" t="s">
        <v>283</v>
      </c>
      <c r="B281" s="1" t="s">
        <v>2935</v>
      </c>
      <c r="C281" s="1" t="s">
        <v>1610</v>
      </c>
      <c r="D281" t="str">
        <f t="shared" si="39"/>
        <v>219865</v>
      </c>
      <c r="E281" t="str">
        <f t="shared" si="40"/>
        <v>33-152-101</v>
      </c>
      <c r="F281" t="str">
        <f t="shared" si="41"/>
        <v>33152101</v>
      </c>
      <c r="G281">
        <f t="shared" si="42"/>
        <v>33</v>
      </c>
      <c r="H281">
        <f t="shared" si="43"/>
        <v>152</v>
      </c>
      <c r="I281">
        <f t="shared" si="44"/>
        <v>101</v>
      </c>
      <c r="J281" t="str">
        <f t="shared" si="36"/>
        <v>AId",</v>
      </c>
      <c r="K281" t="str">
        <f t="shared" si="36"/>
        <v>Agranular insular area, dorsal part",</v>
      </c>
      <c r="L281" t="str">
        <f t="shared" si="37"/>
        <v>AId</v>
      </c>
      <c r="M281" t="str">
        <f t="shared" si="37"/>
        <v>Agranular insular area, dorsal part</v>
      </c>
      <c r="N281" t="s">
        <v>5066</v>
      </c>
      <c r="O281" t="s">
        <v>5067</v>
      </c>
      <c r="Q281" s="6">
        <v>359</v>
      </c>
      <c r="R281" s="6">
        <v>22</v>
      </c>
      <c r="S281" s="6" t="s">
        <v>5203</v>
      </c>
      <c r="T281" s="6" t="s">
        <v>5202</v>
      </c>
      <c r="U281" s="6">
        <v>417</v>
      </c>
      <c r="V281" s="6">
        <v>8</v>
      </c>
      <c r="W281" s="6" t="s">
        <v>8089</v>
      </c>
      <c r="Y281" t="s">
        <v>5066</v>
      </c>
      <c r="Z281" t="s">
        <v>5067</v>
      </c>
      <c r="AA281" s="6">
        <f t="shared" si="38"/>
        <v>104</v>
      </c>
      <c r="AB281">
        <v>33</v>
      </c>
      <c r="AC281">
        <v>152</v>
      </c>
      <c r="AD281">
        <v>101</v>
      </c>
    </row>
    <row r="282" spans="1:30" ht="17" x14ac:dyDescent="0.25">
      <c r="A282" s="1" t="s">
        <v>284</v>
      </c>
      <c r="B282" s="1" t="s">
        <v>2936</v>
      </c>
      <c r="C282" s="1" t="s">
        <v>1611</v>
      </c>
      <c r="D282" t="str">
        <f t="shared" si="39"/>
        <v>209764</v>
      </c>
      <c r="E282" t="str">
        <f t="shared" si="40"/>
        <v>32-151-100</v>
      </c>
      <c r="F282" t="str">
        <f t="shared" si="41"/>
        <v>32151100</v>
      </c>
      <c r="G282">
        <f t="shared" si="42"/>
        <v>32</v>
      </c>
      <c r="H282">
        <f t="shared" si="43"/>
        <v>151</v>
      </c>
      <c r="I282">
        <f t="shared" si="44"/>
        <v>100</v>
      </c>
      <c r="J282" t="str">
        <f t="shared" si="36"/>
        <v>AId1",</v>
      </c>
      <c r="K282" t="str">
        <f t="shared" si="36"/>
        <v>Agranular insular area, dorsal part, layer 1",</v>
      </c>
      <c r="L282" t="str">
        <f t="shared" si="37"/>
        <v>AId1</v>
      </c>
      <c r="M282" t="str">
        <f t="shared" si="37"/>
        <v>Agranular insular area, dorsal part, layer 1</v>
      </c>
      <c r="N282" t="s">
        <v>5068</v>
      </c>
      <c r="O282" t="s">
        <v>5069</v>
      </c>
      <c r="Q282" s="6">
        <v>360</v>
      </c>
      <c r="R282" s="6">
        <v>541</v>
      </c>
      <c r="S282" s="6" t="s">
        <v>5205</v>
      </c>
      <c r="T282" s="6" t="s">
        <v>5204</v>
      </c>
      <c r="U282" s="6">
        <v>315</v>
      </c>
      <c r="V282" s="6">
        <v>6</v>
      </c>
      <c r="W282" s="6" t="s">
        <v>7532</v>
      </c>
      <c r="Y282" t="s">
        <v>5068</v>
      </c>
      <c r="Z282" t="s">
        <v>5069</v>
      </c>
      <c r="AA282" s="6">
        <f t="shared" si="38"/>
        <v>996</v>
      </c>
      <c r="AB282">
        <v>32</v>
      </c>
      <c r="AC282">
        <v>151</v>
      </c>
      <c r="AD282">
        <v>100</v>
      </c>
    </row>
    <row r="283" spans="1:30" ht="17" x14ac:dyDescent="0.25">
      <c r="A283" s="1" t="s">
        <v>285</v>
      </c>
      <c r="B283" s="1" t="s">
        <v>2937</v>
      </c>
      <c r="C283" s="1" t="s">
        <v>1612</v>
      </c>
      <c r="D283" t="str">
        <f t="shared" si="39"/>
        <v>209765</v>
      </c>
      <c r="E283" t="str">
        <f t="shared" si="40"/>
        <v>32-151-101</v>
      </c>
      <c r="F283" t="str">
        <f t="shared" si="41"/>
        <v>32151101</v>
      </c>
      <c r="G283">
        <f t="shared" si="42"/>
        <v>32</v>
      </c>
      <c r="H283">
        <f t="shared" si="43"/>
        <v>151</v>
      </c>
      <c r="I283">
        <f t="shared" si="44"/>
        <v>101</v>
      </c>
      <c r="J283" t="str">
        <f t="shared" si="36"/>
        <v>AId2\/3",</v>
      </c>
      <c r="K283" t="str">
        <f t="shared" si="36"/>
        <v>Agranular insular area, dorsal part, layer 2\/3",</v>
      </c>
      <c r="L283" t="str">
        <f t="shared" si="37"/>
        <v>AId2\/3</v>
      </c>
      <c r="M283" t="str">
        <f t="shared" si="37"/>
        <v>Agranular insular area, dorsal part, layer 2\/3</v>
      </c>
      <c r="N283" t="s">
        <v>7152</v>
      </c>
      <c r="O283" t="s">
        <v>7213</v>
      </c>
      <c r="Q283" s="6">
        <v>361</v>
      </c>
      <c r="R283" s="6">
        <v>97</v>
      </c>
      <c r="S283" s="6" t="s">
        <v>5207</v>
      </c>
      <c r="T283" s="6" t="s">
        <v>5206</v>
      </c>
      <c r="U283" s="6">
        <v>541</v>
      </c>
      <c r="V283" s="6">
        <v>7</v>
      </c>
      <c r="W283" s="6" t="s">
        <v>7533</v>
      </c>
      <c r="Y283" t="s">
        <v>7152</v>
      </c>
      <c r="Z283" t="s">
        <v>7213</v>
      </c>
      <c r="AA283" s="6">
        <f t="shared" si="38"/>
        <v>328</v>
      </c>
      <c r="AB283">
        <v>32</v>
      </c>
      <c r="AC283">
        <v>151</v>
      </c>
      <c r="AD283">
        <v>101</v>
      </c>
    </row>
    <row r="284" spans="1:30" ht="17" x14ac:dyDescent="0.25">
      <c r="A284" s="1" t="s">
        <v>286</v>
      </c>
      <c r="B284" s="1" t="s">
        <v>2938</v>
      </c>
      <c r="C284" s="1" t="s">
        <v>1613</v>
      </c>
      <c r="D284" t="str">
        <f t="shared" si="39"/>
        <v>209665</v>
      </c>
      <c r="E284" t="str">
        <f t="shared" si="40"/>
        <v>32-150-101</v>
      </c>
      <c r="F284" t="str">
        <f t="shared" si="41"/>
        <v>32150101</v>
      </c>
      <c r="G284">
        <f t="shared" si="42"/>
        <v>32</v>
      </c>
      <c r="H284">
        <f t="shared" si="43"/>
        <v>150</v>
      </c>
      <c r="I284">
        <f t="shared" si="44"/>
        <v>101</v>
      </c>
      <c r="J284" t="str">
        <f t="shared" si="36"/>
        <v>AId5",</v>
      </c>
      <c r="K284" t="str">
        <f t="shared" si="36"/>
        <v>Agranular insular area, dorsal part, layer 5",</v>
      </c>
      <c r="L284" t="str">
        <f t="shared" si="37"/>
        <v>AId5</v>
      </c>
      <c r="M284" t="str">
        <f t="shared" si="37"/>
        <v>Agranular insular area, dorsal part, layer 5</v>
      </c>
      <c r="N284" t="s">
        <v>5070</v>
      </c>
      <c r="O284" t="s">
        <v>5071</v>
      </c>
      <c r="Q284" s="6">
        <v>362</v>
      </c>
      <c r="R284" s="6">
        <v>1127</v>
      </c>
      <c r="S284" s="6" t="s">
        <v>7225</v>
      </c>
      <c r="T284" s="6" t="s">
        <v>7164</v>
      </c>
      <c r="U284" s="6">
        <v>541</v>
      </c>
      <c r="V284" s="6">
        <v>7</v>
      </c>
      <c r="W284" s="6" t="s">
        <v>7534</v>
      </c>
      <c r="Y284" t="s">
        <v>5070</v>
      </c>
      <c r="Z284" t="s">
        <v>5071</v>
      </c>
      <c r="AA284" s="6">
        <f t="shared" si="38"/>
        <v>1101</v>
      </c>
      <c r="AB284">
        <v>32</v>
      </c>
      <c r="AC284">
        <v>150</v>
      </c>
      <c r="AD284">
        <v>101</v>
      </c>
    </row>
    <row r="285" spans="1:30" ht="17" x14ac:dyDescent="0.25">
      <c r="A285" s="1" t="s">
        <v>287</v>
      </c>
      <c r="B285" s="1" t="s">
        <v>2939</v>
      </c>
      <c r="C285" s="1" t="s">
        <v>1614</v>
      </c>
      <c r="D285" t="str">
        <f t="shared" si="39"/>
        <v>209666</v>
      </c>
      <c r="E285" t="str">
        <f t="shared" si="40"/>
        <v>32-150-102</v>
      </c>
      <c r="F285" t="str">
        <f t="shared" si="41"/>
        <v>32150102</v>
      </c>
      <c r="G285">
        <f t="shared" si="42"/>
        <v>32</v>
      </c>
      <c r="H285">
        <f t="shared" si="43"/>
        <v>150</v>
      </c>
      <c r="I285">
        <f t="shared" si="44"/>
        <v>102</v>
      </c>
      <c r="J285" t="str">
        <f t="shared" si="36"/>
        <v>AId6a",</v>
      </c>
      <c r="K285" t="str">
        <f t="shared" si="36"/>
        <v>Agranular insular area, dorsal part, layer 6a",</v>
      </c>
      <c r="L285" t="str">
        <f t="shared" si="37"/>
        <v>AId6a</v>
      </c>
      <c r="M285" t="str">
        <f t="shared" si="37"/>
        <v>Agranular insular area, dorsal part, layer 6a</v>
      </c>
      <c r="N285" t="s">
        <v>5072</v>
      </c>
      <c r="O285" t="s">
        <v>5073</v>
      </c>
      <c r="Q285" s="6">
        <v>363</v>
      </c>
      <c r="R285" s="6">
        <v>234</v>
      </c>
      <c r="S285" s="6" t="s">
        <v>5209</v>
      </c>
      <c r="T285" s="6" t="s">
        <v>5208</v>
      </c>
      <c r="U285" s="6">
        <v>541</v>
      </c>
      <c r="V285" s="6">
        <v>7</v>
      </c>
      <c r="W285" s="6" t="s">
        <v>7535</v>
      </c>
      <c r="Y285" t="s">
        <v>5072</v>
      </c>
      <c r="Z285" t="s">
        <v>5073</v>
      </c>
      <c r="AA285" s="6">
        <f t="shared" si="38"/>
        <v>783</v>
      </c>
      <c r="AB285">
        <v>32</v>
      </c>
      <c r="AC285">
        <v>150</v>
      </c>
      <c r="AD285">
        <v>102</v>
      </c>
    </row>
    <row r="286" spans="1:30" ht="17" x14ac:dyDescent="0.25">
      <c r="A286" s="1" t="s">
        <v>288</v>
      </c>
      <c r="B286" s="1" t="s">
        <v>2940</v>
      </c>
      <c r="C286" s="1" t="s">
        <v>1615</v>
      </c>
      <c r="D286" t="str">
        <f t="shared" si="39"/>
        <v>1F9766</v>
      </c>
      <c r="E286" t="str">
        <f t="shared" si="40"/>
        <v>31-151-102</v>
      </c>
      <c r="F286" t="str">
        <f t="shared" si="41"/>
        <v>31151102</v>
      </c>
      <c r="G286">
        <f t="shared" si="42"/>
        <v>31</v>
      </c>
      <c r="H286">
        <f t="shared" si="43"/>
        <v>151</v>
      </c>
      <c r="I286">
        <f t="shared" si="44"/>
        <v>102</v>
      </c>
      <c r="J286" t="str">
        <f t="shared" si="36"/>
        <v>AId6b",</v>
      </c>
      <c r="K286" t="str">
        <f t="shared" si="36"/>
        <v>Agranular insular area, dorsal part, layer 6b",</v>
      </c>
      <c r="L286" t="str">
        <f t="shared" si="37"/>
        <v>AId6b</v>
      </c>
      <c r="M286" t="str">
        <f t="shared" si="37"/>
        <v>Agranular insular area, dorsal part, layer 6b</v>
      </c>
      <c r="N286" t="s">
        <v>5074</v>
      </c>
      <c r="O286" t="s">
        <v>5075</v>
      </c>
      <c r="Q286" s="6">
        <v>364</v>
      </c>
      <c r="R286" s="6">
        <v>289</v>
      </c>
      <c r="S286" s="6" t="s">
        <v>5211</v>
      </c>
      <c r="T286" s="6" t="s">
        <v>5210</v>
      </c>
      <c r="U286" s="6">
        <v>541</v>
      </c>
      <c r="V286" s="6">
        <v>7</v>
      </c>
      <c r="W286" s="6" t="s">
        <v>7536</v>
      </c>
      <c r="Y286" t="s">
        <v>5074</v>
      </c>
      <c r="Z286" t="s">
        <v>5075</v>
      </c>
      <c r="AA286" s="6">
        <f t="shared" si="38"/>
        <v>831</v>
      </c>
      <c r="AB286">
        <v>31</v>
      </c>
      <c r="AC286">
        <v>151</v>
      </c>
      <c r="AD286">
        <v>102</v>
      </c>
    </row>
    <row r="287" spans="1:30" ht="17" x14ac:dyDescent="0.25">
      <c r="A287" s="1" t="s">
        <v>289</v>
      </c>
      <c r="B287" s="1" t="s">
        <v>2941</v>
      </c>
      <c r="C287" s="1" t="s">
        <v>1616</v>
      </c>
      <c r="D287" t="str">
        <f t="shared" si="39"/>
        <v>219766</v>
      </c>
      <c r="E287" t="str">
        <f t="shared" si="40"/>
        <v>33-151-102</v>
      </c>
      <c r="F287" t="str">
        <f t="shared" si="41"/>
        <v>33151102</v>
      </c>
      <c r="G287">
        <f t="shared" si="42"/>
        <v>33</v>
      </c>
      <c r="H287">
        <f t="shared" si="43"/>
        <v>151</v>
      </c>
      <c r="I287">
        <f t="shared" si="44"/>
        <v>102</v>
      </c>
      <c r="J287" t="str">
        <f t="shared" si="36"/>
        <v>AIp",</v>
      </c>
      <c r="K287" t="str">
        <f t="shared" si="36"/>
        <v>Agranular insular area, posterior part",</v>
      </c>
      <c r="L287" t="str">
        <f t="shared" si="37"/>
        <v>AIp</v>
      </c>
      <c r="M287" t="str">
        <f t="shared" si="37"/>
        <v>Agranular insular area, posterior part</v>
      </c>
      <c r="N287" t="s">
        <v>5076</v>
      </c>
      <c r="O287" t="s">
        <v>5077</v>
      </c>
      <c r="Q287" s="6">
        <v>365</v>
      </c>
      <c r="R287" s="6">
        <v>729</v>
      </c>
      <c r="S287" s="6" t="s">
        <v>5213</v>
      </c>
      <c r="T287" s="6" t="s">
        <v>5212</v>
      </c>
      <c r="U287" s="6">
        <v>541</v>
      </c>
      <c r="V287" s="6">
        <v>7</v>
      </c>
      <c r="W287" s="6" t="s">
        <v>7537</v>
      </c>
      <c r="Y287" t="s">
        <v>5076</v>
      </c>
      <c r="Z287" t="s">
        <v>5077</v>
      </c>
      <c r="AA287" s="6">
        <f t="shared" si="38"/>
        <v>111</v>
      </c>
      <c r="AB287">
        <v>33</v>
      </c>
      <c r="AC287">
        <v>151</v>
      </c>
      <c r="AD287">
        <v>102</v>
      </c>
    </row>
    <row r="288" spans="1:30" ht="17" x14ac:dyDescent="0.25">
      <c r="A288" s="1" t="s">
        <v>290</v>
      </c>
      <c r="B288" s="1" t="s">
        <v>2942</v>
      </c>
      <c r="C288" s="1" t="s">
        <v>1617</v>
      </c>
      <c r="D288" t="str">
        <f t="shared" si="39"/>
        <v>219765</v>
      </c>
      <c r="E288" t="str">
        <f t="shared" si="40"/>
        <v>33-151-101</v>
      </c>
      <c r="F288" t="str">
        <f t="shared" si="41"/>
        <v>33151101</v>
      </c>
      <c r="G288">
        <f t="shared" si="42"/>
        <v>33</v>
      </c>
      <c r="H288">
        <f t="shared" si="43"/>
        <v>151</v>
      </c>
      <c r="I288">
        <f t="shared" si="44"/>
        <v>101</v>
      </c>
      <c r="J288" t="str">
        <f t="shared" si="36"/>
        <v>AIp1",</v>
      </c>
      <c r="K288" t="str">
        <f t="shared" si="36"/>
        <v>Agranular insular area, posterior part, layer 1",</v>
      </c>
      <c r="L288" t="str">
        <f t="shared" si="37"/>
        <v>AIp1</v>
      </c>
      <c r="M288" t="str">
        <f t="shared" si="37"/>
        <v>Agranular insular area, posterior part, layer 1</v>
      </c>
      <c r="N288" t="s">
        <v>5078</v>
      </c>
      <c r="O288" t="s">
        <v>5079</v>
      </c>
      <c r="Q288" s="6">
        <v>366</v>
      </c>
      <c r="R288" s="6">
        <v>786</v>
      </c>
      <c r="S288" s="6" t="s">
        <v>5215</v>
      </c>
      <c r="T288" s="6" t="s">
        <v>5214</v>
      </c>
      <c r="U288" s="6">
        <v>541</v>
      </c>
      <c r="V288" s="6">
        <v>7</v>
      </c>
      <c r="W288" s="6" t="s">
        <v>7538</v>
      </c>
      <c r="Y288" t="s">
        <v>5078</v>
      </c>
      <c r="Z288" t="s">
        <v>5079</v>
      </c>
      <c r="AA288" s="6">
        <f t="shared" si="38"/>
        <v>120</v>
      </c>
      <c r="AB288">
        <v>33</v>
      </c>
      <c r="AC288">
        <v>151</v>
      </c>
      <c r="AD288">
        <v>101</v>
      </c>
    </row>
    <row r="289" spans="1:30" ht="17" x14ac:dyDescent="0.25">
      <c r="A289" s="1" t="s">
        <v>291</v>
      </c>
      <c r="B289" s="1" t="s">
        <v>2943</v>
      </c>
      <c r="C289" s="1" t="s">
        <v>1618</v>
      </c>
      <c r="D289" t="str">
        <f t="shared" si="39"/>
        <v>209865</v>
      </c>
      <c r="E289" t="str">
        <f t="shared" si="40"/>
        <v>32-152-101</v>
      </c>
      <c r="F289" t="str">
        <f t="shared" si="41"/>
        <v>32152101</v>
      </c>
      <c r="G289">
        <f t="shared" si="42"/>
        <v>32</v>
      </c>
      <c r="H289">
        <f t="shared" si="43"/>
        <v>152</v>
      </c>
      <c r="I289">
        <f t="shared" si="44"/>
        <v>101</v>
      </c>
      <c r="J289" t="str">
        <f t="shared" si="36"/>
        <v>AIp2\/3",</v>
      </c>
      <c r="K289" t="str">
        <f t="shared" si="36"/>
        <v>Agranular insular area, posterior part, layer 2\/3",</v>
      </c>
      <c r="L289" t="str">
        <f t="shared" si="37"/>
        <v>AIp2\/3</v>
      </c>
      <c r="M289" t="str">
        <f t="shared" si="37"/>
        <v>Agranular insular area, posterior part, layer 2\/3</v>
      </c>
      <c r="N289" t="s">
        <v>7153</v>
      </c>
      <c r="O289" t="s">
        <v>7214</v>
      </c>
      <c r="Q289" s="6">
        <v>367</v>
      </c>
      <c r="R289" s="6">
        <v>922</v>
      </c>
      <c r="S289" s="6" t="s">
        <v>5217</v>
      </c>
      <c r="T289" s="6" t="s">
        <v>5216</v>
      </c>
      <c r="U289" s="6">
        <v>315</v>
      </c>
      <c r="V289" s="6">
        <v>6</v>
      </c>
      <c r="W289" s="6" t="s">
        <v>7539</v>
      </c>
      <c r="Y289" t="s">
        <v>7153</v>
      </c>
      <c r="Z289" t="s">
        <v>7214</v>
      </c>
      <c r="AA289" s="6">
        <f t="shared" si="38"/>
        <v>163</v>
      </c>
      <c r="AB289">
        <v>32</v>
      </c>
      <c r="AC289">
        <v>152</v>
      </c>
      <c r="AD289">
        <v>101</v>
      </c>
    </row>
    <row r="290" spans="1:30" ht="17" x14ac:dyDescent="0.25">
      <c r="A290" s="1" t="s">
        <v>292</v>
      </c>
      <c r="B290" s="1" t="s">
        <v>2944</v>
      </c>
      <c r="C290" s="1" t="s">
        <v>1619</v>
      </c>
      <c r="D290" t="str">
        <f t="shared" si="39"/>
        <v>219864</v>
      </c>
      <c r="E290" t="str">
        <f t="shared" si="40"/>
        <v>33-152-100</v>
      </c>
      <c r="F290" t="str">
        <f t="shared" si="41"/>
        <v>33152100</v>
      </c>
      <c r="G290">
        <f t="shared" si="42"/>
        <v>33</v>
      </c>
      <c r="H290">
        <f t="shared" si="43"/>
        <v>152</v>
      </c>
      <c r="I290">
        <f t="shared" si="44"/>
        <v>100</v>
      </c>
      <c r="J290" t="str">
        <f t="shared" si="36"/>
        <v>AIp5",</v>
      </c>
      <c r="K290" t="str">
        <f t="shared" si="36"/>
        <v>Agranular insular area, posterior part, layer 5",</v>
      </c>
      <c r="L290" t="str">
        <f t="shared" si="37"/>
        <v>AIp5</v>
      </c>
      <c r="M290" t="str">
        <f t="shared" si="37"/>
        <v>Agranular insular area, posterior part, layer 5</v>
      </c>
      <c r="N290" t="s">
        <v>5080</v>
      </c>
      <c r="O290" t="s">
        <v>5081</v>
      </c>
      <c r="Q290" s="6">
        <v>368</v>
      </c>
      <c r="R290" s="6">
        <v>335</v>
      </c>
      <c r="S290" s="6" t="s">
        <v>5223</v>
      </c>
      <c r="T290" s="6" t="s">
        <v>5222</v>
      </c>
      <c r="U290" s="6">
        <v>922</v>
      </c>
      <c r="V290" s="6">
        <v>7</v>
      </c>
      <c r="W290" s="6" t="s">
        <v>7540</v>
      </c>
      <c r="Y290" t="s">
        <v>5080</v>
      </c>
      <c r="Z290" t="s">
        <v>5081</v>
      </c>
      <c r="AA290" s="6">
        <f t="shared" si="38"/>
        <v>344</v>
      </c>
      <c r="AB290">
        <v>33</v>
      </c>
      <c r="AC290">
        <v>152</v>
      </c>
      <c r="AD290">
        <v>100</v>
      </c>
    </row>
    <row r="291" spans="1:30" ht="17" x14ac:dyDescent="0.25">
      <c r="A291" s="1" t="s">
        <v>293</v>
      </c>
      <c r="B291" s="1" t="s">
        <v>2945</v>
      </c>
      <c r="C291" s="1" t="s">
        <v>1620</v>
      </c>
      <c r="D291" t="str">
        <f t="shared" si="39"/>
        <v>209766</v>
      </c>
      <c r="E291" t="str">
        <f t="shared" si="40"/>
        <v>32-151-102</v>
      </c>
      <c r="F291" t="str">
        <f t="shared" si="41"/>
        <v>32151102</v>
      </c>
      <c r="G291">
        <f t="shared" si="42"/>
        <v>32</v>
      </c>
      <c r="H291">
        <f t="shared" si="43"/>
        <v>151</v>
      </c>
      <c r="I291">
        <f t="shared" si="44"/>
        <v>102</v>
      </c>
      <c r="J291" t="str">
        <f t="shared" si="36"/>
        <v>AIp6a",</v>
      </c>
      <c r="K291" t="str">
        <f t="shared" si="36"/>
        <v>Agranular insular area, posterior part, layer 6a",</v>
      </c>
      <c r="L291" t="str">
        <f t="shared" si="37"/>
        <v>AIp6a</v>
      </c>
      <c r="M291" t="str">
        <f t="shared" si="37"/>
        <v>Agranular insular area, posterior part, layer 6a</v>
      </c>
      <c r="N291" t="s">
        <v>5082</v>
      </c>
      <c r="O291" t="s">
        <v>5083</v>
      </c>
      <c r="Q291" s="6">
        <v>369</v>
      </c>
      <c r="R291" s="6">
        <v>368</v>
      </c>
      <c r="S291" s="6" t="s">
        <v>5225</v>
      </c>
      <c r="T291" s="6" t="s">
        <v>5224</v>
      </c>
      <c r="U291" s="6">
        <v>922</v>
      </c>
      <c r="V291" s="6">
        <v>7</v>
      </c>
      <c r="W291" s="6" t="s">
        <v>7541</v>
      </c>
      <c r="Y291" t="s">
        <v>5082</v>
      </c>
      <c r="Z291" t="s">
        <v>5083</v>
      </c>
      <c r="AA291" s="6">
        <f t="shared" si="38"/>
        <v>314</v>
      </c>
      <c r="AB291">
        <v>32</v>
      </c>
      <c r="AC291">
        <v>151</v>
      </c>
      <c r="AD291">
        <v>102</v>
      </c>
    </row>
    <row r="292" spans="1:30" ht="17" x14ac:dyDescent="0.25">
      <c r="A292" s="1" t="s">
        <v>294</v>
      </c>
      <c r="B292" s="1" t="s">
        <v>2946</v>
      </c>
      <c r="C292" s="1" t="s">
        <v>1621</v>
      </c>
      <c r="D292" t="str">
        <f t="shared" si="39"/>
        <v>219666</v>
      </c>
      <c r="E292" t="str">
        <f t="shared" si="40"/>
        <v>33-150-102</v>
      </c>
      <c r="F292" t="str">
        <f t="shared" si="41"/>
        <v>33150102</v>
      </c>
      <c r="G292">
        <f t="shared" si="42"/>
        <v>33</v>
      </c>
      <c r="H292">
        <f t="shared" si="43"/>
        <v>150</v>
      </c>
      <c r="I292">
        <f t="shared" si="44"/>
        <v>102</v>
      </c>
      <c r="J292" t="str">
        <f t="shared" si="36"/>
        <v>AIp6b",</v>
      </c>
      <c r="K292" t="str">
        <f t="shared" si="36"/>
        <v>Agranular insular area, posterior part, layer 6b",</v>
      </c>
      <c r="L292" t="str">
        <f t="shared" si="37"/>
        <v>AIp6b</v>
      </c>
      <c r="M292" t="str">
        <f t="shared" si="37"/>
        <v>Agranular insular area, posterior part, layer 6b</v>
      </c>
      <c r="N292" t="s">
        <v>5084</v>
      </c>
      <c r="O292" t="s">
        <v>5085</v>
      </c>
      <c r="Q292" s="6">
        <v>370</v>
      </c>
      <c r="R292" s="6">
        <v>540</v>
      </c>
      <c r="S292" s="6" t="s">
        <v>5219</v>
      </c>
      <c r="T292" s="6" t="s">
        <v>5218</v>
      </c>
      <c r="U292" s="6">
        <v>922</v>
      </c>
      <c r="V292" s="6">
        <v>7</v>
      </c>
      <c r="W292" s="6" t="s">
        <v>7542</v>
      </c>
      <c r="Y292" t="s">
        <v>5084</v>
      </c>
      <c r="Z292" t="s">
        <v>5085</v>
      </c>
      <c r="AA292" s="6">
        <f t="shared" si="38"/>
        <v>355</v>
      </c>
      <c r="AB292">
        <v>33</v>
      </c>
      <c r="AC292">
        <v>150</v>
      </c>
      <c r="AD292">
        <v>102</v>
      </c>
    </row>
    <row r="293" spans="1:30" ht="17" x14ac:dyDescent="0.25">
      <c r="A293" s="1" t="s">
        <v>295</v>
      </c>
      <c r="B293" s="1" t="s">
        <v>2947</v>
      </c>
      <c r="C293" s="1" t="s">
        <v>1622</v>
      </c>
      <c r="D293" t="str">
        <f t="shared" si="39"/>
        <v>209866</v>
      </c>
      <c r="E293" t="str">
        <f t="shared" si="40"/>
        <v>32-152-102</v>
      </c>
      <c r="F293" t="str">
        <f t="shared" si="41"/>
        <v>32152102</v>
      </c>
      <c r="G293">
        <f t="shared" si="42"/>
        <v>32</v>
      </c>
      <c r="H293">
        <f t="shared" si="43"/>
        <v>152</v>
      </c>
      <c r="I293">
        <f t="shared" si="44"/>
        <v>102</v>
      </c>
      <c r="J293" t="str">
        <f t="shared" si="36"/>
        <v>AIv",</v>
      </c>
      <c r="K293" t="str">
        <f t="shared" si="36"/>
        <v>Agranular insular area, ventral part",</v>
      </c>
      <c r="L293" t="str">
        <f t="shared" si="37"/>
        <v>AIv</v>
      </c>
      <c r="M293" t="str">
        <f t="shared" si="37"/>
        <v>Agranular insular area, ventral part</v>
      </c>
      <c r="N293" t="s">
        <v>5086</v>
      </c>
      <c r="O293" t="s">
        <v>5087</v>
      </c>
      <c r="Q293" s="6">
        <v>371</v>
      </c>
      <c r="R293" s="6">
        <v>692</v>
      </c>
      <c r="S293" s="6" t="s">
        <v>5221</v>
      </c>
      <c r="T293" s="6" t="s">
        <v>5220</v>
      </c>
      <c r="U293" s="6">
        <v>922</v>
      </c>
      <c r="V293" s="6">
        <v>7</v>
      </c>
      <c r="W293" s="6" t="s">
        <v>7543</v>
      </c>
      <c r="Y293" t="s">
        <v>5086</v>
      </c>
      <c r="Z293" t="s">
        <v>5087</v>
      </c>
      <c r="AA293" s="6">
        <f t="shared" si="38"/>
        <v>119</v>
      </c>
      <c r="AB293">
        <v>32</v>
      </c>
      <c r="AC293">
        <v>152</v>
      </c>
      <c r="AD293">
        <v>102</v>
      </c>
    </row>
    <row r="294" spans="1:30" ht="17" x14ac:dyDescent="0.25">
      <c r="A294" s="1" t="s">
        <v>296</v>
      </c>
      <c r="B294" s="1" t="s">
        <v>2948</v>
      </c>
      <c r="C294" s="1" t="s">
        <v>1623</v>
      </c>
      <c r="D294" t="str">
        <f t="shared" si="39"/>
        <v>209864</v>
      </c>
      <c r="E294" t="str">
        <f t="shared" si="40"/>
        <v>32-152-100</v>
      </c>
      <c r="F294" t="str">
        <f t="shared" si="41"/>
        <v>32152100</v>
      </c>
      <c r="G294">
        <f t="shared" si="42"/>
        <v>32</v>
      </c>
      <c r="H294">
        <f t="shared" si="43"/>
        <v>152</v>
      </c>
      <c r="I294">
        <f t="shared" si="44"/>
        <v>100</v>
      </c>
      <c r="J294" t="str">
        <f t="shared" si="36"/>
        <v>AIv1",</v>
      </c>
      <c r="K294" t="str">
        <f t="shared" si="36"/>
        <v>Agranular insular area, ventral part, layer 1",</v>
      </c>
      <c r="L294" t="str">
        <f t="shared" si="37"/>
        <v>AIv1</v>
      </c>
      <c r="M294" t="str">
        <f t="shared" si="37"/>
        <v>Agranular insular area, ventral part, layer 1</v>
      </c>
      <c r="N294" t="s">
        <v>5088</v>
      </c>
      <c r="O294" t="s">
        <v>5089</v>
      </c>
      <c r="Q294" s="6">
        <v>372</v>
      </c>
      <c r="R294" s="6">
        <v>888</v>
      </c>
      <c r="S294" s="6" t="s">
        <v>7226</v>
      </c>
      <c r="T294" s="6" t="s">
        <v>7165</v>
      </c>
      <c r="U294" s="6">
        <v>922</v>
      </c>
      <c r="V294" s="6">
        <v>7</v>
      </c>
      <c r="W294" s="6" t="s">
        <v>7544</v>
      </c>
      <c r="Y294" t="s">
        <v>5088</v>
      </c>
      <c r="Z294" t="s">
        <v>5089</v>
      </c>
      <c r="AA294" s="6">
        <f t="shared" si="38"/>
        <v>704</v>
      </c>
      <c r="AB294">
        <v>32</v>
      </c>
      <c r="AC294">
        <v>152</v>
      </c>
      <c r="AD294">
        <v>100</v>
      </c>
    </row>
    <row r="295" spans="1:30" ht="17" x14ac:dyDescent="0.25">
      <c r="A295" s="1" t="s">
        <v>297</v>
      </c>
      <c r="B295" s="1" t="s">
        <v>2949</v>
      </c>
      <c r="C295" s="1" t="s">
        <v>1624</v>
      </c>
      <c r="D295" t="str">
        <f t="shared" si="39"/>
        <v>219764</v>
      </c>
      <c r="E295" t="str">
        <f t="shared" si="40"/>
        <v>33-151-100</v>
      </c>
      <c r="F295" t="str">
        <f t="shared" si="41"/>
        <v>33151100</v>
      </c>
      <c r="G295">
        <f t="shared" si="42"/>
        <v>33</v>
      </c>
      <c r="H295">
        <f t="shared" si="43"/>
        <v>151</v>
      </c>
      <c r="I295">
        <f t="shared" si="44"/>
        <v>100</v>
      </c>
      <c r="J295" t="str">
        <f t="shared" si="36"/>
        <v>AIv2\/3",</v>
      </c>
      <c r="K295" t="str">
        <f t="shared" si="36"/>
        <v>Agranular insular area, ventral part, layer 2\/3",</v>
      </c>
      <c r="L295" t="str">
        <f t="shared" si="37"/>
        <v>AIv2\/3</v>
      </c>
      <c r="M295" t="str">
        <f t="shared" si="37"/>
        <v>Agranular insular area, ventral part, layer 2\/3</v>
      </c>
      <c r="N295" t="s">
        <v>7154</v>
      </c>
      <c r="O295" t="s">
        <v>7215</v>
      </c>
      <c r="Q295" s="6">
        <v>373</v>
      </c>
      <c r="R295" s="6">
        <v>895</v>
      </c>
      <c r="S295" s="6" t="s">
        <v>5227</v>
      </c>
      <c r="T295" s="6" t="s">
        <v>5226</v>
      </c>
      <c r="U295" s="6">
        <v>315</v>
      </c>
      <c r="V295" s="6">
        <v>6</v>
      </c>
      <c r="W295" s="6" t="s">
        <v>7545</v>
      </c>
      <c r="Y295" t="s">
        <v>7154</v>
      </c>
      <c r="Z295" t="s">
        <v>7215</v>
      </c>
      <c r="AA295" s="6">
        <f t="shared" si="38"/>
        <v>694</v>
      </c>
      <c r="AB295">
        <v>33</v>
      </c>
      <c r="AC295">
        <v>151</v>
      </c>
      <c r="AD295">
        <v>100</v>
      </c>
    </row>
    <row r="296" spans="1:30" ht="17" x14ac:dyDescent="0.25">
      <c r="A296" s="1" t="s">
        <v>298</v>
      </c>
      <c r="B296" s="1" t="s">
        <v>2950</v>
      </c>
      <c r="C296" s="1" t="s">
        <v>1625</v>
      </c>
      <c r="D296" t="str">
        <f t="shared" si="39"/>
        <v>1F9865</v>
      </c>
      <c r="E296" t="str">
        <f t="shared" si="40"/>
        <v>31-152-101</v>
      </c>
      <c r="F296" t="str">
        <f t="shared" si="41"/>
        <v>31152101</v>
      </c>
      <c r="G296">
        <f t="shared" si="42"/>
        <v>31</v>
      </c>
      <c r="H296">
        <f t="shared" si="43"/>
        <v>152</v>
      </c>
      <c r="I296">
        <f t="shared" si="44"/>
        <v>101</v>
      </c>
      <c r="J296" t="str">
        <f t="shared" si="36"/>
        <v>AIv5",</v>
      </c>
      <c r="K296" t="str">
        <f t="shared" si="36"/>
        <v>Agranular insular area, ventral part, layer 5",</v>
      </c>
      <c r="L296" t="str">
        <f t="shared" si="37"/>
        <v>AIv5</v>
      </c>
      <c r="M296" t="str">
        <f t="shared" si="37"/>
        <v>Agranular insular area, ventral part, layer 5</v>
      </c>
      <c r="N296" t="s">
        <v>5090</v>
      </c>
      <c r="O296" t="s">
        <v>5091</v>
      </c>
      <c r="Q296" s="6">
        <v>374</v>
      </c>
      <c r="R296" s="6">
        <v>836</v>
      </c>
      <c r="S296" s="6" t="s">
        <v>7227</v>
      </c>
      <c r="T296" s="6" t="s">
        <v>5228</v>
      </c>
      <c r="U296" s="6">
        <v>895</v>
      </c>
      <c r="V296" s="6">
        <v>7</v>
      </c>
      <c r="W296" s="6" t="s">
        <v>7546</v>
      </c>
      <c r="Y296" t="s">
        <v>5090</v>
      </c>
      <c r="Z296" t="s">
        <v>5091</v>
      </c>
      <c r="AA296" s="6">
        <f t="shared" si="38"/>
        <v>800</v>
      </c>
      <c r="AB296">
        <v>31</v>
      </c>
      <c r="AC296">
        <v>152</v>
      </c>
      <c r="AD296">
        <v>101</v>
      </c>
    </row>
    <row r="297" spans="1:30" ht="17" x14ac:dyDescent="0.25">
      <c r="A297" s="1" t="s">
        <v>299</v>
      </c>
      <c r="B297" s="1" t="s">
        <v>2951</v>
      </c>
      <c r="C297" s="1" t="s">
        <v>1626</v>
      </c>
      <c r="D297" t="str">
        <f t="shared" si="39"/>
        <v>1F9866</v>
      </c>
      <c r="E297" t="str">
        <f t="shared" si="40"/>
        <v>31-152-102</v>
      </c>
      <c r="F297" t="str">
        <f t="shared" si="41"/>
        <v>31152102</v>
      </c>
      <c r="G297">
        <f t="shared" si="42"/>
        <v>31</v>
      </c>
      <c r="H297">
        <f t="shared" si="43"/>
        <v>152</v>
      </c>
      <c r="I297">
        <f t="shared" si="44"/>
        <v>102</v>
      </c>
      <c r="J297" t="str">
        <f t="shared" si="36"/>
        <v>AIv6a",</v>
      </c>
      <c r="K297" t="str">
        <f t="shared" si="36"/>
        <v>Agranular insular area, ventral part, layer 6a",</v>
      </c>
      <c r="L297" t="str">
        <f t="shared" si="37"/>
        <v>AIv6a</v>
      </c>
      <c r="M297" t="str">
        <f t="shared" si="37"/>
        <v>Agranular insular area, ventral part, layer 6a</v>
      </c>
      <c r="N297" t="s">
        <v>5092</v>
      </c>
      <c r="O297" t="s">
        <v>5093</v>
      </c>
      <c r="Q297" s="6">
        <v>375</v>
      </c>
      <c r="R297" s="6">
        <v>427</v>
      </c>
      <c r="S297" s="6" t="s">
        <v>7228</v>
      </c>
      <c r="T297" s="6" t="s">
        <v>7166</v>
      </c>
      <c r="U297" s="6">
        <v>895</v>
      </c>
      <c r="V297" s="6">
        <v>7</v>
      </c>
      <c r="W297" s="6" t="s">
        <v>7547</v>
      </c>
      <c r="Y297" t="s">
        <v>5092</v>
      </c>
      <c r="Z297" t="s">
        <v>5093</v>
      </c>
      <c r="AA297" s="6">
        <f t="shared" si="38"/>
        <v>675</v>
      </c>
      <c r="AB297">
        <v>31</v>
      </c>
      <c r="AC297">
        <v>152</v>
      </c>
      <c r="AD297">
        <v>102</v>
      </c>
    </row>
    <row r="298" spans="1:30" ht="17" x14ac:dyDescent="0.25">
      <c r="A298" s="1" t="s">
        <v>300</v>
      </c>
      <c r="B298" s="1" t="s">
        <v>2952</v>
      </c>
      <c r="C298" s="1" t="s">
        <v>1627</v>
      </c>
      <c r="D298" t="str">
        <f t="shared" si="39"/>
        <v>219665</v>
      </c>
      <c r="E298" t="str">
        <f t="shared" si="40"/>
        <v>33-150-101</v>
      </c>
      <c r="F298" t="str">
        <f t="shared" si="41"/>
        <v>33150101</v>
      </c>
      <c r="G298">
        <f t="shared" si="42"/>
        <v>33</v>
      </c>
      <c r="H298">
        <f t="shared" si="43"/>
        <v>150</v>
      </c>
      <c r="I298">
        <f t="shared" si="44"/>
        <v>101</v>
      </c>
      <c r="J298" t="str">
        <f t="shared" si="36"/>
        <v>AIv6b",</v>
      </c>
      <c r="K298" t="str">
        <f t="shared" si="36"/>
        <v>Agranular insular area, ventral part, layer 6b",</v>
      </c>
      <c r="L298" t="str">
        <f t="shared" si="37"/>
        <v>AIv6b</v>
      </c>
      <c r="M298" t="str">
        <f t="shared" si="37"/>
        <v>Agranular insular area, ventral part, layer 6b</v>
      </c>
      <c r="N298" t="s">
        <v>5094</v>
      </c>
      <c r="O298" t="s">
        <v>5095</v>
      </c>
      <c r="Q298" s="6">
        <v>376</v>
      </c>
      <c r="R298" s="6">
        <v>988</v>
      </c>
      <c r="S298" s="6" t="s">
        <v>7229</v>
      </c>
      <c r="T298" s="6" t="s">
        <v>5229</v>
      </c>
      <c r="U298" s="6">
        <v>895</v>
      </c>
      <c r="V298" s="6">
        <v>7</v>
      </c>
      <c r="W298" s="6" t="s">
        <v>7548</v>
      </c>
      <c r="Y298" t="s">
        <v>5094</v>
      </c>
      <c r="Z298" t="s">
        <v>5095</v>
      </c>
      <c r="AA298" s="6">
        <f t="shared" si="38"/>
        <v>699</v>
      </c>
      <c r="AB298">
        <v>33</v>
      </c>
      <c r="AC298">
        <v>150</v>
      </c>
      <c r="AD298">
        <v>101</v>
      </c>
    </row>
    <row r="299" spans="1:30" ht="17" x14ac:dyDescent="0.25">
      <c r="A299" s="1" t="s">
        <v>301</v>
      </c>
      <c r="B299" s="1" t="s">
        <v>2953</v>
      </c>
      <c r="C299" s="1" t="s">
        <v>1628</v>
      </c>
      <c r="D299" t="str">
        <f t="shared" si="39"/>
        <v>1AA698</v>
      </c>
      <c r="E299" t="str">
        <f t="shared" si="40"/>
        <v>26-166-152</v>
      </c>
      <c r="F299" t="str">
        <f t="shared" si="41"/>
        <v>26166152</v>
      </c>
      <c r="G299">
        <f t="shared" si="42"/>
        <v>26</v>
      </c>
      <c r="H299">
        <f t="shared" si="43"/>
        <v>166</v>
      </c>
      <c r="I299">
        <f t="shared" si="44"/>
        <v>152</v>
      </c>
      <c r="J299" t="str">
        <f t="shared" si="36"/>
        <v>RSP",</v>
      </c>
      <c r="K299" t="str">
        <f t="shared" si="36"/>
        <v>Retrosplenial area",</v>
      </c>
      <c r="L299" t="str">
        <f t="shared" si="37"/>
        <v>RSP</v>
      </c>
      <c r="M299" t="str">
        <f t="shared" si="37"/>
        <v>Retrosplenial area</v>
      </c>
      <c r="N299" t="s">
        <v>5096</v>
      </c>
      <c r="O299" t="s">
        <v>5097</v>
      </c>
      <c r="Q299" s="6">
        <v>377</v>
      </c>
      <c r="R299" s="6">
        <v>977</v>
      </c>
      <c r="S299" s="6" t="s">
        <v>7230</v>
      </c>
      <c r="T299" s="6" t="s">
        <v>5230</v>
      </c>
      <c r="U299" s="6">
        <v>895</v>
      </c>
      <c r="V299" s="6">
        <v>7</v>
      </c>
      <c r="W299" s="6" t="s">
        <v>7549</v>
      </c>
      <c r="Y299" t="s">
        <v>5096</v>
      </c>
      <c r="Z299" t="s">
        <v>5097</v>
      </c>
      <c r="AA299" s="6">
        <f t="shared" si="38"/>
        <v>254</v>
      </c>
      <c r="AB299">
        <v>26</v>
      </c>
      <c r="AC299">
        <v>166</v>
      </c>
      <c r="AD299">
        <v>152</v>
      </c>
    </row>
    <row r="300" spans="1:30" ht="17" x14ac:dyDescent="0.25">
      <c r="A300" s="1" t="s">
        <v>302</v>
      </c>
      <c r="B300" s="1" t="s">
        <v>2954</v>
      </c>
      <c r="C300" s="1" t="s">
        <v>1629</v>
      </c>
      <c r="D300" t="str">
        <f t="shared" si="39"/>
        <v>1BA497</v>
      </c>
      <c r="E300" t="str">
        <f t="shared" si="40"/>
        <v>27-164-151</v>
      </c>
      <c r="F300" t="str">
        <f t="shared" si="41"/>
        <v>27164151</v>
      </c>
      <c r="G300">
        <f t="shared" si="42"/>
        <v>27</v>
      </c>
      <c r="H300">
        <f t="shared" si="43"/>
        <v>164</v>
      </c>
      <c r="I300">
        <f t="shared" si="44"/>
        <v>151</v>
      </c>
      <c r="J300" t="str">
        <f t="shared" si="36"/>
        <v>RSPagl",</v>
      </c>
      <c r="K300" t="str">
        <f t="shared" si="36"/>
        <v>Retrosplenial area, lateral agranular part",</v>
      </c>
      <c r="L300" t="str">
        <f t="shared" si="37"/>
        <v>RSPagl</v>
      </c>
      <c r="M300" t="str">
        <f t="shared" si="37"/>
        <v>Retrosplenial area, lateral agranular part</v>
      </c>
      <c r="N300" t="s">
        <v>5098</v>
      </c>
      <c r="O300" t="s">
        <v>5099</v>
      </c>
      <c r="Q300" s="6">
        <v>378</v>
      </c>
      <c r="R300" s="6">
        <v>1045</v>
      </c>
      <c r="S300" s="6" t="s">
        <v>7231</v>
      </c>
      <c r="T300" s="6" t="s">
        <v>5231</v>
      </c>
      <c r="U300" s="6">
        <v>895</v>
      </c>
      <c r="V300" s="6">
        <v>7</v>
      </c>
      <c r="W300" s="6" t="s">
        <v>7550</v>
      </c>
      <c r="Y300" t="s">
        <v>5098</v>
      </c>
      <c r="Z300" t="s">
        <v>5099</v>
      </c>
      <c r="AA300" s="6">
        <f t="shared" si="38"/>
        <v>894</v>
      </c>
      <c r="AB300">
        <v>27</v>
      </c>
      <c r="AC300">
        <v>164</v>
      </c>
      <c r="AD300">
        <v>151</v>
      </c>
    </row>
    <row r="301" spans="1:30" ht="17" x14ac:dyDescent="0.25">
      <c r="A301" s="1" t="s">
        <v>303</v>
      </c>
      <c r="B301" s="1" t="s">
        <v>2955</v>
      </c>
      <c r="C301" s="1" t="s">
        <v>1630</v>
      </c>
      <c r="D301" t="str">
        <f t="shared" si="39"/>
        <v>1BA696</v>
      </c>
      <c r="E301" t="str">
        <f t="shared" si="40"/>
        <v>27-166-150</v>
      </c>
      <c r="F301" t="str">
        <f t="shared" si="41"/>
        <v>27166150</v>
      </c>
      <c r="G301">
        <f t="shared" si="42"/>
        <v>27</v>
      </c>
      <c r="H301">
        <f t="shared" si="43"/>
        <v>166</v>
      </c>
      <c r="I301">
        <f t="shared" si="44"/>
        <v>150</v>
      </c>
      <c r="J301" t="str">
        <f t="shared" si="36"/>
        <v>RSPagl1",</v>
      </c>
      <c r="K301" t="str">
        <f t="shared" si="36"/>
        <v>Retrosplenial area, lateral agranular part, layer 1",</v>
      </c>
      <c r="L301" t="str">
        <f t="shared" si="37"/>
        <v>RSPagl1</v>
      </c>
      <c r="M301" t="str">
        <f t="shared" si="37"/>
        <v>Retrosplenial area, lateral agranular part, layer 1</v>
      </c>
      <c r="N301" t="s">
        <v>5100</v>
      </c>
      <c r="O301" t="s">
        <v>5101</v>
      </c>
      <c r="Q301" s="6">
        <v>379</v>
      </c>
      <c r="R301" s="6">
        <v>698</v>
      </c>
      <c r="S301" s="6" t="s">
        <v>5233</v>
      </c>
      <c r="T301" s="6" t="s">
        <v>5232</v>
      </c>
      <c r="U301" s="6">
        <v>695</v>
      </c>
      <c r="V301" s="6">
        <v>5</v>
      </c>
      <c r="W301" s="6" t="s">
        <v>7551</v>
      </c>
      <c r="Y301" t="s">
        <v>5100</v>
      </c>
      <c r="Z301" t="s">
        <v>5101</v>
      </c>
      <c r="AA301" s="6">
        <f t="shared" si="38"/>
        <v>671</v>
      </c>
      <c r="AB301">
        <v>27</v>
      </c>
      <c r="AC301">
        <v>166</v>
      </c>
      <c r="AD301">
        <v>150</v>
      </c>
    </row>
    <row r="302" spans="1:30" ht="17" x14ac:dyDescent="0.25">
      <c r="A302" s="1" t="s">
        <v>304</v>
      </c>
      <c r="B302" s="1" t="s">
        <v>2956</v>
      </c>
      <c r="C302" s="1" t="s">
        <v>1631</v>
      </c>
      <c r="D302" t="str">
        <f t="shared" si="39"/>
        <v>1AA496</v>
      </c>
      <c r="E302" t="str">
        <f t="shared" si="40"/>
        <v>26-164-150</v>
      </c>
      <c r="F302" t="str">
        <f t="shared" si="41"/>
        <v>26164150</v>
      </c>
      <c r="G302">
        <f t="shared" si="42"/>
        <v>26</v>
      </c>
      <c r="H302">
        <f t="shared" si="43"/>
        <v>164</v>
      </c>
      <c r="I302">
        <f t="shared" si="44"/>
        <v>150</v>
      </c>
      <c r="J302" t="str">
        <f t="shared" si="36"/>
        <v>RSPagl2\/3",</v>
      </c>
      <c r="K302" t="str">
        <f t="shared" si="36"/>
        <v>Retrosplenial area, lateral agranular part, layer 2\/3",</v>
      </c>
      <c r="L302" t="str">
        <f t="shared" si="37"/>
        <v>RSPagl2\/3</v>
      </c>
      <c r="M302" t="str">
        <f t="shared" si="37"/>
        <v>Retrosplenial area, lateral agranular part, layer 2\/3</v>
      </c>
      <c r="N302" t="s">
        <v>7155</v>
      </c>
      <c r="O302" t="s">
        <v>7216</v>
      </c>
      <c r="Q302" s="6">
        <v>380</v>
      </c>
      <c r="R302" s="6">
        <v>507</v>
      </c>
      <c r="S302" s="6" t="s">
        <v>5235</v>
      </c>
      <c r="T302" s="6" t="s">
        <v>5234</v>
      </c>
      <c r="U302" s="6">
        <v>698</v>
      </c>
      <c r="V302" s="6">
        <v>6</v>
      </c>
      <c r="W302" s="6" t="s">
        <v>7552</v>
      </c>
      <c r="Y302" t="s">
        <v>7155</v>
      </c>
      <c r="Z302" t="s">
        <v>7216</v>
      </c>
      <c r="AA302" s="6">
        <f t="shared" si="38"/>
        <v>965</v>
      </c>
      <c r="AB302">
        <v>26</v>
      </c>
      <c r="AC302">
        <v>164</v>
      </c>
      <c r="AD302">
        <v>150</v>
      </c>
    </row>
    <row r="303" spans="1:30" ht="17" x14ac:dyDescent="0.25">
      <c r="A303" s="1" t="s">
        <v>305</v>
      </c>
      <c r="B303" s="1" t="s">
        <v>2957</v>
      </c>
      <c r="C303" s="1" t="s">
        <v>1632</v>
      </c>
      <c r="D303" t="str">
        <f t="shared" si="39"/>
        <v>1CA697</v>
      </c>
      <c r="E303" t="str">
        <f t="shared" si="40"/>
        <v>28-166-151</v>
      </c>
      <c r="F303" t="str">
        <f t="shared" si="41"/>
        <v>28166151</v>
      </c>
      <c r="G303">
        <f t="shared" si="42"/>
        <v>28</v>
      </c>
      <c r="H303">
        <f t="shared" si="43"/>
        <v>166</v>
      </c>
      <c r="I303">
        <f t="shared" si="44"/>
        <v>151</v>
      </c>
      <c r="J303" t="str">
        <f t="shared" si="36"/>
        <v>RSPagl5",</v>
      </c>
      <c r="K303" t="str">
        <f t="shared" si="36"/>
        <v>Retrosplenial area, lateral agranular part, layer 5",</v>
      </c>
      <c r="L303" t="str">
        <f t="shared" si="37"/>
        <v>RSPagl5</v>
      </c>
      <c r="M303" t="str">
        <f t="shared" si="37"/>
        <v>Retrosplenial area, lateral agranular part, layer 5</v>
      </c>
      <c r="N303" t="s">
        <v>5102</v>
      </c>
      <c r="O303" t="s">
        <v>5103</v>
      </c>
      <c r="Q303" s="6">
        <v>386</v>
      </c>
      <c r="R303" s="6">
        <v>151</v>
      </c>
      <c r="S303" s="6" t="s">
        <v>5247</v>
      </c>
      <c r="T303" s="6" t="s">
        <v>5246</v>
      </c>
      <c r="U303" s="6">
        <v>698</v>
      </c>
      <c r="V303" s="6">
        <v>6</v>
      </c>
      <c r="W303" s="6" t="s">
        <v>7553</v>
      </c>
      <c r="Y303" t="s">
        <v>5102</v>
      </c>
      <c r="Z303" t="s">
        <v>5103</v>
      </c>
      <c r="AA303" s="6">
        <f t="shared" si="38"/>
        <v>774</v>
      </c>
      <c r="AB303">
        <v>28</v>
      </c>
      <c r="AC303">
        <v>166</v>
      </c>
      <c r="AD303">
        <v>151</v>
      </c>
    </row>
    <row r="304" spans="1:30" ht="17" x14ac:dyDescent="0.25">
      <c r="A304" s="1" t="s">
        <v>306</v>
      </c>
      <c r="B304" s="1" t="s">
        <v>2958</v>
      </c>
      <c r="C304" s="1" t="s">
        <v>1633</v>
      </c>
      <c r="D304" t="str">
        <f t="shared" si="39"/>
        <v>1CA597</v>
      </c>
      <c r="E304" t="str">
        <f t="shared" si="40"/>
        <v>28-165-151</v>
      </c>
      <c r="F304" t="str">
        <f t="shared" si="41"/>
        <v>28165151</v>
      </c>
      <c r="G304">
        <f t="shared" si="42"/>
        <v>28</v>
      </c>
      <c r="H304">
        <f t="shared" si="43"/>
        <v>165</v>
      </c>
      <c r="I304">
        <f t="shared" si="44"/>
        <v>151</v>
      </c>
      <c r="J304" t="str">
        <f t="shared" si="36"/>
        <v>RSPagl6a",</v>
      </c>
      <c r="K304" t="str">
        <f t="shared" si="36"/>
        <v>Retrosplenial area, lateral agranular part, layer 6a",</v>
      </c>
      <c r="L304" t="str">
        <f t="shared" si="37"/>
        <v>RSPagl6a</v>
      </c>
      <c r="M304" t="str">
        <f t="shared" si="37"/>
        <v>Retrosplenial area, lateral agranular part, layer 6a</v>
      </c>
      <c r="N304" t="s">
        <v>5104</v>
      </c>
      <c r="O304" t="s">
        <v>5105</v>
      </c>
      <c r="Q304" s="6">
        <v>387</v>
      </c>
      <c r="R304" s="6">
        <v>188</v>
      </c>
      <c r="S304" s="6" t="s">
        <v>5249</v>
      </c>
      <c r="T304" s="6" t="s">
        <v>5248</v>
      </c>
      <c r="U304" s="6">
        <v>151</v>
      </c>
      <c r="V304" s="6">
        <v>7</v>
      </c>
      <c r="W304" s="6" t="s">
        <v>7554</v>
      </c>
      <c r="Y304" t="s">
        <v>5104</v>
      </c>
      <c r="Z304" t="s">
        <v>5105</v>
      </c>
      <c r="AA304" s="6">
        <f t="shared" si="38"/>
        <v>906</v>
      </c>
      <c r="AB304">
        <v>28</v>
      </c>
      <c r="AC304">
        <v>165</v>
      </c>
      <c r="AD304">
        <v>151</v>
      </c>
    </row>
    <row r="305" spans="1:30" ht="17" x14ac:dyDescent="0.25">
      <c r="A305" s="1" t="s">
        <v>307</v>
      </c>
      <c r="B305" s="1" t="s">
        <v>2959</v>
      </c>
      <c r="C305" s="1" t="s">
        <v>1634</v>
      </c>
      <c r="D305" t="str">
        <f t="shared" si="39"/>
        <v>1AA598</v>
      </c>
      <c r="E305" t="str">
        <f t="shared" si="40"/>
        <v>26-165-152</v>
      </c>
      <c r="F305" t="str">
        <f t="shared" si="41"/>
        <v>26165152</v>
      </c>
      <c r="G305">
        <f t="shared" si="42"/>
        <v>26</v>
      </c>
      <c r="H305">
        <f t="shared" si="43"/>
        <v>165</v>
      </c>
      <c r="I305">
        <f t="shared" si="44"/>
        <v>152</v>
      </c>
      <c r="J305" t="str">
        <f t="shared" si="36"/>
        <v>RSPagl6b",</v>
      </c>
      <c r="K305" t="str">
        <f t="shared" si="36"/>
        <v>Retrosplenial area, lateral agranular part, layer 6b",</v>
      </c>
      <c r="L305" t="str">
        <f t="shared" si="37"/>
        <v>RSPagl6b</v>
      </c>
      <c r="M305" t="str">
        <f t="shared" si="37"/>
        <v>Retrosplenial area, lateral agranular part, layer 6b</v>
      </c>
      <c r="N305" t="s">
        <v>5106</v>
      </c>
      <c r="O305" t="s">
        <v>5107</v>
      </c>
      <c r="Q305" s="6">
        <v>388</v>
      </c>
      <c r="R305" s="6">
        <v>196</v>
      </c>
      <c r="S305" s="6" t="s">
        <v>5251</v>
      </c>
      <c r="T305" s="6" t="s">
        <v>5250</v>
      </c>
      <c r="U305" s="6">
        <v>151</v>
      </c>
      <c r="V305" s="6">
        <v>7</v>
      </c>
      <c r="W305" s="6" t="s">
        <v>7555</v>
      </c>
      <c r="Y305" t="s">
        <v>5106</v>
      </c>
      <c r="Z305" t="s">
        <v>5107</v>
      </c>
      <c r="AA305" s="6">
        <f t="shared" si="38"/>
        <v>279</v>
      </c>
      <c r="AB305">
        <v>26</v>
      </c>
      <c r="AC305">
        <v>165</v>
      </c>
      <c r="AD305">
        <v>152</v>
      </c>
    </row>
    <row r="306" spans="1:30" ht="17" x14ac:dyDescent="0.25">
      <c r="A306" s="1" t="s">
        <v>308</v>
      </c>
      <c r="B306" s="1" t="s">
        <v>2960</v>
      </c>
      <c r="C306" s="1" t="s">
        <v>1635</v>
      </c>
      <c r="D306" t="str">
        <f t="shared" si="39"/>
        <v>1CA696</v>
      </c>
      <c r="E306" t="str">
        <f t="shared" si="40"/>
        <v>28-166-150</v>
      </c>
      <c r="F306" t="str">
        <f t="shared" si="41"/>
        <v>28166150</v>
      </c>
      <c r="G306">
        <f t="shared" si="42"/>
        <v>28</v>
      </c>
      <c r="H306">
        <f t="shared" si="43"/>
        <v>166</v>
      </c>
      <c r="I306">
        <f t="shared" si="44"/>
        <v>150</v>
      </c>
      <c r="J306" t="str">
        <f t="shared" si="36"/>
        <v>VISmma",</v>
      </c>
      <c r="K306" t="str">
        <f t="shared" si="36"/>
        <v>Mediomedial anterior visual area",</v>
      </c>
      <c r="L306" t="str">
        <f t="shared" si="37"/>
        <v>VISmma</v>
      </c>
      <c r="M306" t="str">
        <f t="shared" si="37"/>
        <v>Mediomedial anterior visual area</v>
      </c>
      <c r="N306" t="s">
        <v>5108</v>
      </c>
      <c r="O306" t="s">
        <v>5109</v>
      </c>
      <c r="Q306" s="6">
        <v>389</v>
      </c>
      <c r="R306" s="6">
        <v>204</v>
      </c>
      <c r="S306" s="6" t="s">
        <v>5253</v>
      </c>
      <c r="T306" s="6" t="s">
        <v>5252</v>
      </c>
      <c r="U306" s="6">
        <v>151</v>
      </c>
      <c r="V306" s="6">
        <v>7</v>
      </c>
      <c r="W306" s="6" t="s">
        <v>7556</v>
      </c>
      <c r="Y306" t="s">
        <v>5108</v>
      </c>
      <c r="Z306" t="s">
        <v>5109</v>
      </c>
      <c r="AA306" s="6" t="str">
        <f t="shared" si="38"/>
        <v/>
      </c>
      <c r="AB306">
        <v>28</v>
      </c>
      <c r="AC306">
        <v>166</v>
      </c>
      <c r="AD306">
        <v>150</v>
      </c>
    </row>
    <row r="307" spans="1:30" ht="17" x14ac:dyDescent="0.25">
      <c r="A307" s="1" t="s">
        <v>309</v>
      </c>
      <c r="B307" s="1" t="s">
        <v>2961</v>
      </c>
      <c r="C307" s="1" t="s">
        <v>1636</v>
      </c>
      <c r="D307" t="str">
        <f t="shared" si="39"/>
        <v>1CA498</v>
      </c>
      <c r="E307" t="str">
        <f t="shared" si="40"/>
        <v>28-164-152</v>
      </c>
      <c r="F307" t="str">
        <f t="shared" si="41"/>
        <v>28164152</v>
      </c>
      <c r="G307">
        <f t="shared" si="42"/>
        <v>28</v>
      </c>
      <c r="H307">
        <f t="shared" si="43"/>
        <v>164</v>
      </c>
      <c r="I307">
        <f t="shared" si="44"/>
        <v>152</v>
      </c>
      <c r="J307" t="str">
        <f t="shared" si="36"/>
        <v>VISmma1",</v>
      </c>
      <c r="K307" t="str">
        <f t="shared" si="36"/>
        <v>Mediomedial anterior visual area, layer 1",</v>
      </c>
      <c r="L307" t="str">
        <f t="shared" si="37"/>
        <v>VISmma1</v>
      </c>
      <c r="M307" t="str">
        <f t="shared" si="37"/>
        <v>Mediomedial anterior visual area, layer 1</v>
      </c>
      <c r="N307" t="s">
        <v>5110</v>
      </c>
      <c r="O307" t="s">
        <v>5111</v>
      </c>
      <c r="Q307" s="6">
        <v>390</v>
      </c>
      <c r="R307" s="6">
        <v>159</v>
      </c>
      <c r="S307" s="6" t="s">
        <v>5255</v>
      </c>
      <c r="T307" s="6" t="s">
        <v>5254</v>
      </c>
      <c r="U307" s="6">
        <v>698</v>
      </c>
      <c r="V307" s="6">
        <v>6</v>
      </c>
      <c r="W307" s="6" t="s">
        <v>7557</v>
      </c>
      <c r="Y307" t="s">
        <v>5110</v>
      </c>
      <c r="Z307" t="s">
        <v>5111</v>
      </c>
      <c r="AA307" s="6" t="str">
        <f t="shared" si="38"/>
        <v/>
      </c>
      <c r="AB307">
        <v>28</v>
      </c>
      <c r="AC307">
        <v>164</v>
      </c>
      <c r="AD307">
        <v>152</v>
      </c>
    </row>
    <row r="308" spans="1:30" ht="17" x14ac:dyDescent="0.25">
      <c r="A308" s="1" t="s">
        <v>310</v>
      </c>
      <c r="B308" s="1" t="s">
        <v>2962</v>
      </c>
      <c r="C308" s="1" t="s">
        <v>1637</v>
      </c>
      <c r="D308" t="str">
        <f t="shared" si="39"/>
        <v>1AA695</v>
      </c>
      <c r="E308" t="str">
        <f t="shared" si="40"/>
        <v>26-166-149</v>
      </c>
      <c r="F308" t="str">
        <f t="shared" si="41"/>
        <v>26166149</v>
      </c>
      <c r="G308">
        <f t="shared" si="42"/>
        <v>26</v>
      </c>
      <c r="H308">
        <f t="shared" si="43"/>
        <v>166</v>
      </c>
      <c r="I308">
        <f t="shared" si="44"/>
        <v>149</v>
      </c>
      <c r="J308" t="str">
        <f t="shared" si="36"/>
        <v>VISmma2\/3",</v>
      </c>
      <c r="K308" t="str">
        <f t="shared" si="36"/>
        <v>Mediomedial anterior visual area, layer 2\/3",</v>
      </c>
      <c r="L308" t="str">
        <f t="shared" si="37"/>
        <v>VISmma2\/3</v>
      </c>
      <c r="M308" t="str">
        <f t="shared" si="37"/>
        <v>Mediomedial anterior visual area, layer 2\/3</v>
      </c>
      <c r="N308" t="s">
        <v>7156</v>
      </c>
      <c r="O308" t="s">
        <v>7217</v>
      </c>
      <c r="Q308" s="6">
        <v>398</v>
      </c>
      <c r="R308" s="6">
        <v>589</v>
      </c>
      <c r="S308" s="6" t="s">
        <v>5271</v>
      </c>
      <c r="T308" s="6" t="s">
        <v>5270</v>
      </c>
      <c r="U308" s="6">
        <v>698</v>
      </c>
      <c r="V308" s="6">
        <v>6</v>
      </c>
      <c r="W308" s="6" t="s">
        <v>7558</v>
      </c>
      <c r="Y308" t="s">
        <v>7156</v>
      </c>
      <c r="Z308" t="s">
        <v>7217</v>
      </c>
      <c r="AA308" s="6" t="str">
        <f t="shared" si="38"/>
        <v/>
      </c>
      <c r="AB308">
        <v>26</v>
      </c>
      <c r="AC308">
        <v>166</v>
      </c>
      <c r="AD308">
        <v>149</v>
      </c>
    </row>
    <row r="309" spans="1:30" ht="17" x14ac:dyDescent="0.25">
      <c r="A309" s="1" t="s">
        <v>311</v>
      </c>
      <c r="B309" s="1" t="s">
        <v>2963</v>
      </c>
      <c r="C309" s="1" t="s">
        <v>1638</v>
      </c>
      <c r="D309" t="str">
        <f t="shared" si="39"/>
        <v>1AA398</v>
      </c>
      <c r="E309" t="str">
        <f t="shared" si="40"/>
        <v>26-163-152</v>
      </c>
      <c r="F309" t="str">
        <f t="shared" si="41"/>
        <v>26163152</v>
      </c>
      <c r="G309">
        <f t="shared" si="42"/>
        <v>26</v>
      </c>
      <c r="H309">
        <f t="shared" si="43"/>
        <v>163</v>
      </c>
      <c r="I309">
        <f t="shared" si="44"/>
        <v>152</v>
      </c>
      <c r="J309" t="str">
        <f t="shared" si="36"/>
        <v>VISmma4",</v>
      </c>
      <c r="K309" t="str">
        <f t="shared" si="36"/>
        <v>Mediomedial anterior visual area, layer 4",</v>
      </c>
      <c r="L309" t="str">
        <f t="shared" si="37"/>
        <v>VISmma4</v>
      </c>
      <c r="M309" t="str">
        <f t="shared" si="37"/>
        <v>Mediomedial anterior visual area, layer 4</v>
      </c>
      <c r="N309" t="s">
        <v>5112</v>
      </c>
      <c r="O309" t="s">
        <v>5113</v>
      </c>
      <c r="Q309" s="6">
        <v>399</v>
      </c>
      <c r="R309" s="6">
        <v>597</v>
      </c>
      <c r="S309" s="6" t="s">
        <v>5273</v>
      </c>
      <c r="T309" s="6" t="s">
        <v>5272</v>
      </c>
      <c r="U309" s="6">
        <v>589</v>
      </c>
      <c r="V309" s="6">
        <v>7</v>
      </c>
      <c r="W309" s="6" t="s">
        <v>7559</v>
      </c>
      <c r="Y309" t="s">
        <v>5112</v>
      </c>
      <c r="Z309" t="s">
        <v>5113</v>
      </c>
      <c r="AA309" s="6" t="str">
        <f t="shared" si="38"/>
        <v/>
      </c>
      <c r="AB309">
        <v>26</v>
      </c>
      <c r="AC309">
        <v>163</v>
      </c>
      <c r="AD309">
        <v>152</v>
      </c>
    </row>
    <row r="310" spans="1:30" ht="17" x14ac:dyDescent="0.25">
      <c r="A310" s="1" t="s">
        <v>312</v>
      </c>
      <c r="B310" s="1" t="s">
        <v>2964</v>
      </c>
      <c r="C310" s="1" t="s">
        <v>1639</v>
      </c>
      <c r="D310" t="str">
        <f t="shared" si="39"/>
        <v>1BA496</v>
      </c>
      <c r="E310" t="str">
        <f t="shared" si="40"/>
        <v>27-164-150</v>
      </c>
      <c r="F310" t="str">
        <f t="shared" si="41"/>
        <v>27164150</v>
      </c>
      <c r="G310">
        <f t="shared" si="42"/>
        <v>27</v>
      </c>
      <c r="H310">
        <f t="shared" si="43"/>
        <v>164</v>
      </c>
      <c r="I310">
        <f t="shared" si="44"/>
        <v>150</v>
      </c>
      <c r="J310" t="str">
        <f t="shared" si="36"/>
        <v>VISmma5",</v>
      </c>
      <c r="K310" t="str">
        <f t="shared" si="36"/>
        <v>Mediomedial anterior visual area,layer 5",</v>
      </c>
      <c r="L310" t="str">
        <f t="shared" si="37"/>
        <v>VISmma5</v>
      </c>
      <c r="M310" t="str">
        <f t="shared" si="37"/>
        <v>Mediomedial anterior visual area,layer 5</v>
      </c>
      <c r="N310" t="s">
        <v>5114</v>
      </c>
      <c r="O310" t="s">
        <v>5115</v>
      </c>
      <c r="Q310" s="6">
        <v>405</v>
      </c>
      <c r="R310" s="6">
        <v>605</v>
      </c>
      <c r="S310" s="6" t="s">
        <v>5285</v>
      </c>
      <c r="T310" s="6" t="s">
        <v>5284</v>
      </c>
      <c r="U310" s="6">
        <v>589</v>
      </c>
      <c r="V310" s="6">
        <v>7</v>
      </c>
      <c r="W310" s="6" t="s">
        <v>7560</v>
      </c>
      <c r="Y310" t="s">
        <v>5114</v>
      </c>
      <c r="Z310" t="s">
        <v>5115</v>
      </c>
      <c r="AA310" s="6" t="str">
        <f t="shared" si="38"/>
        <v/>
      </c>
      <c r="AB310">
        <v>27</v>
      </c>
      <c r="AC310">
        <v>164</v>
      </c>
      <c r="AD310">
        <v>150</v>
      </c>
    </row>
    <row r="311" spans="1:30" ht="17" x14ac:dyDescent="0.25">
      <c r="A311" s="1" t="s">
        <v>313</v>
      </c>
      <c r="B311" s="1" t="s">
        <v>2965</v>
      </c>
      <c r="C311" s="1" t="s">
        <v>1640</v>
      </c>
      <c r="D311" t="str">
        <f t="shared" si="39"/>
        <v>1CA596</v>
      </c>
      <c r="E311" t="str">
        <f t="shared" si="40"/>
        <v>28-165-150</v>
      </c>
      <c r="F311" t="str">
        <f t="shared" si="41"/>
        <v>28165150</v>
      </c>
      <c r="G311">
        <f t="shared" si="42"/>
        <v>28</v>
      </c>
      <c r="H311">
        <f t="shared" si="43"/>
        <v>165</v>
      </c>
      <c r="I311">
        <f t="shared" si="44"/>
        <v>150</v>
      </c>
      <c r="J311" t="str">
        <f t="shared" si="36"/>
        <v>VISmma6a",</v>
      </c>
      <c r="K311" t="str">
        <f t="shared" si="36"/>
        <v>Mediomedial anterior visual area, layer 6a",</v>
      </c>
      <c r="L311" t="str">
        <f t="shared" si="37"/>
        <v>VISmma6a</v>
      </c>
      <c r="M311" t="str">
        <f t="shared" si="37"/>
        <v>Mediomedial anterior visual area, layer 6a</v>
      </c>
      <c r="N311" t="s">
        <v>5116</v>
      </c>
      <c r="O311" t="s">
        <v>5117</v>
      </c>
      <c r="Q311" s="6">
        <v>410</v>
      </c>
      <c r="R311" s="6">
        <v>814</v>
      </c>
      <c r="S311" s="6" t="s">
        <v>5295</v>
      </c>
      <c r="T311" s="6" t="s">
        <v>5294</v>
      </c>
      <c r="U311" s="6">
        <v>698</v>
      </c>
      <c r="V311" s="6">
        <v>6</v>
      </c>
      <c r="W311" s="6" t="s">
        <v>7561</v>
      </c>
      <c r="Y311" t="s">
        <v>5116</v>
      </c>
      <c r="Z311" t="s">
        <v>5117</v>
      </c>
      <c r="AA311" s="6" t="str">
        <f t="shared" si="38"/>
        <v/>
      </c>
      <c r="AB311">
        <v>28</v>
      </c>
      <c r="AC311">
        <v>165</v>
      </c>
      <c r="AD311">
        <v>150</v>
      </c>
    </row>
    <row r="312" spans="1:30" ht="17" x14ac:dyDescent="0.25">
      <c r="A312" s="1" t="s">
        <v>314</v>
      </c>
      <c r="B312" s="1" t="s">
        <v>2966</v>
      </c>
      <c r="C312" s="1" t="s">
        <v>1641</v>
      </c>
      <c r="D312" t="str">
        <f t="shared" si="39"/>
        <v>1CA497</v>
      </c>
      <c r="E312" t="str">
        <f t="shared" si="40"/>
        <v>28-164-151</v>
      </c>
      <c r="F312" t="str">
        <f t="shared" si="41"/>
        <v>28164151</v>
      </c>
      <c r="G312">
        <f t="shared" si="42"/>
        <v>28</v>
      </c>
      <c r="H312">
        <f t="shared" si="43"/>
        <v>164</v>
      </c>
      <c r="I312">
        <f t="shared" si="44"/>
        <v>151</v>
      </c>
      <c r="J312" t="str">
        <f t="shared" si="36"/>
        <v>VISmma6b",</v>
      </c>
      <c r="K312" t="str">
        <f t="shared" si="36"/>
        <v>Mediomedial anterior visual area, layer 6b",</v>
      </c>
      <c r="L312" t="str">
        <f t="shared" si="37"/>
        <v>VISmma6b</v>
      </c>
      <c r="M312" t="str">
        <f t="shared" si="37"/>
        <v>Mediomedial anterior visual area, layer 6b</v>
      </c>
      <c r="N312" t="s">
        <v>5118</v>
      </c>
      <c r="O312" t="s">
        <v>5119</v>
      </c>
      <c r="Q312" s="6">
        <v>416</v>
      </c>
      <c r="R312" s="6">
        <v>961</v>
      </c>
      <c r="S312" s="6" t="s">
        <v>5305</v>
      </c>
      <c r="T312" s="6" t="s">
        <v>5304</v>
      </c>
      <c r="U312" s="6">
        <v>698</v>
      </c>
      <c r="V312" s="6">
        <v>6</v>
      </c>
      <c r="W312" s="6" t="s">
        <v>7562</v>
      </c>
      <c r="Y312" t="s">
        <v>5118</v>
      </c>
      <c r="Z312" t="s">
        <v>5119</v>
      </c>
      <c r="AA312" s="6" t="str">
        <f t="shared" si="38"/>
        <v/>
      </c>
      <c r="AB312">
        <v>28</v>
      </c>
      <c r="AC312">
        <v>164</v>
      </c>
      <c r="AD312">
        <v>151</v>
      </c>
    </row>
    <row r="313" spans="1:30" ht="17" x14ac:dyDescent="0.25">
      <c r="A313" s="1" t="s">
        <v>315</v>
      </c>
      <c r="B313" s="1" t="s">
        <v>2967</v>
      </c>
      <c r="C313" s="1" t="s">
        <v>1642</v>
      </c>
      <c r="D313" t="str">
        <f t="shared" si="39"/>
        <v>1DA698</v>
      </c>
      <c r="E313" t="str">
        <f t="shared" si="40"/>
        <v>29-166-152</v>
      </c>
      <c r="F313" t="str">
        <f t="shared" si="41"/>
        <v>29166152</v>
      </c>
      <c r="G313">
        <f t="shared" si="42"/>
        <v>29</v>
      </c>
      <c r="H313">
        <f t="shared" si="43"/>
        <v>166</v>
      </c>
      <c r="I313">
        <f t="shared" si="44"/>
        <v>152</v>
      </c>
      <c r="J313" t="str">
        <f t="shared" si="36"/>
        <v>VISmmp",</v>
      </c>
      <c r="K313" t="str">
        <f t="shared" si="36"/>
        <v>Mediomedial posterior visual area",</v>
      </c>
      <c r="L313" t="str">
        <f t="shared" si="37"/>
        <v>VISmmp</v>
      </c>
      <c r="M313" t="str">
        <f t="shared" si="37"/>
        <v>Mediomedial posterior visual area</v>
      </c>
      <c r="N313" t="s">
        <v>5120</v>
      </c>
      <c r="O313" t="s">
        <v>5121</v>
      </c>
      <c r="Q313" s="6">
        <v>421</v>
      </c>
      <c r="R313" s="6">
        <v>619</v>
      </c>
      <c r="S313" s="6" t="s">
        <v>5315</v>
      </c>
      <c r="T313" s="6" t="s">
        <v>5314</v>
      </c>
      <c r="U313" s="6">
        <v>698</v>
      </c>
      <c r="V313" s="6">
        <v>6</v>
      </c>
      <c r="W313" s="6" t="s">
        <v>7563</v>
      </c>
      <c r="Y313" t="s">
        <v>5120</v>
      </c>
      <c r="Z313" t="s">
        <v>5121</v>
      </c>
      <c r="AA313" s="6" t="str">
        <f t="shared" si="38"/>
        <v/>
      </c>
      <c r="AB313">
        <v>29</v>
      </c>
      <c r="AC313">
        <v>166</v>
      </c>
      <c r="AD313">
        <v>152</v>
      </c>
    </row>
    <row r="314" spans="1:30" ht="17" x14ac:dyDescent="0.25">
      <c r="A314" s="1" t="s">
        <v>316</v>
      </c>
      <c r="B314" s="1" t="s">
        <v>2968</v>
      </c>
      <c r="C314" s="1" t="s">
        <v>1643</v>
      </c>
      <c r="D314" t="str">
        <f t="shared" si="39"/>
        <v>1AA595</v>
      </c>
      <c r="E314" t="str">
        <f t="shared" si="40"/>
        <v>26-165-149</v>
      </c>
      <c r="F314" t="str">
        <f t="shared" si="41"/>
        <v>26165149</v>
      </c>
      <c r="G314">
        <f t="shared" si="42"/>
        <v>26</v>
      </c>
      <c r="H314">
        <f t="shared" si="43"/>
        <v>165</v>
      </c>
      <c r="I314">
        <f t="shared" si="44"/>
        <v>149</v>
      </c>
      <c r="J314" t="str">
        <f t="shared" si="36"/>
        <v>VISmmp1",</v>
      </c>
      <c r="K314" t="str">
        <f t="shared" si="36"/>
        <v>Mediomedial posterior visual area, layer 1",</v>
      </c>
      <c r="L314" t="str">
        <f t="shared" si="37"/>
        <v>VISmmp1</v>
      </c>
      <c r="M314" t="str">
        <f t="shared" si="37"/>
        <v>Mediomedial posterior visual area, layer 1</v>
      </c>
      <c r="N314" t="s">
        <v>5122</v>
      </c>
      <c r="O314" t="s">
        <v>5123</v>
      </c>
      <c r="Q314" s="6">
        <v>423</v>
      </c>
      <c r="R314" s="6">
        <v>260</v>
      </c>
      <c r="S314" s="6" t="s">
        <v>5319</v>
      </c>
      <c r="T314" s="6" t="s">
        <v>5318</v>
      </c>
      <c r="U314" s="6">
        <v>619</v>
      </c>
      <c r="V314" s="6">
        <v>7</v>
      </c>
      <c r="W314" s="6" t="s">
        <v>7564</v>
      </c>
      <c r="Y314" t="s">
        <v>5122</v>
      </c>
      <c r="Z314" t="s">
        <v>5123</v>
      </c>
      <c r="AA314" s="6" t="str">
        <f t="shared" si="38"/>
        <v/>
      </c>
      <c r="AB314">
        <v>26</v>
      </c>
      <c r="AC314">
        <v>165</v>
      </c>
      <c r="AD314">
        <v>149</v>
      </c>
    </row>
    <row r="315" spans="1:30" ht="17" x14ac:dyDescent="0.25">
      <c r="A315" s="1" t="s">
        <v>317</v>
      </c>
      <c r="B315" s="1" t="s">
        <v>2969</v>
      </c>
      <c r="C315" s="1" t="s">
        <v>1644</v>
      </c>
      <c r="D315" t="str">
        <f t="shared" si="39"/>
        <v>1AA397</v>
      </c>
      <c r="E315" t="str">
        <f t="shared" si="40"/>
        <v>26-163-151</v>
      </c>
      <c r="F315" t="str">
        <f t="shared" si="41"/>
        <v>26163151</v>
      </c>
      <c r="G315">
        <f t="shared" si="42"/>
        <v>26</v>
      </c>
      <c r="H315">
        <f t="shared" si="43"/>
        <v>163</v>
      </c>
      <c r="I315">
        <f t="shared" si="44"/>
        <v>151</v>
      </c>
      <c r="J315" t="str">
        <f t="shared" si="36"/>
        <v>VISmmp2\/3",</v>
      </c>
      <c r="K315" t="str">
        <f t="shared" si="36"/>
        <v>Mediomedial posterior visual area, layer 2\/3",</v>
      </c>
      <c r="L315" t="str">
        <f t="shared" si="37"/>
        <v>VISmmp2\/3</v>
      </c>
      <c r="M315" t="str">
        <f t="shared" si="37"/>
        <v>Mediomedial posterior visual area, layer 2\/3</v>
      </c>
      <c r="N315" t="s">
        <v>7157</v>
      </c>
      <c r="O315" t="s">
        <v>7218</v>
      </c>
      <c r="Q315" s="6">
        <v>424</v>
      </c>
      <c r="R315" s="6">
        <v>268</v>
      </c>
      <c r="S315" s="6" t="s">
        <v>5321</v>
      </c>
      <c r="T315" s="6" t="s">
        <v>5320</v>
      </c>
      <c r="U315" s="6">
        <v>619</v>
      </c>
      <c r="V315" s="6">
        <v>7</v>
      </c>
      <c r="W315" s="6" t="s">
        <v>7565</v>
      </c>
      <c r="Y315" t="s">
        <v>7157</v>
      </c>
      <c r="Z315" t="s">
        <v>7218</v>
      </c>
      <c r="AA315" s="6" t="str">
        <f t="shared" si="38"/>
        <v/>
      </c>
      <c r="AB315">
        <v>26</v>
      </c>
      <c r="AC315">
        <v>163</v>
      </c>
      <c r="AD315">
        <v>151</v>
      </c>
    </row>
    <row r="316" spans="1:30" ht="17" x14ac:dyDescent="0.25">
      <c r="A316" s="1" t="s">
        <v>318</v>
      </c>
      <c r="B316" s="1" t="s">
        <v>2970</v>
      </c>
      <c r="C316" s="1" t="s">
        <v>1645</v>
      </c>
      <c r="D316" t="str">
        <f t="shared" si="39"/>
        <v>1BA695</v>
      </c>
      <c r="E316" t="str">
        <f t="shared" si="40"/>
        <v>27-166-149</v>
      </c>
      <c r="F316" t="str">
        <f t="shared" si="41"/>
        <v>27166149</v>
      </c>
      <c r="G316">
        <f t="shared" si="42"/>
        <v>27</v>
      </c>
      <c r="H316">
        <f t="shared" si="43"/>
        <v>166</v>
      </c>
      <c r="I316">
        <f t="shared" si="44"/>
        <v>149</v>
      </c>
      <c r="J316" t="str">
        <f t="shared" si="36"/>
        <v>VISmmp4",</v>
      </c>
      <c r="K316" t="str">
        <f t="shared" si="36"/>
        <v>Mediomedial posterior visual area, layer 4",</v>
      </c>
      <c r="L316" t="str">
        <f t="shared" si="37"/>
        <v>VISmmp4</v>
      </c>
      <c r="M316" t="str">
        <f t="shared" si="37"/>
        <v>Mediomedial posterior visual area, layer 4</v>
      </c>
      <c r="N316" t="s">
        <v>5124</v>
      </c>
      <c r="O316" t="s">
        <v>5125</v>
      </c>
      <c r="Q316" s="6">
        <v>425</v>
      </c>
      <c r="R316" s="6">
        <v>1139</v>
      </c>
      <c r="S316" s="6" t="s">
        <v>5323</v>
      </c>
      <c r="T316" s="6" t="s">
        <v>5322</v>
      </c>
      <c r="U316" s="6">
        <v>619</v>
      </c>
      <c r="V316" s="6">
        <v>7</v>
      </c>
      <c r="W316" s="6" t="s">
        <v>7566</v>
      </c>
      <c r="Y316" t="s">
        <v>5124</v>
      </c>
      <c r="Z316" t="s">
        <v>5125</v>
      </c>
      <c r="AA316" s="6" t="str">
        <f t="shared" si="38"/>
        <v/>
      </c>
      <c r="AB316">
        <v>27</v>
      </c>
      <c r="AC316">
        <v>166</v>
      </c>
      <c r="AD316">
        <v>149</v>
      </c>
    </row>
    <row r="317" spans="1:30" ht="17" x14ac:dyDescent="0.25">
      <c r="A317" s="1" t="s">
        <v>319</v>
      </c>
      <c r="B317" s="1" t="s">
        <v>2971</v>
      </c>
      <c r="C317" s="1" t="s">
        <v>1646</v>
      </c>
      <c r="D317" t="str">
        <f t="shared" si="39"/>
        <v>1BA398</v>
      </c>
      <c r="E317" t="str">
        <f t="shared" si="40"/>
        <v>27-163-152</v>
      </c>
      <c r="F317" t="str">
        <f t="shared" si="41"/>
        <v>27163152</v>
      </c>
      <c r="G317">
        <f t="shared" si="42"/>
        <v>27</v>
      </c>
      <c r="H317">
        <f t="shared" si="43"/>
        <v>163</v>
      </c>
      <c r="I317">
        <f t="shared" si="44"/>
        <v>152</v>
      </c>
      <c r="J317" t="str">
        <f t="shared" si="36"/>
        <v>VISmmp5",</v>
      </c>
      <c r="K317" t="str">
        <f t="shared" si="36"/>
        <v>Mediomedial posterior visual area,layer 5",</v>
      </c>
      <c r="L317" t="str">
        <f t="shared" si="37"/>
        <v>VISmmp5</v>
      </c>
      <c r="M317" t="str">
        <f t="shared" si="37"/>
        <v>Mediomedial posterior visual area,layer 5</v>
      </c>
      <c r="N317" t="s">
        <v>5126</v>
      </c>
      <c r="O317" t="s">
        <v>5127</v>
      </c>
      <c r="Q317" s="6">
        <v>426</v>
      </c>
      <c r="R317" s="6">
        <v>631</v>
      </c>
      <c r="S317" s="6" t="s">
        <v>5325</v>
      </c>
      <c r="T317" s="6" t="s">
        <v>5324</v>
      </c>
      <c r="U317" s="6">
        <v>698</v>
      </c>
      <c r="V317" s="6">
        <v>6</v>
      </c>
      <c r="W317" s="6" t="s">
        <v>7567</v>
      </c>
      <c r="Y317" t="s">
        <v>5126</v>
      </c>
      <c r="Z317" t="s">
        <v>5127</v>
      </c>
      <c r="AA317" s="6" t="str">
        <f t="shared" si="38"/>
        <v/>
      </c>
      <c r="AB317">
        <v>27</v>
      </c>
      <c r="AC317">
        <v>163</v>
      </c>
      <c r="AD317">
        <v>152</v>
      </c>
    </row>
    <row r="318" spans="1:30" ht="17" x14ac:dyDescent="0.25">
      <c r="A318" s="1" t="s">
        <v>320</v>
      </c>
      <c r="B318" s="1" t="s">
        <v>2972</v>
      </c>
      <c r="C318" s="1" t="s">
        <v>1647</v>
      </c>
      <c r="D318" t="str">
        <f t="shared" si="39"/>
        <v>1DA697</v>
      </c>
      <c r="E318" t="str">
        <f t="shared" si="40"/>
        <v>29-166-151</v>
      </c>
      <c r="F318" t="str">
        <f t="shared" si="41"/>
        <v>29166151</v>
      </c>
      <c r="G318">
        <f t="shared" si="42"/>
        <v>29</v>
      </c>
      <c r="H318">
        <f t="shared" si="43"/>
        <v>166</v>
      </c>
      <c r="I318">
        <f t="shared" si="44"/>
        <v>151</v>
      </c>
      <c r="J318" t="str">
        <f t="shared" si="36"/>
        <v>VISmmp6a",</v>
      </c>
      <c r="K318" t="str">
        <f t="shared" si="36"/>
        <v>Mediomedial posterior visual area, layer 6a",</v>
      </c>
      <c r="L318" t="str">
        <f t="shared" si="37"/>
        <v>VISmmp6a</v>
      </c>
      <c r="M318" t="str">
        <f t="shared" si="37"/>
        <v>Mediomedial posterior visual area, layer 6a</v>
      </c>
      <c r="N318" t="s">
        <v>5128</v>
      </c>
      <c r="O318" t="s">
        <v>5129</v>
      </c>
      <c r="Q318" s="6">
        <v>427</v>
      </c>
      <c r="R318" s="6">
        <v>639</v>
      </c>
      <c r="S318" s="6" t="s">
        <v>5327</v>
      </c>
      <c r="T318" s="6" t="s">
        <v>5326</v>
      </c>
      <c r="U318" s="6">
        <v>631</v>
      </c>
      <c r="V318" s="6">
        <v>7</v>
      </c>
      <c r="W318" s="6" t="s">
        <v>7568</v>
      </c>
      <c r="Y318" t="s">
        <v>5128</v>
      </c>
      <c r="Z318" t="s">
        <v>5129</v>
      </c>
      <c r="AA318" s="6" t="str">
        <f t="shared" si="38"/>
        <v/>
      </c>
      <c r="AB318">
        <v>29</v>
      </c>
      <c r="AC318">
        <v>166</v>
      </c>
      <c r="AD318">
        <v>151</v>
      </c>
    </row>
    <row r="319" spans="1:30" ht="17" x14ac:dyDescent="0.25">
      <c r="A319" s="1" t="s">
        <v>321</v>
      </c>
      <c r="B319" s="1" t="s">
        <v>2973</v>
      </c>
      <c r="C319" s="1" t="s">
        <v>1648</v>
      </c>
      <c r="D319" t="str">
        <f t="shared" si="39"/>
        <v>1DA598</v>
      </c>
      <c r="E319" t="str">
        <f t="shared" si="40"/>
        <v>29-165-152</v>
      </c>
      <c r="F319" t="str">
        <f t="shared" si="41"/>
        <v>29165152</v>
      </c>
      <c r="G319">
        <f t="shared" si="42"/>
        <v>29</v>
      </c>
      <c r="H319">
        <f t="shared" si="43"/>
        <v>165</v>
      </c>
      <c r="I319">
        <f t="shared" si="44"/>
        <v>152</v>
      </c>
      <c r="J319" t="str">
        <f t="shared" si="36"/>
        <v>VISmmp6b",</v>
      </c>
      <c r="K319" t="str">
        <f t="shared" si="36"/>
        <v>Mediomedial posterior visual area, layer 6b",</v>
      </c>
      <c r="L319" t="str">
        <f t="shared" si="37"/>
        <v>VISmmp6b</v>
      </c>
      <c r="M319" t="str">
        <f t="shared" si="37"/>
        <v>Mediomedial posterior visual area, layer 6b</v>
      </c>
      <c r="N319" t="s">
        <v>5130</v>
      </c>
      <c r="O319" t="s">
        <v>5131</v>
      </c>
      <c r="Q319" s="6">
        <v>431</v>
      </c>
      <c r="R319" s="6">
        <v>647</v>
      </c>
      <c r="S319" s="6" t="s">
        <v>5335</v>
      </c>
      <c r="T319" s="6" t="s">
        <v>5334</v>
      </c>
      <c r="U319" s="6">
        <v>631</v>
      </c>
      <c r="V319" s="6">
        <v>7</v>
      </c>
      <c r="W319" s="6" t="s">
        <v>7569</v>
      </c>
      <c r="Y319" t="s">
        <v>5130</v>
      </c>
      <c r="Z319" t="s">
        <v>5131</v>
      </c>
      <c r="AA319" s="6" t="str">
        <f t="shared" si="38"/>
        <v/>
      </c>
      <c r="AB319">
        <v>29</v>
      </c>
      <c r="AC319">
        <v>165</v>
      </c>
      <c r="AD319">
        <v>152</v>
      </c>
    </row>
    <row r="320" spans="1:30" ht="17" x14ac:dyDescent="0.25">
      <c r="A320" s="1" t="s">
        <v>322</v>
      </c>
      <c r="B320" s="1" t="s">
        <v>2974</v>
      </c>
      <c r="C320" s="1" t="s">
        <v>1649</v>
      </c>
      <c r="D320" t="str">
        <f t="shared" si="39"/>
        <v>1BA595</v>
      </c>
      <c r="E320" t="str">
        <f t="shared" si="40"/>
        <v>27-165-149</v>
      </c>
      <c r="F320" t="str">
        <f t="shared" si="41"/>
        <v>27165149</v>
      </c>
      <c r="G320">
        <f t="shared" si="42"/>
        <v>27</v>
      </c>
      <c r="H320">
        <f t="shared" si="43"/>
        <v>165</v>
      </c>
      <c r="I320">
        <f t="shared" si="44"/>
        <v>149</v>
      </c>
      <c r="J320" t="str">
        <f t="shared" si="36"/>
        <v>VISm",</v>
      </c>
      <c r="K320" t="str">
        <f t="shared" si="36"/>
        <v>Medial visual area",</v>
      </c>
      <c r="L320" t="str">
        <f t="shared" si="37"/>
        <v>VISm</v>
      </c>
      <c r="M320" t="str">
        <f t="shared" si="37"/>
        <v>Medial visual area</v>
      </c>
      <c r="N320" t="s">
        <v>5132</v>
      </c>
      <c r="O320" t="s">
        <v>5133</v>
      </c>
      <c r="Q320" s="6">
        <v>432</v>
      </c>
      <c r="R320" s="6">
        <v>655</v>
      </c>
      <c r="S320" s="6" t="s">
        <v>5337</v>
      </c>
      <c r="T320" s="6" t="s">
        <v>5336</v>
      </c>
      <c r="U320" s="6">
        <v>647</v>
      </c>
      <c r="V320" s="6">
        <v>8</v>
      </c>
      <c r="W320" s="6" t="s">
        <v>7570</v>
      </c>
      <c r="Y320" t="s">
        <v>5132</v>
      </c>
      <c r="Z320" t="s">
        <v>5133</v>
      </c>
      <c r="AA320" s="6" t="str">
        <f t="shared" si="38"/>
        <v/>
      </c>
      <c r="AB320">
        <v>27</v>
      </c>
      <c r="AC320">
        <v>165</v>
      </c>
      <c r="AD320">
        <v>149</v>
      </c>
    </row>
    <row r="321" spans="1:30" ht="17" x14ac:dyDescent="0.25">
      <c r="A321" s="1" t="s">
        <v>323</v>
      </c>
      <c r="B321" s="1" t="s">
        <v>2975</v>
      </c>
      <c r="C321" s="1" t="s">
        <v>1650</v>
      </c>
      <c r="D321" t="str">
        <f t="shared" si="39"/>
        <v>1BA397</v>
      </c>
      <c r="E321" t="str">
        <f t="shared" si="40"/>
        <v>27-163-151</v>
      </c>
      <c r="F321" t="str">
        <f t="shared" si="41"/>
        <v>27163151</v>
      </c>
      <c r="G321">
        <f t="shared" si="42"/>
        <v>27</v>
      </c>
      <c r="H321">
        <f t="shared" si="43"/>
        <v>163</v>
      </c>
      <c r="I321">
        <f t="shared" si="44"/>
        <v>151</v>
      </c>
      <c r="J321" t="str">
        <f t="shared" si="36"/>
        <v>VISm1",</v>
      </c>
      <c r="K321" t="str">
        <f t="shared" si="36"/>
        <v>Medial visual area, layer 1",</v>
      </c>
      <c r="L321" t="str">
        <f t="shared" si="37"/>
        <v>VISm1</v>
      </c>
      <c r="M321" t="str">
        <f t="shared" si="37"/>
        <v>Medial visual area, layer 1</v>
      </c>
      <c r="N321" t="s">
        <v>5134</v>
      </c>
      <c r="O321" t="s">
        <v>5135</v>
      </c>
      <c r="Q321" s="6">
        <v>438</v>
      </c>
      <c r="R321" s="6">
        <v>663</v>
      </c>
      <c r="S321" s="6" t="s">
        <v>5349</v>
      </c>
      <c r="T321" s="6" t="s">
        <v>5348</v>
      </c>
      <c r="U321" s="6">
        <v>647</v>
      </c>
      <c r="V321" s="6">
        <v>8</v>
      </c>
      <c r="W321" s="6" t="s">
        <v>7571</v>
      </c>
      <c r="Y321" t="s">
        <v>5134</v>
      </c>
      <c r="Z321" t="s">
        <v>5135</v>
      </c>
      <c r="AA321" s="6" t="str">
        <f t="shared" si="38"/>
        <v/>
      </c>
      <c r="AB321">
        <v>27</v>
      </c>
      <c r="AC321">
        <v>163</v>
      </c>
      <c r="AD321">
        <v>151</v>
      </c>
    </row>
    <row r="322" spans="1:30" ht="17" x14ac:dyDescent="0.25">
      <c r="A322" s="1" t="s">
        <v>324</v>
      </c>
      <c r="B322" s="1" t="s">
        <v>2976</v>
      </c>
      <c r="C322" s="1" t="s">
        <v>1651</v>
      </c>
      <c r="D322" t="str">
        <f t="shared" si="39"/>
        <v>1DA597</v>
      </c>
      <c r="E322" t="str">
        <f t="shared" si="40"/>
        <v>29-165-151</v>
      </c>
      <c r="F322" t="str">
        <f t="shared" si="41"/>
        <v>29165151</v>
      </c>
      <c r="G322">
        <f t="shared" si="42"/>
        <v>29</v>
      </c>
      <c r="H322">
        <f t="shared" si="43"/>
        <v>165</v>
      </c>
      <c r="I322">
        <f t="shared" si="44"/>
        <v>151</v>
      </c>
      <c r="J322" t="str">
        <f t="shared" si="36"/>
        <v>VISm2\/3",</v>
      </c>
      <c r="K322" t="str">
        <f t="shared" si="36"/>
        <v>Medial visual area, layer 2\/3",</v>
      </c>
      <c r="L322" t="str">
        <f t="shared" si="37"/>
        <v>VISm2\/3</v>
      </c>
      <c r="M322" t="str">
        <f t="shared" si="37"/>
        <v>Medial visual area, layer 2\/3</v>
      </c>
      <c r="N322" t="s">
        <v>7158</v>
      </c>
      <c r="O322" t="s">
        <v>7219</v>
      </c>
      <c r="Q322" s="6">
        <v>444</v>
      </c>
      <c r="R322" s="6">
        <v>788</v>
      </c>
      <c r="S322" s="6" t="s">
        <v>5361</v>
      </c>
      <c r="T322" s="6" t="s">
        <v>5360</v>
      </c>
      <c r="U322" s="6">
        <v>698</v>
      </c>
      <c r="V322" s="6">
        <v>6</v>
      </c>
      <c r="W322" s="6" t="s">
        <v>7572</v>
      </c>
      <c r="Y322" t="s">
        <v>7158</v>
      </c>
      <c r="Z322" t="s">
        <v>7219</v>
      </c>
      <c r="AA322" s="6" t="str">
        <f t="shared" si="38"/>
        <v/>
      </c>
      <c r="AB322">
        <v>29</v>
      </c>
      <c r="AC322">
        <v>165</v>
      </c>
      <c r="AD322">
        <v>151</v>
      </c>
    </row>
    <row r="323" spans="1:30" ht="17" x14ac:dyDescent="0.25">
      <c r="A323" s="1" t="s">
        <v>325</v>
      </c>
      <c r="B323" s="1" t="s">
        <v>2977</v>
      </c>
      <c r="C323" s="1" t="s">
        <v>1652</v>
      </c>
      <c r="D323" t="str">
        <f t="shared" si="39"/>
        <v>1CA496</v>
      </c>
      <c r="E323" t="str">
        <f t="shared" si="40"/>
        <v>28-164-150</v>
      </c>
      <c r="F323" t="str">
        <f t="shared" si="41"/>
        <v>28164150</v>
      </c>
      <c r="G323">
        <f t="shared" si="42"/>
        <v>28</v>
      </c>
      <c r="H323">
        <f t="shared" si="43"/>
        <v>164</v>
      </c>
      <c r="I323">
        <f t="shared" si="44"/>
        <v>150</v>
      </c>
      <c r="J323" t="str">
        <f t="shared" ref="J323:K386" si="45">RIGHT(A323,LEN(A323)-3)</f>
        <v>VISm4",</v>
      </c>
      <c r="K323" t="str">
        <f t="shared" si="45"/>
        <v>Medial visual area, layer 4",</v>
      </c>
      <c r="L323" t="str">
        <f t="shared" ref="L323:M386" si="46">LEFT(J323,LEN(J323)-2)</f>
        <v>VISm4</v>
      </c>
      <c r="M323" t="str">
        <f t="shared" si="46"/>
        <v>Medial visual area, layer 4</v>
      </c>
      <c r="N323" t="s">
        <v>5136</v>
      </c>
      <c r="O323" t="s">
        <v>5137</v>
      </c>
      <c r="Q323" s="6">
        <v>449</v>
      </c>
      <c r="R323" s="6">
        <v>566</v>
      </c>
      <c r="S323" s="6" t="s">
        <v>5371</v>
      </c>
      <c r="T323" s="6" t="s">
        <v>5370</v>
      </c>
      <c r="U323" s="6">
        <v>698</v>
      </c>
      <c r="V323" s="6">
        <v>6</v>
      </c>
      <c r="W323" s="6" t="s">
        <v>7573</v>
      </c>
      <c r="Y323" t="s">
        <v>5136</v>
      </c>
      <c r="Z323" t="s">
        <v>5137</v>
      </c>
      <c r="AA323" s="6" t="str">
        <f t="shared" ref="AA323:AA386" si="47">IFERROR(INDEX(R:R,MATCH($Z323,S:S,0)),"")</f>
        <v/>
      </c>
      <c r="AB323">
        <v>28</v>
      </c>
      <c r="AC323">
        <v>164</v>
      </c>
      <c r="AD323">
        <v>150</v>
      </c>
    </row>
    <row r="324" spans="1:30" ht="17" x14ac:dyDescent="0.25">
      <c r="A324" s="1" t="s">
        <v>326</v>
      </c>
      <c r="B324" s="1" t="s">
        <v>2978</v>
      </c>
      <c r="C324" s="1" t="s">
        <v>1653</v>
      </c>
      <c r="D324" t="str">
        <f t="shared" ref="D324:D387" si="48">RIGHT(LEFT(C324,9),6)</f>
        <v>1AA495</v>
      </c>
      <c r="E324" t="str">
        <f t="shared" ref="E324:E387" si="49">HEX2DEC(LEFT(D324,2))&amp;"-"&amp;HEX2DEC(MID(D324,3,2))&amp;"-"&amp;HEX2DEC(RIGHT(D324,2))</f>
        <v>26-164-149</v>
      </c>
      <c r="F324" t="str">
        <f t="shared" ref="F324:F387" si="50">HEX2DEC(LEFT(D324,2))&amp;HEX2DEC(MID(D324,3,2))&amp;HEX2DEC(RIGHT(D324,2))</f>
        <v>26164149</v>
      </c>
      <c r="G324">
        <f t="shared" ref="G324:G387" si="51">HEX2DEC(LEFT(D324,2))</f>
        <v>26</v>
      </c>
      <c r="H324">
        <f t="shared" ref="H324:H387" si="52">HEX2DEC(MID(D324,3,2))</f>
        <v>164</v>
      </c>
      <c r="I324">
        <f t="shared" ref="I324:I387" si="53">HEX2DEC(RIGHT(D324,2))</f>
        <v>149</v>
      </c>
      <c r="J324" t="str">
        <f t="shared" si="45"/>
        <v>VISm5",</v>
      </c>
      <c r="K324" t="str">
        <f t="shared" si="45"/>
        <v>Medial visual area,layer 5",</v>
      </c>
      <c r="L324" t="str">
        <f t="shared" si="46"/>
        <v>VISm5</v>
      </c>
      <c r="M324" t="str">
        <f t="shared" si="46"/>
        <v>Medial visual area,layer 5</v>
      </c>
      <c r="N324" t="s">
        <v>5138</v>
      </c>
      <c r="O324" t="s">
        <v>5139</v>
      </c>
      <c r="Q324" s="6">
        <v>454</v>
      </c>
      <c r="R324" s="6">
        <v>1089</v>
      </c>
      <c r="S324" s="6" t="s">
        <v>5381</v>
      </c>
      <c r="T324" s="6" t="s">
        <v>5380</v>
      </c>
      <c r="U324" s="6">
        <v>695</v>
      </c>
      <c r="V324" s="6">
        <v>5</v>
      </c>
      <c r="W324" s="6" t="s">
        <v>7574</v>
      </c>
      <c r="Y324" t="s">
        <v>5138</v>
      </c>
      <c r="Z324" t="s">
        <v>5139</v>
      </c>
      <c r="AA324" s="6" t="str">
        <f t="shared" si="47"/>
        <v/>
      </c>
      <c r="AB324">
        <v>26</v>
      </c>
      <c r="AC324">
        <v>164</v>
      </c>
      <c r="AD324">
        <v>149</v>
      </c>
    </row>
    <row r="325" spans="1:30" ht="17" x14ac:dyDescent="0.25">
      <c r="A325" s="1" t="s">
        <v>327</v>
      </c>
      <c r="B325" s="1" t="s">
        <v>2979</v>
      </c>
      <c r="C325" s="1" t="s">
        <v>1654</v>
      </c>
      <c r="D325" t="str">
        <f t="shared" si="48"/>
        <v>1AA396</v>
      </c>
      <c r="E325" t="str">
        <f t="shared" si="49"/>
        <v>26-163-150</v>
      </c>
      <c r="F325" t="str">
        <f t="shared" si="50"/>
        <v>26163150</v>
      </c>
      <c r="G325">
        <f t="shared" si="51"/>
        <v>26</v>
      </c>
      <c r="H325">
        <f t="shared" si="52"/>
        <v>163</v>
      </c>
      <c r="I325">
        <f t="shared" si="53"/>
        <v>150</v>
      </c>
      <c r="J325" t="str">
        <f t="shared" si="45"/>
        <v>VISm6a",</v>
      </c>
      <c r="K325" t="str">
        <f t="shared" si="45"/>
        <v>Medial visual area, layer 6a",</v>
      </c>
      <c r="L325" t="str">
        <f t="shared" si="46"/>
        <v>VISm6a</v>
      </c>
      <c r="M325" t="str">
        <f t="shared" si="46"/>
        <v>Medial visual area, layer 6a</v>
      </c>
      <c r="N325" t="s">
        <v>5140</v>
      </c>
      <c r="O325" t="s">
        <v>5141</v>
      </c>
      <c r="Q325" s="6">
        <v>455</v>
      </c>
      <c r="R325" s="6">
        <v>1080</v>
      </c>
      <c r="S325" s="6" t="s">
        <v>5383</v>
      </c>
      <c r="T325" s="6" t="s">
        <v>5382</v>
      </c>
      <c r="U325" s="6">
        <v>1089</v>
      </c>
      <c r="V325" s="6">
        <v>6</v>
      </c>
      <c r="W325" s="6" t="s">
        <v>7575</v>
      </c>
      <c r="Y325" t="s">
        <v>5140</v>
      </c>
      <c r="Z325" t="s">
        <v>5141</v>
      </c>
      <c r="AA325" s="6" t="str">
        <f t="shared" si="47"/>
        <v/>
      </c>
      <c r="AB325">
        <v>26</v>
      </c>
      <c r="AC325">
        <v>163</v>
      </c>
      <c r="AD325">
        <v>150</v>
      </c>
    </row>
    <row r="326" spans="1:30" ht="17" x14ac:dyDescent="0.25">
      <c r="A326" s="1" t="s">
        <v>328</v>
      </c>
      <c r="B326" s="1" t="s">
        <v>2980</v>
      </c>
      <c r="C326" s="1" t="s">
        <v>1655</v>
      </c>
      <c r="D326" t="str">
        <f t="shared" si="48"/>
        <v>1CA695</v>
      </c>
      <c r="E326" t="str">
        <f t="shared" si="49"/>
        <v>28-166-149</v>
      </c>
      <c r="F326" t="str">
        <f t="shared" si="50"/>
        <v>28166149</v>
      </c>
      <c r="G326">
        <f t="shared" si="51"/>
        <v>28</v>
      </c>
      <c r="H326">
        <f t="shared" si="52"/>
        <v>166</v>
      </c>
      <c r="I326">
        <f t="shared" si="53"/>
        <v>149</v>
      </c>
      <c r="J326" t="str">
        <f t="shared" si="45"/>
        <v>VISm6b",</v>
      </c>
      <c r="K326" t="str">
        <f t="shared" si="45"/>
        <v>Medial visual area, layer 6b",</v>
      </c>
      <c r="L326" t="str">
        <f t="shared" si="46"/>
        <v>VISm6b</v>
      </c>
      <c r="M326" t="str">
        <f t="shared" si="46"/>
        <v>Medial visual area, layer 6b</v>
      </c>
      <c r="N326" t="s">
        <v>5142</v>
      </c>
      <c r="O326" t="s">
        <v>5143</v>
      </c>
      <c r="Q326" s="6">
        <v>456</v>
      </c>
      <c r="R326" s="6">
        <v>375</v>
      </c>
      <c r="S326" s="6" t="s">
        <v>5385</v>
      </c>
      <c r="T326" s="6" t="s">
        <v>5384</v>
      </c>
      <c r="U326" s="6">
        <v>1080</v>
      </c>
      <c r="V326" s="6">
        <v>7</v>
      </c>
      <c r="W326" s="6" t="s">
        <v>7576</v>
      </c>
      <c r="Y326" t="s">
        <v>5142</v>
      </c>
      <c r="Z326" t="s">
        <v>5143</v>
      </c>
      <c r="AA326" s="6" t="str">
        <f t="shared" si="47"/>
        <v/>
      </c>
      <c r="AB326">
        <v>28</v>
      </c>
      <c r="AC326">
        <v>166</v>
      </c>
      <c r="AD326">
        <v>149</v>
      </c>
    </row>
    <row r="327" spans="1:30" ht="17" x14ac:dyDescent="0.25">
      <c r="A327" s="1" t="s">
        <v>329</v>
      </c>
      <c r="B327" s="1" t="s">
        <v>2981</v>
      </c>
      <c r="C327" s="1" t="s">
        <v>1656</v>
      </c>
      <c r="D327" t="str">
        <f t="shared" si="48"/>
        <v>1CA598</v>
      </c>
      <c r="E327" t="str">
        <f t="shared" si="49"/>
        <v>28-165-152</v>
      </c>
      <c r="F327" t="str">
        <f t="shared" si="50"/>
        <v>28165152</v>
      </c>
      <c r="G327">
        <f t="shared" si="51"/>
        <v>28</v>
      </c>
      <c r="H327">
        <f t="shared" si="52"/>
        <v>165</v>
      </c>
      <c r="I327">
        <f t="shared" si="53"/>
        <v>152</v>
      </c>
      <c r="J327" t="str">
        <f t="shared" si="45"/>
        <v>RSPd",</v>
      </c>
      <c r="K327" t="str">
        <f t="shared" si="45"/>
        <v>Retrosplenial area, dorsal part",</v>
      </c>
      <c r="L327" t="str">
        <f t="shared" si="46"/>
        <v>RSPd</v>
      </c>
      <c r="M327" t="str">
        <f t="shared" si="46"/>
        <v>Retrosplenial area, dorsal part</v>
      </c>
      <c r="N327" t="s">
        <v>5144</v>
      </c>
      <c r="O327" t="s">
        <v>5145</v>
      </c>
      <c r="Q327" s="6">
        <v>457</v>
      </c>
      <c r="R327" s="6">
        <v>382</v>
      </c>
      <c r="S327" s="6" t="s">
        <v>5387</v>
      </c>
      <c r="T327" s="6" t="s">
        <v>5386</v>
      </c>
      <c r="U327" s="6">
        <v>375</v>
      </c>
      <c r="V327" s="6">
        <v>8</v>
      </c>
      <c r="W327" s="6" t="s">
        <v>7577</v>
      </c>
      <c r="Y327" t="s">
        <v>5144</v>
      </c>
      <c r="Z327" t="s">
        <v>5145</v>
      </c>
      <c r="AA327" s="6">
        <f t="shared" si="47"/>
        <v>879</v>
      </c>
      <c r="AB327">
        <v>28</v>
      </c>
      <c r="AC327">
        <v>165</v>
      </c>
      <c r="AD327">
        <v>152</v>
      </c>
    </row>
    <row r="328" spans="1:30" ht="17" x14ac:dyDescent="0.25">
      <c r="A328" s="1" t="s">
        <v>330</v>
      </c>
      <c r="B328" s="1" t="s">
        <v>2982</v>
      </c>
      <c r="C328" s="1" t="s">
        <v>1657</v>
      </c>
      <c r="D328" t="str">
        <f t="shared" si="48"/>
        <v>1BA598</v>
      </c>
      <c r="E328" t="str">
        <f t="shared" si="49"/>
        <v>27-165-152</v>
      </c>
      <c r="F328" t="str">
        <f t="shared" si="50"/>
        <v>27165152</v>
      </c>
      <c r="G328">
        <f t="shared" si="51"/>
        <v>27</v>
      </c>
      <c r="H328">
        <f t="shared" si="52"/>
        <v>165</v>
      </c>
      <c r="I328">
        <f t="shared" si="53"/>
        <v>152</v>
      </c>
      <c r="J328" t="str">
        <f t="shared" si="45"/>
        <v>RSPd1",</v>
      </c>
      <c r="K328" t="str">
        <f t="shared" si="45"/>
        <v>Retrosplenial area, dorsal part, layer 1",</v>
      </c>
      <c r="L328" t="str">
        <f t="shared" si="46"/>
        <v>RSPd1</v>
      </c>
      <c r="M328" t="str">
        <f t="shared" si="46"/>
        <v>Retrosplenial area, dorsal part, layer 1</v>
      </c>
      <c r="N328" t="s">
        <v>5146</v>
      </c>
      <c r="O328" t="s">
        <v>5147</v>
      </c>
      <c r="Q328" s="6">
        <v>462</v>
      </c>
      <c r="R328" s="6">
        <v>423</v>
      </c>
      <c r="S328" s="6" t="s">
        <v>5397</v>
      </c>
      <c r="T328" s="6" t="s">
        <v>5396</v>
      </c>
      <c r="U328" s="6">
        <v>375</v>
      </c>
      <c r="V328" s="6">
        <v>8</v>
      </c>
      <c r="W328" s="6" t="s">
        <v>7578</v>
      </c>
      <c r="Y328" t="s">
        <v>5146</v>
      </c>
      <c r="Z328" t="s">
        <v>5147</v>
      </c>
      <c r="AA328" s="6">
        <f t="shared" si="47"/>
        <v>442</v>
      </c>
      <c r="AB328">
        <v>27</v>
      </c>
      <c r="AC328">
        <v>165</v>
      </c>
      <c r="AD328">
        <v>152</v>
      </c>
    </row>
    <row r="329" spans="1:30" ht="17" x14ac:dyDescent="0.25">
      <c r="A329" s="1" t="s">
        <v>331</v>
      </c>
      <c r="B329" s="1" t="s">
        <v>2983</v>
      </c>
      <c r="C329" s="1" t="s">
        <v>1658</v>
      </c>
      <c r="D329" t="str">
        <f t="shared" si="48"/>
        <v>1BA697</v>
      </c>
      <c r="E329" t="str">
        <f t="shared" si="49"/>
        <v>27-166-151</v>
      </c>
      <c r="F329" t="str">
        <f t="shared" si="50"/>
        <v>27166151</v>
      </c>
      <c r="G329">
        <f t="shared" si="51"/>
        <v>27</v>
      </c>
      <c r="H329">
        <f t="shared" si="52"/>
        <v>166</v>
      </c>
      <c r="I329">
        <f t="shared" si="53"/>
        <v>151</v>
      </c>
      <c r="J329" t="str">
        <f t="shared" si="45"/>
        <v>RSPd2\/3",</v>
      </c>
      <c r="K329" t="str">
        <f t="shared" si="45"/>
        <v>Retrosplenial area, dorsal part, layer 2\/3",</v>
      </c>
      <c r="L329" t="str">
        <f t="shared" si="46"/>
        <v>RSPd2\/3</v>
      </c>
      <c r="M329" t="str">
        <f t="shared" si="46"/>
        <v>Retrosplenial area, dorsal part, layer 2\/3</v>
      </c>
      <c r="N329" t="s">
        <v>7159</v>
      </c>
      <c r="O329" t="s">
        <v>7220</v>
      </c>
      <c r="Q329" s="6">
        <v>467</v>
      </c>
      <c r="R329" s="6">
        <v>463</v>
      </c>
      <c r="S329" s="6" t="s">
        <v>5407</v>
      </c>
      <c r="T329" s="6" t="s">
        <v>5406</v>
      </c>
      <c r="U329" s="6">
        <v>375</v>
      </c>
      <c r="V329" s="6">
        <v>8</v>
      </c>
      <c r="W329" s="6" t="s">
        <v>7579</v>
      </c>
      <c r="Y329" t="s">
        <v>7159</v>
      </c>
      <c r="Z329" t="s">
        <v>7220</v>
      </c>
      <c r="AA329" s="6">
        <f t="shared" si="47"/>
        <v>434</v>
      </c>
      <c r="AB329">
        <v>27</v>
      </c>
      <c r="AC329">
        <v>166</v>
      </c>
      <c r="AD329">
        <v>151</v>
      </c>
    </row>
    <row r="330" spans="1:30" ht="17" x14ac:dyDescent="0.25">
      <c r="A330" s="1" t="s">
        <v>332</v>
      </c>
      <c r="B330" s="1" t="s">
        <v>2984</v>
      </c>
      <c r="C330" s="1" t="s">
        <v>1659</v>
      </c>
      <c r="D330" t="str">
        <f t="shared" si="48"/>
        <v>1AA696</v>
      </c>
      <c r="E330" t="str">
        <f t="shared" si="49"/>
        <v>26-166-150</v>
      </c>
      <c r="F330" t="str">
        <f t="shared" si="50"/>
        <v>26166150</v>
      </c>
      <c r="G330">
        <f t="shared" si="51"/>
        <v>26</v>
      </c>
      <c r="H330">
        <f t="shared" si="52"/>
        <v>166</v>
      </c>
      <c r="I330">
        <f t="shared" si="53"/>
        <v>150</v>
      </c>
      <c r="J330" t="str">
        <f t="shared" si="45"/>
        <v>RSPd4",</v>
      </c>
      <c r="K330" t="str">
        <f t="shared" si="45"/>
        <v>Retrosplenial area, dorsal part, layer 4",</v>
      </c>
      <c r="L330" t="str">
        <f t="shared" si="46"/>
        <v>RSPd4</v>
      </c>
      <c r="M330" t="str">
        <f t="shared" si="46"/>
        <v>Retrosplenial area, dorsal part, layer 4</v>
      </c>
      <c r="N330" t="s">
        <v>5148</v>
      </c>
      <c r="O330" t="s">
        <v>5149</v>
      </c>
      <c r="Q330" s="6">
        <v>473</v>
      </c>
      <c r="R330" s="6">
        <v>726</v>
      </c>
      <c r="S330" s="6" t="s">
        <v>5419</v>
      </c>
      <c r="T330" s="6" t="s">
        <v>5418</v>
      </c>
      <c r="U330" s="6">
        <v>1080</v>
      </c>
      <c r="V330" s="6">
        <v>7</v>
      </c>
      <c r="W330" s="6" t="s">
        <v>7580</v>
      </c>
      <c r="Y330" t="s">
        <v>5148</v>
      </c>
      <c r="Z330" t="s">
        <v>5149</v>
      </c>
      <c r="AA330" s="6" t="str">
        <f t="shared" si="47"/>
        <v/>
      </c>
      <c r="AB330">
        <v>26</v>
      </c>
      <c r="AC330">
        <v>166</v>
      </c>
      <c r="AD330">
        <v>150</v>
      </c>
    </row>
    <row r="331" spans="1:30" ht="17" x14ac:dyDescent="0.25">
      <c r="A331" s="1" t="s">
        <v>333</v>
      </c>
      <c r="B331" s="1" t="s">
        <v>2985</v>
      </c>
      <c r="C331" s="1" t="s">
        <v>1660</v>
      </c>
      <c r="D331" t="str">
        <f t="shared" si="48"/>
        <v>1AA596</v>
      </c>
      <c r="E331" t="str">
        <f t="shared" si="49"/>
        <v>26-165-150</v>
      </c>
      <c r="F331" t="str">
        <f t="shared" si="50"/>
        <v>26165150</v>
      </c>
      <c r="G331">
        <f t="shared" si="51"/>
        <v>26</v>
      </c>
      <c r="H331">
        <f t="shared" si="52"/>
        <v>165</v>
      </c>
      <c r="I331">
        <f t="shared" si="53"/>
        <v>150</v>
      </c>
      <c r="J331" t="str">
        <f t="shared" si="45"/>
        <v>RSPd5",</v>
      </c>
      <c r="K331" t="str">
        <f t="shared" si="45"/>
        <v>Retrosplenial area, dorsal part, layer 5",</v>
      </c>
      <c r="L331" t="str">
        <f t="shared" si="46"/>
        <v>RSPd5</v>
      </c>
      <c r="M331" t="str">
        <f t="shared" si="46"/>
        <v>Retrosplenial area, dorsal part, layer 5</v>
      </c>
      <c r="N331" t="s">
        <v>5150</v>
      </c>
      <c r="O331" t="s">
        <v>5151</v>
      </c>
      <c r="Q331" s="6">
        <v>474</v>
      </c>
      <c r="R331" s="6">
        <v>1141</v>
      </c>
      <c r="S331" s="6" t="s">
        <v>5421</v>
      </c>
      <c r="T331" s="6" t="s">
        <v>5420</v>
      </c>
      <c r="U331" s="6">
        <v>726</v>
      </c>
      <c r="V331" s="6">
        <v>8</v>
      </c>
      <c r="W331" s="6" t="s">
        <v>8087</v>
      </c>
      <c r="Y331" t="s">
        <v>5150</v>
      </c>
      <c r="Z331" t="s">
        <v>5151</v>
      </c>
      <c r="AA331" s="6">
        <f t="shared" si="47"/>
        <v>610</v>
      </c>
      <c r="AB331">
        <v>26</v>
      </c>
      <c r="AC331">
        <v>165</v>
      </c>
      <c r="AD331">
        <v>150</v>
      </c>
    </row>
    <row r="332" spans="1:30" ht="17" x14ac:dyDescent="0.25">
      <c r="A332" s="1" t="s">
        <v>334</v>
      </c>
      <c r="B332" s="1" t="s">
        <v>2986</v>
      </c>
      <c r="C332" s="1" t="s">
        <v>1661</v>
      </c>
      <c r="D332" t="str">
        <f t="shared" si="48"/>
        <v>1AA697</v>
      </c>
      <c r="E332" t="str">
        <f t="shared" si="49"/>
        <v>26-166-151</v>
      </c>
      <c r="F332" t="str">
        <f t="shared" si="50"/>
        <v>26166151</v>
      </c>
      <c r="G332">
        <f t="shared" si="51"/>
        <v>26</v>
      </c>
      <c r="H332">
        <f t="shared" si="52"/>
        <v>166</v>
      </c>
      <c r="I332">
        <f t="shared" si="53"/>
        <v>151</v>
      </c>
      <c r="J332" t="str">
        <f t="shared" si="45"/>
        <v>RSPd6a",</v>
      </c>
      <c r="K332" t="str">
        <f t="shared" si="45"/>
        <v>Retrosplenial area, dorsal part, layer 6a",</v>
      </c>
      <c r="L332" t="str">
        <f t="shared" si="46"/>
        <v>RSPd6a</v>
      </c>
      <c r="M332" t="str">
        <f t="shared" si="46"/>
        <v>Retrosplenial area, dorsal part, layer 6a</v>
      </c>
      <c r="N332" t="s">
        <v>5152</v>
      </c>
      <c r="O332" t="s">
        <v>5153</v>
      </c>
      <c r="Q332" s="6">
        <v>475</v>
      </c>
      <c r="R332" s="6">
        <v>1142</v>
      </c>
      <c r="S332" s="6" t="s">
        <v>5423</v>
      </c>
      <c r="T332" s="6" t="s">
        <v>5422</v>
      </c>
      <c r="U332" s="6">
        <v>726</v>
      </c>
      <c r="V332" s="6">
        <v>8</v>
      </c>
      <c r="W332" s="6" t="s">
        <v>8088</v>
      </c>
      <c r="Y332" t="s">
        <v>5152</v>
      </c>
      <c r="Z332" t="s">
        <v>5153</v>
      </c>
      <c r="AA332" s="6">
        <f t="shared" si="47"/>
        <v>274</v>
      </c>
      <c r="AB332">
        <v>26</v>
      </c>
      <c r="AC332">
        <v>166</v>
      </c>
      <c r="AD332">
        <v>151</v>
      </c>
    </row>
    <row r="333" spans="1:30" ht="17" x14ac:dyDescent="0.25">
      <c r="A333" s="1" t="s">
        <v>335</v>
      </c>
      <c r="B333" s="1" t="s">
        <v>2987</v>
      </c>
      <c r="C333" s="1" t="s">
        <v>1662</v>
      </c>
      <c r="D333" t="str">
        <f t="shared" si="48"/>
        <v>1BA698</v>
      </c>
      <c r="E333" t="str">
        <f t="shared" si="49"/>
        <v>27-166-152</v>
      </c>
      <c r="F333" t="str">
        <f t="shared" si="50"/>
        <v>27166152</v>
      </c>
      <c r="G333">
        <f t="shared" si="51"/>
        <v>27</v>
      </c>
      <c r="H333">
        <f t="shared" si="52"/>
        <v>166</v>
      </c>
      <c r="I333">
        <f t="shared" si="53"/>
        <v>152</v>
      </c>
      <c r="J333" t="str">
        <f t="shared" si="45"/>
        <v>RSPd6b",</v>
      </c>
      <c r="K333" t="str">
        <f t="shared" si="45"/>
        <v>Retrosplenial area, dorsal part, layer 6b",</v>
      </c>
      <c r="L333" t="str">
        <f t="shared" si="46"/>
        <v>RSPd6b</v>
      </c>
      <c r="M333" t="str">
        <f t="shared" si="46"/>
        <v>Retrosplenial area, dorsal part, layer 6b</v>
      </c>
      <c r="N333" t="s">
        <v>5154</v>
      </c>
      <c r="O333" t="s">
        <v>5155</v>
      </c>
      <c r="Q333" s="6">
        <v>476</v>
      </c>
      <c r="R333" s="6">
        <v>632</v>
      </c>
      <c r="S333" s="6" t="s">
        <v>5425</v>
      </c>
      <c r="T333" s="6" t="s">
        <v>5424</v>
      </c>
      <c r="U333" s="6">
        <v>726</v>
      </c>
      <c r="V333" s="6">
        <v>8</v>
      </c>
      <c r="W333" s="6" t="s">
        <v>7581</v>
      </c>
      <c r="Y333" t="s">
        <v>5154</v>
      </c>
      <c r="Z333" t="s">
        <v>5155</v>
      </c>
      <c r="AA333" s="6">
        <f t="shared" si="47"/>
        <v>330</v>
      </c>
      <c r="AB333">
        <v>27</v>
      </c>
      <c r="AC333">
        <v>166</v>
      </c>
      <c r="AD333">
        <v>152</v>
      </c>
    </row>
    <row r="334" spans="1:30" ht="17" x14ac:dyDescent="0.25">
      <c r="A334" s="1" t="s">
        <v>336</v>
      </c>
      <c r="B334" s="1" t="s">
        <v>2988</v>
      </c>
      <c r="C334" s="1" t="s">
        <v>1663</v>
      </c>
      <c r="D334" t="str">
        <f t="shared" si="48"/>
        <v>1BA596</v>
      </c>
      <c r="E334" t="str">
        <f t="shared" si="49"/>
        <v>27-165-150</v>
      </c>
      <c r="F334" t="str">
        <f t="shared" si="50"/>
        <v>27165150</v>
      </c>
      <c r="G334">
        <f t="shared" si="51"/>
        <v>27</v>
      </c>
      <c r="H334">
        <f t="shared" si="52"/>
        <v>165</v>
      </c>
      <c r="I334">
        <f t="shared" si="53"/>
        <v>150</v>
      </c>
      <c r="J334" t="str">
        <f t="shared" si="45"/>
        <v>RSPv",</v>
      </c>
      <c r="K334" t="str">
        <f t="shared" si="45"/>
        <v>Retrosplenial area, ventral part",</v>
      </c>
      <c r="L334" t="str">
        <f t="shared" si="46"/>
        <v>RSPv</v>
      </c>
      <c r="M334" t="str">
        <f t="shared" si="46"/>
        <v>Retrosplenial area, ventral part</v>
      </c>
      <c r="N334" t="s">
        <v>5156</v>
      </c>
      <c r="O334" t="s">
        <v>5157</v>
      </c>
      <c r="Q334" s="6">
        <v>490</v>
      </c>
      <c r="R334" s="6">
        <v>982</v>
      </c>
      <c r="S334" s="6" t="s">
        <v>5453</v>
      </c>
      <c r="T334" s="6" t="s">
        <v>5452</v>
      </c>
      <c r="U334" s="6">
        <v>1080</v>
      </c>
      <c r="V334" s="6">
        <v>7</v>
      </c>
      <c r="W334" s="6" t="s">
        <v>7582</v>
      </c>
      <c r="Y334" t="s">
        <v>5156</v>
      </c>
      <c r="Z334" t="s">
        <v>5157</v>
      </c>
      <c r="AA334" s="6">
        <f t="shared" si="47"/>
        <v>886</v>
      </c>
      <c r="AB334">
        <v>27</v>
      </c>
      <c r="AC334">
        <v>165</v>
      </c>
      <c r="AD334">
        <v>150</v>
      </c>
    </row>
    <row r="335" spans="1:30" ht="17" x14ac:dyDescent="0.25">
      <c r="A335" s="1" t="s">
        <v>337</v>
      </c>
      <c r="B335" s="1" t="s">
        <v>2989</v>
      </c>
      <c r="C335" s="1" t="s">
        <v>1664</v>
      </c>
      <c r="D335" t="str">
        <f t="shared" si="48"/>
        <v>1BA597</v>
      </c>
      <c r="E335" t="str">
        <f t="shared" si="49"/>
        <v>27-165-151</v>
      </c>
      <c r="F335" t="str">
        <f t="shared" si="50"/>
        <v>27165151</v>
      </c>
      <c r="G335">
        <f t="shared" si="51"/>
        <v>27</v>
      </c>
      <c r="H335">
        <f t="shared" si="52"/>
        <v>165</v>
      </c>
      <c r="I335">
        <f t="shared" si="53"/>
        <v>151</v>
      </c>
      <c r="J335" t="str">
        <f t="shared" si="45"/>
        <v>RSPv1",</v>
      </c>
      <c r="K335" t="str">
        <f t="shared" si="45"/>
        <v>Retrosplenial area, ventral part, layer 1",</v>
      </c>
      <c r="L335" t="str">
        <f t="shared" si="46"/>
        <v>RSPv1</v>
      </c>
      <c r="M335" t="str">
        <f t="shared" si="46"/>
        <v>Retrosplenial area, ventral part, layer 1</v>
      </c>
      <c r="N335" t="s">
        <v>5158</v>
      </c>
      <c r="O335" t="s">
        <v>5159</v>
      </c>
      <c r="Q335" s="6">
        <v>491</v>
      </c>
      <c r="R335" s="6">
        <v>19</v>
      </c>
      <c r="S335" s="6" t="s">
        <v>5455</v>
      </c>
      <c r="T335" s="6" t="s">
        <v>5454</v>
      </c>
      <c r="U335" s="6">
        <v>1080</v>
      </c>
      <c r="V335" s="6">
        <v>7</v>
      </c>
      <c r="W335" s="6" t="s">
        <v>7583</v>
      </c>
      <c r="Y335" t="s">
        <v>5158</v>
      </c>
      <c r="Z335" t="s">
        <v>5159</v>
      </c>
      <c r="AA335" s="6">
        <f t="shared" si="47"/>
        <v>542</v>
      </c>
      <c r="AB335">
        <v>27</v>
      </c>
      <c r="AC335">
        <v>165</v>
      </c>
      <c r="AD335">
        <v>151</v>
      </c>
    </row>
    <row r="336" spans="1:30" ht="17" x14ac:dyDescent="0.25">
      <c r="A336" s="1" t="s">
        <v>338</v>
      </c>
      <c r="B336" s="1" t="s">
        <v>2990</v>
      </c>
      <c r="C336" s="1" t="s">
        <v>1665</v>
      </c>
      <c r="D336" t="str">
        <f t="shared" si="48"/>
        <v>1CA698</v>
      </c>
      <c r="E336" t="str">
        <f t="shared" si="49"/>
        <v>28-166-152</v>
      </c>
      <c r="F336" t="str">
        <f t="shared" si="50"/>
        <v>28166152</v>
      </c>
      <c r="G336">
        <f t="shared" si="51"/>
        <v>28</v>
      </c>
      <c r="H336">
        <f t="shared" si="52"/>
        <v>166</v>
      </c>
      <c r="I336">
        <f t="shared" si="53"/>
        <v>152</v>
      </c>
      <c r="J336" t="str">
        <f t="shared" si="45"/>
        <v>RSPv2",</v>
      </c>
      <c r="K336" t="str">
        <f t="shared" si="45"/>
        <v>Retrosplenial area, ventral part, layer 2",</v>
      </c>
      <c r="L336" t="str">
        <f t="shared" si="46"/>
        <v>RSPv2</v>
      </c>
      <c r="M336" t="str">
        <f t="shared" si="46"/>
        <v>Retrosplenial area, ventral part, layer 2</v>
      </c>
      <c r="N336" t="s">
        <v>5160</v>
      </c>
      <c r="O336" t="s">
        <v>5161</v>
      </c>
      <c r="Q336" s="6">
        <v>492</v>
      </c>
      <c r="R336" s="6">
        <v>822</v>
      </c>
      <c r="S336" s="6" t="s">
        <v>5457</v>
      </c>
      <c r="T336" s="6" t="s">
        <v>5456</v>
      </c>
      <c r="U336" s="6">
        <v>1089</v>
      </c>
      <c r="V336" s="6">
        <v>6</v>
      </c>
      <c r="W336" s="6" t="s">
        <v>7584</v>
      </c>
      <c r="Y336" t="s">
        <v>5160</v>
      </c>
      <c r="Z336" t="s">
        <v>5161</v>
      </c>
      <c r="AA336" s="6" t="str">
        <f t="shared" si="47"/>
        <v/>
      </c>
      <c r="AB336">
        <v>28</v>
      </c>
      <c r="AC336">
        <v>166</v>
      </c>
      <c r="AD336">
        <v>152</v>
      </c>
    </row>
    <row r="337" spans="1:30" ht="17" x14ac:dyDescent="0.25">
      <c r="A337" s="1" t="s">
        <v>339</v>
      </c>
      <c r="B337" s="1" t="s">
        <v>2991</v>
      </c>
      <c r="C337" s="1" t="s">
        <v>1666</v>
      </c>
      <c r="D337" t="str">
        <f t="shared" si="48"/>
        <v>1AA597</v>
      </c>
      <c r="E337" t="str">
        <f t="shared" si="49"/>
        <v>26-165-151</v>
      </c>
      <c r="F337" t="str">
        <f t="shared" si="50"/>
        <v>26165151</v>
      </c>
      <c r="G337">
        <f t="shared" si="51"/>
        <v>26</v>
      </c>
      <c r="H337">
        <f t="shared" si="52"/>
        <v>165</v>
      </c>
      <c r="I337">
        <f t="shared" si="53"/>
        <v>151</v>
      </c>
      <c r="J337" t="str">
        <f t="shared" si="45"/>
        <v>RSPv2\/3",</v>
      </c>
      <c r="K337" t="str">
        <f t="shared" si="45"/>
        <v>Retrosplenial area, ventral part, layer 2\/3",</v>
      </c>
      <c r="L337" t="str">
        <f t="shared" si="46"/>
        <v>RSPv2\/3</v>
      </c>
      <c r="M337" t="str">
        <f t="shared" si="46"/>
        <v>Retrosplenial area, ventral part, layer 2\/3</v>
      </c>
      <c r="N337" t="s">
        <v>7160</v>
      </c>
      <c r="O337" t="s">
        <v>7221</v>
      </c>
      <c r="Q337" s="6">
        <v>493</v>
      </c>
      <c r="R337" s="6">
        <v>909</v>
      </c>
      <c r="S337" s="6" t="s">
        <v>5459</v>
      </c>
      <c r="T337" s="6" t="s">
        <v>5458</v>
      </c>
      <c r="U337" s="6">
        <v>822</v>
      </c>
      <c r="V337" s="6">
        <v>7</v>
      </c>
      <c r="W337" s="6" t="s">
        <v>7585</v>
      </c>
      <c r="Y337" t="s">
        <v>7160</v>
      </c>
      <c r="Z337" t="s">
        <v>7221</v>
      </c>
      <c r="AA337" s="6">
        <f t="shared" si="47"/>
        <v>430</v>
      </c>
      <c r="AB337">
        <v>26</v>
      </c>
      <c r="AC337">
        <v>165</v>
      </c>
      <c r="AD337">
        <v>151</v>
      </c>
    </row>
    <row r="338" spans="1:30" ht="17" x14ac:dyDescent="0.25">
      <c r="A338" s="1" t="s">
        <v>340</v>
      </c>
      <c r="B338" s="1" t="s">
        <v>2992</v>
      </c>
      <c r="C338" s="1" t="s">
        <v>1667</v>
      </c>
      <c r="D338" t="str">
        <f t="shared" si="48"/>
        <v>1BA498</v>
      </c>
      <c r="E338" t="str">
        <f t="shared" si="49"/>
        <v>27-164-152</v>
      </c>
      <c r="F338" t="str">
        <f t="shared" si="50"/>
        <v>27164152</v>
      </c>
      <c r="G338">
        <f t="shared" si="51"/>
        <v>27</v>
      </c>
      <c r="H338">
        <f t="shared" si="52"/>
        <v>164</v>
      </c>
      <c r="I338">
        <f t="shared" si="53"/>
        <v>152</v>
      </c>
      <c r="J338" t="str">
        <f t="shared" si="45"/>
        <v>RSPv5",</v>
      </c>
      <c r="K338" t="str">
        <f t="shared" si="45"/>
        <v>Retrosplenial area, ventral part, layer 5",</v>
      </c>
      <c r="L338" t="str">
        <f t="shared" si="46"/>
        <v>RSPv5</v>
      </c>
      <c r="M338" t="str">
        <f t="shared" si="46"/>
        <v>Retrosplenial area, ventral part, layer 5</v>
      </c>
      <c r="N338" t="s">
        <v>5162</v>
      </c>
      <c r="O338" t="s">
        <v>5163</v>
      </c>
      <c r="Q338" s="6">
        <v>494</v>
      </c>
      <c r="R338" s="6">
        <v>918</v>
      </c>
      <c r="S338" s="6" t="s">
        <v>5461</v>
      </c>
      <c r="T338" s="6" t="s">
        <v>5460</v>
      </c>
      <c r="U338" s="6">
        <v>909</v>
      </c>
      <c r="V338" s="6">
        <v>8</v>
      </c>
      <c r="W338" s="6" t="s">
        <v>7586</v>
      </c>
      <c r="Y338" t="s">
        <v>5162</v>
      </c>
      <c r="Z338" t="s">
        <v>5163</v>
      </c>
      <c r="AA338" s="6">
        <f t="shared" si="47"/>
        <v>687</v>
      </c>
      <c r="AB338">
        <v>27</v>
      </c>
      <c r="AC338">
        <v>164</v>
      </c>
      <c r="AD338">
        <v>152</v>
      </c>
    </row>
    <row r="339" spans="1:30" ht="17" x14ac:dyDescent="0.25">
      <c r="A339" s="1" t="s">
        <v>341</v>
      </c>
      <c r="B339" s="1" t="s">
        <v>2993</v>
      </c>
      <c r="C339" s="1" t="s">
        <v>1668</v>
      </c>
      <c r="D339" t="str">
        <f t="shared" si="48"/>
        <v>1AA498</v>
      </c>
      <c r="E339" t="str">
        <f t="shared" si="49"/>
        <v>26-164-152</v>
      </c>
      <c r="F339" t="str">
        <f t="shared" si="50"/>
        <v>26164152</v>
      </c>
      <c r="G339">
        <f t="shared" si="51"/>
        <v>26</v>
      </c>
      <c r="H339">
        <f t="shared" si="52"/>
        <v>164</v>
      </c>
      <c r="I339">
        <f t="shared" si="53"/>
        <v>152</v>
      </c>
      <c r="J339" t="str">
        <f t="shared" si="45"/>
        <v>RSPv6a",</v>
      </c>
      <c r="K339" t="str">
        <f t="shared" si="45"/>
        <v>Retrosplenial area, ventral part, layer 6a",</v>
      </c>
      <c r="L339" t="str">
        <f t="shared" si="46"/>
        <v>RSPv6a</v>
      </c>
      <c r="M339" t="str">
        <f t="shared" si="46"/>
        <v>Retrosplenial area, ventral part, layer 6a</v>
      </c>
      <c r="N339" t="s">
        <v>5164</v>
      </c>
      <c r="O339" t="s">
        <v>5165</v>
      </c>
      <c r="Q339" s="6">
        <v>495</v>
      </c>
      <c r="R339" s="6">
        <v>1121</v>
      </c>
      <c r="S339" s="6" t="s">
        <v>5463</v>
      </c>
      <c r="T339" s="6" t="s">
        <v>5462</v>
      </c>
      <c r="U339" s="6">
        <v>918</v>
      </c>
      <c r="V339" s="6">
        <v>9</v>
      </c>
      <c r="W339" s="6" t="s">
        <v>7587</v>
      </c>
      <c r="Y339" t="s">
        <v>5164</v>
      </c>
      <c r="Z339" t="s">
        <v>5165</v>
      </c>
      <c r="AA339" s="6">
        <f t="shared" si="47"/>
        <v>590</v>
      </c>
      <c r="AB339">
        <v>26</v>
      </c>
      <c r="AC339">
        <v>164</v>
      </c>
      <c r="AD339">
        <v>152</v>
      </c>
    </row>
    <row r="340" spans="1:30" ht="17" x14ac:dyDescent="0.25">
      <c r="A340" s="1" t="s">
        <v>342</v>
      </c>
      <c r="B340" s="1" t="s">
        <v>2994</v>
      </c>
      <c r="C340" s="1" t="s">
        <v>1669</v>
      </c>
      <c r="D340" t="str">
        <f t="shared" si="48"/>
        <v>1AA497</v>
      </c>
      <c r="E340" t="str">
        <f t="shared" si="49"/>
        <v>26-164-151</v>
      </c>
      <c r="F340" t="str">
        <f t="shared" si="50"/>
        <v>26164151</v>
      </c>
      <c r="G340">
        <f t="shared" si="51"/>
        <v>26</v>
      </c>
      <c r="H340">
        <f t="shared" si="52"/>
        <v>164</v>
      </c>
      <c r="I340">
        <f t="shared" si="53"/>
        <v>151</v>
      </c>
      <c r="J340" t="str">
        <f t="shared" si="45"/>
        <v>RSPv6b",</v>
      </c>
      <c r="K340" t="str">
        <f t="shared" si="45"/>
        <v>Retrosplenial area, ventral part, layer 6b",</v>
      </c>
      <c r="L340" t="str">
        <f t="shared" si="46"/>
        <v>RSPv6b</v>
      </c>
      <c r="M340" t="str">
        <f t="shared" si="46"/>
        <v>Retrosplenial area, ventral part, layer 6b</v>
      </c>
      <c r="N340" t="s">
        <v>5166</v>
      </c>
      <c r="O340" t="s">
        <v>5167</v>
      </c>
      <c r="Q340" s="6">
        <v>496</v>
      </c>
      <c r="R340" s="6">
        <v>20</v>
      </c>
      <c r="S340" s="6" t="s">
        <v>5465</v>
      </c>
      <c r="T340" s="6" t="s">
        <v>5464</v>
      </c>
      <c r="U340" s="6">
        <v>918</v>
      </c>
      <c r="V340" s="6">
        <v>9</v>
      </c>
      <c r="W340" s="6" t="s">
        <v>7588</v>
      </c>
      <c r="Y340" t="s">
        <v>5166</v>
      </c>
      <c r="Z340" t="s">
        <v>5167</v>
      </c>
      <c r="AA340" s="6">
        <f t="shared" si="47"/>
        <v>622</v>
      </c>
      <c r="AB340">
        <v>26</v>
      </c>
      <c r="AC340">
        <v>164</v>
      </c>
      <c r="AD340">
        <v>151</v>
      </c>
    </row>
    <row r="341" spans="1:30" ht="17" x14ac:dyDescent="0.25">
      <c r="A341" s="1" t="s">
        <v>343</v>
      </c>
      <c r="B341" s="1" t="s">
        <v>2995</v>
      </c>
      <c r="C341" s="1" t="s">
        <v>1670</v>
      </c>
      <c r="D341" t="str">
        <f t="shared" si="48"/>
        <v>009FAC</v>
      </c>
      <c r="E341" t="str">
        <f t="shared" si="49"/>
        <v>0-159-172</v>
      </c>
      <c r="F341" t="str">
        <f t="shared" si="50"/>
        <v>0159172</v>
      </c>
      <c r="G341">
        <f t="shared" si="51"/>
        <v>0</v>
      </c>
      <c r="H341">
        <f t="shared" si="52"/>
        <v>159</v>
      </c>
      <c r="I341">
        <f t="shared" si="53"/>
        <v>172</v>
      </c>
      <c r="J341" t="str">
        <f t="shared" si="45"/>
        <v>PTLp",</v>
      </c>
      <c r="K341" t="str">
        <f t="shared" si="45"/>
        <v>Posterior parietal association areas",</v>
      </c>
      <c r="L341" t="str">
        <f t="shared" si="46"/>
        <v>PTLp</v>
      </c>
      <c r="M341" t="str">
        <f t="shared" si="46"/>
        <v>Posterior parietal association areas</v>
      </c>
      <c r="N341" t="s">
        <v>5168</v>
      </c>
      <c r="O341" t="s">
        <v>5169</v>
      </c>
      <c r="Q341" s="6">
        <v>500</v>
      </c>
      <c r="R341" s="6">
        <v>52</v>
      </c>
      <c r="S341" s="6" t="s">
        <v>5471</v>
      </c>
      <c r="T341" s="6" t="s">
        <v>5470</v>
      </c>
      <c r="U341" s="6">
        <v>918</v>
      </c>
      <c r="V341" s="6">
        <v>9</v>
      </c>
      <c r="W341" s="6" t="s">
        <v>7589</v>
      </c>
      <c r="Y341" t="s">
        <v>5168</v>
      </c>
      <c r="Z341" t="s">
        <v>5169</v>
      </c>
      <c r="AA341" s="6">
        <f t="shared" si="47"/>
        <v>22</v>
      </c>
      <c r="AB341">
        <v>0</v>
      </c>
      <c r="AC341">
        <v>159</v>
      </c>
      <c r="AD341">
        <v>172</v>
      </c>
    </row>
    <row r="342" spans="1:30" ht="17" x14ac:dyDescent="0.25">
      <c r="A342" s="1" t="s">
        <v>344</v>
      </c>
      <c r="B342" s="1" t="s">
        <v>2996</v>
      </c>
      <c r="C342" s="1" t="s">
        <v>1671</v>
      </c>
      <c r="D342" t="str">
        <f t="shared" si="48"/>
        <v>009DAB</v>
      </c>
      <c r="E342" t="str">
        <f t="shared" si="49"/>
        <v>0-157-171</v>
      </c>
      <c r="F342" t="str">
        <f t="shared" si="50"/>
        <v>0157171</v>
      </c>
      <c r="G342">
        <f t="shared" si="51"/>
        <v>0</v>
      </c>
      <c r="H342">
        <f t="shared" si="52"/>
        <v>157</v>
      </c>
      <c r="I342">
        <f t="shared" si="53"/>
        <v>171</v>
      </c>
      <c r="J342" t="str">
        <f t="shared" si="45"/>
        <v>PTLp1",</v>
      </c>
      <c r="K342" t="str">
        <f t="shared" si="45"/>
        <v>Posterior parietal association areas, layer 1",</v>
      </c>
      <c r="L342" t="str">
        <f t="shared" si="46"/>
        <v>PTLp1</v>
      </c>
      <c r="M342" t="str">
        <f t="shared" si="46"/>
        <v>Posterior parietal association areas, layer 1</v>
      </c>
      <c r="N342" t="s">
        <v>5170</v>
      </c>
      <c r="O342" t="s">
        <v>5171</v>
      </c>
      <c r="Q342" s="6">
        <v>503</v>
      </c>
      <c r="R342" s="6">
        <v>139</v>
      </c>
      <c r="S342" s="6" t="s">
        <v>5475</v>
      </c>
      <c r="T342" s="6" t="s">
        <v>5474</v>
      </c>
      <c r="U342" s="6">
        <v>918</v>
      </c>
      <c r="V342" s="6">
        <v>9</v>
      </c>
      <c r="W342" s="6" t="s">
        <v>7590</v>
      </c>
      <c r="Y342" t="s">
        <v>5170</v>
      </c>
      <c r="Z342" t="s">
        <v>5171</v>
      </c>
      <c r="AA342" s="6" t="str">
        <f t="shared" si="47"/>
        <v/>
      </c>
      <c r="AB342">
        <v>0</v>
      </c>
      <c r="AC342">
        <v>157</v>
      </c>
      <c r="AD342">
        <v>171</v>
      </c>
    </row>
    <row r="343" spans="1:30" ht="17" x14ac:dyDescent="0.25">
      <c r="A343" s="1" t="s">
        <v>345</v>
      </c>
      <c r="B343" s="1" t="s">
        <v>2997</v>
      </c>
      <c r="C343" s="1" t="s">
        <v>1672</v>
      </c>
      <c r="D343" t="str">
        <f t="shared" si="48"/>
        <v>009EAC</v>
      </c>
      <c r="E343" t="str">
        <f t="shared" si="49"/>
        <v>0-158-172</v>
      </c>
      <c r="F343" t="str">
        <f t="shared" si="50"/>
        <v>0158172</v>
      </c>
      <c r="G343">
        <f t="shared" si="51"/>
        <v>0</v>
      </c>
      <c r="H343">
        <f t="shared" si="52"/>
        <v>158</v>
      </c>
      <c r="I343">
        <f t="shared" si="53"/>
        <v>172</v>
      </c>
      <c r="J343" t="str">
        <f t="shared" si="45"/>
        <v>PTLp2\/3",</v>
      </c>
      <c r="K343" t="str">
        <f t="shared" si="45"/>
        <v>Posterior parietal association areas, layer 2\/3",</v>
      </c>
      <c r="L343" t="str">
        <f t="shared" si="46"/>
        <v>PTLp2\/3</v>
      </c>
      <c r="M343" t="str">
        <f t="shared" si="46"/>
        <v>Posterior parietal association areas, layer 2\/3</v>
      </c>
      <c r="N343" t="s">
        <v>7161</v>
      </c>
      <c r="O343" t="s">
        <v>7222</v>
      </c>
      <c r="Q343" s="6">
        <v>505</v>
      </c>
      <c r="R343" s="6">
        <v>28</v>
      </c>
      <c r="S343" s="6" t="s">
        <v>5477</v>
      </c>
      <c r="T343" s="6" t="s">
        <v>5476</v>
      </c>
      <c r="U343" s="6">
        <v>918</v>
      </c>
      <c r="V343" s="6">
        <v>9</v>
      </c>
      <c r="W343" s="6" t="s">
        <v>7591</v>
      </c>
      <c r="Y343" t="s">
        <v>7161</v>
      </c>
      <c r="Z343" t="s">
        <v>7222</v>
      </c>
      <c r="AA343" s="6" t="str">
        <f t="shared" si="47"/>
        <v/>
      </c>
      <c r="AB343">
        <v>0</v>
      </c>
      <c r="AC343">
        <v>158</v>
      </c>
      <c r="AD343">
        <v>172</v>
      </c>
    </row>
    <row r="344" spans="1:30" ht="17" x14ac:dyDescent="0.25">
      <c r="A344" s="1" t="s">
        <v>346</v>
      </c>
      <c r="B344" s="1" t="s">
        <v>2998</v>
      </c>
      <c r="C344" s="1" t="s">
        <v>1673</v>
      </c>
      <c r="D344" t="str">
        <f t="shared" si="48"/>
        <v>019FAA</v>
      </c>
      <c r="E344" t="str">
        <f t="shared" si="49"/>
        <v>1-159-170</v>
      </c>
      <c r="F344" t="str">
        <f t="shared" si="50"/>
        <v>1159170</v>
      </c>
      <c r="G344">
        <f t="shared" si="51"/>
        <v>1</v>
      </c>
      <c r="H344">
        <f t="shared" si="52"/>
        <v>159</v>
      </c>
      <c r="I344">
        <f t="shared" si="53"/>
        <v>170</v>
      </c>
      <c r="J344" t="str">
        <f t="shared" si="45"/>
        <v>PTLp4",</v>
      </c>
      <c r="K344" t="str">
        <f t="shared" si="45"/>
        <v>Posterior parietal association areas, layer 4",</v>
      </c>
      <c r="L344" t="str">
        <f t="shared" si="46"/>
        <v>PTLp4</v>
      </c>
      <c r="M344" t="str">
        <f t="shared" si="46"/>
        <v>Posterior parietal association areas, layer 4</v>
      </c>
      <c r="N344" t="s">
        <v>5172</v>
      </c>
      <c r="O344" t="s">
        <v>5173</v>
      </c>
      <c r="Q344" s="6">
        <v>507</v>
      </c>
      <c r="R344" s="6">
        <v>926</v>
      </c>
      <c r="S344" s="6" t="s">
        <v>5481</v>
      </c>
      <c r="T344" s="6" t="s">
        <v>5480</v>
      </c>
      <c r="U344" s="6">
        <v>909</v>
      </c>
      <c r="V344" s="6">
        <v>8</v>
      </c>
      <c r="W344" s="6" t="s">
        <v>7592</v>
      </c>
      <c r="Y344" t="s">
        <v>5172</v>
      </c>
      <c r="Z344" t="s">
        <v>5173</v>
      </c>
      <c r="AA344" s="6" t="str">
        <f t="shared" si="47"/>
        <v/>
      </c>
      <c r="AB344">
        <v>1</v>
      </c>
      <c r="AC344">
        <v>159</v>
      </c>
      <c r="AD344">
        <v>170</v>
      </c>
    </row>
    <row r="345" spans="1:30" ht="17" x14ac:dyDescent="0.25">
      <c r="A345" s="1" t="s">
        <v>347</v>
      </c>
      <c r="B345" s="1" t="s">
        <v>2999</v>
      </c>
      <c r="C345" s="1" t="s">
        <v>1674</v>
      </c>
      <c r="D345" t="str">
        <f t="shared" si="48"/>
        <v>019DAC</v>
      </c>
      <c r="E345" t="str">
        <f t="shared" si="49"/>
        <v>1-157-172</v>
      </c>
      <c r="F345" t="str">
        <f t="shared" si="50"/>
        <v>1157172</v>
      </c>
      <c r="G345">
        <f t="shared" si="51"/>
        <v>1</v>
      </c>
      <c r="H345">
        <f t="shared" si="52"/>
        <v>157</v>
      </c>
      <c r="I345">
        <f t="shared" si="53"/>
        <v>172</v>
      </c>
      <c r="J345" t="str">
        <f t="shared" si="45"/>
        <v>PTLp5",</v>
      </c>
      <c r="K345" t="str">
        <f t="shared" si="45"/>
        <v>Posterior parietal association areas, layer 5",</v>
      </c>
      <c r="L345" t="str">
        <f t="shared" si="46"/>
        <v>PTLp5</v>
      </c>
      <c r="M345" t="str">
        <f t="shared" si="46"/>
        <v>Posterior parietal association areas, layer 5</v>
      </c>
      <c r="N345" t="s">
        <v>5174</v>
      </c>
      <c r="O345" t="s">
        <v>5175</v>
      </c>
      <c r="Q345" s="6">
        <v>508</v>
      </c>
      <c r="R345" s="6">
        <v>526</v>
      </c>
      <c r="S345" s="6" t="s">
        <v>5483</v>
      </c>
      <c r="T345" s="6" t="s">
        <v>5482</v>
      </c>
      <c r="U345" s="6">
        <v>926</v>
      </c>
      <c r="V345" s="6">
        <v>9</v>
      </c>
      <c r="W345" s="6" t="s">
        <v>7593</v>
      </c>
      <c r="Y345" t="s">
        <v>5174</v>
      </c>
      <c r="Z345" t="s">
        <v>5175</v>
      </c>
      <c r="AA345" s="6" t="str">
        <f t="shared" si="47"/>
        <v/>
      </c>
      <c r="AB345">
        <v>1</v>
      </c>
      <c r="AC345">
        <v>157</v>
      </c>
      <c r="AD345">
        <v>172</v>
      </c>
    </row>
    <row r="346" spans="1:30" ht="17" x14ac:dyDescent="0.25">
      <c r="A346" s="1" t="s">
        <v>348</v>
      </c>
      <c r="B346" s="1" t="s">
        <v>3000</v>
      </c>
      <c r="C346" s="1" t="s">
        <v>1675</v>
      </c>
      <c r="D346" t="str">
        <f t="shared" si="48"/>
        <v>019FAB</v>
      </c>
      <c r="E346" t="str">
        <f t="shared" si="49"/>
        <v>1-159-171</v>
      </c>
      <c r="F346" t="str">
        <f t="shared" si="50"/>
        <v>1159171</v>
      </c>
      <c r="G346">
        <f t="shared" si="51"/>
        <v>1</v>
      </c>
      <c r="H346">
        <f t="shared" si="52"/>
        <v>159</v>
      </c>
      <c r="I346">
        <f t="shared" si="53"/>
        <v>171</v>
      </c>
      <c r="J346" t="str">
        <f t="shared" si="45"/>
        <v>PTLp6a",</v>
      </c>
      <c r="K346" t="str">
        <f t="shared" si="45"/>
        <v>Posterior parietal association areas, layer 6a",</v>
      </c>
      <c r="L346" t="str">
        <f t="shared" si="46"/>
        <v>PTLp6a</v>
      </c>
      <c r="M346" t="str">
        <f t="shared" si="46"/>
        <v>Posterior parietal association areas, layer 6a</v>
      </c>
      <c r="N346" t="s">
        <v>5176</v>
      </c>
      <c r="O346" t="s">
        <v>5177</v>
      </c>
      <c r="Q346" s="6">
        <v>509</v>
      </c>
      <c r="R346" s="6">
        <v>543</v>
      </c>
      <c r="S346" s="6" t="s">
        <v>5485</v>
      </c>
      <c r="T346" s="6" t="s">
        <v>5484</v>
      </c>
      <c r="U346" s="6">
        <v>926</v>
      </c>
      <c r="V346" s="6">
        <v>9</v>
      </c>
      <c r="W346" s="6" t="s">
        <v>7594</v>
      </c>
      <c r="Y346" t="s">
        <v>5176</v>
      </c>
      <c r="Z346" t="s">
        <v>5177</v>
      </c>
      <c r="AA346" s="6" t="str">
        <f t="shared" si="47"/>
        <v/>
      </c>
      <c r="AB346">
        <v>1</v>
      </c>
      <c r="AC346">
        <v>159</v>
      </c>
      <c r="AD346">
        <v>171</v>
      </c>
    </row>
    <row r="347" spans="1:30" ht="17" x14ac:dyDescent="0.25">
      <c r="A347" s="1" t="s">
        <v>349</v>
      </c>
      <c r="B347" s="1" t="s">
        <v>3001</v>
      </c>
      <c r="C347" s="1" t="s">
        <v>1676</v>
      </c>
      <c r="D347" t="str">
        <f t="shared" si="48"/>
        <v>009FAA</v>
      </c>
      <c r="E347" t="str">
        <f t="shared" si="49"/>
        <v>0-159-170</v>
      </c>
      <c r="F347" t="str">
        <f t="shared" si="50"/>
        <v>0159170</v>
      </c>
      <c r="G347">
        <f t="shared" si="51"/>
        <v>0</v>
      </c>
      <c r="H347">
        <f t="shared" si="52"/>
        <v>159</v>
      </c>
      <c r="I347">
        <f t="shared" si="53"/>
        <v>170</v>
      </c>
      <c r="J347" t="str">
        <f t="shared" si="45"/>
        <v>PTLp6b",</v>
      </c>
      <c r="K347" t="str">
        <f t="shared" si="45"/>
        <v>Posterior parietal association areas, layer 6b",</v>
      </c>
      <c r="L347" t="str">
        <f t="shared" si="46"/>
        <v>PTLp6b</v>
      </c>
      <c r="M347" t="str">
        <f t="shared" si="46"/>
        <v>Posterior parietal association areas, layer 6b</v>
      </c>
      <c r="N347" t="s">
        <v>5178</v>
      </c>
      <c r="O347" t="s">
        <v>5179</v>
      </c>
      <c r="Q347" s="6">
        <v>512</v>
      </c>
      <c r="R347" s="6">
        <v>664</v>
      </c>
      <c r="S347" s="6" t="s">
        <v>5491</v>
      </c>
      <c r="T347" s="6" t="s">
        <v>5490</v>
      </c>
      <c r="U347" s="6">
        <v>926</v>
      </c>
      <c r="V347" s="6">
        <v>9</v>
      </c>
      <c r="W347" s="6" t="s">
        <v>7595</v>
      </c>
      <c r="Y347" t="s">
        <v>5178</v>
      </c>
      <c r="Z347" t="s">
        <v>5179</v>
      </c>
      <c r="AA347" s="6" t="str">
        <f t="shared" si="47"/>
        <v/>
      </c>
      <c r="AB347">
        <v>0</v>
      </c>
      <c r="AC347">
        <v>159</v>
      </c>
      <c r="AD347">
        <v>170</v>
      </c>
    </row>
    <row r="348" spans="1:30" ht="17" x14ac:dyDescent="0.25">
      <c r="A348" s="1" t="s">
        <v>350</v>
      </c>
      <c r="B348" s="1" t="s">
        <v>3002</v>
      </c>
      <c r="C348" s="1" t="s">
        <v>1677</v>
      </c>
      <c r="D348" t="str">
        <f t="shared" si="48"/>
        <v>009FAB</v>
      </c>
      <c r="E348" t="str">
        <f t="shared" si="49"/>
        <v>0-159-171</v>
      </c>
      <c r="F348" t="str">
        <f t="shared" si="50"/>
        <v>0159171</v>
      </c>
      <c r="G348">
        <f t="shared" si="51"/>
        <v>0</v>
      </c>
      <c r="H348">
        <f t="shared" si="52"/>
        <v>159</v>
      </c>
      <c r="I348">
        <f t="shared" si="53"/>
        <v>171</v>
      </c>
      <c r="J348" t="str">
        <f t="shared" si="45"/>
        <v>VISa",</v>
      </c>
      <c r="K348" t="str">
        <f t="shared" si="45"/>
        <v>Anterior area",</v>
      </c>
      <c r="L348" t="str">
        <f t="shared" si="46"/>
        <v>VISa</v>
      </c>
      <c r="M348" t="str">
        <f t="shared" si="46"/>
        <v>Anterior area</v>
      </c>
      <c r="N348" t="s">
        <v>5180</v>
      </c>
      <c r="O348" t="s">
        <v>5181</v>
      </c>
      <c r="Q348" s="6">
        <v>514</v>
      </c>
      <c r="R348" s="6">
        <v>727</v>
      </c>
      <c r="S348" s="6" t="s">
        <v>5495</v>
      </c>
      <c r="T348" s="6" t="s">
        <v>5494</v>
      </c>
      <c r="U348" s="6">
        <v>926</v>
      </c>
      <c r="V348" s="6">
        <v>9</v>
      </c>
      <c r="W348" s="6" t="s">
        <v>7596</v>
      </c>
      <c r="Y348" t="s">
        <v>5180</v>
      </c>
      <c r="Z348" t="s">
        <v>5181</v>
      </c>
      <c r="AA348" s="6">
        <f t="shared" si="47"/>
        <v>312782546</v>
      </c>
      <c r="AB348">
        <v>0</v>
      </c>
      <c r="AC348">
        <v>159</v>
      </c>
      <c r="AD348">
        <v>171</v>
      </c>
    </row>
    <row r="349" spans="1:30" ht="17" x14ac:dyDescent="0.25">
      <c r="A349" s="1" t="s">
        <v>351</v>
      </c>
      <c r="B349" s="1" t="s">
        <v>3003</v>
      </c>
      <c r="C349" s="1" t="s">
        <v>1678</v>
      </c>
      <c r="D349" t="str">
        <f t="shared" si="48"/>
        <v>019FAC</v>
      </c>
      <c r="E349" t="str">
        <f t="shared" si="49"/>
        <v>1-159-172</v>
      </c>
      <c r="F349" t="str">
        <f t="shared" si="50"/>
        <v>1159172</v>
      </c>
      <c r="G349">
        <f t="shared" si="51"/>
        <v>1</v>
      </c>
      <c r="H349">
        <f t="shared" si="52"/>
        <v>159</v>
      </c>
      <c r="I349">
        <f t="shared" si="53"/>
        <v>172</v>
      </c>
      <c r="J349" t="str">
        <f t="shared" si="45"/>
        <v>VISa1",</v>
      </c>
      <c r="K349" t="str">
        <f t="shared" si="45"/>
        <v>Anterior area, layer 1",</v>
      </c>
      <c r="L349" t="str">
        <f t="shared" si="46"/>
        <v>VISa1</v>
      </c>
      <c r="M349" t="str">
        <f t="shared" si="46"/>
        <v>Anterior area, layer 1</v>
      </c>
      <c r="N349" t="s">
        <v>5182</v>
      </c>
      <c r="O349" t="s">
        <v>5183</v>
      </c>
      <c r="Q349" s="6">
        <v>516</v>
      </c>
      <c r="R349" s="6">
        <v>743</v>
      </c>
      <c r="S349" s="6" t="s">
        <v>5497</v>
      </c>
      <c r="T349" s="6" t="s">
        <v>5496</v>
      </c>
      <c r="U349" s="6">
        <v>926</v>
      </c>
      <c r="V349" s="6">
        <v>9</v>
      </c>
      <c r="W349" s="6" t="s">
        <v>7597</v>
      </c>
      <c r="Y349" t="s">
        <v>5182</v>
      </c>
      <c r="Z349" t="s">
        <v>5183</v>
      </c>
      <c r="AA349" s="6">
        <f t="shared" si="47"/>
        <v>312782550</v>
      </c>
      <c r="AB349">
        <v>1</v>
      </c>
      <c r="AC349">
        <v>159</v>
      </c>
      <c r="AD349">
        <v>172</v>
      </c>
    </row>
    <row r="350" spans="1:30" ht="17" x14ac:dyDescent="0.25">
      <c r="A350" s="1" t="s">
        <v>352</v>
      </c>
      <c r="B350" s="1" t="s">
        <v>3004</v>
      </c>
      <c r="C350" s="1" t="s">
        <v>1679</v>
      </c>
      <c r="D350" t="str">
        <f t="shared" si="48"/>
        <v>009EAB</v>
      </c>
      <c r="E350" t="str">
        <f t="shared" si="49"/>
        <v>0-158-171</v>
      </c>
      <c r="F350" t="str">
        <f t="shared" si="50"/>
        <v>0158171</v>
      </c>
      <c r="G350">
        <f t="shared" si="51"/>
        <v>0</v>
      </c>
      <c r="H350">
        <f t="shared" si="52"/>
        <v>158</v>
      </c>
      <c r="I350">
        <f t="shared" si="53"/>
        <v>171</v>
      </c>
      <c r="J350" t="str">
        <f t="shared" si="45"/>
        <v>VISa2\/3",</v>
      </c>
      <c r="K350" t="str">
        <f t="shared" si="45"/>
        <v>Anterior area, layer 2\/3",</v>
      </c>
      <c r="L350" t="str">
        <f t="shared" si="46"/>
        <v>VISa2\/3</v>
      </c>
      <c r="M350" t="str">
        <f t="shared" si="46"/>
        <v>Anterior area, layer 2\/3</v>
      </c>
      <c r="N350" t="s">
        <v>7162</v>
      </c>
      <c r="O350" t="s">
        <v>7223</v>
      </c>
      <c r="Q350" s="6">
        <v>523</v>
      </c>
      <c r="R350" s="6">
        <v>843</v>
      </c>
      <c r="S350" s="6" t="s">
        <v>5509</v>
      </c>
      <c r="T350" s="6" t="s">
        <v>5508</v>
      </c>
      <c r="U350" s="6">
        <v>822</v>
      </c>
      <c r="V350" s="6">
        <v>7</v>
      </c>
      <c r="W350" s="6" t="s">
        <v>7598</v>
      </c>
      <c r="Y350" t="s">
        <v>7162</v>
      </c>
      <c r="Z350" t="s">
        <v>7223</v>
      </c>
      <c r="AA350" s="6">
        <f t="shared" si="47"/>
        <v>312782554</v>
      </c>
      <c r="AB350">
        <v>0</v>
      </c>
      <c r="AC350">
        <v>158</v>
      </c>
      <c r="AD350">
        <v>171</v>
      </c>
    </row>
    <row r="351" spans="1:30" ht="17" x14ac:dyDescent="0.25">
      <c r="A351" s="1" t="s">
        <v>353</v>
      </c>
      <c r="B351" s="1" t="s">
        <v>3005</v>
      </c>
      <c r="C351" s="1" t="s">
        <v>1680</v>
      </c>
      <c r="D351" t="str">
        <f t="shared" si="48"/>
        <v>019EAC</v>
      </c>
      <c r="E351" t="str">
        <f t="shared" si="49"/>
        <v>1-158-172</v>
      </c>
      <c r="F351" t="str">
        <f t="shared" si="50"/>
        <v>1158172</v>
      </c>
      <c r="G351">
        <f t="shared" si="51"/>
        <v>1</v>
      </c>
      <c r="H351">
        <f t="shared" si="52"/>
        <v>158</v>
      </c>
      <c r="I351">
        <f t="shared" si="53"/>
        <v>172</v>
      </c>
      <c r="J351" t="str">
        <f t="shared" si="45"/>
        <v>VISa4",</v>
      </c>
      <c r="K351" t="str">
        <f t="shared" si="45"/>
        <v>Anterior area, layer 4",</v>
      </c>
      <c r="L351" t="str">
        <f t="shared" si="46"/>
        <v>VISa4</v>
      </c>
      <c r="M351" t="str">
        <f t="shared" si="46"/>
        <v>Anterior area, layer 4</v>
      </c>
      <c r="N351" t="s">
        <v>5184</v>
      </c>
      <c r="O351" t="s">
        <v>5185</v>
      </c>
      <c r="Q351" s="6">
        <v>527</v>
      </c>
      <c r="R351" s="6">
        <v>1037</v>
      </c>
      <c r="S351" s="6" t="s">
        <v>5517</v>
      </c>
      <c r="T351" s="6" t="s">
        <v>5516</v>
      </c>
      <c r="U351" s="6">
        <v>822</v>
      </c>
      <c r="V351" s="6">
        <v>7</v>
      </c>
      <c r="W351" s="6" t="s">
        <v>7599</v>
      </c>
      <c r="Y351" t="s">
        <v>5184</v>
      </c>
      <c r="Z351" t="s">
        <v>5185</v>
      </c>
      <c r="AA351" s="6">
        <f t="shared" si="47"/>
        <v>312782558</v>
      </c>
      <c r="AB351">
        <v>1</v>
      </c>
      <c r="AC351">
        <v>158</v>
      </c>
      <c r="AD351">
        <v>172</v>
      </c>
    </row>
    <row r="352" spans="1:30" ht="17" x14ac:dyDescent="0.25">
      <c r="A352" s="1" t="s">
        <v>354</v>
      </c>
      <c r="B352" s="1" t="s">
        <v>3006</v>
      </c>
      <c r="C352" s="1" t="s">
        <v>1681</v>
      </c>
      <c r="D352" t="str">
        <f t="shared" si="48"/>
        <v>019EAB</v>
      </c>
      <c r="E352" t="str">
        <f t="shared" si="49"/>
        <v>1-158-171</v>
      </c>
      <c r="F352" t="str">
        <f t="shared" si="50"/>
        <v>1158171</v>
      </c>
      <c r="G352">
        <f t="shared" si="51"/>
        <v>1</v>
      </c>
      <c r="H352">
        <f t="shared" si="52"/>
        <v>158</v>
      </c>
      <c r="I352">
        <f t="shared" si="53"/>
        <v>171</v>
      </c>
      <c r="J352" t="str">
        <f t="shared" si="45"/>
        <v>VISa5",</v>
      </c>
      <c r="K352" t="str">
        <f t="shared" si="45"/>
        <v>Anterior area, layer 5",</v>
      </c>
      <c r="L352" t="str">
        <f t="shared" si="46"/>
        <v>VISa5</v>
      </c>
      <c r="M352" t="str">
        <f t="shared" si="46"/>
        <v>Anterior area, layer 5</v>
      </c>
      <c r="N352" t="s">
        <v>5186</v>
      </c>
      <c r="O352" t="s">
        <v>5187</v>
      </c>
      <c r="Q352" s="6">
        <v>531</v>
      </c>
      <c r="R352" s="6">
        <v>1084</v>
      </c>
      <c r="S352" s="6" t="s">
        <v>5525</v>
      </c>
      <c r="T352" s="6" t="s">
        <v>5524</v>
      </c>
      <c r="U352" s="6">
        <v>822</v>
      </c>
      <c r="V352" s="6">
        <v>7</v>
      </c>
      <c r="W352" s="6" t="s">
        <v>7600</v>
      </c>
      <c r="Y352" t="s">
        <v>5186</v>
      </c>
      <c r="Z352" t="s">
        <v>5187</v>
      </c>
      <c r="AA352" s="6">
        <f t="shared" si="47"/>
        <v>312782562</v>
      </c>
      <c r="AB352">
        <v>1</v>
      </c>
      <c r="AC352">
        <v>158</v>
      </c>
      <c r="AD352">
        <v>171</v>
      </c>
    </row>
    <row r="353" spans="1:30" ht="17" x14ac:dyDescent="0.25">
      <c r="A353" s="1" t="s">
        <v>355</v>
      </c>
      <c r="B353" s="1" t="s">
        <v>3007</v>
      </c>
      <c r="C353" s="1" t="s">
        <v>1682</v>
      </c>
      <c r="D353" t="str">
        <f t="shared" si="48"/>
        <v>009DAC</v>
      </c>
      <c r="E353" t="str">
        <f t="shared" si="49"/>
        <v>0-157-172</v>
      </c>
      <c r="F353" t="str">
        <f t="shared" si="50"/>
        <v>0157172</v>
      </c>
      <c r="G353">
        <f t="shared" si="51"/>
        <v>0</v>
      </c>
      <c r="H353">
        <f t="shared" si="52"/>
        <v>157</v>
      </c>
      <c r="I353">
        <f t="shared" si="53"/>
        <v>172</v>
      </c>
      <c r="J353" t="str">
        <f t="shared" si="45"/>
        <v>VISa6a",</v>
      </c>
      <c r="K353" t="str">
        <f t="shared" si="45"/>
        <v>Anterior area, layer 6a",</v>
      </c>
      <c r="L353" t="str">
        <f t="shared" si="46"/>
        <v>VISa6a</v>
      </c>
      <c r="M353" t="str">
        <f t="shared" si="46"/>
        <v>Anterior area, layer 6a</v>
      </c>
      <c r="N353" t="s">
        <v>5188</v>
      </c>
      <c r="O353" t="s">
        <v>5189</v>
      </c>
      <c r="Q353" s="6">
        <v>535</v>
      </c>
      <c r="R353" s="6">
        <v>502</v>
      </c>
      <c r="S353" s="6" t="s">
        <v>5533</v>
      </c>
      <c r="T353" s="6" t="s">
        <v>5532</v>
      </c>
      <c r="U353" s="6">
        <v>822</v>
      </c>
      <c r="V353" s="6">
        <v>7</v>
      </c>
      <c r="W353" s="6" t="s">
        <v>7601</v>
      </c>
      <c r="Y353" t="s">
        <v>5188</v>
      </c>
      <c r="Z353" t="s">
        <v>5189</v>
      </c>
      <c r="AA353" s="6">
        <f t="shared" si="47"/>
        <v>312782566</v>
      </c>
      <c r="AB353">
        <v>0</v>
      </c>
      <c r="AC353">
        <v>157</v>
      </c>
      <c r="AD353">
        <v>172</v>
      </c>
    </row>
    <row r="354" spans="1:30" ht="17" x14ac:dyDescent="0.25">
      <c r="A354" s="1" t="s">
        <v>356</v>
      </c>
      <c r="B354" s="1" t="s">
        <v>3008</v>
      </c>
      <c r="C354" s="1" t="s">
        <v>1683</v>
      </c>
      <c r="D354" t="str">
        <f t="shared" si="48"/>
        <v>029FAC</v>
      </c>
      <c r="E354" t="str">
        <f t="shared" si="49"/>
        <v>2-159-172</v>
      </c>
      <c r="F354" t="str">
        <f t="shared" si="50"/>
        <v>2159172</v>
      </c>
      <c r="G354">
        <f t="shared" si="51"/>
        <v>2</v>
      </c>
      <c r="H354">
        <f t="shared" si="52"/>
        <v>159</v>
      </c>
      <c r="I354">
        <f t="shared" si="53"/>
        <v>172</v>
      </c>
      <c r="J354" t="str">
        <f t="shared" si="45"/>
        <v>VISa6b",</v>
      </c>
      <c r="K354" t="str">
        <f t="shared" si="45"/>
        <v>Anterior area, layer 6b",</v>
      </c>
      <c r="L354" t="str">
        <f t="shared" si="46"/>
        <v>VISa6b</v>
      </c>
      <c r="M354" t="str">
        <f t="shared" si="46"/>
        <v>Anterior area, layer 6b</v>
      </c>
      <c r="N354" t="s">
        <v>5190</v>
      </c>
      <c r="O354" t="s">
        <v>5191</v>
      </c>
      <c r="Q354" s="6">
        <v>544</v>
      </c>
      <c r="R354" s="6">
        <v>484682470</v>
      </c>
      <c r="S354" s="6" t="s">
        <v>5551</v>
      </c>
      <c r="T354" s="6" t="s">
        <v>5550</v>
      </c>
      <c r="U354" s="6">
        <v>822</v>
      </c>
      <c r="V354" s="6">
        <v>7</v>
      </c>
      <c r="W354" s="6" t="s">
        <v>7602</v>
      </c>
      <c r="Y354" t="s">
        <v>5190</v>
      </c>
      <c r="Z354" t="s">
        <v>5191</v>
      </c>
      <c r="AA354" s="6">
        <f t="shared" si="47"/>
        <v>312782570</v>
      </c>
      <c r="AB354">
        <v>2</v>
      </c>
      <c r="AC354">
        <v>159</v>
      </c>
      <c r="AD354">
        <v>172</v>
      </c>
    </row>
    <row r="355" spans="1:30" ht="17" x14ac:dyDescent="0.25">
      <c r="A355" s="1" t="s">
        <v>357</v>
      </c>
      <c r="B355" s="1" t="s">
        <v>3009</v>
      </c>
      <c r="C355" s="1" t="s">
        <v>1684</v>
      </c>
      <c r="D355" t="str">
        <f t="shared" si="48"/>
        <v>009EAA</v>
      </c>
      <c r="E355" t="str">
        <f t="shared" si="49"/>
        <v>0-158-170</v>
      </c>
      <c r="F355" t="str">
        <f t="shared" si="50"/>
        <v>0158170</v>
      </c>
      <c r="G355">
        <f t="shared" si="51"/>
        <v>0</v>
      </c>
      <c r="H355">
        <f t="shared" si="52"/>
        <v>158</v>
      </c>
      <c r="I355">
        <f t="shared" si="53"/>
        <v>170</v>
      </c>
      <c r="J355" t="str">
        <f t="shared" si="45"/>
        <v>VISrl",</v>
      </c>
      <c r="K355" t="str">
        <f t="shared" si="45"/>
        <v>Rostrolateral visual area",</v>
      </c>
      <c r="L355" t="str">
        <f t="shared" si="46"/>
        <v>VISrl</v>
      </c>
      <c r="M355" t="str">
        <f t="shared" si="46"/>
        <v>Rostrolateral visual area</v>
      </c>
      <c r="N355" t="s">
        <v>5192</v>
      </c>
      <c r="O355" t="s">
        <v>5193</v>
      </c>
      <c r="Q355" s="6">
        <v>553</v>
      </c>
      <c r="R355" s="6">
        <v>589508447</v>
      </c>
      <c r="S355" s="6" t="s">
        <v>5569</v>
      </c>
      <c r="T355" s="6" t="s">
        <v>5568</v>
      </c>
      <c r="U355" s="6">
        <v>822</v>
      </c>
      <c r="V355" s="6">
        <v>7</v>
      </c>
      <c r="W355" s="6" t="s">
        <v>7603</v>
      </c>
      <c r="Y355" t="s">
        <v>5192</v>
      </c>
      <c r="Z355" t="s">
        <v>5193</v>
      </c>
      <c r="AA355" s="6">
        <f t="shared" si="47"/>
        <v>417</v>
      </c>
      <c r="AB355">
        <v>0</v>
      </c>
      <c r="AC355">
        <v>158</v>
      </c>
      <c r="AD355">
        <v>170</v>
      </c>
    </row>
    <row r="356" spans="1:30" ht="17" x14ac:dyDescent="0.25">
      <c r="A356" s="1" t="s">
        <v>358</v>
      </c>
      <c r="B356" s="1" t="s">
        <v>3010</v>
      </c>
      <c r="C356" s="1" t="s">
        <v>1685</v>
      </c>
      <c r="D356" t="str">
        <f t="shared" si="48"/>
        <v>029FAB</v>
      </c>
      <c r="E356" t="str">
        <f t="shared" si="49"/>
        <v>2-159-171</v>
      </c>
      <c r="F356" t="str">
        <f t="shared" si="50"/>
        <v>2159171</v>
      </c>
      <c r="G356">
        <f t="shared" si="51"/>
        <v>2</v>
      </c>
      <c r="H356">
        <f t="shared" si="52"/>
        <v>159</v>
      </c>
      <c r="I356">
        <f t="shared" si="53"/>
        <v>171</v>
      </c>
      <c r="J356" t="str">
        <f t="shared" si="45"/>
        <v>VISrl1",</v>
      </c>
      <c r="K356" t="str">
        <f t="shared" si="45"/>
        <v>Rostrolateral area, layer 1",</v>
      </c>
      <c r="L356" t="str">
        <f t="shared" si="46"/>
        <v>VISrl1</v>
      </c>
      <c r="M356" t="str">
        <f t="shared" si="46"/>
        <v>Rostrolateral area, layer 1</v>
      </c>
      <c r="N356" t="s">
        <v>5194</v>
      </c>
      <c r="O356" t="s">
        <v>5195</v>
      </c>
      <c r="Q356" s="6">
        <v>554</v>
      </c>
      <c r="R356" s="6">
        <v>484682508</v>
      </c>
      <c r="S356" s="6" t="s">
        <v>5571</v>
      </c>
      <c r="T356" s="6" t="s">
        <v>5570</v>
      </c>
      <c r="U356" s="6">
        <v>822</v>
      </c>
      <c r="V356" s="6">
        <v>7</v>
      </c>
      <c r="W356" s="6" t="s">
        <v>7604</v>
      </c>
      <c r="Y356" t="s">
        <v>5194</v>
      </c>
      <c r="Z356" t="s">
        <v>5195</v>
      </c>
      <c r="AA356" s="6">
        <f t="shared" si="47"/>
        <v>312782604</v>
      </c>
      <c r="AB356">
        <v>2</v>
      </c>
      <c r="AC356">
        <v>159</v>
      </c>
      <c r="AD356">
        <v>171</v>
      </c>
    </row>
    <row r="357" spans="1:30" ht="17" x14ac:dyDescent="0.25">
      <c r="A357" s="1" t="s">
        <v>359</v>
      </c>
      <c r="B357" s="1" t="s">
        <v>3011</v>
      </c>
      <c r="C357" s="1" t="s">
        <v>1686</v>
      </c>
      <c r="D357" t="str">
        <f t="shared" si="48"/>
        <v>029EAC</v>
      </c>
      <c r="E357" t="str">
        <f t="shared" si="49"/>
        <v>2-158-172</v>
      </c>
      <c r="F357" t="str">
        <f t="shared" si="50"/>
        <v>2158172</v>
      </c>
      <c r="G357">
        <f t="shared" si="51"/>
        <v>2</v>
      </c>
      <c r="H357">
        <f t="shared" si="52"/>
        <v>158</v>
      </c>
      <c r="I357">
        <f t="shared" si="53"/>
        <v>172</v>
      </c>
      <c r="J357" t="str">
        <f t="shared" si="45"/>
        <v>VISrl2\/3",</v>
      </c>
      <c r="K357" t="str">
        <f t="shared" si="45"/>
        <v>Rostrolateral area, layer 2\/3",</v>
      </c>
      <c r="L357" t="str">
        <f t="shared" si="46"/>
        <v>VISrl2\/3</v>
      </c>
      <c r="M357" t="str">
        <f t="shared" si="46"/>
        <v>Rostrolateral area, layer 2\/3</v>
      </c>
      <c r="N357" t="s">
        <v>7163</v>
      </c>
      <c r="O357" t="s">
        <v>7224</v>
      </c>
      <c r="Q357" s="6">
        <v>555</v>
      </c>
      <c r="R357" s="6">
        <v>703</v>
      </c>
      <c r="S357" s="6" t="s">
        <v>5573</v>
      </c>
      <c r="T357" s="6" t="s">
        <v>5572</v>
      </c>
      <c r="U357" s="6">
        <v>688</v>
      </c>
      <c r="V357" s="6">
        <v>4</v>
      </c>
      <c r="W357" s="6" t="s">
        <v>7605</v>
      </c>
      <c r="Y357" t="s">
        <v>7163</v>
      </c>
      <c r="Z357" t="s">
        <v>7224</v>
      </c>
      <c r="AA357" s="6">
        <f t="shared" si="47"/>
        <v>312782608</v>
      </c>
      <c r="AB357">
        <v>2</v>
      </c>
      <c r="AC357">
        <v>158</v>
      </c>
      <c r="AD357">
        <v>172</v>
      </c>
    </row>
    <row r="358" spans="1:30" ht="17" x14ac:dyDescent="0.25">
      <c r="A358" s="1" t="s">
        <v>360</v>
      </c>
      <c r="B358" s="1" t="s">
        <v>3012</v>
      </c>
      <c r="C358" s="1" t="s">
        <v>1687</v>
      </c>
      <c r="D358" t="str">
        <f t="shared" si="48"/>
        <v>019EAA</v>
      </c>
      <c r="E358" t="str">
        <f t="shared" si="49"/>
        <v>1-158-170</v>
      </c>
      <c r="F358" t="str">
        <f t="shared" si="50"/>
        <v>1158170</v>
      </c>
      <c r="G358">
        <f t="shared" si="51"/>
        <v>1</v>
      </c>
      <c r="H358">
        <f t="shared" si="52"/>
        <v>158</v>
      </c>
      <c r="I358">
        <f t="shared" si="53"/>
        <v>170</v>
      </c>
      <c r="J358" t="str">
        <f t="shared" si="45"/>
        <v>VISrl4",</v>
      </c>
      <c r="K358" t="str">
        <f t="shared" si="45"/>
        <v>Rostrolateral area, layer 4",</v>
      </c>
      <c r="L358" t="str">
        <f t="shared" si="46"/>
        <v>VISrl4</v>
      </c>
      <c r="M358" t="str">
        <f t="shared" si="46"/>
        <v>Rostrolateral area, layer 4</v>
      </c>
      <c r="N358" t="s">
        <v>5196</v>
      </c>
      <c r="O358" t="s">
        <v>5197</v>
      </c>
      <c r="Q358" s="6">
        <v>557</v>
      </c>
      <c r="R358" s="6">
        <v>583</v>
      </c>
      <c r="S358" s="6" t="s">
        <v>5577</v>
      </c>
      <c r="T358" s="6" t="s">
        <v>5576</v>
      </c>
      <c r="U358" s="6">
        <v>703</v>
      </c>
      <c r="V358" s="6">
        <v>5</v>
      </c>
      <c r="W358" s="6" t="s">
        <v>7606</v>
      </c>
      <c r="Y358" t="s">
        <v>5196</v>
      </c>
      <c r="Z358" t="s">
        <v>5197</v>
      </c>
      <c r="AA358" s="6">
        <f t="shared" si="47"/>
        <v>312782612</v>
      </c>
      <c r="AB358">
        <v>1</v>
      </c>
      <c r="AC358">
        <v>158</v>
      </c>
      <c r="AD358">
        <v>170</v>
      </c>
    </row>
    <row r="359" spans="1:30" ht="17" x14ac:dyDescent="0.25">
      <c r="A359" s="1" t="s">
        <v>361</v>
      </c>
      <c r="B359" s="1" t="s">
        <v>3013</v>
      </c>
      <c r="C359" s="1" t="s">
        <v>1688</v>
      </c>
      <c r="D359" t="str">
        <f t="shared" si="48"/>
        <v>019DAB</v>
      </c>
      <c r="E359" t="str">
        <f t="shared" si="49"/>
        <v>1-157-171</v>
      </c>
      <c r="F359" t="str">
        <f t="shared" si="50"/>
        <v>1157171</v>
      </c>
      <c r="G359">
        <f t="shared" si="51"/>
        <v>1</v>
      </c>
      <c r="H359">
        <f t="shared" si="52"/>
        <v>157</v>
      </c>
      <c r="I359">
        <f t="shared" si="53"/>
        <v>171</v>
      </c>
      <c r="J359" t="str">
        <f t="shared" si="45"/>
        <v>VISrl5",</v>
      </c>
      <c r="K359" t="str">
        <f t="shared" si="45"/>
        <v>Rostrolateral area, layer 5",</v>
      </c>
      <c r="L359" t="str">
        <f t="shared" si="46"/>
        <v>VISrl5</v>
      </c>
      <c r="M359" t="str">
        <f t="shared" si="46"/>
        <v>Rostrolateral area, layer 5</v>
      </c>
      <c r="N359" t="s">
        <v>5198</v>
      </c>
      <c r="O359" t="s">
        <v>5199</v>
      </c>
      <c r="Q359" s="6">
        <v>558</v>
      </c>
      <c r="R359" s="6">
        <v>942</v>
      </c>
      <c r="S359" s="6" t="s">
        <v>5579</v>
      </c>
      <c r="T359" s="6" t="s">
        <v>5578</v>
      </c>
      <c r="U359" s="6">
        <v>703</v>
      </c>
      <c r="V359" s="6">
        <v>5</v>
      </c>
      <c r="W359" s="6" t="s">
        <v>7607</v>
      </c>
      <c r="Y359" t="s">
        <v>5198</v>
      </c>
      <c r="Z359" t="s">
        <v>5199</v>
      </c>
      <c r="AA359" s="6">
        <f t="shared" si="47"/>
        <v>312782616</v>
      </c>
      <c r="AB359">
        <v>1</v>
      </c>
      <c r="AC359">
        <v>157</v>
      </c>
      <c r="AD359">
        <v>171</v>
      </c>
    </row>
    <row r="360" spans="1:30" ht="17" x14ac:dyDescent="0.25">
      <c r="A360" s="1" t="s">
        <v>362</v>
      </c>
      <c r="B360" s="1" t="s">
        <v>3014</v>
      </c>
      <c r="C360" s="1" t="s">
        <v>1689</v>
      </c>
      <c r="D360" t="str">
        <f t="shared" si="48"/>
        <v>029EAB</v>
      </c>
      <c r="E360" t="str">
        <f t="shared" si="49"/>
        <v>2-158-171</v>
      </c>
      <c r="F360" t="str">
        <f t="shared" si="50"/>
        <v>2158171</v>
      </c>
      <c r="G360">
        <f t="shared" si="51"/>
        <v>2</v>
      </c>
      <c r="H360">
        <f t="shared" si="52"/>
        <v>158</v>
      </c>
      <c r="I360">
        <f t="shared" si="53"/>
        <v>171</v>
      </c>
      <c r="J360" t="str">
        <f t="shared" si="45"/>
        <v>VISrl6a",</v>
      </c>
      <c r="K360" t="str">
        <f t="shared" si="45"/>
        <v>Rostrolateral area, layer 6a",</v>
      </c>
      <c r="L360" t="str">
        <f t="shared" si="46"/>
        <v>VISrl6a</v>
      </c>
      <c r="M360" t="str">
        <f t="shared" si="46"/>
        <v>Rostrolateral area, layer 6a</v>
      </c>
      <c r="N360" t="s">
        <v>5200</v>
      </c>
      <c r="O360" t="s">
        <v>5201</v>
      </c>
      <c r="Q360" s="6">
        <v>559</v>
      </c>
      <c r="R360" s="6">
        <v>952</v>
      </c>
      <c r="S360" s="6" t="s">
        <v>5581</v>
      </c>
      <c r="T360" s="6" t="s">
        <v>5580</v>
      </c>
      <c r="U360" s="6">
        <v>942</v>
      </c>
      <c r="V360" s="6">
        <v>6</v>
      </c>
      <c r="W360" s="6" t="s">
        <v>7608</v>
      </c>
      <c r="Y360" t="s">
        <v>5200</v>
      </c>
      <c r="Z360" t="s">
        <v>5201</v>
      </c>
      <c r="AA360" s="6">
        <f t="shared" si="47"/>
        <v>312782620</v>
      </c>
      <c r="AB360">
        <v>2</v>
      </c>
      <c r="AC360">
        <v>158</v>
      </c>
      <c r="AD360">
        <v>171</v>
      </c>
    </row>
    <row r="361" spans="1:30" ht="17" x14ac:dyDescent="0.25">
      <c r="A361" s="1" t="s">
        <v>363</v>
      </c>
      <c r="B361" s="1" t="s">
        <v>3015</v>
      </c>
      <c r="C361" s="1" t="s">
        <v>1690</v>
      </c>
      <c r="D361" t="str">
        <f t="shared" si="48"/>
        <v>009DAA</v>
      </c>
      <c r="E361" t="str">
        <f t="shared" si="49"/>
        <v>0-157-170</v>
      </c>
      <c r="F361" t="str">
        <f t="shared" si="50"/>
        <v>0157170</v>
      </c>
      <c r="G361">
        <f t="shared" si="51"/>
        <v>0</v>
      </c>
      <c r="H361">
        <f t="shared" si="52"/>
        <v>157</v>
      </c>
      <c r="I361">
        <f t="shared" si="53"/>
        <v>170</v>
      </c>
      <c r="J361" t="str">
        <f t="shared" si="45"/>
        <v>VISrl6b",</v>
      </c>
      <c r="K361" t="str">
        <f t="shared" si="45"/>
        <v>Rostrolateral area, layer 6b",</v>
      </c>
      <c r="L361" t="str">
        <f t="shared" si="46"/>
        <v>VISrl6b</v>
      </c>
      <c r="M361" t="str">
        <f t="shared" si="46"/>
        <v>Rostrolateral area, layer 6b</v>
      </c>
      <c r="N361" t="s">
        <v>5202</v>
      </c>
      <c r="O361" t="s">
        <v>5203</v>
      </c>
      <c r="Q361" s="6">
        <v>560</v>
      </c>
      <c r="R361" s="6">
        <v>966</v>
      </c>
      <c r="S361" s="6" t="s">
        <v>5583</v>
      </c>
      <c r="T361" s="6" t="s">
        <v>5582</v>
      </c>
      <c r="U361" s="6">
        <v>942</v>
      </c>
      <c r="V361" s="6">
        <v>6</v>
      </c>
      <c r="W361" s="6" t="s">
        <v>7609</v>
      </c>
      <c r="Y361" t="s">
        <v>5202</v>
      </c>
      <c r="Z361" t="s">
        <v>5203</v>
      </c>
      <c r="AA361" s="6">
        <f t="shared" si="47"/>
        <v>22</v>
      </c>
      <c r="AB361">
        <v>0</v>
      </c>
      <c r="AC361">
        <v>157</v>
      </c>
      <c r="AD361">
        <v>170</v>
      </c>
    </row>
    <row r="362" spans="1:30" ht="17" x14ac:dyDescent="0.25">
      <c r="A362" s="1" t="s">
        <v>364</v>
      </c>
      <c r="B362" s="1" t="s">
        <v>3016</v>
      </c>
      <c r="C362" s="1" t="s">
        <v>1691</v>
      </c>
      <c r="D362" t="str">
        <f t="shared" si="48"/>
        <v>16B0B3</v>
      </c>
      <c r="E362" t="str">
        <f t="shared" si="49"/>
        <v>22-176-179</v>
      </c>
      <c r="F362" t="str">
        <f t="shared" si="50"/>
        <v>22176179</v>
      </c>
      <c r="G362">
        <f t="shared" si="51"/>
        <v>22</v>
      </c>
      <c r="H362">
        <f t="shared" si="52"/>
        <v>176</v>
      </c>
      <c r="I362">
        <f t="shared" si="53"/>
        <v>179</v>
      </c>
      <c r="J362" t="str">
        <f t="shared" si="45"/>
        <v>TEa",</v>
      </c>
      <c r="K362" t="str">
        <f t="shared" si="45"/>
        <v>Temporal association areas",</v>
      </c>
      <c r="L362" t="str">
        <f t="shared" si="46"/>
        <v>TEa</v>
      </c>
      <c r="M362" t="str">
        <f t="shared" si="46"/>
        <v>Temporal association areas</v>
      </c>
      <c r="N362" t="s">
        <v>5204</v>
      </c>
      <c r="O362" t="s">
        <v>5205</v>
      </c>
      <c r="Q362" s="6">
        <v>561</v>
      </c>
      <c r="R362" s="6">
        <v>131</v>
      </c>
      <c r="S362" s="6" t="s">
        <v>5585</v>
      </c>
      <c r="T362" s="6" t="s">
        <v>5584</v>
      </c>
      <c r="U362" s="6">
        <v>703</v>
      </c>
      <c r="V362" s="6">
        <v>5</v>
      </c>
      <c r="W362" s="6" t="s">
        <v>7610</v>
      </c>
      <c r="Y362" t="s">
        <v>5204</v>
      </c>
      <c r="Z362" t="s">
        <v>5205</v>
      </c>
      <c r="AA362" s="6">
        <f t="shared" si="47"/>
        <v>541</v>
      </c>
      <c r="AB362">
        <v>22</v>
      </c>
      <c r="AC362">
        <v>176</v>
      </c>
      <c r="AD362">
        <v>179</v>
      </c>
    </row>
    <row r="363" spans="1:30" ht="17" x14ac:dyDescent="0.25">
      <c r="A363" s="1" t="s">
        <v>365</v>
      </c>
      <c r="B363" s="1" t="s">
        <v>3017</v>
      </c>
      <c r="C363" s="1" t="s">
        <v>1692</v>
      </c>
      <c r="D363" t="str">
        <f t="shared" si="48"/>
        <v>15B0B3</v>
      </c>
      <c r="E363" t="str">
        <f t="shared" si="49"/>
        <v>21-176-179</v>
      </c>
      <c r="F363" t="str">
        <f t="shared" si="50"/>
        <v>21176179</v>
      </c>
      <c r="G363">
        <f t="shared" si="51"/>
        <v>21</v>
      </c>
      <c r="H363">
        <f t="shared" si="52"/>
        <v>176</v>
      </c>
      <c r="I363">
        <f t="shared" si="53"/>
        <v>179</v>
      </c>
      <c r="J363" t="str">
        <f t="shared" si="45"/>
        <v>TEa1",</v>
      </c>
      <c r="K363" t="str">
        <f t="shared" si="45"/>
        <v>Temporal association areas, layer 1",</v>
      </c>
      <c r="L363" t="str">
        <f t="shared" si="46"/>
        <v>TEa1</v>
      </c>
      <c r="M363" t="str">
        <f t="shared" si="46"/>
        <v>Temporal association areas, layer 1</v>
      </c>
      <c r="N363" t="s">
        <v>5206</v>
      </c>
      <c r="O363" t="s">
        <v>5207</v>
      </c>
      <c r="Q363" s="6">
        <v>562</v>
      </c>
      <c r="R363" s="6">
        <v>295</v>
      </c>
      <c r="S363" s="6" t="s">
        <v>5587</v>
      </c>
      <c r="T363" s="6" t="s">
        <v>5586</v>
      </c>
      <c r="U363" s="6">
        <v>703</v>
      </c>
      <c r="V363" s="6">
        <v>5</v>
      </c>
      <c r="W363" s="6" t="s">
        <v>7611</v>
      </c>
      <c r="Y363" t="s">
        <v>5206</v>
      </c>
      <c r="Z363" t="s">
        <v>5207</v>
      </c>
      <c r="AA363" s="6">
        <f t="shared" si="47"/>
        <v>97</v>
      </c>
      <c r="AB363">
        <v>21</v>
      </c>
      <c r="AC363">
        <v>176</v>
      </c>
      <c r="AD363">
        <v>179</v>
      </c>
    </row>
    <row r="364" spans="1:30" ht="17" x14ac:dyDescent="0.25">
      <c r="A364" s="1" t="s">
        <v>366</v>
      </c>
      <c r="B364" s="1" t="s">
        <v>3018</v>
      </c>
      <c r="C364" s="1" t="s">
        <v>1693</v>
      </c>
      <c r="D364" t="str">
        <f t="shared" si="48"/>
        <v>16AFB3</v>
      </c>
      <c r="E364" t="str">
        <f t="shared" si="49"/>
        <v>22-175-179</v>
      </c>
      <c r="F364" t="str">
        <f t="shared" si="50"/>
        <v>22175179</v>
      </c>
      <c r="G364">
        <f t="shared" si="51"/>
        <v>22</v>
      </c>
      <c r="H364">
        <f t="shared" si="52"/>
        <v>175</v>
      </c>
      <c r="I364">
        <f t="shared" si="53"/>
        <v>179</v>
      </c>
      <c r="J364" t="str">
        <f t="shared" si="45"/>
        <v>TEa2\/3",</v>
      </c>
      <c r="K364" t="str">
        <f t="shared" si="45"/>
        <v>Temporal association areas, layer 2\/3",</v>
      </c>
      <c r="L364" t="str">
        <f t="shared" si="46"/>
        <v>TEa2\/3</v>
      </c>
      <c r="M364" t="str">
        <f t="shared" si="46"/>
        <v>Temporal association areas, layer 2\/3</v>
      </c>
      <c r="N364" t="s">
        <v>7164</v>
      </c>
      <c r="O364" t="s">
        <v>7225</v>
      </c>
      <c r="Q364" s="6">
        <v>563</v>
      </c>
      <c r="R364" s="6">
        <v>303</v>
      </c>
      <c r="S364" s="6" t="s">
        <v>5589</v>
      </c>
      <c r="T364" s="6" t="s">
        <v>5588</v>
      </c>
      <c r="U364" s="6">
        <v>295</v>
      </c>
      <c r="V364" s="6">
        <v>6</v>
      </c>
      <c r="W364" s="6" t="s">
        <v>7612</v>
      </c>
      <c r="Y364" t="s">
        <v>7164</v>
      </c>
      <c r="Z364" t="s">
        <v>7225</v>
      </c>
      <c r="AA364" s="6">
        <f t="shared" si="47"/>
        <v>1127</v>
      </c>
      <c r="AB364">
        <v>22</v>
      </c>
      <c r="AC364">
        <v>175</v>
      </c>
      <c r="AD364">
        <v>179</v>
      </c>
    </row>
    <row r="365" spans="1:30" ht="17" x14ac:dyDescent="0.25">
      <c r="A365" s="1" t="s">
        <v>367</v>
      </c>
      <c r="B365" s="1" t="s">
        <v>3019</v>
      </c>
      <c r="C365" s="1" t="s">
        <v>1694</v>
      </c>
      <c r="D365" t="str">
        <f t="shared" si="48"/>
        <v>15B0B2</v>
      </c>
      <c r="E365" t="str">
        <f t="shared" si="49"/>
        <v>21-176-178</v>
      </c>
      <c r="F365" t="str">
        <f t="shared" si="50"/>
        <v>21176178</v>
      </c>
      <c r="G365">
        <f t="shared" si="51"/>
        <v>21</v>
      </c>
      <c r="H365">
        <f t="shared" si="52"/>
        <v>176</v>
      </c>
      <c r="I365">
        <f t="shared" si="53"/>
        <v>178</v>
      </c>
      <c r="J365" t="str">
        <f t="shared" si="45"/>
        <v>TEa4",</v>
      </c>
      <c r="K365" t="str">
        <f t="shared" si="45"/>
        <v>Temporal association areas, layer 4",</v>
      </c>
      <c r="L365" t="str">
        <f t="shared" si="46"/>
        <v>TEa4</v>
      </c>
      <c r="M365" t="str">
        <f t="shared" si="46"/>
        <v>Temporal association areas, layer 4</v>
      </c>
      <c r="N365" t="s">
        <v>5208</v>
      </c>
      <c r="O365" t="s">
        <v>5209</v>
      </c>
      <c r="Q365" s="6">
        <v>564</v>
      </c>
      <c r="R365" s="6">
        <v>311</v>
      </c>
      <c r="S365" s="6" t="s">
        <v>5591</v>
      </c>
      <c r="T365" s="6" t="s">
        <v>5590</v>
      </c>
      <c r="U365" s="6">
        <v>295</v>
      </c>
      <c r="V365" s="6">
        <v>6</v>
      </c>
      <c r="W365" s="6" t="s">
        <v>7613</v>
      </c>
      <c r="Y365" t="s">
        <v>5208</v>
      </c>
      <c r="Z365" t="s">
        <v>5209</v>
      </c>
      <c r="AA365" s="6">
        <f t="shared" si="47"/>
        <v>234</v>
      </c>
      <c r="AB365">
        <v>21</v>
      </c>
      <c r="AC365">
        <v>176</v>
      </c>
      <c r="AD365">
        <v>178</v>
      </c>
    </row>
    <row r="366" spans="1:30" ht="17" x14ac:dyDescent="0.25">
      <c r="A366" s="1" t="s">
        <v>368</v>
      </c>
      <c r="B366" s="1" t="s">
        <v>3020</v>
      </c>
      <c r="C366" s="1" t="s">
        <v>1695</v>
      </c>
      <c r="D366" t="str">
        <f t="shared" si="48"/>
        <v>15AFB3</v>
      </c>
      <c r="E366" t="str">
        <f t="shared" si="49"/>
        <v>21-175-179</v>
      </c>
      <c r="F366" t="str">
        <f t="shared" si="50"/>
        <v>21175179</v>
      </c>
      <c r="G366">
        <f t="shared" si="51"/>
        <v>21</v>
      </c>
      <c r="H366">
        <f t="shared" si="52"/>
        <v>175</v>
      </c>
      <c r="I366">
        <f t="shared" si="53"/>
        <v>179</v>
      </c>
      <c r="J366" t="str">
        <f t="shared" si="45"/>
        <v>TEa5",</v>
      </c>
      <c r="K366" t="str">
        <f t="shared" si="45"/>
        <v>Temporal association areas, layer 5",</v>
      </c>
      <c r="L366" t="str">
        <f t="shared" si="46"/>
        <v>TEa5</v>
      </c>
      <c r="M366" t="str">
        <f t="shared" si="46"/>
        <v>Temporal association areas, layer 5</v>
      </c>
      <c r="N366" t="s">
        <v>5210</v>
      </c>
      <c r="O366" t="s">
        <v>5211</v>
      </c>
      <c r="Q366" s="6">
        <v>565</v>
      </c>
      <c r="R366" s="6">
        <v>451</v>
      </c>
      <c r="S366" s="6" t="s">
        <v>5593</v>
      </c>
      <c r="T366" s="6" t="s">
        <v>5592</v>
      </c>
      <c r="U366" s="6">
        <v>295</v>
      </c>
      <c r="V366" s="6">
        <v>6</v>
      </c>
      <c r="W366" s="6" t="s">
        <v>7614</v>
      </c>
      <c r="Y366" t="s">
        <v>5210</v>
      </c>
      <c r="Z366" t="s">
        <v>5211</v>
      </c>
      <c r="AA366" s="6">
        <f t="shared" si="47"/>
        <v>289</v>
      </c>
      <c r="AB366">
        <v>21</v>
      </c>
      <c r="AC366">
        <v>175</v>
      </c>
      <c r="AD366">
        <v>179</v>
      </c>
    </row>
    <row r="367" spans="1:30" ht="17" x14ac:dyDescent="0.25">
      <c r="A367" s="1" t="s">
        <v>369</v>
      </c>
      <c r="B367" s="1" t="s">
        <v>3021</v>
      </c>
      <c r="C367" s="1" t="s">
        <v>1696</v>
      </c>
      <c r="D367" t="str">
        <f t="shared" si="48"/>
        <v>15AFB2</v>
      </c>
      <c r="E367" t="str">
        <f t="shared" si="49"/>
        <v>21-175-178</v>
      </c>
      <c r="F367" t="str">
        <f t="shared" si="50"/>
        <v>21175178</v>
      </c>
      <c r="G367">
        <f t="shared" si="51"/>
        <v>21</v>
      </c>
      <c r="H367">
        <f t="shared" si="52"/>
        <v>175</v>
      </c>
      <c r="I367">
        <f t="shared" si="53"/>
        <v>178</v>
      </c>
      <c r="J367" t="str">
        <f t="shared" si="45"/>
        <v>TEa6a",</v>
      </c>
      <c r="K367" t="str">
        <f t="shared" si="45"/>
        <v>Temporal association areas, layer 6a",</v>
      </c>
      <c r="L367" t="str">
        <f t="shared" si="46"/>
        <v>TEa6a</v>
      </c>
      <c r="M367" t="str">
        <f t="shared" si="46"/>
        <v>Temporal association areas, layer 6a</v>
      </c>
      <c r="N367" t="s">
        <v>5212</v>
      </c>
      <c r="O367" t="s">
        <v>5213</v>
      </c>
      <c r="Q367" s="6">
        <v>566</v>
      </c>
      <c r="R367" s="6">
        <v>319</v>
      </c>
      <c r="S367" s="6" t="s">
        <v>5595</v>
      </c>
      <c r="T367" s="6" t="s">
        <v>5594</v>
      </c>
      <c r="U367" s="6">
        <v>703</v>
      </c>
      <c r="V367" s="6">
        <v>5</v>
      </c>
      <c r="W367" s="6" t="s">
        <v>7615</v>
      </c>
      <c r="Y367" t="s">
        <v>5212</v>
      </c>
      <c r="Z367" t="s">
        <v>5213</v>
      </c>
      <c r="AA367" s="6">
        <f t="shared" si="47"/>
        <v>729</v>
      </c>
      <c r="AB367">
        <v>21</v>
      </c>
      <c r="AC367">
        <v>175</v>
      </c>
      <c r="AD367">
        <v>178</v>
      </c>
    </row>
    <row r="368" spans="1:30" ht="17" x14ac:dyDescent="0.25">
      <c r="A368" s="1" t="s">
        <v>370</v>
      </c>
      <c r="B368" s="1" t="s">
        <v>3022</v>
      </c>
      <c r="C368" s="1" t="s">
        <v>1697</v>
      </c>
      <c r="D368" t="str">
        <f t="shared" si="48"/>
        <v>16B0B2</v>
      </c>
      <c r="E368" t="str">
        <f t="shared" si="49"/>
        <v>22-176-178</v>
      </c>
      <c r="F368" t="str">
        <f t="shared" si="50"/>
        <v>22176178</v>
      </c>
      <c r="G368">
        <f t="shared" si="51"/>
        <v>22</v>
      </c>
      <c r="H368">
        <f t="shared" si="52"/>
        <v>176</v>
      </c>
      <c r="I368">
        <f t="shared" si="53"/>
        <v>178</v>
      </c>
      <c r="J368" t="str">
        <f t="shared" si="45"/>
        <v>TEa6b",</v>
      </c>
      <c r="K368" t="str">
        <f t="shared" si="45"/>
        <v>Temporal association areas, layer 6b",</v>
      </c>
      <c r="L368" t="str">
        <f t="shared" si="46"/>
        <v>TEa6b</v>
      </c>
      <c r="M368" t="str">
        <f t="shared" si="46"/>
        <v>Temporal association areas, layer 6b</v>
      </c>
      <c r="N368" t="s">
        <v>5214</v>
      </c>
      <c r="O368" t="s">
        <v>5215</v>
      </c>
      <c r="Q368" s="6">
        <v>567</v>
      </c>
      <c r="R368" s="6">
        <v>327</v>
      </c>
      <c r="S368" s="6" t="s">
        <v>5597</v>
      </c>
      <c r="T368" s="6" t="s">
        <v>5596</v>
      </c>
      <c r="U368" s="6">
        <v>319</v>
      </c>
      <c r="V368" s="6">
        <v>6</v>
      </c>
      <c r="W368" s="6" t="s">
        <v>7616</v>
      </c>
      <c r="Y368" t="s">
        <v>5214</v>
      </c>
      <c r="Z368" t="s">
        <v>5215</v>
      </c>
      <c r="AA368" s="6">
        <f t="shared" si="47"/>
        <v>786</v>
      </c>
      <c r="AB368">
        <v>22</v>
      </c>
      <c r="AC368">
        <v>176</v>
      </c>
      <c r="AD368">
        <v>178</v>
      </c>
    </row>
    <row r="369" spans="1:30" ht="17" x14ac:dyDescent="0.25">
      <c r="A369" s="1" t="s">
        <v>371</v>
      </c>
      <c r="B369" s="1" t="s">
        <v>3023</v>
      </c>
      <c r="C369" s="1" t="s">
        <v>1698</v>
      </c>
      <c r="D369" t="str">
        <f t="shared" si="48"/>
        <v>0F9683</v>
      </c>
      <c r="E369" t="str">
        <f t="shared" si="49"/>
        <v>15-150-131</v>
      </c>
      <c r="F369" t="str">
        <f t="shared" si="50"/>
        <v>15150131</v>
      </c>
      <c r="G369">
        <f t="shared" si="51"/>
        <v>15</v>
      </c>
      <c r="H369">
        <f t="shared" si="52"/>
        <v>150</v>
      </c>
      <c r="I369">
        <f t="shared" si="53"/>
        <v>131</v>
      </c>
      <c r="J369" t="str">
        <f t="shared" si="45"/>
        <v>PERI",</v>
      </c>
      <c r="K369" t="str">
        <f t="shared" si="45"/>
        <v>Perirhinal area",</v>
      </c>
      <c r="L369" t="str">
        <f t="shared" si="46"/>
        <v>PERI</v>
      </c>
      <c r="M369" t="str">
        <f t="shared" si="46"/>
        <v>Perirhinal area</v>
      </c>
      <c r="N369" t="s">
        <v>5216</v>
      </c>
      <c r="O369" t="s">
        <v>5217</v>
      </c>
      <c r="Q369" s="6">
        <v>568</v>
      </c>
      <c r="R369" s="6">
        <v>334</v>
      </c>
      <c r="S369" s="6" t="s">
        <v>5599</v>
      </c>
      <c r="T369" s="6" t="s">
        <v>5598</v>
      </c>
      <c r="U369" s="6">
        <v>319</v>
      </c>
      <c r="V369" s="6">
        <v>6</v>
      </c>
      <c r="W369" s="6" t="s">
        <v>7617</v>
      </c>
      <c r="Y369" t="s">
        <v>5216</v>
      </c>
      <c r="Z369" t="s">
        <v>5217</v>
      </c>
      <c r="AA369" s="6">
        <f t="shared" si="47"/>
        <v>922</v>
      </c>
      <c r="AB369">
        <v>15</v>
      </c>
      <c r="AC369">
        <v>150</v>
      </c>
      <c r="AD369">
        <v>131</v>
      </c>
    </row>
    <row r="370" spans="1:30" ht="17" x14ac:dyDescent="0.25">
      <c r="A370" s="1" t="s">
        <v>372</v>
      </c>
      <c r="B370" s="1" t="s">
        <v>3024</v>
      </c>
      <c r="C370" s="1" t="s">
        <v>1699</v>
      </c>
      <c r="D370" t="str">
        <f t="shared" si="48"/>
        <v>0E9584</v>
      </c>
      <c r="E370" t="str">
        <f t="shared" si="49"/>
        <v>14-149-132</v>
      </c>
      <c r="F370" t="str">
        <f t="shared" si="50"/>
        <v>14149132</v>
      </c>
      <c r="G370">
        <f t="shared" si="51"/>
        <v>14</v>
      </c>
      <c r="H370">
        <f t="shared" si="52"/>
        <v>149</v>
      </c>
      <c r="I370">
        <f t="shared" si="53"/>
        <v>132</v>
      </c>
      <c r="J370" t="str">
        <f t="shared" si="45"/>
        <v>PERI1",</v>
      </c>
      <c r="K370" t="str">
        <f t="shared" si="45"/>
        <v>Perirhinal area, layer 1",</v>
      </c>
      <c r="L370" t="str">
        <f t="shared" si="46"/>
        <v>PERI1</v>
      </c>
      <c r="M370" t="str">
        <f t="shared" si="46"/>
        <v>Perirhinal area, layer 1</v>
      </c>
      <c r="N370" t="s">
        <v>5218</v>
      </c>
      <c r="O370" t="s">
        <v>5219</v>
      </c>
      <c r="Q370" s="6">
        <v>569</v>
      </c>
      <c r="R370" s="6">
        <v>780</v>
      </c>
      <c r="S370" s="6" t="s">
        <v>5601</v>
      </c>
      <c r="T370" s="6" t="s">
        <v>5600</v>
      </c>
      <c r="U370" s="6">
        <v>703</v>
      </c>
      <c r="V370" s="6">
        <v>5</v>
      </c>
      <c r="W370" s="6" t="s">
        <v>7618</v>
      </c>
      <c r="Y370" t="s">
        <v>5218</v>
      </c>
      <c r="Z370" t="s">
        <v>5219</v>
      </c>
      <c r="AA370" s="6">
        <f t="shared" si="47"/>
        <v>540</v>
      </c>
      <c r="AB370">
        <v>14</v>
      </c>
      <c r="AC370">
        <v>149</v>
      </c>
      <c r="AD370">
        <v>132</v>
      </c>
    </row>
    <row r="371" spans="1:30" ht="17" x14ac:dyDescent="0.25">
      <c r="A371" s="1" t="s">
        <v>373</v>
      </c>
      <c r="B371" s="1" t="s">
        <v>3025</v>
      </c>
      <c r="C371" s="1" t="s">
        <v>1700</v>
      </c>
      <c r="D371" t="str">
        <f t="shared" si="48"/>
        <v>0E9583</v>
      </c>
      <c r="E371" t="str">
        <f t="shared" si="49"/>
        <v>14-149-131</v>
      </c>
      <c r="F371" t="str">
        <f t="shared" si="50"/>
        <v>14149131</v>
      </c>
      <c r="G371">
        <f t="shared" si="51"/>
        <v>14</v>
      </c>
      <c r="H371">
        <f t="shared" si="52"/>
        <v>149</v>
      </c>
      <c r="I371">
        <f t="shared" si="53"/>
        <v>131</v>
      </c>
      <c r="J371" t="str">
        <f t="shared" si="45"/>
        <v>PERI2\/3",</v>
      </c>
      <c r="K371" t="str">
        <f t="shared" si="45"/>
        <v>Perirhinal area, layer 2\/3",</v>
      </c>
      <c r="L371" t="str">
        <f t="shared" si="46"/>
        <v>PERI2\/3</v>
      </c>
      <c r="M371" t="str">
        <f t="shared" si="46"/>
        <v>Perirhinal area, layer 2\/3</v>
      </c>
      <c r="N371" t="s">
        <v>7165</v>
      </c>
      <c r="O371" t="s">
        <v>7226</v>
      </c>
      <c r="Q371" s="6">
        <v>570</v>
      </c>
      <c r="R371" s="6">
        <v>623</v>
      </c>
      <c r="S371" s="6" t="s">
        <v>5603</v>
      </c>
      <c r="T371" s="6" t="s">
        <v>5602</v>
      </c>
      <c r="U371" s="6">
        <v>567</v>
      </c>
      <c r="V371" s="6">
        <v>3</v>
      </c>
      <c r="W371" s="6" t="s">
        <v>7619</v>
      </c>
      <c r="Y371" t="s">
        <v>7165</v>
      </c>
      <c r="Z371" t="s">
        <v>7226</v>
      </c>
      <c r="AA371" s="6">
        <f t="shared" si="47"/>
        <v>888</v>
      </c>
      <c r="AB371">
        <v>14</v>
      </c>
      <c r="AC371">
        <v>149</v>
      </c>
      <c r="AD371">
        <v>131</v>
      </c>
    </row>
    <row r="372" spans="1:30" ht="17" x14ac:dyDescent="0.25">
      <c r="A372" s="1" t="s">
        <v>374</v>
      </c>
      <c r="B372" s="1" t="s">
        <v>3026</v>
      </c>
      <c r="C372" s="1" t="s">
        <v>1701</v>
      </c>
      <c r="D372" t="str">
        <f t="shared" si="48"/>
        <v>0F9684</v>
      </c>
      <c r="E372" t="str">
        <f t="shared" si="49"/>
        <v>15-150-132</v>
      </c>
      <c r="F372" t="str">
        <f t="shared" si="50"/>
        <v>15150132</v>
      </c>
      <c r="G372">
        <f t="shared" si="51"/>
        <v>15</v>
      </c>
      <c r="H372">
        <f t="shared" si="52"/>
        <v>150</v>
      </c>
      <c r="I372">
        <f t="shared" si="53"/>
        <v>132</v>
      </c>
      <c r="J372" t="str">
        <f t="shared" si="45"/>
        <v>PERI5",</v>
      </c>
      <c r="K372" t="str">
        <f t="shared" si="45"/>
        <v>Perirhinal area, layer 5",</v>
      </c>
      <c r="L372" t="str">
        <f t="shared" si="46"/>
        <v>PERI5</v>
      </c>
      <c r="M372" t="str">
        <f t="shared" si="46"/>
        <v>Perirhinal area, layer 5</v>
      </c>
      <c r="N372" t="s">
        <v>5220</v>
      </c>
      <c r="O372" t="s">
        <v>5221</v>
      </c>
      <c r="Q372" s="6">
        <v>571</v>
      </c>
      <c r="R372" s="6">
        <v>477</v>
      </c>
      <c r="S372" s="6" t="s">
        <v>5605</v>
      </c>
      <c r="T372" s="6" t="s">
        <v>5604</v>
      </c>
      <c r="U372" s="6">
        <v>623</v>
      </c>
      <c r="V372" s="6">
        <v>4</v>
      </c>
      <c r="W372" s="6" t="s">
        <v>7620</v>
      </c>
      <c r="Y372" t="s">
        <v>5220</v>
      </c>
      <c r="Z372" t="s">
        <v>5221</v>
      </c>
      <c r="AA372" s="6">
        <f t="shared" si="47"/>
        <v>692</v>
      </c>
      <c r="AB372">
        <v>15</v>
      </c>
      <c r="AC372">
        <v>150</v>
      </c>
      <c r="AD372">
        <v>132</v>
      </c>
    </row>
    <row r="373" spans="1:30" ht="17" x14ac:dyDescent="0.25">
      <c r="A373" s="1" t="s">
        <v>375</v>
      </c>
      <c r="B373" s="1" t="s">
        <v>3027</v>
      </c>
      <c r="C373" s="1" t="s">
        <v>1702</v>
      </c>
      <c r="D373" t="str">
        <f t="shared" si="48"/>
        <v>0E9684</v>
      </c>
      <c r="E373" t="str">
        <f t="shared" si="49"/>
        <v>14-150-132</v>
      </c>
      <c r="F373" t="str">
        <f t="shared" si="50"/>
        <v>14150132</v>
      </c>
      <c r="G373">
        <f t="shared" si="51"/>
        <v>14</v>
      </c>
      <c r="H373">
        <f t="shared" si="52"/>
        <v>150</v>
      </c>
      <c r="I373">
        <f t="shared" si="53"/>
        <v>132</v>
      </c>
      <c r="J373" t="str">
        <f t="shared" si="45"/>
        <v>PERI6a",</v>
      </c>
      <c r="K373" t="str">
        <f t="shared" si="45"/>
        <v>Perirhinal area, layer 6a",</v>
      </c>
      <c r="L373" t="str">
        <f t="shared" si="46"/>
        <v>PERI6a</v>
      </c>
      <c r="M373" t="str">
        <f t="shared" si="46"/>
        <v>Perirhinal area, layer 6a</v>
      </c>
      <c r="N373" t="s">
        <v>5222</v>
      </c>
      <c r="O373" t="s">
        <v>5223</v>
      </c>
      <c r="Q373" s="6">
        <v>572</v>
      </c>
      <c r="R373" s="6">
        <v>485</v>
      </c>
      <c r="S373" s="6" t="s">
        <v>5607</v>
      </c>
      <c r="T373" s="6" t="s">
        <v>5606</v>
      </c>
      <c r="U373" s="6">
        <v>477</v>
      </c>
      <c r="V373" s="6">
        <v>5</v>
      </c>
      <c r="W373" s="6" t="s">
        <v>7621</v>
      </c>
      <c r="Y373" t="s">
        <v>5222</v>
      </c>
      <c r="Z373" t="s">
        <v>5223</v>
      </c>
      <c r="AA373" s="6">
        <f t="shared" si="47"/>
        <v>335</v>
      </c>
      <c r="AB373">
        <v>14</v>
      </c>
      <c r="AC373">
        <v>150</v>
      </c>
      <c r="AD373">
        <v>132</v>
      </c>
    </row>
    <row r="374" spans="1:30" ht="17" x14ac:dyDescent="0.25">
      <c r="A374" s="1" t="s">
        <v>376</v>
      </c>
      <c r="B374" s="1" t="s">
        <v>3028</v>
      </c>
      <c r="C374" s="1" t="s">
        <v>1703</v>
      </c>
      <c r="D374" t="str">
        <f t="shared" si="48"/>
        <v>0E9683</v>
      </c>
      <c r="E374" t="str">
        <f t="shared" si="49"/>
        <v>14-150-131</v>
      </c>
      <c r="F374" t="str">
        <f t="shared" si="50"/>
        <v>14150131</v>
      </c>
      <c r="G374">
        <f t="shared" si="51"/>
        <v>14</v>
      </c>
      <c r="H374">
        <f t="shared" si="52"/>
        <v>150</v>
      </c>
      <c r="I374">
        <f t="shared" si="53"/>
        <v>131</v>
      </c>
      <c r="J374" t="str">
        <f t="shared" si="45"/>
        <v>PERI6b",</v>
      </c>
      <c r="K374" t="str">
        <f t="shared" si="45"/>
        <v>Perirhinal area, layer 6b",</v>
      </c>
      <c r="L374" t="str">
        <f t="shared" si="46"/>
        <v>PERI6b</v>
      </c>
      <c r="M374" t="str">
        <f t="shared" si="46"/>
        <v>Perirhinal area, layer 6b</v>
      </c>
      <c r="N374" t="s">
        <v>5224</v>
      </c>
      <c r="O374" t="s">
        <v>5225</v>
      </c>
      <c r="Q374" s="6">
        <v>573</v>
      </c>
      <c r="R374" s="6">
        <v>672</v>
      </c>
      <c r="S374" s="6" t="s">
        <v>5609</v>
      </c>
      <c r="T374" s="6" t="s">
        <v>5608</v>
      </c>
      <c r="U374" s="6">
        <v>485</v>
      </c>
      <c r="V374" s="6">
        <v>6</v>
      </c>
      <c r="W374" s="6" t="s">
        <v>7622</v>
      </c>
      <c r="Y374" t="s">
        <v>5224</v>
      </c>
      <c r="Z374" t="s">
        <v>5225</v>
      </c>
      <c r="AA374" s="6">
        <f t="shared" si="47"/>
        <v>368</v>
      </c>
      <c r="AB374">
        <v>14</v>
      </c>
      <c r="AC374">
        <v>150</v>
      </c>
      <c r="AD374">
        <v>131</v>
      </c>
    </row>
    <row r="375" spans="1:30" ht="17" x14ac:dyDescent="0.25">
      <c r="A375" s="1" t="s">
        <v>377</v>
      </c>
      <c r="B375" s="1" t="s">
        <v>3029</v>
      </c>
      <c r="C375" s="1" t="s">
        <v>1704</v>
      </c>
      <c r="D375" t="str">
        <f t="shared" si="48"/>
        <v>0D9E91</v>
      </c>
      <c r="E375" t="str">
        <f t="shared" si="49"/>
        <v>13-158-145</v>
      </c>
      <c r="F375" t="str">
        <f t="shared" si="50"/>
        <v>13158145</v>
      </c>
      <c r="G375">
        <f t="shared" si="51"/>
        <v>13</v>
      </c>
      <c r="H375">
        <f t="shared" si="52"/>
        <v>158</v>
      </c>
      <c r="I375">
        <f t="shared" si="53"/>
        <v>145</v>
      </c>
      <c r="J375" t="str">
        <f t="shared" si="45"/>
        <v>ECT",</v>
      </c>
      <c r="K375" t="str">
        <f t="shared" si="45"/>
        <v>Ectorhinal area",</v>
      </c>
      <c r="L375" t="str">
        <f t="shared" si="46"/>
        <v>ECT</v>
      </c>
      <c r="M375" t="str">
        <f t="shared" si="46"/>
        <v>Ectorhinal area</v>
      </c>
      <c r="N375" t="s">
        <v>5226</v>
      </c>
      <c r="O375" t="s">
        <v>5227</v>
      </c>
      <c r="Q375" s="6">
        <v>574</v>
      </c>
      <c r="R375" s="6">
        <v>493</v>
      </c>
      <c r="S375" s="6" t="s">
        <v>5611</v>
      </c>
      <c r="T375" s="6" t="s">
        <v>5610</v>
      </c>
      <c r="U375" s="6">
        <v>477</v>
      </c>
      <c r="V375" s="6">
        <v>5</v>
      </c>
      <c r="W375" s="6" t="s">
        <v>7623</v>
      </c>
      <c r="Y375" t="s">
        <v>5226</v>
      </c>
      <c r="Z375" t="s">
        <v>5227</v>
      </c>
      <c r="AA375" s="6">
        <f t="shared" si="47"/>
        <v>895</v>
      </c>
      <c r="AB375">
        <v>13</v>
      </c>
      <c r="AC375">
        <v>158</v>
      </c>
      <c r="AD375">
        <v>145</v>
      </c>
    </row>
    <row r="376" spans="1:30" ht="17" x14ac:dyDescent="0.25">
      <c r="A376" s="1" t="s">
        <v>378</v>
      </c>
      <c r="B376" s="1" t="s">
        <v>3030</v>
      </c>
      <c r="C376" s="1" t="s">
        <v>1705</v>
      </c>
      <c r="D376" t="str">
        <f t="shared" si="48"/>
        <v>0D9F90</v>
      </c>
      <c r="E376" t="str">
        <f t="shared" si="49"/>
        <v>13-159-144</v>
      </c>
      <c r="F376" t="str">
        <f t="shared" si="50"/>
        <v>13159144</v>
      </c>
      <c r="G376">
        <f t="shared" si="51"/>
        <v>13</v>
      </c>
      <c r="H376">
        <f t="shared" si="52"/>
        <v>159</v>
      </c>
      <c r="I376">
        <f t="shared" si="53"/>
        <v>144</v>
      </c>
      <c r="J376" t="str">
        <f t="shared" si="45"/>
        <v>ECT1",</v>
      </c>
      <c r="K376" t="str">
        <f t="shared" si="45"/>
        <v>Ectorhinal area\/Layer 1",</v>
      </c>
      <c r="L376" t="str">
        <f t="shared" si="46"/>
        <v>ECT1</v>
      </c>
      <c r="M376" t="str">
        <f t="shared" si="46"/>
        <v>Ectorhinal area\/Layer 1</v>
      </c>
      <c r="N376" t="s">
        <v>5228</v>
      </c>
      <c r="O376" t="s">
        <v>7227</v>
      </c>
      <c r="Q376" s="6">
        <v>575</v>
      </c>
      <c r="R376" s="6">
        <v>56</v>
      </c>
      <c r="S376" s="6" t="s">
        <v>5613</v>
      </c>
      <c r="T376" s="6" t="s">
        <v>5612</v>
      </c>
      <c r="U376" s="6">
        <v>493</v>
      </c>
      <c r="V376" s="6">
        <v>6</v>
      </c>
      <c r="W376" s="6" t="s">
        <v>7624</v>
      </c>
      <c r="Y376" t="s">
        <v>5228</v>
      </c>
      <c r="Z376" t="s">
        <v>7227</v>
      </c>
      <c r="AA376" s="6">
        <f t="shared" si="47"/>
        <v>836</v>
      </c>
      <c r="AB376">
        <v>13</v>
      </c>
      <c r="AC376">
        <v>159</v>
      </c>
      <c r="AD376">
        <v>144</v>
      </c>
    </row>
    <row r="377" spans="1:30" ht="17" x14ac:dyDescent="0.25">
      <c r="A377" s="1" t="s">
        <v>379</v>
      </c>
      <c r="B377" s="1" t="s">
        <v>3031</v>
      </c>
      <c r="C377" s="1" t="s">
        <v>1706</v>
      </c>
      <c r="D377" t="str">
        <f t="shared" si="48"/>
        <v>0D9F91</v>
      </c>
      <c r="E377" t="str">
        <f t="shared" si="49"/>
        <v>13-159-145</v>
      </c>
      <c r="F377" t="str">
        <f t="shared" si="50"/>
        <v>13159145</v>
      </c>
      <c r="G377">
        <f t="shared" si="51"/>
        <v>13</v>
      </c>
      <c r="H377">
        <f t="shared" si="52"/>
        <v>159</v>
      </c>
      <c r="I377">
        <f t="shared" si="53"/>
        <v>145</v>
      </c>
      <c r="J377" t="str">
        <f t="shared" si="45"/>
        <v>ECT2\/3",</v>
      </c>
      <c r="K377" t="str">
        <f t="shared" si="45"/>
        <v>Ectorhinal area\/Layer 2\/3",</v>
      </c>
      <c r="L377" t="str">
        <f t="shared" si="46"/>
        <v>ECT2\/3</v>
      </c>
      <c r="M377" t="str">
        <f t="shared" si="46"/>
        <v>Ectorhinal area\/Layer 2\/3</v>
      </c>
      <c r="N377" t="s">
        <v>7166</v>
      </c>
      <c r="O377" t="s">
        <v>7228</v>
      </c>
      <c r="Q377" s="6">
        <v>576</v>
      </c>
      <c r="R377" s="6">
        <v>998</v>
      </c>
      <c r="S377" s="6" t="s">
        <v>5615</v>
      </c>
      <c r="T377" s="6" t="s">
        <v>5614</v>
      </c>
      <c r="U377" s="6">
        <v>493</v>
      </c>
      <c r="V377" s="6">
        <v>6</v>
      </c>
      <c r="W377" s="6" t="s">
        <v>7625</v>
      </c>
      <c r="Y377" t="s">
        <v>7166</v>
      </c>
      <c r="Z377" t="s">
        <v>7228</v>
      </c>
      <c r="AA377" s="6">
        <f t="shared" si="47"/>
        <v>427</v>
      </c>
      <c r="AB377">
        <v>13</v>
      </c>
      <c r="AC377">
        <v>159</v>
      </c>
      <c r="AD377">
        <v>145</v>
      </c>
    </row>
    <row r="378" spans="1:30" ht="17" x14ac:dyDescent="0.25">
      <c r="A378" s="1" t="s">
        <v>380</v>
      </c>
      <c r="B378" s="1" t="s">
        <v>3032</v>
      </c>
      <c r="C378" s="1" t="s">
        <v>1707</v>
      </c>
      <c r="D378" t="str">
        <f t="shared" si="48"/>
        <v>0D9E90</v>
      </c>
      <c r="E378" t="str">
        <f t="shared" si="49"/>
        <v>13-158-144</v>
      </c>
      <c r="F378" t="str">
        <f t="shared" si="50"/>
        <v>13158144</v>
      </c>
      <c r="G378">
        <f t="shared" si="51"/>
        <v>13</v>
      </c>
      <c r="H378">
        <f t="shared" si="52"/>
        <v>158</v>
      </c>
      <c r="I378">
        <f t="shared" si="53"/>
        <v>144</v>
      </c>
      <c r="J378" t="str">
        <f t="shared" si="45"/>
        <v>ECT5",</v>
      </c>
      <c r="K378" t="str">
        <f t="shared" si="45"/>
        <v>Ectorhinal area\/Layer 5",</v>
      </c>
      <c r="L378" t="str">
        <f t="shared" si="46"/>
        <v>ECT5</v>
      </c>
      <c r="M378" t="str">
        <f t="shared" si="46"/>
        <v>Ectorhinal area\/Layer 5</v>
      </c>
      <c r="N378" t="s">
        <v>5229</v>
      </c>
      <c r="O378" t="s">
        <v>7229</v>
      </c>
      <c r="Q378" s="6">
        <v>577</v>
      </c>
      <c r="R378" s="6">
        <v>754</v>
      </c>
      <c r="S378" s="6" t="s">
        <v>5617</v>
      </c>
      <c r="T378" s="6" t="s">
        <v>5616</v>
      </c>
      <c r="U378" s="6">
        <v>493</v>
      </c>
      <c r="V378" s="6">
        <v>6</v>
      </c>
      <c r="W378" s="6" t="s">
        <v>7626</v>
      </c>
      <c r="Y378" t="s">
        <v>5229</v>
      </c>
      <c r="Z378" t="s">
        <v>7229</v>
      </c>
      <c r="AA378" s="6">
        <f t="shared" si="47"/>
        <v>988</v>
      </c>
      <c r="AB378">
        <v>13</v>
      </c>
      <c r="AC378">
        <v>158</v>
      </c>
      <c r="AD378">
        <v>144</v>
      </c>
    </row>
    <row r="379" spans="1:30" ht="17" x14ac:dyDescent="0.25">
      <c r="A379" s="1" t="s">
        <v>381</v>
      </c>
      <c r="B379" s="1" t="s">
        <v>3033</v>
      </c>
      <c r="C379" s="1" t="s">
        <v>1708</v>
      </c>
      <c r="D379" t="str">
        <f t="shared" si="48"/>
        <v>0E9F91</v>
      </c>
      <c r="E379" t="str">
        <f t="shared" si="49"/>
        <v>14-159-145</v>
      </c>
      <c r="F379" t="str">
        <f t="shared" si="50"/>
        <v>14159145</v>
      </c>
      <c r="G379">
        <f t="shared" si="51"/>
        <v>14</v>
      </c>
      <c r="H379">
        <f t="shared" si="52"/>
        <v>159</v>
      </c>
      <c r="I379">
        <f t="shared" si="53"/>
        <v>145</v>
      </c>
      <c r="J379" t="str">
        <f t="shared" si="45"/>
        <v>ECT6a",</v>
      </c>
      <c r="K379" t="str">
        <f t="shared" si="45"/>
        <v>Ectorhinal area\/Layer 6a",</v>
      </c>
      <c r="L379" t="str">
        <f t="shared" si="46"/>
        <v>ECT6a</v>
      </c>
      <c r="M379" t="str">
        <f t="shared" si="46"/>
        <v>Ectorhinal area\/Layer 6a</v>
      </c>
      <c r="N379" t="s">
        <v>5230</v>
      </c>
      <c r="O379" t="s">
        <v>7230</v>
      </c>
      <c r="Q379" s="6">
        <v>585</v>
      </c>
      <c r="R379" s="6">
        <v>275</v>
      </c>
      <c r="S379" s="6" t="s">
        <v>5633</v>
      </c>
      <c r="T379" s="6" t="s">
        <v>5632</v>
      </c>
      <c r="U379" s="6">
        <v>477</v>
      </c>
      <c r="V379" s="6">
        <v>5</v>
      </c>
      <c r="W379" s="6" t="s">
        <v>7627</v>
      </c>
      <c r="Y379" t="s">
        <v>5230</v>
      </c>
      <c r="Z379" t="s">
        <v>7230</v>
      </c>
      <c r="AA379" s="6">
        <f t="shared" si="47"/>
        <v>977</v>
      </c>
      <c r="AB379">
        <v>14</v>
      </c>
      <c r="AC379">
        <v>159</v>
      </c>
      <c r="AD379">
        <v>145</v>
      </c>
    </row>
    <row r="380" spans="1:30" ht="17" x14ac:dyDescent="0.25">
      <c r="A380" s="1" t="s">
        <v>382</v>
      </c>
      <c r="B380" s="1" t="s">
        <v>3034</v>
      </c>
      <c r="C380" s="1" t="s">
        <v>1709</v>
      </c>
      <c r="D380" t="str">
        <f t="shared" si="48"/>
        <v>0E9F90</v>
      </c>
      <c r="E380" t="str">
        <f t="shared" si="49"/>
        <v>14-159-144</v>
      </c>
      <c r="F380" t="str">
        <f t="shared" si="50"/>
        <v>14159144</v>
      </c>
      <c r="G380">
        <f t="shared" si="51"/>
        <v>14</v>
      </c>
      <c r="H380">
        <f t="shared" si="52"/>
        <v>159</v>
      </c>
      <c r="I380">
        <f t="shared" si="53"/>
        <v>144</v>
      </c>
      <c r="J380" t="str">
        <f t="shared" si="45"/>
        <v>ECT6b",</v>
      </c>
      <c r="K380" t="str">
        <f t="shared" si="45"/>
        <v>Ectorhinal area\/Layer 6b",</v>
      </c>
      <c r="L380" t="str">
        <f t="shared" si="46"/>
        <v>ECT6b</v>
      </c>
      <c r="M380" t="str">
        <f t="shared" si="46"/>
        <v>Ectorhinal area\/Layer 6b</v>
      </c>
      <c r="N380" t="s">
        <v>5231</v>
      </c>
      <c r="O380" t="s">
        <v>7231</v>
      </c>
      <c r="Q380" s="6">
        <v>586</v>
      </c>
      <c r="R380" s="6">
        <v>242</v>
      </c>
      <c r="S380" s="6" t="s">
        <v>5635</v>
      </c>
      <c r="T380" s="6" t="s">
        <v>5634</v>
      </c>
      <c r="U380" s="6">
        <v>275</v>
      </c>
      <c r="V380" s="6">
        <v>6</v>
      </c>
      <c r="W380" s="6" t="s">
        <v>7628</v>
      </c>
      <c r="Y380" t="s">
        <v>5231</v>
      </c>
      <c r="Z380" t="s">
        <v>7231</v>
      </c>
      <c r="AA380" s="6">
        <f t="shared" si="47"/>
        <v>1045</v>
      </c>
      <c r="AB380">
        <v>14</v>
      </c>
      <c r="AC380">
        <v>159</v>
      </c>
      <c r="AD380">
        <v>144</v>
      </c>
    </row>
    <row r="381" spans="1:30" ht="17" x14ac:dyDescent="0.25">
      <c r="A381" s="1" t="s">
        <v>383</v>
      </c>
      <c r="B381" s="1" t="s">
        <v>3035</v>
      </c>
      <c r="C381" s="1" t="s">
        <v>1710</v>
      </c>
      <c r="D381" t="str">
        <f t="shared" si="48"/>
        <v>99D2BD</v>
      </c>
      <c r="E381" t="str">
        <f t="shared" si="49"/>
        <v>153-210-189</v>
      </c>
      <c r="F381" t="str">
        <f t="shared" si="50"/>
        <v>153210189</v>
      </c>
      <c r="G381">
        <f t="shared" si="51"/>
        <v>153</v>
      </c>
      <c r="H381">
        <f t="shared" si="52"/>
        <v>210</v>
      </c>
      <c r="I381">
        <f t="shared" si="53"/>
        <v>189</v>
      </c>
      <c r="J381" t="str">
        <f t="shared" si="45"/>
        <v>OLF",</v>
      </c>
      <c r="K381" t="str">
        <f t="shared" si="45"/>
        <v>Olfactory areas",</v>
      </c>
      <c r="L381" t="str">
        <f t="shared" si="46"/>
        <v>OLF</v>
      </c>
      <c r="M381" t="str">
        <f t="shared" si="46"/>
        <v>Olfactory areas</v>
      </c>
      <c r="N381" t="s">
        <v>5232</v>
      </c>
      <c r="O381" t="s">
        <v>5233</v>
      </c>
      <c r="Q381" s="6">
        <v>587</v>
      </c>
      <c r="R381" s="6">
        <v>250</v>
      </c>
      <c r="S381" s="6" t="s">
        <v>5637</v>
      </c>
      <c r="T381" s="6" t="s">
        <v>5636</v>
      </c>
      <c r="U381" s="6">
        <v>242</v>
      </c>
      <c r="V381" s="6">
        <v>7</v>
      </c>
      <c r="W381" s="6" t="s">
        <v>7629</v>
      </c>
      <c r="Y381" t="s">
        <v>5232</v>
      </c>
      <c r="Z381" t="s">
        <v>5233</v>
      </c>
      <c r="AA381" s="6">
        <f t="shared" si="47"/>
        <v>698</v>
      </c>
      <c r="AB381">
        <v>153</v>
      </c>
      <c r="AC381">
        <v>210</v>
      </c>
      <c r="AD381">
        <v>189</v>
      </c>
    </row>
    <row r="382" spans="1:30" ht="17" x14ac:dyDescent="0.25">
      <c r="A382" s="1" t="s">
        <v>384</v>
      </c>
      <c r="B382" s="1" t="s">
        <v>3036</v>
      </c>
      <c r="C382" s="1" t="s">
        <v>1711</v>
      </c>
      <c r="D382" t="str">
        <f t="shared" si="48"/>
        <v>9AD1BD</v>
      </c>
      <c r="E382" t="str">
        <f t="shared" si="49"/>
        <v>154-209-189</v>
      </c>
      <c r="F382" t="str">
        <f t="shared" si="50"/>
        <v>154209189</v>
      </c>
      <c r="G382">
        <f t="shared" si="51"/>
        <v>154</v>
      </c>
      <c r="H382">
        <f t="shared" si="52"/>
        <v>209</v>
      </c>
      <c r="I382">
        <f t="shared" si="53"/>
        <v>189</v>
      </c>
      <c r="J382" t="str">
        <f t="shared" si="45"/>
        <v>MOB",</v>
      </c>
      <c r="K382" t="str">
        <f t="shared" si="45"/>
        <v>Main olfactory bulb",</v>
      </c>
      <c r="L382" t="str">
        <f t="shared" si="46"/>
        <v>MOB</v>
      </c>
      <c r="M382" t="str">
        <f t="shared" si="46"/>
        <v>Main olfactory bulb</v>
      </c>
      <c r="N382" t="s">
        <v>5234</v>
      </c>
      <c r="O382" t="s">
        <v>5235</v>
      </c>
      <c r="Q382" s="6">
        <v>588</v>
      </c>
      <c r="R382" s="6">
        <v>258</v>
      </c>
      <c r="S382" s="6" t="s">
        <v>5639</v>
      </c>
      <c r="T382" s="6" t="s">
        <v>5638</v>
      </c>
      <c r="U382" s="6">
        <v>242</v>
      </c>
      <c r="V382" s="6">
        <v>7</v>
      </c>
      <c r="W382" s="6" t="s">
        <v>7630</v>
      </c>
      <c r="Y382" t="s">
        <v>5234</v>
      </c>
      <c r="Z382" t="s">
        <v>5235</v>
      </c>
      <c r="AA382" s="6">
        <f t="shared" si="47"/>
        <v>507</v>
      </c>
      <c r="AB382">
        <v>154</v>
      </c>
      <c r="AC382">
        <v>209</v>
      </c>
      <c r="AD382">
        <v>189</v>
      </c>
    </row>
    <row r="383" spans="1:30" ht="17" x14ac:dyDescent="0.25">
      <c r="A383" s="1" t="s">
        <v>385</v>
      </c>
      <c r="B383" s="1" t="s">
        <v>3037</v>
      </c>
      <c r="C383" s="1" t="s">
        <v>1712</v>
      </c>
      <c r="D383" t="str">
        <f t="shared" si="48"/>
        <v>82C7AE</v>
      </c>
      <c r="E383" t="str">
        <f t="shared" si="49"/>
        <v>130-199-174</v>
      </c>
      <c r="F383" t="str">
        <f t="shared" si="50"/>
        <v>130199174</v>
      </c>
      <c r="G383">
        <f t="shared" si="51"/>
        <v>130</v>
      </c>
      <c r="H383">
        <f t="shared" si="52"/>
        <v>199</v>
      </c>
      <c r="I383">
        <f t="shared" si="53"/>
        <v>174</v>
      </c>
      <c r="J383" t="str">
        <f t="shared" si="45"/>
        <v>MOBgl",</v>
      </c>
      <c r="K383" t="str">
        <f t="shared" si="45"/>
        <v>Main olfactory bulb, glomerular layer",</v>
      </c>
      <c r="L383" t="str">
        <f t="shared" si="46"/>
        <v>MOBgl</v>
      </c>
      <c r="M383" t="str">
        <f t="shared" si="46"/>
        <v>Main olfactory bulb, glomerular layer</v>
      </c>
      <c r="N383" t="s">
        <v>5236</v>
      </c>
      <c r="O383" t="s">
        <v>5237</v>
      </c>
      <c r="Q383" s="6">
        <v>589</v>
      </c>
      <c r="R383" s="6">
        <v>266</v>
      </c>
      <c r="S383" s="6" t="s">
        <v>5641</v>
      </c>
      <c r="T383" s="6" t="s">
        <v>5640</v>
      </c>
      <c r="U383" s="6">
        <v>242</v>
      </c>
      <c r="V383" s="6">
        <v>7</v>
      </c>
      <c r="W383" s="6" t="s">
        <v>7631</v>
      </c>
      <c r="Y383" t="s">
        <v>5236</v>
      </c>
      <c r="Z383" t="s">
        <v>5237</v>
      </c>
      <c r="AA383" s="6" t="str">
        <f t="shared" si="47"/>
        <v/>
      </c>
      <c r="AB383">
        <v>130</v>
      </c>
      <c r="AC383">
        <v>199</v>
      </c>
      <c r="AD383">
        <v>174</v>
      </c>
    </row>
    <row r="384" spans="1:30" ht="17" x14ac:dyDescent="0.25">
      <c r="A384" s="1" t="s">
        <v>386</v>
      </c>
      <c r="B384" s="1" t="s">
        <v>3038</v>
      </c>
      <c r="C384" s="1" t="s">
        <v>1713</v>
      </c>
      <c r="D384" t="str">
        <f t="shared" si="48"/>
        <v>82C7AD</v>
      </c>
      <c r="E384" t="str">
        <f t="shared" si="49"/>
        <v>130-199-173</v>
      </c>
      <c r="F384" t="str">
        <f t="shared" si="50"/>
        <v>130199173</v>
      </c>
      <c r="G384">
        <f t="shared" si="51"/>
        <v>130</v>
      </c>
      <c r="H384">
        <f t="shared" si="52"/>
        <v>199</v>
      </c>
      <c r="I384">
        <f t="shared" si="53"/>
        <v>173</v>
      </c>
      <c r="J384" t="str">
        <f t="shared" si="45"/>
        <v>MOBgr",</v>
      </c>
      <c r="K384" t="str">
        <f t="shared" si="45"/>
        <v>Main olfactory bulb, granule layer",</v>
      </c>
      <c r="L384" t="str">
        <f t="shared" si="46"/>
        <v>MOBgr</v>
      </c>
      <c r="M384" t="str">
        <f t="shared" si="46"/>
        <v>Main olfactory bulb, granule layer</v>
      </c>
      <c r="N384" t="s">
        <v>5238</v>
      </c>
      <c r="O384" t="s">
        <v>5239</v>
      </c>
      <c r="Q384" s="6">
        <v>590</v>
      </c>
      <c r="R384" s="6">
        <v>310</v>
      </c>
      <c r="S384" s="6" t="s">
        <v>5643</v>
      </c>
      <c r="T384" s="6" t="s">
        <v>5642</v>
      </c>
      <c r="U384" s="6">
        <v>275</v>
      </c>
      <c r="V384" s="6">
        <v>6</v>
      </c>
      <c r="W384" s="6" t="s">
        <v>7632</v>
      </c>
      <c r="Y384" t="s">
        <v>5238</v>
      </c>
      <c r="Z384" t="s">
        <v>5239</v>
      </c>
      <c r="AA384" s="6" t="str">
        <f t="shared" si="47"/>
        <v/>
      </c>
      <c r="AB384">
        <v>130</v>
      </c>
      <c r="AC384">
        <v>199</v>
      </c>
      <c r="AD384">
        <v>173</v>
      </c>
    </row>
    <row r="385" spans="1:30" ht="17" x14ac:dyDescent="0.25">
      <c r="A385" s="1" t="s">
        <v>387</v>
      </c>
      <c r="B385" s="1" t="s">
        <v>3039</v>
      </c>
      <c r="C385" s="1" t="s">
        <v>1714</v>
      </c>
      <c r="D385" t="str">
        <f t="shared" si="48"/>
        <v>9AD2BD</v>
      </c>
      <c r="E385" t="str">
        <f t="shared" si="49"/>
        <v>154-210-189</v>
      </c>
      <c r="F385" t="str">
        <f t="shared" si="50"/>
        <v>154210189</v>
      </c>
      <c r="G385">
        <f t="shared" si="51"/>
        <v>154</v>
      </c>
      <c r="H385">
        <f t="shared" si="52"/>
        <v>210</v>
      </c>
      <c r="I385">
        <f t="shared" si="53"/>
        <v>189</v>
      </c>
      <c r="J385" t="str">
        <f t="shared" si="45"/>
        <v>MOBipl",</v>
      </c>
      <c r="K385" t="str">
        <f t="shared" si="45"/>
        <v>Main olfactory bulb, inner plexiform layer",</v>
      </c>
      <c r="L385" t="str">
        <f t="shared" si="46"/>
        <v>MOBipl</v>
      </c>
      <c r="M385" t="str">
        <f t="shared" si="46"/>
        <v>Main olfactory bulb, inner plexiform layer</v>
      </c>
      <c r="N385" t="s">
        <v>5240</v>
      </c>
      <c r="O385" t="s">
        <v>5241</v>
      </c>
      <c r="Q385" s="6">
        <v>591</v>
      </c>
      <c r="R385" s="6">
        <v>333</v>
      </c>
      <c r="S385" s="6" t="s">
        <v>5645</v>
      </c>
      <c r="T385" s="6" t="s">
        <v>5644</v>
      </c>
      <c r="U385" s="6">
        <v>275</v>
      </c>
      <c r="V385" s="6">
        <v>6</v>
      </c>
      <c r="W385" s="6" t="s">
        <v>7633</v>
      </c>
      <c r="Y385" t="s">
        <v>5240</v>
      </c>
      <c r="Z385" t="s">
        <v>5241</v>
      </c>
      <c r="AA385" s="6" t="str">
        <f t="shared" si="47"/>
        <v/>
      </c>
      <c r="AB385">
        <v>154</v>
      </c>
      <c r="AC385">
        <v>210</v>
      </c>
      <c r="AD385">
        <v>189</v>
      </c>
    </row>
    <row r="386" spans="1:30" ht="17" x14ac:dyDescent="0.25">
      <c r="A386" s="1" t="s">
        <v>388</v>
      </c>
      <c r="B386" s="1" t="s">
        <v>3040</v>
      </c>
      <c r="C386" s="1" t="s">
        <v>1715</v>
      </c>
      <c r="D386" t="str">
        <f t="shared" si="48"/>
        <v>82C6AE</v>
      </c>
      <c r="E386" t="str">
        <f t="shared" si="49"/>
        <v>130-198-174</v>
      </c>
      <c r="F386" t="str">
        <f t="shared" si="50"/>
        <v>130198174</v>
      </c>
      <c r="G386">
        <f t="shared" si="51"/>
        <v>130</v>
      </c>
      <c r="H386">
        <f t="shared" si="52"/>
        <v>198</v>
      </c>
      <c r="I386">
        <f t="shared" si="53"/>
        <v>174</v>
      </c>
      <c r="J386" t="str">
        <f t="shared" si="45"/>
        <v>MOBmi",</v>
      </c>
      <c r="K386" t="str">
        <f t="shared" si="45"/>
        <v>Main olfactory bulb, mitral layer",</v>
      </c>
      <c r="L386" t="str">
        <f t="shared" si="46"/>
        <v>MOBmi</v>
      </c>
      <c r="M386" t="str">
        <f t="shared" si="46"/>
        <v>Main olfactory bulb, mitral layer</v>
      </c>
      <c r="N386" t="s">
        <v>5242</v>
      </c>
      <c r="O386" t="s">
        <v>5243</v>
      </c>
      <c r="Q386" s="6">
        <v>592</v>
      </c>
      <c r="R386" s="6">
        <v>278</v>
      </c>
      <c r="S386" s="6" t="s">
        <v>5647</v>
      </c>
      <c r="T386" s="6" t="s">
        <v>5646</v>
      </c>
      <c r="U386" s="6">
        <v>477</v>
      </c>
      <c r="V386" s="6">
        <v>5</v>
      </c>
      <c r="W386" s="6" t="s">
        <v>7634</v>
      </c>
      <c r="Y386" t="s">
        <v>5242</v>
      </c>
      <c r="Z386" t="s">
        <v>5243</v>
      </c>
      <c r="AA386" s="6" t="str">
        <f t="shared" si="47"/>
        <v/>
      </c>
      <c r="AB386">
        <v>130</v>
      </c>
      <c r="AC386">
        <v>198</v>
      </c>
      <c r="AD386">
        <v>174</v>
      </c>
    </row>
    <row r="387" spans="1:30" ht="17" x14ac:dyDescent="0.25">
      <c r="A387" s="1" t="s">
        <v>389</v>
      </c>
      <c r="B387" s="1" t="s">
        <v>3041</v>
      </c>
      <c r="C387" s="1" t="s">
        <v>1716</v>
      </c>
      <c r="D387" t="str">
        <f t="shared" si="48"/>
        <v>9AD2BC</v>
      </c>
      <c r="E387" t="str">
        <f t="shared" si="49"/>
        <v>154-210-188</v>
      </c>
      <c r="F387" t="str">
        <f t="shared" si="50"/>
        <v>154210188</v>
      </c>
      <c r="G387">
        <f t="shared" si="51"/>
        <v>154</v>
      </c>
      <c r="H387">
        <f t="shared" si="52"/>
        <v>210</v>
      </c>
      <c r="I387">
        <f t="shared" si="53"/>
        <v>188</v>
      </c>
      <c r="J387" t="str">
        <f t="shared" ref="J387:K450" si="54">RIGHT(A387,LEN(A387)-3)</f>
        <v>MOBopl",</v>
      </c>
      <c r="K387" t="str">
        <f t="shared" si="54"/>
        <v>Main olfactory bulb, outer plexiform layer",</v>
      </c>
      <c r="L387" t="str">
        <f t="shared" ref="L387:M450" si="55">LEFT(J387,LEN(J387)-2)</f>
        <v>MOBopl</v>
      </c>
      <c r="M387" t="str">
        <f t="shared" si="55"/>
        <v>Main olfactory bulb, outer plexiform layer</v>
      </c>
      <c r="N387" t="s">
        <v>5244</v>
      </c>
      <c r="O387" t="s">
        <v>5245</v>
      </c>
      <c r="Q387" s="6">
        <v>593</v>
      </c>
      <c r="R387" s="6">
        <v>23</v>
      </c>
      <c r="S387" s="6" t="s">
        <v>5649</v>
      </c>
      <c r="T387" s="6" t="s">
        <v>5648</v>
      </c>
      <c r="U387" s="6">
        <v>278</v>
      </c>
      <c r="V387" s="6">
        <v>6</v>
      </c>
      <c r="W387" s="6" t="s">
        <v>7635</v>
      </c>
      <c r="Y387" t="s">
        <v>5244</v>
      </c>
      <c r="Z387" t="s">
        <v>5245</v>
      </c>
      <c r="AA387" s="6" t="str">
        <f t="shared" ref="AA387:AA450" si="56">IFERROR(INDEX(R:R,MATCH($Z387,S:S,0)),"")</f>
        <v/>
      </c>
      <c r="AB387">
        <v>154</v>
      </c>
      <c r="AC387">
        <v>210</v>
      </c>
      <c r="AD387">
        <v>188</v>
      </c>
    </row>
    <row r="388" spans="1:30" ht="17" x14ac:dyDescent="0.25">
      <c r="A388" s="1" t="s">
        <v>390</v>
      </c>
      <c r="B388" s="1" t="s">
        <v>3042</v>
      </c>
      <c r="C388" s="1" t="s">
        <v>1717</v>
      </c>
      <c r="D388" t="str">
        <f t="shared" ref="D388:D451" si="57">RIGHT(LEFT(C388,9),6)</f>
        <v>9DF0D2</v>
      </c>
      <c r="E388" t="str">
        <f t="shared" ref="E388:E451" si="58">HEX2DEC(LEFT(D388,2))&amp;"-"&amp;HEX2DEC(MID(D388,3,2))&amp;"-"&amp;HEX2DEC(RIGHT(D388,2))</f>
        <v>157-240-210</v>
      </c>
      <c r="F388" t="str">
        <f t="shared" ref="F388:F451" si="59">HEX2DEC(LEFT(D388,2))&amp;HEX2DEC(MID(D388,3,2))&amp;HEX2DEC(RIGHT(D388,2))</f>
        <v>157240210</v>
      </c>
      <c r="G388">
        <f t="shared" ref="G388:G451" si="60">HEX2DEC(LEFT(D388,2))</f>
        <v>157</v>
      </c>
      <c r="H388">
        <f t="shared" ref="H388:H451" si="61">HEX2DEC(MID(D388,3,2))</f>
        <v>240</v>
      </c>
      <c r="I388">
        <f t="shared" ref="I388:I451" si="62">HEX2DEC(RIGHT(D388,2))</f>
        <v>210</v>
      </c>
      <c r="J388" t="str">
        <f t="shared" si="54"/>
        <v>AOB",</v>
      </c>
      <c r="K388" t="str">
        <f t="shared" si="54"/>
        <v>Accessory olfactory bulb",</v>
      </c>
      <c r="L388" t="str">
        <f t="shared" si="55"/>
        <v>AOB</v>
      </c>
      <c r="M388" t="str">
        <f t="shared" si="55"/>
        <v>Accessory olfactory bulb</v>
      </c>
      <c r="N388" t="s">
        <v>5246</v>
      </c>
      <c r="O388" t="s">
        <v>5247</v>
      </c>
      <c r="Q388" s="6">
        <v>594</v>
      </c>
      <c r="R388" s="6">
        <v>292</v>
      </c>
      <c r="S388" s="6" t="s">
        <v>5651</v>
      </c>
      <c r="T388" s="6" t="s">
        <v>5650</v>
      </c>
      <c r="U388" s="6">
        <v>278</v>
      </c>
      <c r="V388" s="6">
        <v>6</v>
      </c>
      <c r="W388" s="6" t="s">
        <v>7636</v>
      </c>
      <c r="Y388" t="s">
        <v>5246</v>
      </c>
      <c r="Z388" t="s">
        <v>5247</v>
      </c>
      <c r="AA388" s="6">
        <f t="shared" si="56"/>
        <v>151</v>
      </c>
      <c r="AB388">
        <v>157</v>
      </c>
      <c r="AC388">
        <v>240</v>
      </c>
      <c r="AD388">
        <v>210</v>
      </c>
    </row>
    <row r="389" spans="1:30" ht="17" x14ac:dyDescent="0.25">
      <c r="A389" s="1" t="s">
        <v>391</v>
      </c>
      <c r="B389" s="1" t="s">
        <v>3043</v>
      </c>
      <c r="C389" s="1" t="s">
        <v>1718</v>
      </c>
      <c r="D389" t="str">
        <f t="shared" si="57"/>
        <v>9DF0D1</v>
      </c>
      <c r="E389" t="str">
        <f t="shared" si="58"/>
        <v>157-240-209</v>
      </c>
      <c r="F389" t="str">
        <f t="shared" si="59"/>
        <v>157240209</v>
      </c>
      <c r="G389">
        <f t="shared" si="60"/>
        <v>157</v>
      </c>
      <c r="H389">
        <f t="shared" si="61"/>
        <v>240</v>
      </c>
      <c r="I389">
        <f t="shared" si="62"/>
        <v>209</v>
      </c>
      <c r="J389" t="str">
        <f t="shared" si="54"/>
        <v>AOBgl",</v>
      </c>
      <c r="K389" t="str">
        <f t="shared" si="54"/>
        <v>Accessory olfactory bulb, glomerular layer",</v>
      </c>
      <c r="L389" t="str">
        <f t="shared" si="55"/>
        <v>AOBgl</v>
      </c>
      <c r="M389" t="str">
        <f t="shared" si="55"/>
        <v>Accessory olfactory bulb, glomerular layer</v>
      </c>
      <c r="N389" t="s">
        <v>5248</v>
      </c>
      <c r="O389" t="s">
        <v>5249</v>
      </c>
      <c r="Q389" s="6">
        <v>595</v>
      </c>
      <c r="R389" s="6">
        <v>536</v>
      </c>
      <c r="S389" s="6" t="s">
        <v>5653</v>
      </c>
      <c r="T389" s="6" t="s">
        <v>5652</v>
      </c>
      <c r="U389" s="6">
        <v>278</v>
      </c>
      <c r="V389" s="6">
        <v>6</v>
      </c>
      <c r="W389" s="6" t="s">
        <v>7637</v>
      </c>
      <c r="Y389" t="s">
        <v>5248</v>
      </c>
      <c r="Z389" t="s">
        <v>5249</v>
      </c>
      <c r="AA389" s="6">
        <f t="shared" si="56"/>
        <v>188</v>
      </c>
      <c r="AB389">
        <v>157</v>
      </c>
      <c r="AC389">
        <v>240</v>
      </c>
      <c r="AD389">
        <v>209</v>
      </c>
    </row>
    <row r="390" spans="1:30" ht="17" x14ac:dyDescent="0.25">
      <c r="A390" s="1" t="s">
        <v>392</v>
      </c>
      <c r="B390" s="1" t="s">
        <v>3044</v>
      </c>
      <c r="C390" s="1" t="s">
        <v>1719</v>
      </c>
      <c r="D390" t="str">
        <f t="shared" si="57"/>
        <v>95E4C8</v>
      </c>
      <c r="E390" t="str">
        <f t="shared" si="58"/>
        <v>149-228-200</v>
      </c>
      <c r="F390" t="str">
        <f t="shared" si="59"/>
        <v>149228200</v>
      </c>
      <c r="G390">
        <f t="shared" si="60"/>
        <v>149</v>
      </c>
      <c r="H390">
        <f t="shared" si="61"/>
        <v>228</v>
      </c>
      <c r="I390">
        <f t="shared" si="62"/>
        <v>200</v>
      </c>
      <c r="J390" t="str">
        <f t="shared" si="54"/>
        <v>AOBgr",</v>
      </c>
      <c r="K390" t="str">
        <f t="shared" si="54"/>
        <v>Accessory olfactory bulb, granular layer",</v>
      </c>
      <c r="L390" t="str">
        <f t="shared" si="55"/>
        <v>AOBgr</v>
      </c>
      <c r="M390" t="str">
        <f t="shared" si="55"/>
        <v>Accessory olfactory bulb, granular layer</v>
      </c>
      <c r="N390" t="s">
        <v>5250</v>
      </c>
      <c r="O390" t="s">
        <v>5251</v>
      </c>
      <c r="Q390" s="6">
        <v>596</v>
      </c>
      <c r="R390" s="6">
        <v>544</v>
      </c>
      <c r="S390" s="6" t="s">
        <v>5655</v>
      </c>
      <c r="T390" s="6" t="s">
        <v>5654</v>
      </c>
      <c r="U390" s="6">
        <v>536</v>
      </c>
      <c r="V390" s="6">
        <v>7</v>
      </c>
      <c r="W390" s="6" t="s">
        <v>7638</v>
      </c>
      <c r="Y390" t="s">
        <v>5250</v>
      </c>
      <c r="Z390" t="s">
        <v>5251</v>
      </c>
      <c r="AA390" s="6">
        <f t="shared" si="56"/>
        <v>196</v>
      </c>
      <c r="AB390">
        <v>149</v>
      </c>
      <c r="AC390">
        <v>228</v>
      </c>
      <c r="AD390">
        <v>200</v>
      </c>
    </row>
    <row r="391" spans="1:30" ht="17" x14ac:dyDescent="0.25">
      <c r="A391" s="1" t="s">
        <v>393</v>
      </c>
      <c r="B391" s="1" t="s">
        <v>3045</v>
      </c>
      <c r="C391" s="1" t="s">
        <v>1720</v>
      </c>
      <c r="D391" t="str">
        <f t="shared" si="57"/>
        <v>9DEFD2</v>
      </c>
      <c r="E391" t="str">
        <f t="shared" si="58"/>
        <v>157-239-210</v>
      </c>
      <c r="F391" t="str">
        <f t="shared" si="59"/>
        <v>157239210</v>
      </c>
      <c r="G391">
        <f t="shared" si="60"/>
        <v>157</v>
      </c>
      <c r="H391">
        <f t="shared" si="61"/>
        <v>239</v>
      </c>
      <c r="I391">
        <f t="shared" si="62"/>
        <v>210</v>
      </c>
      <c r="J391" t="str">
        <f t="shared" si="54"/>
        <v>AOBmi",</v>
      </c>
      <c r="K391" t="str">
        <f t="shared" si="54"/>
        <v>Accessory olfactory bulb, mitral layer",</v>
      </c>
      <c r="L391" t="str">
        <f t="shared" si="55"/>
        <v>AOBmi</v>
      </c>
      <c r="M391" t="str">
        <f t="shared" si="55"/>
        <v>Accessory olfactory bulb, mitral layer</v>
      </c>
      <c r="N391" t="s">
        <v>5252</v>
      </c>
      <c r="O391" t="s">
        <v>5253</v>
      </c>
      <c r="Q391" s="6">
        <v>597</v>
      </c>
      <c r="R391" s="6">
        <v>551</v>
      </c>
      <c r="S391" s="6" t="s">
        <v>5657</v>
      </c>
      <c r="T391" s="6" t="s">
        <v>5656</v>
      </c>
      <c r="U391" s="6">
        <v>536</v>
      </c>
      <c r="V391" s="6">
        <v>7</v>
      </c>
      <c r="W391" s="6" t="s">
        <v>7639</v>
      </c>
      <c r="Y391" t="s">
        <v>5252</v>
      </c>
      <c r="Z391" t="s">
        <v>5253</v>
      </c>
      <c r="AA391" s="6">
        <f t="shared" si="56"/>
        <v>204</v>
      </c>
      <c r="AB391">
        <v>157</v>
      </c>
      <c r="AC391">
        <v>239</v>
      </c>
      <c r="AD391">
        <v>210</v>
      </c>
    </row>
    <row r="392" spans="1:30" ht="17" x14ac:dyDescent="0.25">
      <c r="A392" s="1" t="s">
        <v>394</v>
      </c>
      <c r="B392" s="1" t="s">
        <v>3046</v>
      </c>
      <c r="C392" s="1" t="s">
        <v>1721</v>
      </c>
      <c r="D392" t="str">
        <f t="shared" si="57"/>
        <v>54BF94</v>
      </c>
      <c r="E392" t="str">
        <f t="shared" si="58"/>
        <v>84-191-148</v>
      </c>
      <c r="F392" t="str">
        <f t="shared" si="59"/>
        <v>84191148</v>
      </c>
      <c r="G392">
        <f t="shared" si="60"/>
        <v>84</v>
      </c>
      <c r="H392">
        <f t="shared" si="61"/>
        <v>191</v>
      </c>
      <c r="I392">
        <f t="shared" si="62"/>
        <v>148</v>
      </c>
      <c r="J392" t="str">
        <f t="shared" si="54"/>
        <v>AON",</v>
      </c>
      <c r="K392" t="str">
        <f t="shared" si="54"/>
        <v>Anterior olfactory nucleus",</v>
      </c>
      <c r="L392" t="str">
        <f t="shared" si="55"/>
        <v>AON</v>
      </c>
      <c r="M392" t="str">
        <f t="shared" si="55"/>
        <v>Anterior olfactory nucleus</v>
      </c>
      <c r="N392" t="s">
        <v>5254</v>
      </c>
      <c r="O392" t="s">
        <v>5255</v>
      </c>
      <c r="Q392" s="6">
        <v>598</v>
      </c>
      <c r="R392" s="6">
        <v>559</v>
      </c>
      <c r="S392" s="6" t="s">
        <v>5659</v>
      </c>
      <c r="T392" s="6" t="s">
        <v>5658</v>
      </c>
      <c r="U392" s="6">
        <v>536</v>
      </c>
      <c r="V392" s="6">
        <v>7</v>
      </c>
      <c r="W392" s="6" t="s">
        <v>7640</v>
      </c>
      <c r="Y392" t="s">
        <v>5254</v>
      </c>
      <c r="Z392" t="s">
        <v>5255</v>
      </c>
      <c r="AA392" s="6">
        <f t="shared" si="56"/>
        <v>159</v>
      </c>
      <c r="AB392">
        <v>84</v>
      </c>
      <c r="AC392">
        <v>191</v>
      </c>
      <c r="AD392">
        <v>148</v>
      </c>
    </row>
    <row r="393" spans="1:30" ht="17" x14ac:dyDescent="0.25">
      <c r="A393" s="1" t="s">
        <v>395</v>
      </c>
      <c r="B393" s="1" t="s">
        <v>3047</v>
      </c>
      <c r="C393" s="1" t="s">
        <v>1722</v>
      </c>
      <c r="D393" t="str">
        <f t="shared" si="57"/>
        <v>54BE94</v>
      </c>
      <c r="E393" t="str">
        <f t="shared" si="58"/>
        <v>84-190-148</v>
      </c>
      <c r="F393" t="str">
        <f t="shared" si="59"/>
        <v>84190148</v>
      </c>
      <c r="G393">
        <f t="shared" si="60"/>
        <v>84</v>
      </c>
      <c r="H393">
        <f t="shared" si="61"/>
        <v>190</v>
      </c>
      <c r="I393">
        <f t="shared" si="62"/>
        <v>148</v>
      </c>
      <c r="J393" t="str">
        <f t="shared" si="54"/>
        <v>AONd",</v>
      </c>
      <c r="K393" t="str">
        <f t="shared" si="54"/>
        <v>Anterior olfactory nucleus, dorsal part",</v>
      </c>
      <c r="L393" t="str">
        <f t="shared" si="55"/>
        <v>AONd</v>
      </c>
      <c r="M393" t="str">
        <f t="shared" si="55"/>
        <v>Anterior olfactory nucleus, dorsal part</v>
      </c>
      <c r="N393" t="s">
        <v>5256</v>
      </c>
      <c r="O393" t="s">
        <v>5257</v>
      </c>
      <c r="Q393" s="6">
        <v>599</v>
      </c>
      <c r="R393" s="6">
        <v>1105</v>
      </c>
      <c r="S393" s="6" t="s">
        <v>5661</v>
      </c>
      <c r="T393" s="6" t="s">
        <v>5660</v>
      </c>
      <c r="U393" s="6">
        <v>278</v>
      </c>
      <c r="V393" s="6">
        <v>6</v>
      </c>
      <c r="W393" s="6" t="s">
        <v>7641</v>
      </c>
      <c r="Y393" t="s">
        <v>5256</v>
      </c>
      <c r="Z393" t="s">
        <v>5257</v>
      </c>
      <c r="AA393" s="6" t="str">
        <f t="shared" si="56"/>
        <v/>
      </c>
      <c r="AB393">
        <v>84</v>
      </c>
      <c r="AC393">
        <v>190</v>
      </c>
      <c r="AD393">
        <v>148</v>
      </c>
    </row>
    <row r="394" spans="1:30" ht="17" x14ac:dyDescent="0.25">
      <c r="A394" s="1" t="s">
        <v>396</v>
      </c>
      <c r="B394" s="1" t="s">
        <v>3048</v>
      </c>
      <c r="C394" s="1" t="s">
        <v>1723</v>
      </c>
      <c r="D394" t="str">
        <f t="shared" si="57"/>
        <v>54BE93</v>
      </c>
      <c r="E394" t="str">
        <f t="shared" si="58"/>
        <v>84-190-147</v>
      </c>
      <c r="F394" t="str">
        <f t="shared" si="59"/>
        <v>84190147</v>
      </c>
      <c r="G394">
        <f t="shared" si="60"/>
        <v>84</v>
      </c>
      <c r="H394">
        <f t="shared" si="61"/>
        <v>190</v>
      </c>
      <c r="I394">
        <f t="shared" si="62"/>
        <v>147</v>
      </c>
      <c r="J394" t="str">
        <f t="shared" si="54"/>
        <v>AONe",</v>
      </c>
      <c r="K394" t="str">
        <f t="shared" si="54"/>
        <v>Anterior olfactory nucleus, external part",</v>
      </c>
      <c r="L394" t="str">
        <f t="shared" si="55"/>
        <v>AONe</v>
      </c>
      <c r="M394" t="str">
        <f t="shared" si="55"/>
        <v>Anterior olfactory nucleus, external part</v>
      </c>
      <c r="N394" t="s">
        <v>5258</v>
      </c>
      <c r="O394" t="s">
        <v>5259</v>
      </c>
      <c r="Q394" s="6">
        <v>600</v>
      </c>
      <c r="R394" s="6">
        <v>403</v>
      </c>
      <c r="S394" s="6" t="s">
        <v>5663</v>
      </c>
      <c r="T394" s="6" t="s">
        <v>5662</v>
      </c>
      <c r="U394" s="6">
        <v>278</v>
      </c>
      <c r="V394" s="6">
        <v>6</v>
      </c>
      <c r="W394" s="6" t="s">
        <v>7642</v>
      </c>
      <c r="Y394" t="s">
        <v>5258</v>
      </c>
      <c r="Z394" t="s">
        <v>5259</v>
      </c>
      <c r="AA394" s="6" t="str">
        <f t="shared" si="56"/>
        <v/>
      </c>
      <c r="AB394">
        <v>84</v>
      </c>
      <c r="AC394">
        <v>190</v>
      </c>
      <c r="AD394">
        <v>147</v>
      </c>
    </row>
    <row r="395" spans="1:30" ht="17" x14ac:dyDescent="0.25">
      <c r="A395" s="1" t="s">
        <v>397</v>
      </c>
      <c r="B395" s="1" t="s">
        <v>3049</v>
      </c>
      <c r="C395" s="1" t="s">
        <v>1724</v>
      </c>
      <c r="D395" t="str">
        <f t="shared" si="57"/>
        <v>53BF93</v>
      </c>
      <c r="E395" t="str">
        <f t="shared" si="58"/>
        <v>83-191-147</v>
      </c>
      <c r="F395" t="str">
        <f t="shared" si="59"/>
        <v>83191147</v>
      </c>
      <c r="G395">
        <f t="shared" si="60"/>
        <v>83</v>
      </c>
      <c r="H395">
        <f t="shared" si="61"/>
        <v>191</v>
      </c>
      <c r="I395">
        <f t="shared" si="62"/>
        <v>147</v>
      </c>
      <c r="J395" t="str">
        <f t="shared" si="54"/>
        <v>AONl",</v>
      </c>
      <c r="K395" t="str">
        <f t="shared" si="54"/>
        <v>Anterior olfactory nucleus, lateral part",</v>
      </c>
      <c r="L395" t="str">
        <f t="shared" si="55"/>
        <v>AONl</v>
      </c>
      <c r="M395" t="str">
        <f t="shared" si="55"/>
        <v>Anterior olfactory nucleus, lateral part</v>
      </c>
      <c r="N395" t="s">
        <v>5260</v>
      </c>
      <c r="O395" t="s">
        <v>5261</v>
      </c>
      <c r="Q395" s="6">
        <v>608</v>
      </c>
      <c r="R395" s="6">
        <v>803</v>
      </c>
      <c r="S395" s="6" t="s">
        <v>5679</v>
      </c>
      <c r="T395" s="6" t="s">
        <v>5678</v>
      </c>
      <c r="U395" s="6">
        <v>623</v>
      </c>
      <c r="V395" s="6">
        <v>4</v>
      </c>
      <c r="W395" s="6" t="s">
        <v>7643</v>
      </c>
      <c r="Y395" t="s">
        <v>5260</v>
      </c>
      <c r="Z395" t="s">
        <v>5261</v>
      </c>
      <c r="AA395" s="6" t="str">
        <f t="shared" si="56"/>
        <v/>
      </c>
      <c r="AB395">
        <v>83</v>
      </c>
      <c r="AC395">
        <v>191</v>
      </c>
      <c r="AD395">
        <v>147</v>
      </c>
    </row>
    <row r="396" spans="1:30" ht="17" x14ac:dyDescent="0.25">
      <c r="A396" s="1" t="s">
        <v>398</v>
      </c>
      <c r="B396" s="1" t="s">
        <v>3050</v>
      </c>
      <c r="C396" s="1" t="s">
        <v>1725</v>
      </c>
      <c r="D396" t="str">
        <f t="shared" si="57"/>
        <v>53BE94</v>
      </c>
      <c r="E396" t="str">
        <f t="shared" si="58"/>
        <v>83-190-148</v>
      </c>
      <c r="F396" t="str">
        <f t="shared" si="59"/>
        <v>83190148</v>
      </c>
      <c r="G396">
        <f t="shared" si="60"/>
        <v>83</v>
      </c>
      <c r="H396">
        <f t="shared" si="61"/>
        <v>190</v>
      </c>
      <c r="I396">
        <f t="shared" si="62"/>
        <v>148</v>
      </c>
      <c r="J396" t="str">
        <f t="shared" si="54"/>
        <v>AONm",</v>
      </c>
      <c r="K396" t="str">
        <f t="shared" si="54"/>
        <v>Anterior olfactory nucleus, medial part",</v>
      </c>
      <c r="L396" t="str">
        <f t="shared" si="55"/>
        <v>AONm</v>
      </c>
      <c r="M396" t="str">
        <f t="shared" si="55"/>
        <v>Anterior olfactory nucleus, medial part</v>
      </c>
      <c r="N396" t="s">
        <v>5262</v>
      </c>
      <c r="O396" t="s">
        <v>5263</v>
      </c>
      <c r="Q396" s="6">
        <v>609</v>
      </c>
      <c r="R396" s="6">
        <v>818</v>
      </c>
      <c r="S396" s="6" t="s">
        <v>5681</v>
      </c>
      <c r="T396" s="6" t="s">
        <v>5680</v>
      </c>
      <c r="U396" s="6">
        <v>803</v>
      </c>
      <c r="V396" s="6">
        <v>5</v>
      </c>
      <c r="W396" s="6" t="s">
        <v>7644</v>
      </c>
      <c r="Y396" t="s">
        <v>5262</v>
      </c>
      <c r="Z396" t="s">
        <v>5263</v>
      </c>
      <c r="AA396" s="6" t="str">
        <f t="shared" si="56"/>
        <v/>
      </c>
      <c r="AB396">
        <v>83</v>
      </c>
      <c r="AC396">
        <v>190</v>
      </c>
      <c r="AD396">
        <v>148</v>
      </c>
    </row>
    <row r="397" spans="1:30" ht="17" x14ac:dyDescent="0.25">
      <c r="A397" s="1" t="s">
        <v>399</v>
      </c>
      <c r="B397" s="1" t="s">
        <v>3051</v>
      </c>
      <c r="C397" s="1" t="s">
        <v>1726</v>
      </c>
      <c r="D397" t="str">
        <f t="shared" si="57"/>
        <v>53BE93</v>
      </c>
      <c r="E397" t="str">
        <f t="shared" si="58"/>
        <v>83-190-147</v>
      </c>
      <c r="F397" t="str">
        <f t="shared" si="59"/>
        <v>83190147</v>
      </c>
      <c r="G397">
        <f t="shared" si="60"/>
        <v>83</v>
      </c>
      <c r="H397">
        <f t="shared" si="61"/>
        <v>190</v>
      </c>
      <c r="I397">
        <f t="shared" si="62"/>
        <v>147</v>
      </c>
      <c r="J397" t="str">
        <f t="shared" si="54"/>
        <v>AONpv",</v>
      </c>
      <c r="K397" t="str">
        <f t="shared" si="54"/>
        <v>Anterior olfactory nucleus, posteroventral part",</v>
      </c>
      <c r="L397" t="str">
        <f t="shared" si="55"/>
        <v>AONpv</v>
      </c>
      <c r="M397" t="str">
        <f t="shared" si="55"/>
        <v>Anterior olfactory nucleus, posteroventral part</v>
      </c>
      <c r="N397" t="s">
        <v>5264</v>
      </c>
      <c r="O397" t="s">
        <v>5265</v>
      </c>
      <c r="Q397" s="6">
        <v>610</v>
      </c>
      <c r="R397" s="6">
        <v>1022</v>
      </c>
      <c r="S397" s="6" t="s">
        <v>5683</v>
      </c>
      <c r="T397" s="6" t="s">
        <v>5682</v>
      </c>
      <c r="U397" s="6">
        <v>818</v>
      </c>
      <c r="V397" s="6">
        <v>6</v>
      </c>
      <c r="W397" s="6" t="s">
        <v>7645</v>
      </c>
      <c r="Y397" t="s">
        <v>5264</v>
      </c>
      <c r="Z397" t="s">
        <v>5265</v>
      </c>
      <c r="AA397" s="6" t="str">
        <f t="shared" si="56"/>
        <v/>
      </c>
      <c r="AB397">
        <v>83</v>
      </c>
      <c r="AC397">
        <v>190</v>
      </c>
      <c r="AD397">
        <v>147</v>
      </c>
    </row>
    <row r="398" spans="1:30" ht="17" x14ac:dyDescent="0.25">
      <c r="A398" s="1" t="s">
        <v>400</v>
      </c>
      <c r="B398" s="1" t="s">
        <v>3052</v>
      </c>
      <c r="C398" s="1" t="s">
        <v>1727</v>
      </c>
      <c r="D398" t="str">
        <f t="shared" si="57"/>
        <v>54BF93</v>
      </c>
      <c r="E398" t="str">
        <f t="shared" si="58"/>
        <v>84-191-147</v>
      </c>
      <c r="F398" t="str">
        <f t="shared" si="59"/>
        <v>84191147</v>
      </c>
      <c r="G398">
        <f t="shared" si="60"/>
        <v>84</v>
      </c>
      <c r="H398">
        <f t="shared" si="61"/>
        <v>191</v>
      </c>
      <c r="I398">
        <f t="shared" si="62"/>
        <v>147</v>
      </c>
      <c r="J398" t="str">
        <f t="shared" si="54"/>
        <v>AON1",</v>
      </c>
      <c r="K398" t="str">
        <f t="shared" si="54"/>
        <v>Anterior olfactory nucleus, layer 1",</v>
      </c>
      <c r="L398" t="str">
        <f t="shared" si="55"/>
        <v>AON1</v>
      </c>
      <c r="M398" t="str">
        <f t="shared" si="55"/>
        <v>Anterior olfactory nucleus, layer 1</v>
      </c>
      <c r="N398" t="s">
        <v>5266</v>
      </c>
      <c r="O398" t="s">
        <v>5267</v>
      </c>
      <c r="Q398" s="6">
        <v>611</v>
      </c>
      <c r="R398" s="6">
        <v>1031</v>
      </c>
      <c r="S398" s="6" t="s">
        <v>5685</v>
      </c>
      <c r="T398" s="6" t="s">
        <v>5684</v>
      </c>
      <c r="U398" s="6">
        <v>818</v>
      </c>
      <c r="V398" s="6">
        <v>6</v>
      </c>
      <c r="W398" s="6" t="s">
        <v>7646</v>
      </c>
      <c r="Y398" t="s">
        <v>5266</v>
      </c>
      <c r="Z398" t="s">
        <v>5267</v>
      </c>
      <c r="AA398" s="6" t="str">
        <f t="shared" si="56"/>
        <v/>
      </c>
      <c r="AB398">
        <v>84</v>
      </c>
      <c r="AC398">
        <v>191</v>
      </c>
      <c r="AD398">
        <v>147</v>
      </c>
    </row>
    <row r="399" spans="1:30" ht="17" x14ac:dyDescent="0.25">
      <c r="A399" s="1" t="s">
        <v>401</v>
      </c>
      <c r="B399" s="1" t="s">
        <v>3053</v>
      </c>
      <c r="C399" s="1" t="s">
        <v>1728</v>
      </c>
      <c r="D399" t="str">
        <f t="shared" si="57"/>
        <v>53BF94</v>
      </c>
      <c r="E399" t="str">
        <f t="shared" si="58"/>
        <v>83-191-148</v>
      </c>
      <c r="F399" t="str">
        <f t="shared" si="59"/>
        <v>83191148</v>
      </c>
      <c r="G399">
        <f t="shared" si="60"/>
        <v>83</v>
      </c>
      <c r="H399">
        <f t="shared" si="61"/>
        <v>191</v>
      </c>
      <c r="I399">
        <f t="shared" si="62"/>
        <v>148</v>
      </c>
      <c r="J399" t="str">
        <f t="shared" si="54"/>
        <v>AON2",</v>
      </c>
      <c r="K399" t="str">
        <f t="shared" si="54"/>
        <v>Anterior olfactory nucleus, layer 2",</v>
      </c>
      <c r="L399" t="str">
        <f t="shared" si="55"/>
        <v>AON2</v>
      </c>
      <c r="M399" t="str">
        <f t="shared" si="55"/>
        <v>Anterior olfactory nucleus, layer 2</v>
      </c>
      <c r="N399" t="s">
        <v>5268</v>
      </c>
      <c r="O399" t="s">
        <v>5269</v>
      </c>
      <c r="Q399" s="6">
        <v>612</v>
      </c>
      <c r="R399" s="6">
        <v>835</v>
      </c>
      <c r="S399" s="6" t="s">
        <v>5687</v>
      </c>
      <c r="T399" s="6" t="s">
        <v>5686</v>
      </c>
      <c r="U399" s="6">
        <v>803</v>
      </c>
      <c r="V399" s="6">
        <v>5</v>
      </c>
      <c r="W399" s="6" t="s">
        <v>7647</v>
      </c>
      <c r="Y399" t="s">
        <v>5268</v>
      </c>
      <c r="Z399" t="s">
        <v>5269</v>
      </c>
      <c r="AA399" s="6" t="str">
        <f t="shared" si="56"/>
        <v/>
      </c>
      <c r="AB399">
        <v>83</v>
      </c>
      <c r="AC399">
        <v>191</v>
      </c>
      <c r="AD399">
        <v>148</v>
      </c>
    </row>
    <row r="400" spans="1:30" ht="17" x14ac:dyDescent="0.25">
      <c r="A400" s="1" t="s">
        <v>402</v>
      </c>
      <c r="B400" s="1" t="s">
        <v>3054</v>
      </c>
      <c r="C400" s="1" t="s">
        <v>1729</v>
      </c>
      <c r="D400" t="str">
        <f t="shared" si="57"/>
        <v>62CF9F</v>
      </c>
      <c r="E400" t="str">
        <f t="shared" si="58"/>
        <v>98-207-159</v>
      </c>
      <c r="F400" t="str">
        <f t="shared" si="59"/>
        <v>98207159</v>
      </c>
      <c r="G400">
        <f t="shared" si="60"/>
        <v>98</v>
      </c>
      <c r="H400">
        <f t="shared" si="61"/>
        <v>207</v>
      </c>
      <c r="I400">
        <f t="shared" si="62"/>
        <v>159</v>
      </c>
      <c r="J400" t="str">
        <f t="shared" si="54"/>
        <v>TT",</v>
      </c>
      <c r="K400" t="str">
        <f t="shared" si="54"/>
        <v>Taenia tecta",</v>
      </c>
      <c r="L400" t="str">
        <f t="shared" si="55"/>
        <v>TT</v>
      </c>
      <c r="M400" t="str">
        <f t="shared" si="55"/>
        <v>Taenia tecta</v>
      </c>
      <c r="N400" t="s">
        <v>5270</v>
      </c>
      <c r="O400" t="s">
        <v>5271</v>
      </c>
      <c r="Q400" s="6">
        <v>613</v>
      </c>
      <c r="R400" s="6">
        <v>342</v>
      </c>
      <c r="S400" s="6" t="s">
        <v>5689</v>
      </c>
      <c r="T400" s="6" t="s">
        <v>5688</v>
      </c>
      <c r="U400" s="6">
        <v>835</v>
      </c>
      <c r="V400" s="6">
        <v>6</v>
      </c>
      <c r="W400" s="6" t="s">
        <v>7648</v>
      </c>
      <c r="Y400" t="s">
        <v>5270</v>
      </c>
      <c r="Z400" t="s">
        <v>5271</v>
      </c>
      <c r="AA400" s="6">
        <f t="shared" si="56"/>
        <v>589</v>
      </c>
      <c r="AB400">
        <v>98</v>
      </c>
      <c r="AC400">
        <v>207</v>
      </c>
      <c r="AD400">
        <v>159</v>
      </c>
    </row>
    <row r="401" spans="1:30" ht="17" x14ac:dyDescent="0.25">
      <c r="A401" s="1" t="s">
        <v>403</v>
      </c>
      <c r="B401" s="1" t="s">
        <v>3055</v>
      </c>
      <c r="C401" s="1" t="s">
        <v>1730</v>
      </c>
      <c r="D401" t="str">
        <f t="shared" si="57"/>
        <v>61D09F</v>
      </c>
      <c r="E401" t="str">
        <f t="shared" si="58"/>
        <v>97-208-159</v>
      </c>
      <c r="F401" t="str">
        <f t="shared" si="59"/>
        <v>97208159</v>
      </c>
      <c r="G401">
        <f t="shared" si="60"/>
        <v>97</v>
      </c>
      <c r="H401">
        <f t="shared" si="61"/>
        <v>208</v>
      </c>
      <c r="I401">
        <f t="shared" si="62"/>
        <v>159</v>
      </c>
      <c r="J401" t="str">
        <f t="shared" si="54"/>
        <v>TTd",</v>
      </c>
      <c r="K401" t="str">
        <f t="shared" si="54"/>
        <v>Taenia tecta, dorsal part",</v>
      </c>
      <c r="L401" t="str">
        <f t="shared" si="55"/>
        <v>TTd</v>
      </c>
      <c r="M401" t="str">
        <f t="shared" si="55"/>
        <v>Taenia tecta, dorsal part</v>
      </c>
      <c r="N401" t="s">
        <v>5272</v>
      </c>
      <c r="O401" t="s">
        <v>5273</v>
      </c>
      <c r="Q401" s="6">
        <v>614</v>
      </c>
      <c r="R401" s="6">
        <v>298</v>
      </c>
      <c r="S401" s="6" t="s">
        <v>5691</v>
      </c>
      <c r="T401" s="6" t="s">
        <v>5690</v>
      </c>
      <c r="U401" s="6">
        <v>835</v>
      </c>
      <c r="V401" s="6">
        <v>6</v>
      </c>
      <c r="W401" s="6" t="s">
        <v>7649</v>
      </c>
      <c r="Y401" t="s">
        <v>5272</v>
      </c>
      <c r="Z401" t="s">
        <v>5273</v>
      </c>
      <c r="AA401" s="6">
        <f t="shared" si="56"/>
        <v>597</v>
      </c>
      <c r="AB401">
        <v>97</v>
      </c>
      <c r="AC401">
        <v>208</v>
      </c>
      <c r="AD401">
        <v>159</v>
      </c>
    </row>
    <row r="402" spans="1:30" ht="17" x14ac:dyDescent="0.25">
      <c r="A402" s="1" t="s">
        <v>404</v>
      </c>
      <c r="B402" s="1" t="s">
        <v>3056</v>
      </c>
      <c r="C402" s="1" t="s">
        <v>1731</v>
      </c>
      <c r="D402" t="str">
        <f t="shared" si="57"/>
        <v>62D09F</v>
      </c>
      <c r="E402" t="str">
        <f t="shared" si="58"/>
        <v>98-208-159</v>
      </c>
      <c r="F402" t="str">
        <f t="shared" si="59"/>
        <v>98208159</v>
      </c>
      <c r="G402">
        <f t="shared" si="60"/>
        <v>98</v>
      </c>
      <c r="H402">
        <f t="shared" si="61"/>
        <v>208</v>
      </c>
      <c r="I402">
        <f t="shared" si="62"/>
        <v>159</v>
      </c>
      <c r="J402" t="str">
        <f t="shared" si="54"/>
        <v>TTd1-4",</v>
      </c>
      <c r="K402" t="str">
        <f t="shared" si="54"/>
        <v>Taenia tecta, dorsal part, layers 1-4",</v>
      </c>
      <c r="L402" t="str">
        <f t="shared" si="55"/>
        <v>TTd1-4</v>
      </c>
      <c r="M402" t="str">
        <f t="shared" si="55"/>
        <v>Taenia tecta, dorsal part, layers 1-4</v>
      </c>
      <c r="N402" t="s">
        <v>5274</v>
      </c>
      <c r="O402" t="s">
        <v>5275</v>
      </c>
      <c r="Q402" s="6">
        <v>615</v>
      </c>
      <c r="R402" s="6">
        <v>826</v>
      </c>
      <c r="S402" s="6" t="s">
        <v>5693</v>
      </c>
      <c r="T402" s="6" t="s">
        <v>5692</v>
      </c>
      <c r="U402" s="6">
        <v>803</v>
      </c>
      <c r="V402" s="6">
        <v>5</v>
      </c>
      <c r="W402" s="6" t="s">
        <v>7650</v>
      </c>
      <c r="Y402" t="s">
        <v>5274</v>
      </c>
      <c r="Z402" t="s">
        <v>5275</v>
      </c>
      <c r="AA402" s="6" t="str">
        <f t="shared" si="56"/>
        <v/>
      </c>
      <c r="AB402">
        <v>98</v>
      </c>
      <c r="AC402">
        <v>208</v>
      </c>
      <c r="AD402">
        <v>159</v>
      </c>
    </row>
    <row r="403" spans="1:30" ht="17" x14ac:dyDescent="0.25">
      <c r="A403" s="1" t="s">
        <v>405</v>
      </c>
      <c r="B403" s="1" t="s">
        <v>3057</v>
      </c>
      <c r="C403" s="1" t="s">
        <v>1732</v>
      </c>
      <c r="D403" t="str">
        <f t="shared" si="57"/>
        <v>61D09E</v>
      </c>
      <c r="E403" t="str">
        <f t="shared" si="58"/>
        <v>97-208-158</v>
      </c>
      <c r="F403" t="str">
        <f t="shared" si="59"/>
        <v>97208158</v>
      </c>
      <c r="G403">
        <f t="shared" si="60"/>
        <v>97</v>
      </c>
      <c r="H403">
        <f t="shared" si="61"/>
        <v>208</v>
      </c>
      <c r="I403">
        <f t="shared" si="62"/>
        <v>158</v>
      </c>
      <c r="J403" t="str">
        <f t="shared" si="54"/>
        <v>TTd1",</v>
      </c>
      <c r="K403" t="str">
        <f t="shared" si="54"/>
        <v>Taenia tecta, dorsal part, layer 1",</v>
      </c>
      <c r="L403" t="str">
        <f t="shared" si="55"/>
        <v>TTd1</v>
      </c>
      <c r="M403" t="str">
        <f t="shared" si="55"/>
        <v>Taenia tecta, dorsal part, layer 1</v>
      </c>
      <c r="N403" t="s">
        <v>5276</v>
      </c>
      <c r="O403" t="s">
        <v>5277</v>
      </c>
      <c r="Q403" s="6">
        <v>616</v>
      </c>
      <c r="R403" s="6">
        <v>904</v>
      </c>
      <c r="S403" s="6" t="s">
        <v>5695</v>
      </c>
      <c r="T403" s="6" t="s">
        <v>5694</v>
      </c>
      <c r="U403" s="6">
        <v>826</v>
      </c>
      <c r="V403" s="6">
        <v>6</v>
      </c>
      <c r="W403" s="6" t="s">
        <v>7651</v>
      </c>
      <c r="Y403" t="s">
        <v>5276</v>
      </c>
      <c r="Z403" t="s">
        <v>5277</v>
      </c>
      <c r="AA403" s="6" t="str">
        <f t="shared" si="56"/>
        <v/>
      </c>
      <c r="AB403">
        <v>97</v>
      </c>
      <c r="AC403">
        <v>208</v>
      </c>
      <c r="AD403">
        <v>158</v>
      </c>
    </row>
    <row r="404" spans="1:30" ht="17" x14ac:dyDescent="0.25">
      <c r="A404" s="1" t="s">
        <v>406</v>
      </c>
      <c r="B404" s="1" t="s">
        <v>3058</v>
      </c>
      <c r="C404" s="1" t="s">
        <v>1733</v>
      </c>
      <c r="D404" t="str">
        <f t="shared" si="57"/>
        <v>61CF9F</v>
      </c>
      <c r="E404" t="str">
        <f t="shared" si="58"/>
        <v>97-207-159</v>
      </c>
      <c r="F404" t="str">
        <f t="shared" si="59"/>
        <v>97207159</v>
      </c>
      <c r="G404">
        <f t="shared" si="60"/>
        <v>97</v>
      </c>
      <c r="H404">
        <f t="shared" si="61"/>
        <v>207</v>
      </c>
      <c r="I404">
        <f t="shared" si="62"/>
        <v>159</v>
      </c>
      <c r="J404" t="str">
        <f t="shared" si="54"/>
        <v>TTd2",</v>
      </c>
      <c r="K404" t="str">
        <f t="shared" si="54"/>
        <v>Taenia tecta, dorsal part, layer 2",</v>
      </c>
      <c r="L404" t="str">
        <f t="shared" si="55"/>
        <v>TTd2</v>
      </c>
      <c r="M404" t="str">
        <f t="shared" si="55"/>
        <v>Taenia tecta, dorsal part, layer 2</v>
      </c>
      <c r="N404" t="s">
        <v>5278</v>
      </c>
      <c r="O404" t="s">
        <v>5279</v>
      </c>
      <c r="Q404" s="6">
        <v>617</v>
      </c>
      <c r="R404" s="6">
        <v>564</v>
      </c>
      <c r="S404" s="6" t="s">
        <v>5697</v>
      </c>
      <c r="T404" s="6" t="s">
        <v>5696</v>
      </c>
      <c r="U404" s="6">
        <v>904</v>
      </c>
      <c r="V404" s="6">
        <v>7</v>
      </c>
      <c r="W404" s="6" t="s">
        <v>7652</v>
      </c>
      <c r="Y404" t="s">
        <v>5278</v>
      </c>
      <c r="Z404" t="s">
        <v>5279</v>
      </c>
      <c r="AA404" s="6" t="str">
        <f t="shared" si="56"/>
        <v/>
      </c>
      <c r="AB404">
        <v>97</v>
      </c>
      <c r="AC404">
        <v>207</v>
      </c>
      <c r="AD404">
        <v>159</v>
      </c>
    </row>
    <row r="405" spans="1:30" ht="17" x14ac:dyDescent="0.25">
      <c r="A405" s="1" t="s">
        <v>407</v>
      </c>
      <c r="B405" s="1" t="s">
        <v>3059</v>
      </c>
      <c r="C405" s="1" t="s">
        <v>1734</v>
      </c>
      <c r="D405" t="str">
        <f t="shared" si="57"/>
        <v>61CF9E</v>
      </c>
      <c r="E405" t="str">
        <f t="shared" si="58"/>
        <v>97-207-158</v>
      </c>
      <c r="F405" t="str">
        <f t="shared" si="59"/>
        <v>97207158</v>
      </c>
      <c r="G405">
        <f t="shared" si="60"/>
        <v>97</v>
      </c>
      <c r="H405">
        <f t="shared" si="61"/>
        <v>207</v>
      </c>
      <c r="I405">
        <f t="shared" si="62"/>
        <v>158</v>
      </c>
      <c r="J405" t="str">
        <f t="shared" si="54"/>
        <v>TTd3",</v>
      </c>
      <c r="K405" t="str">
        <f t="shared" si="54"/>
        <v>Taenia tecta, dorsal part, layer 3",</v>
      </c>
      <c r="L405" t="str">
        <f t="shared" si="55"/>
        <v>TTd3</v>
      </c>
      <c r="M405" t="str">
        <f t="shared" si="55"/>
        <v>Taenia tecta, dorsal part, layer 3</v>
      </c>
      <c r="N405" t="s">
        <v>5280</v>
      </c>
      <c r="O405" t="s">
        <v>5281</v>
      </c>
      <c r="Q405" s="6">
        <v>618</v>
      </c>
      <c r="R405" s="6">
        <v>596</v>
      </c>
      <c r="S405" s="6" t="s">
        <v>5699</v>
      </c>
      <c r="T405" s="6" t="s">
        <v>5698</v>
      </c>
      <c r="U405" s="6">
        <v>904</v>
      </c>
      <c r="V405" s="6">
        <v>7</v>
      </c>
      <c r="W405" s="6" t="s">
        <v>7653</v>
      </c>
      <c r="Y405" t="s">
        <v>5280</v>
      </c>
      <c r="Z405" t="s">
        <v>5281</v>
      </c>
      <c r="AA405" s="6" t="str">
        <f t="shared" si="56"/>
        <v/>
      </c>
      <c r="AB405">
        <v>97</v>
      </c>
      <c r="AC405">
        <v>207</v>
      </c>
      <c r="AD405">
        <v>158</v>
      </c>
    </row>
    <row r="406" spans="1:30" ht="17" x14ac:dyDescent="0.25">
      <c r="A406" s="1" t="s">
        <v>408</v>
      </c>
      <c r="B406" s="1" t="s">
        <v>3060</v>
      </c>
      <c r="C406" s="1" t="s">
        <v>1735</v>
      </c>
      <c r="D406" t="str">
        <f t="shared" si="57"/>
        <v>62D09D</v>
      </c>
      <c r="E406" t="str">
        <f t="shared" si="58"/>
        <v>98-208-157</v>
      </c>
      <c r="F406" t="str">
        <f t="shared" si="59"/>
        <v>98208157</v>
      </c>
      <c r="G406">
        <f t="shared" si="60"/>
        <v>98</v>
      </c>
      <c r="H406">
        <f t="shared" si="61"/>
        <v>208</v>
      </c>
      <c r="I406">
        <f t="shared" si="62"/>
        <v>157</v>
      </c>
      <c r="J406" t="str">
        <f t="shared" si="54"/>
        <v>TTd4",</v>
      </c>
      <c r="K406" t="str">
        <f t="shared" si="54"/>
        <v>Taenia tecta, dorsal part, layer 4",</v>
      </c>
      <c r="L406" t="str">
        <f t="shared" si="55"/>
        <v>TTd4</v>
      </c>
      <c r="M406" t="str">
        <f t="shared" si="55"/>
        <v>Taenia tecta, dorsal part, layer 4</v>
      </c>
      <c r="N406" t="s">
        <v>5282</v>
      </c>
      <c r="O406" t="s">
        <v>5283</v>
      </c>
      <c r="Q406" s="6">
        <v>619</v>
      </c>
      <c r="R406" s="6">
        <v>581</v>
      </c>
      <c r="S406" s="6" t="s">
        <v>5701</v>
      </c>
      <c r="T406" s="6" t="s">
        <v>5700</v>
      </c>
      <c r="U406" s="6">
        <v>826</v>
      </c>
      <c r="V406" s="6">
        <v>6</v>
      </c>
      <c r="W406" s="6" t="s">
        <v>7654</v>
      </c>
      <c r="Y406" t="s">
        <v>5282</v>
      </c>
      <c r="Z406" t="s">
        <v>5283</v>
      </c>
      <c r="AA406" s="6" t="str">
        <f t="shared" si="56"/>
        <v/>
      </c>
      <c r="AB406">
        <v>98</v>
      </c>
      <c r="AC406">
        <v>208</v>
      </c>
      <c r="AD406">
        <v>157</v>
      </c>
    </row>
    <row r="407" spans="1:30" ht="17" x14ac:dyDescent="0.25">
      <c r="A407" s="1" t="s">
        <v>409</v>
      </c>
      <c r="B407" s="1" t="s">
        <v>3061</v>
      </c>
      <c r="C407" s="1" t="s">
        <v>1736</v>
      </c>
      <c r="D407" t="str">
        <f t="shared" si="57"/>
        <v>62CF9E</v>
      </c>
      <c r="E407" t="str">
        <f t="shared" si="58"/>
        <v>98-207-158</v>
      </c>
      <c r="F407" t="str">
        <f t="shared" si="59"/>
        <v>98207158</v>
      </c>
      <c r="G407">
        <f t="shared" si="60"/>
        <v>98</v>
      </c>
      <c r="H407">
        <f t="shared" si="61"/>
        <v>207</v>
      </c>
      <c r="I407">
        <f t="shared" si="62"/>
        <v>158</v>
      </c>
      <c r="J407" t="str">
        <f t="shared" si="54"/>
        <v>TTv",</v>
      </c>
      <c r="K407" t="str">
        <f t="shared" si="54"/>
        <v>Taenia tecta, ventral part",</v>
      </c>
      <c r="L407" t="str">
        <f t="shared" si="55"/>
        <v>TTv</v>
      </c>
      <c r="M407" t="str">
        <f t="shared" si="55"/>
        <v>Taenia tecta, ventral part</v>
      </c>
      <c r="N407" t="s">
        <v>5284</v>
      </c>
      <c r="O407" t="s">
        <v>5285</v>
      </c>
      <c r="Q407" s="6">
        <v>620</v>
      </c>
      <c r="R407" s="6">
        <v>809</v>
      </c>
      <c r="S407" s="6" t="s">
        <v>5703</v>
      </c>
      <c r="T407" s="6" t="s">
        <v>5702</v>
      </c>
      <c r="U407" s="6">
        <v>803</v>
      </c>
      <c r="V407" s="6">
        <v>5</v>
      </c>
      <c r="W407" s="6" t="s">
        <v>7655</v>
      </c>
      <c r="Y407" t="s">
        <v>5284</v>
      </c>
      <c r="Z407" t="s">
        <v>5285</v>
      </c>
      <c r="AA407" s="6">
        <f t="shared" si="56"/>
        <v>605</v>
      </c>
      <c r="AB407">
        <v>98</v>
      </c>
      <c r="AC407">
        <v>207</v>
      </c>
      <c r="AD407">
        <v>158</v>
      </c>
    </row>
    <row r="408" spans="1:30" ht="17" x14ac:dyDescent="0.25">
      <c r="A408" s="1" t="s">
        <v>410</v>
      </c>
      <c r="B408" s="1" t="s">
        <v>3062</v>
      </c>
      <c r="C408" s="1" t="s">
        <v>1737</v>
      </c>
      <c r="D408" t="str">
        <f t="shared" si="57"/>
        <v>62D09E</v>
      </c>
      <c r="E408" t="str">
        <f t="shared" si="58"/>
        <v>98-208-158</v>
      </c>
      <c r="F408" t="str">
        <f t="shared" si="59"/>
        <v>98208158</v>
      </c>
      <c r="G408">
        <f t="shared" si="60"/>
        <v>98</v>
      </c>
      <c r="H408">
        <f t="shared" si="61"/>
        <v>208</v>
      </c>
      <c r="I408">
        <f t="shared" si="62"/>
        <v>158</v>
      </c>
      <c r="J408" t="str">
        <f t="shared" si="54"/>
        <v>TTv1-3",</v>
      </c>
      <c r="K408" t="str">
        <f t="shared" si="54"/>
        <v>Taenia tecta, ventral part, layers 1-3",</v>
      </c>
      <c r="L408" t="str">
        <f t="shared" si="55"/>
        <v>TTv1-3</v>
      </c>
      <c r="M408" t="str">
        <f t="shared" si="55"/>
        <v>Taenia tecta, ventral part, layers 1-3</v>
      </c>
      <c r="N408" t="s">
        <v>5286</v>
      </c>
      <c r="O408" t="s">
        <v>5287</v>
      </c>
      <c r="Q408" s="6">
        <v>621</v>
      </c>
      <c r="R408" s="6">
        <v>351</v>
      </c>
      <c r="S408" s="6" t="s">
        <v>5705</v>
      </c>
      <c r="T408" s="6" t="s">
        <v>5704</v>
      </c>
      <c r="U408" s="6">
        <v>809</v>
      </c>
      <c r="V408" s="6">
        <v>6</v>
      </c>
      <c r="W408" s="6" t="s">
        <v>7656</v>
      </c>
      <c r="Y408" t="s">
        <v>5286</v>
      </c>
      <c r="Z408" t="s">
        <v>5287</v>
      </c>
      <c r="AA408" s="6" t="str">
        <f t="shared" si="56"/>
        <v/>
      </c>
      <c r="AB408">
        <v>98</v>
      </c>
      <c r="AC408">
        <v>208</v>
      </c>
      <c r="AD408">
        <v>158</v>
      </c>
    </row>
    <row r="409" spans="1:30" ht="17" x14ac:dyDescent="0.25">
      <c r="A409" s="1" t="s">
        <v>411</v>
      </c>
      <c r="B409" s="1" t="s">
        <v>3063</v>
      </c>
      <c r="C409" s="1" t="s">
        <v>1738</v>
      </c>
      <c r="D409" t="str">
        <f t="shared" si="57"/>
        <v>62CE9F</v>
      </c>
      <c r="E409" t="str">
        <f t="shared" si="58"/>
        <v>98-206-159</v>
      </c>
      <c r="F409" t="str">
        <f t="shared" si="59"/>
        <v>98206159</v>
      </c>
      <c r="G409">
        <f t="shared" si="60"/>
        <v>98</v>
      </c>
      <c r="H409">
        <f t="shared" si="61"/>
        <v>206</v>
      </c>
      <c r="I409">
        <f t="shared" si="62"/>
        <v>159</v>
      </c>
      <c r="J409" t="str">
        <f t="shared" si="54"/>
        <v>TTv1",</v>
      </c>
      <c r="K409" t="str">
        <f t="shared" si="54"/>
        <v>Taenia tecta, ventral part, layer 1",</v>
      </c>
      <c r="L409" t="str">
        <f t="shared" si="55"/>
        <v>TTv1</v>
      </c>
      <c r="M409" t="str">
        <f t="shared" si="55"/>
        <v>Taenia tecta, ventral part, layer 1</v>
      </c>
      <c r="N409" t="s">
        <v>5288</v>
      </c>
      <c r="O409" t="s">
        <v>5289</v>
      </c>
      <c r="Q409" s="6">
        <v>638</v>
      </c>
      <c r="R409" s="6">
        <v>287</v>
      </c>
      <c r="S409" s="6" t="s">
        <v>5739</v>
      </c>
      <c r="T409" s="6" t="s">
        <v>5738</v>
      </c>
      <c r="U409" s="6">
        <v>809</v>
      </c>
      <c r="V409" s="6">
        <v>6</v>
      </c>
      <c r="W409" s="6" t="s">
        <v>7657</v>
      </c>
      <c r="Y409" t="s">
        <v>5288</v>
      </c>
      <c r="Z409" t="s">
        <v>5289</v>
      </c>
      <c r="AA409" s="6" t="str">
        <f t="shared" si="56"/>
        <v/>
      </c>
      <c r="AB409">
        <v>98</v>
      </c>
      <c r="AC409">
        <v>206</v>
      </c>
      <c r="AD409">
        <v>159</v>
      </c>
    </row>
    <row r="410" spans="1:30" ht="17" x14ac:dyDescent="0.25">
      <c r="A410" s="1" t="s">
        <v>412</v>
      </c>
      <c r="B410" s="1" t="s">
        <v>3064</v>
      </c>
      <c r="C410" s="1" t="s">
        <v>1739</v>
      </c>
      <c r="D410" t="str">
        <f t="shared" si="57"/>
        <v>60D09F</v>
      </c>
      <c r="E410" t="str">
        <f t="shared" si="58"/>
        <v>96-208-159</v>
      </c>
      <c r="F410" t="str">
        <f t="shared" si="59"/>
        <v>96208159</v>
      </c>
      <c r="G410">
        <f t="shared" si="60"/>
        <v>96</v>
      </c>
      <c r="H410">
        <f t="shared" si="61"/>
        <v>208</v>
      </c>
      <c r="I410">
        <f t="shared" si="62"/>
        <v>159</v>
      </c>
      <c r="J410" t="str">
        <f t="shared" si="54"/>
        <v>TTv2",</v>
      </c>
      <c r="K410" t="str">
        <f t="shared" si="54"/>
        <v>Taenia tecta, ventral part, layer 2",</v>
      </c>
      <c r="L410" t="str">
        <f t="shared" si="55"/>
        <v>TTv2</v>
      </c>
      <c r="M410" t="str">
        <f t="shared" si="55"/>
        <v>Taenia tecta, ventral part, layer 2</v>
      </c>
      <c r="N410" t="s">
        <v>5290</v>
      </c>
      <c r="O410" t="s">
        <v>5291</v>
      </c>
      <c r="Q410" s="6">
        <v>639</v>
      </c>
      <c r="R410" s="6">
        <v>343</v>
      </c>
      <c r="S410" s="6" t="s">
        <v>5741</v>
      </c>
      <c r="T410" s="6" t="s">
        <v>5740</v>
      </c>
      <c r="U410" s="6">
        <v>8</v>
      </c>
      <c r="V410" s="6">
        <v>2</v>
      </c>
      <c r="W410" s="6" t="s">
        <v>7658</v>
      </c>
      <c r="Y410" t="s">
        <v>5290</v>
      </c>
      <c r="Z410" t="s">
        <v>5291</v>
      </c>
      <c r="AA410" s="6" t="str">
        <f t="shared" si="56"/>
        <v/>
      </c>
      <c r="AB410">
        <v>96</v>
      </c>
      <c r="AC410">
        <v>208</v>
      </c>
      <c r="AD410">
        <v>159</v>
      </c>
    </row>
    <row r="411" spans="1:30" ht="17" x14ac:dyDescent="0.25">
      <c r="A411" s="1" t="s">
        <v>413</v>
      </c>
      <c r="B411" s="1" t="s">
        <v>3065</v>
      </c>
      <c r="C411" s="1" t="s">
        <v>1740</v>
      </c>
      <c r="D411" t="str">
        <f t="shared" si="57"/>
        <v>62CF9D</v>
      </c>
      <c r="E411" t="str">
        <f t="shared" si="58"/>
        <v>98-207-157</v>
      </c>
      <c r="F411" t="str">
        <f t="shared" si="59"/>
        <v>98207157</v>
      </c>
      <c r="G411">
        <f t="shared" si="60"/>
        <v>98</v>
      </c>
      <c r="H411">
        <f t="shared" si="61"/>
        <v>207</v>
      </c>
      <c r="I411">
        <f t="shared" si="62"/>
        <v>157</v>
      </c>
      <c r="J411" t="str">
        <f t="shared" si="54"/>
        <v>TTv3",</v>
      </c>
      <c r="K411" t="str">
        <f t="shared" si="54"/>
        <v>Taenia tecta, ventral part, layer 3",</v>
      </c>
      <c r="L411" t="str">
        <f t="shared" si="55"/>
        <v>TTv3</v>
      </c>
      <c r="M411" t="str">
        <f t="shared" si="55"/>
        <v>Taenia tecta, ventral part, layer 3</v>
      </c>
      <c r="N411" t="s">
        <v>5292</v>
      </c>
      <c r="O411" t="s">
        <v>5293</v>
      </c>
      <c r="Q411" s="6">
        <v>640</v>
      </c>
      <c r="R411" s="6">
        <v>1129</v>
      </c>
      <c r="S411" s="6" t="s">
        <v>5743</v>
      </c>
      <c r="T411" s="6" t="s">
        <v>5742</v>
      </c>
      <c r="U411" s="6">
        <v>343</v>
      </c>
      <c r="V411" s="6">
        <v>3</v>
      </c>
      <c r="W411" s="6" t="s">
        <v>7659</v>
      </c>
      <c r="Y411" t="s">
        <v>5292</v>
      </c>
      <c r="Z411" t="s">
        <v>5293</v>
      </c>
      <c r="AA411" s="6" t="str">
        <f t="shared" si="56"/>
        <v/>
      </c>
      <c r="AB411">
        <v>98</v>
      </c>
      <c r="AC411">
        <v>207</v>
      </c>
      <c r="AD411">
        <v>157</v>
      </c>
    </row>
    <row r="412" spans="1:30" ht="17" x14ac:dyDescent="0.25">
      <c r="A412" s="1" t="s">
        <v>414</v>
      </c>
      <c r="B412" s="1" t="s">
        <v>3066</v>
      </c>
      <c r="C412" s="1" t="s">
        <v>1741</v>
      </c>
      <c r="D412" t="str">
        <f t="shared" si="57"/>
        <v>A3DAA3</v>
      </c>
      <c r="E412" t="str">
        <f t="shared" si="58"/>
        <v>163-218-163</v>
      </c>
      <c r="F412" t="str">
        <f t="shared" si="59"/>
        <v>163218163</v>
      </c>
      <c r="G412">
        <f t="shared" si="60"/>
        <v>163</v>
      </c>
      <c r="H412">
        <f t="shared" si="61"/>
        <v>218</v>
      </c>
      <c r="I412">
        <f t="shared" si="62"/>
        <v>163</v>
      </c>
      <c r="J412" t="str">
        <f t="shared" si="54"/>
        <v>DP",</v>
      </c>
      <c r="K412" t="str">
        <f t="shared" si="54"/>
        <v>Dorsal peduncular area",</v>
      </c>
      <c r="L412" t="str">
        <f t="shared" si="55"/>
        <v>DP</v>
      </c>
      <c r="M412" t="str">
        <f t="shared" si="55"/>
        <v>Dorsal peduncular area</v>
      </c>
      <c r="N412" t="s">
        <v>5294</v>
      </c>
      <c r="O412" t="s">
        <v>5295</v>
      </c>
      <c r="Q412" s="6">
        <v>641</v>
      </c>
      <c r="R412" s="6">
        <v>549</v>
      </c>
      <c r="S412" s="6" t="s">
        <v>5745</v>
      </c>
      <c r="T412" s="6" t="s">
        <v>5744</v>
      </c>
      <c r="U412" s="6">
        <v>1129</v>
      </c>
      <c r="V412" s="6">
        <v>4</v>
      </c>
      <c r="W412" s="6" t="s">
        <v>7660</v>
      </c>
      <c r="Y412" t="s">
        <v>5294</v>
      </c>
      <c r="Z412" t="s">
        <v>5295</v>
      </c>
      <c r="AA412" s="6">
        <f t="shared" si="56"/>
        <v>814</v>
      </c>
      <c r="AB412">
        <v>163</v>
      </c>
      <c r="AC412">
        <v>218</v>
      </c>
      <c r="AD412">
        <v>163</v>
      </c>
    </row>
    <row r="413" spans="1:30" ht="17" x14ac:dyDescent="0.25">
      <c r="A413" s="1" t="s">
        <v>415</v>
      </c>
      <c r="B413" s="1" t="s">
        <v>3067</v>
      </c>
      <c r="C413" s="1" t="s">
        <v>1742</v>
      </c>
      <c r="D413" t="str">
        <f t="shared" si="57"/>
        <v>A4D9A4</v>
      </c>
      <c r="E413" t="str">
        <f t="shared" si="58"/>
        <v>164-217-164</v>
      </c>
      <c r="F413" t="str">
        <f t="shared" si="59"/>
        <v>164217164</v>
      </c>
      <c r="G413">
        <f t="shared" si="60"/>
        <v>164</v>
      </c>
      <c r="H413">
        <f t="shared" si="61"/>
        <v>217</v>
      </c>
      <c r="I413">
        <f t="shared" si="62"/>
        <v>164</v>
      </c>
      <c r="J413" t="str">
        <f t="shared" si="54"/>
        <v>DP1",</v>
      </c>
      <c r="K413" t="str">
        <f t="shared" si="54"/>
        <v>Dorsal peduncular area, layer 1",</v>
      </c>
      <c r="L413" t="str">
        <f t="shared" si="55"/>
        <v>DP1</v>
      </c>
      <c r="M413" t="str">
        <f t="shared" si="55"/>
        <v>Dorsal peduncular area, layer 1</v>
      </c>
      <c r="N413" t="s">
        <v>5296</v>
      </c>
      <c r="O413" t="s">
        <v>5297</v>
      </c>
      <c r="Q413" s="6">
        <v>642</v>
      </c>
      <c r="R413" s="6">
        <v>864</v>
      </c>
      <c r="S413" s="6" t="s">
        <v>5747</v>
      </c>
      <c r="T413" s="6" t="s">
        <v>5746</v>
      </c>
      <c r="U413" s="6">
        <v>549</v>
      </c>
      <c r="V413" s="6">
        <v>5</v>
      </c>
      <c r="W413" s="6" t="s">
        <v>7661</v>
      </c>
      <c r="Y413" t="s">
        <v>5296</v>
      </c>
      <c r="Z413" t="s">
        <v>5297</v>
      </c>
      <c r="AA413" s="6" t="str">
        <f t="shared" si="56"/>
        <v/>
      </c>
      <c r="AB413">
        <v>164</v>
      </c>
      <c r="AC413">
        <v>217</v>
      </c>
      <c r="AD413">
        <v>164</v>
      </c>
    </row>
    <row r="414" spans="1:30" ht="17" x14ac:dyDescent="0.25">
      <c r="A414" s="1" t="s">
        <v>416</v>
      </c>
      <c r="B414" s="1" t="s">
        <v>3068</v>
      </c>
      <c r="C414" s="1" t="s">
        <v>1743</v>
      </c>
      <c r="D414" t="str">
        <f t="shared" si="57"/>
        <v>A3DAA4</v>
      </c>
      <c r="E414" t="str">
        <f t="shared" si="58"/>
        <v>163-218-164</v>
      </c>
      <c r="F414" t="str">
        <f t="shared" si="59"/>
        <v>163218164</v>
      </c>
      <c r="G414">
        <f t="shared" si="60"/>
        <v>163</v>
      </c>
      <c r="H414">
        <f t="shared" si="61"/>
        <v>218</v>
      </c>
      <c r="I414">
        <f t="shared" si="62"/>
        <v>164</v>
      </c>
      <c r="J414" t="str">
        <f t="shared" si="54"/>
        <v>DP2",</v>
      </c>
      <c r="K414" t="str">
        <f t="shared" si="54"/>
        <v>Dorsal peduncular area, layer 2",</v>
      </c>
      <c r="L414" t="str">
        <f t="shared" si="55"/>
        <v>DP2</v>
      </c>
      <c r="M414" t="str">
        <f t="shared" si="55"/>
        <v>Dorsal peduncular area, layer 2</v>
      </c>
      <c r="N414" t="s">
        <v>5298</v>
      </c>
      <c r="O414" t="s">
        <v>5299</v>
      </c>
      <c r="Q414" s="6">
        <v>643</v>
      </c>
      <c r="R414" s="6">
        <v>637</v>
      </c>
      <c r="S414" s="6" t="s">
        <v>5749</v>
      </c>
      <c r="T414" s="6" t="s">
        <v>5748</v>
      </c>
      <c r="U414" s="6">
        <v>864</v>
      </c>
      <c r="V414" s="6">
        <v>6</v>
      </c>
      <c r="W414" s="6" t="s">
        <v>7662</v>
      </c>
      <c r="Y414" t="s">
        <v>5298</v>
      </c>
      <c r="Z414" t="s">
        <v>5299</v>
      </c>
      <c r="AA414" s="6" t="str">
        <f t="shared" si="56"/>
        <v/>
      </c>
      <c r="AB414">
        <v>163</v>
      </c>
      <c r="AC414">
        <v>218</v>
      </c>
      <c r="AD414">
        <v>164</v>
      </c>
    </row>
    <row r="415" spans="1:30" ht="17" x14ac:dyDescent="0.25">
      <c r="A415" s="1" t="s">
        <v>417</v>
      </c>
      <c r="B415" s="1" t="s">
        <v>3069</v>
      </c>
      <c r="C415" s="1" t="s">
        <v>1744</v>
      </c>
      <c r="D415" t="str">
        <f t="shared" si="57"/>
        <v>A4DAA3</v>
      </c>
      <c r="E415" t="str">
        <f t="shared" si="58"/>
        <v>164-218-163</v>
      </c>
      <c r="F415" t="str">
        <f t="shared" si="59"/>
        <v>164218163</v>
      </c>
      <c r="G415">
        <f t="shared" si="60"/>
        <v>164</v>
      </c>
      <c r="H415">
        <f t="shared" si="61"/>
        <v>218</v>
      </c>
      <c r="I415">
        <f t="shared" si="62"/>
        <v>163</v>
      </c>
      <c r="J415" t="str">
        <f t="shared" si="54"/>
        <v>DP2\/3",</v>
      </c>
      <c r="K415" t="str">
        <f t="shared" si="54"/>
        <v>Dorsal peduncular area, layer 2\/3",</v>
      </c>
      <c r="L415" t="str">
        <f t="shared" si="55"/>
        <v>DP2\/3</v>
      </c>
      <c r="M415" t="str">
        <f t="shared" si="55"/>
        <v>Dorsal peduncular area, layer 2\/3</v>
      </c>
      <c r="N415" t="s">
        <v>7167</v>
      </c>
      <c r="O415" t="s">
        <v>7232</v>
      </c>
      <c r="Q415" s="6">
        <v>644</v>
      </c>
      <c r="R415" s="6">
        <v>629</v>
      </c>
      <c r="S415" s="6" t="s">
        <v>5751</v>
      </c>
      <c r="T415" s="6" t="s">
        <v>5750</v>
      </c>
      <c r="U415" s="6">
        <v>637</v>
      </c>
      <c r="V415" s="6">
        <v>7</v>
      </c>
      <c r="W415" s="6" t="s">
        <v>7663</v>
      </c>
      <c r="Y415" t="s">
        <v>7167</v>
      </c>
      <c r="Z415" t="s">
        <v>7232</v>
      </c>
      <c r="AA415" s="6" t="str">
        <f t="shared" si="56"/>
        <v/>
      </c>
      <c r="AB415">
        <v>164</v>
      </c>
      <c r="AC415">
        <v>218</v>
      </c>
      <c r="AD415">
        <v>163</v>
      </c>
    </row>
    <row r="416" spans="1:30" ht="17" x14ac:dyDescent="0.25">
      <c r="A416" s="1" t="s">
        <v>418</v>
      </c>
      <c r="B416" s="1" t="s">
        <v>3070</v>
      </c>
      <c r="C416" s="1" t="s">
        <v>1745</v>
      </c>
      <c r="D416" t="str">
        <f t="shared" si="57"/>
        <v>A4D9A3</v>
      </c>
      <c r="E416" t="str">
        <f t="shared" si="58"/>
        <v>164-217-163</v>
      </c>
      <c r="F416" t="str">
        <f t="shared" si="59"/>
        <v>164217163</v>
      </c>
      <c r="G416">
        <f t="shared" si="60"/>
        <v>164</v>
      </c>
      <c r="H416">
        <f t="shared" si="61"/>
        <v>217</v>
      </c>
      <c r="I416">
        <f t="shared" si="62"/>
        <v>163</v>
      </c>
      <c r="J416" t="str">
        <f t="shared" si="54"/>
        <v>DP5",</v>
      </c>
      <c r="K416" t="str">
        <f t="shared" si="54"/>
        <v>Dorsal peduncular area, layer 5",</v>
      </c>
      <c r="L416" t="str">
        <f t="shared" si="55"/>
        <v>DP5</v>
      </c>
      <c r="M416" t="str">
        <f t="shared" si="55"/>
        <v>Dorsal peduncular area, layer 5</v>
      </c>
      <c r="N416" t="s">
        <v>5300</v>
      </c>
      <c r="O416" t="s">
        <v>5301</v>
      </c>
      <c r="Q416" s="6">
        <v>645</v>
      </c>
      <c r="R416" s="6">
        <v>685</v>
      </c>
      <c r="S416" s="6" t="s">
        <v>5753</v>
      </c>
      <c r="T416" s="6" t="s">
        <v>5752</v>
      </c>
      <c r="U416" s="6">
        <v>637</v>
      </c>
      <c r="V416" s="6">
        <v>7</v>
      </c>
      <c r="W416" s="6" t="s">
        <v>7664</v>
      </c>
      <c r="Y416" t="s">
        <v>5300</v>
      </c>
      <c r="Z416" t="s">
        <v>5301</v>
      </c>
      <c r="AA416" s="6" t="str">
        <f t="shared" si="56"/>
        <v/>
      </c>
      <c r="AB416">
        <v>164</v>
      </c>
      <c r="AC416">
        <v>217</v>
      </c>
      <c r="AD416">
        <v>163</v>
      </c>
    </row>
    <row r="417" spans="1:30" ht="17" x14ac:dyDescent="0.25">
      <c r="A417" s="1" t="s">
        <v>419</v>
      </c>
      <c r="B417" s="1" t="s">
        <v>3071</v>
      </c>
      <c r="C417" s="1" t="s">
        <v>1746</v>
      </c>
      <c r="D417" t="str">
        <f t="shared" si="57"/>
        <v>A4DAA4</v>
      </c>
      <c r="E417" t="str">
        <f t="shared" si="58"/>
        <v>164-218-164</v>
      </c>
      <c r="F417" t="str">
        <f t="shared" si="59"/>
        <v>164218164</v>
      </c>
      <c r="G417">
        <f t="shared" si="60"/>
        <v>164</v>
      </c>
      <c r="H417">
        <f t="shared" si="61"/>
        <v>218</v>
      </c>
      <c r="I417">
        <f t="shared" si="62"/>
        <v>164</v>
      </c>
      <c r="J417" t="str">
        <f t="shared" si="54"/>
        <v>DP6a",</v>
      </c>
      <c r="K417" t="str">
        <f t="shared" si="54"/>
        <v>Dorsal peduncular area, layer 6a",</v>
      </c>
      <c r="L417" t="str">
        <f t="shared" si="55"/>
        <v>DP6a</v>
      </c>
      <c r="M417" t="str">
        <f t="shared" si="55"/>
        <v>Dorsal peduncular area, layer 6a</v>
      </c>
      <c r="N417" t="s">
        <v>5302</v>
      </c>
      <c r="O417" t="s">
        <v>5303</v>
      </c>
      <c r="Q417" s="6">
        <v>646</v>
      </c>
      <c r="R417" s="6">
        <v>709</v>
      </c>
      <c r="S417" s="6" t="s">
        <v>5755</v>
      </c>
      <c r="T417" s="6" t="s">
        <v>5754</v>
      </c>
      <c r="U417" s="6">
        <v>637</v>
      </c>
      <c r="V417" s="6">
        <v>7</v>
      </c>
      <c r="W417" s="6" t="s">
        <v>7665</v>
      </c>
      <c r="Y417" t="s">
        <v>5302</v>
      </c>
      <c r="Z417" t="s">
        <v>5303</v>
      </c>
      <c r="AA417" s="6" t="str">
        <f t="shared" si="56"/>
        <v/>
      </c>
      <c r="AB417">
        <v>164</v>
      </c>
      <c r="AC417">
        <v>218</v>
      </c>
      <c r="AD417">
        <v>164</v>
      </c>
    </row>
    <row r="418" spans="1:30" ht="17" x14ac:dyDescent="0.25">
      <c r="A418" s="1" t="s">
        <v>420</v>
      </c>
      <c r="B418" s="1" t="s">
        <v>3072</v>
      </c>
      <c r="C418" s="1" t="s">
        <v>1747</v>
      </c>
      <c r="D418" t="str">
        <f t="shared" si="57"/>
        <v>6ACAB9</v>
      </c>
      <c r="E418" t="str">
        <f t="shared" si="58"/>
        <v>106-202-185</v>
      </c>
      <c r="F418" t="str">
        <f t="shared" si="59"/>
        <v>106202185</v>
      </c>
      <c r="G418">
        <f t="shared" si="60"/>
        <v>106</v>
      </c>
      <c r="H418">
        <f t="shared" si="61"/>
        <v>202</v>
      </c>
      <c r="I418">
        <f t="shared" si="62"/>
        <v>185</v>
      </c>
      <c r="J418" t="str">
        <f t="shared" si="54"/>
        <v>PIR",</v>
      </c>
      <c r="K418" t="str">
        <f t="shared" si="54"/>
        <v>Piriform area",</v>
      </c>
      <c r="L418" t="str">
        <f t="shared" si="55"/>
        <v>PIR</v>
      </c>
      <c r="M418" t="str">
        <f t="shared" si="55"/>
        <v>Piriform area</v>
      </c>
      <c r="N418" t="s">
        <v>5304</v>
      </c>
      <c r="O418" t="s">
        <v>5305</v>
      </c>
      <c r="Q418" s="6">
        <v>647</v>
      </c>
      <c r="R418" s="6">
        <v>718</v>
      </c>
      <c r="S418" s="6" t="s">
        <v>5757</v>
      </c>
      <c r="T418" s="6" t="s">
        <v>5756</v>
      </c>
      <c r="U418" s="6">
        <v>709</v>
      </c>
      <c r="V418" s="6">
        <v>8</v>
      </c>
      <c r="W418" s="6" t="s">
        <v>7666</v>
      </c>
      <c r="Y418" t="s">
        <v>5304</v>
      </c>
      <c r="Z418" t="s">
        <v>5305</v>
      </c>
      <c r="AA418" s="6">
        <f t="shared" si="56"/>
        <v>961</v>
      </c>
      <c r="AB418">
        <v>106</v>
      </c>
      <c r="AC418">
        <v>202</v>
      </c>
      <c r="AD418">
        <v>185</v>
      </c>
    </row>
    <row r="419" spans="1:30" ht="17" x14ac:dyDescent="0.25">
      <c r="A419" s="1" t="s">
        <v>421</v>
      </c>
      <c r="B419" s="1" t="s">
        <v>3073</v>
      </c>
      <c r="C419" s="1" t="s">
        <v>1748</v>
      </c>
      <c r="D419" t="str">
        <f t="shared" si="57"/>
        <v>6ACBBA</v>
      </c>
      <c r="E419" t="str">
        <f t="shared" si="58"/>
        <v>106-203-186</v>
      </c>
      <c r="F419" t="str">
        <f t="shared" si="59"/>
        <v>106203186</v>
      </c>
      <c r="G419">
        <f t="shared" si="60"/>
        <v>106</v>
      </c>
      <c r="H419">
        <f t="shared" si="61"/>
        <v>203</v>
      </c>
      <c r="I419">
        <f t="shared" si="62"/>
        <v>186</v>
      </c>
      <c r="J419" t="str">
        <f t="shared" si="54"/>
        <v>PIR1-3",</v>
      </c>
      <c r="K419" t="str">
        <f t="shared" si="54"/>
        <v>Piriform area, layers 1-3",</v>
      </c>
      <c r="L419" t="str">
        <f t="shared" si="55"/>
        <v>PIR1-3</v>
      </c>
      <c r="M419" t="str">
        <f t="shared" si="55"/>
        <v>Piriform area, layers 1-3</v>
      </c>
      <c r="N419" t="s">
        <v>5306</v>
      </c>
      <c r="O419" t="s">
        <v>5307</v>
      </c>
      <c r="Q419" s="6">
        <v>648</v>
      </c>
      <c r="R419" s="6">
        <v>725</v>
      </c>
      <c r="S419" s="6" t="s">
        <v>5759</v>
      </c>
      <c r="T419" s="6" t="s">
        <v>5758</v>
      </c>
      <c r="U419" s="6">
        <v>709</v>
      </c>
      <c r="V419" s="6">
        <v>8</v>
      </c>
      <c r="W419" s="6" t="s">
        <v>7667</v>
      </c>
      <c r="Y419" t="s">
        <v>5306</v>
      </c>
      <c r="Z419" t="s">
        <v>5307</v>
      </c>
      <c r="AA419" s="6" t="str">
        <f t="shared" si="56"/>
        <v/>
      </c>
      <c r="AB419">
        <v>106</v>
      </c>
      <c r="AC419">
        <v>203</v>
      </c>
      <c r="AD419">
        <v>186</v>
      </c>
    </row>
    <row r="420" spans="1:30" ht="17" x14ac:dyDescent="0.25">
      <c r="A420" s="1" t="s">
        <v>422</v>
      </c>
      <c r="B420" s="1" t="s">
        <v>3074</v>
      </c>
      <c r="C420" s="1" t="s">
        <v>1749</v>
      </c>
      <c r="D420" t="str">
        <f t="shared" si="57"/>
        <v>6ACBB9</v>
      </c>
      <c r="E420" t="str">
        <f t="shared" si="58"/>
        <v>106-203-185</v>
      </c>
      <c r="F420" t="str">
        <f t="shared" si="59"/>
        <v>106203185</v>
      </c>
      <c r="G420">
        <f t="shared" si="60"/>
        <v>106</v>
      </c>
      <c r="H420">
        <f t="shared" si="61"/>
        <v>203</v>
      </c>
      <c r="I420">
        <f t="shared" si="62"/>
        <v>185</v>
      </c>
      <c r="J420" t="str">
        <f t="shared" si="54"/>
        <v>PIR1",</v>
      </c>
      <c r="K420" t="str">
        <f t="shared" si="54"/>
        <v>Piriform area, molecular layer",</v>
      </c>
      <c r="L420" t="str">
        <f t="shared" si="55"/>
        <v>PIR1</v>
      </c>
      <c r="M420" t="str">
        <f t="shared" si="55"/>
        <v>Piriform area, molecular layer</v>
      </c>
      <c r="N420" t="s">
        <v>5308</v>
      </c>
      <c r="O420" t="s">
        <v>5309</v>
      </c>
      <c r="Q420" s="6">
        <v>649</v>
      </c>
      <c r="R420" s="6">
        <v>733</v>
      </c>
      <c r="S420" s="6" t="s">
        <v>5761</v>
      </c>
      <c r="T420" s="6" t="s">
        <v>5760</v>
      </c>
      <c r="U420" s="6">
        <v>709</v>
      </c>
      <c r="V420" s="6">
        <v>8</v>
      </c>
      <c r="W420" s="6" t="s">
        <v>7668</v>
      </c>
      <c r="Y420" t="s">
        <v>5308</v>
      </c>
      <c r="Z420" t="s">
        <v>5309</v>
      </c>
      <c r="AA420" s="6" t="str">
        <f t="shared" si="56"/>
        <v/>
      </c>
      <c r="AB420">
        <v>106</v>
      </c>
      <c r="AC420">
        <v>203</v>
      </c>
      <c r="AD420">
        <v>185</v>
      </c>
    </row>
    <row r="421" spans="1:30" ht="17" x14ac:dyDescent="0.25">
      <c r="A421" s="1" t="s">
        <v>423</v>
      </c>
      <c r="B421" s="1" t="s">
        <v>3075</v>
      </c>
      <c r="C421" s="1" t="s">
        <v>1750</v>
      </c>
      <c r="D421" t="str">
        <f t="shared" si="57"/>
        <v>6ACABA</v>
      </c>
      <c r="E421" t="str">
        <f t="shared" si="58"/>
        <v>106-202-186</v>
      </c>
      <c r="F421" t="str">
        <f t="shared" si="59"/>
        <v>106202186</v>
      </c>
      <c r="G421">
        <f t="shared" si="60"/>
        <v>106</v>
      </c>
      <c r="H421">
        <f t="shared" si="61"/>
        <v>202</v>
      </c>
      <c r="I421">
        <f t="shared" si="62"/>
        <v>186</v>
      </c>
      <c r="J421" t="str">
        <f t="shared" si="54"/>
        <v>PIR2",</v>
      </c>
      <c r="K421" t="str">
        <f t="shared" si="54"/>
        <v>Piriform area, pyramidal layer",</v>
      </c>
      <c r="L421" t="str">
        <f t="shared" si="55"/>
        <v>PIR2</v>
      </c>
      <c r="M421" t="str">
        <f t="shared" si="55"/>
        <v>Piriform area, pyramidal layer</v>
      </c>
      <c r="N421" t="s">
        <v>5310</v>
      </c>
      <c r="O421" t="s">
        <v>5311</v>
      </c>
      <c r="Q421" s="6">
        <v>650</v>
      </c>
      <c r="R421" s="6">
        <v>741</v>
      </c>
      <c r="S421" s="6" t="s">
        <v>5763</v>
      </c>
      <c r="T421" s="6" t="s">
        <v>5762</v>
      </c>
      <c r="U421" s="6">
        <v>709</v>
      </c>
      <c r="V421" s="6">
        <v>8</v>
      </c>
      <c r="W421" s="6" t="s">
        <v>7669</v>
      </c>
      <c r="Y421" t="s">
        <v>5310</v>
      </c>
      <c r="Z421" t="s">
        <v>5311</v>
      </c>
      <c r="AA421" s="6" t="str">
        <f t="shared" si="56"/>
        <v/>
      </c>
      <c r="AB421">
        <v>106</v>
      </c>
      <c r="AC421">
        <v>202</v>
      </c>
      <c r="AD421">
        <v>186</v>
      </c>
    </row>
    <row r="422" spans="1:30" ht="17" x14ac:dyDescent="0.25">
      <c r="A422" s="1" t="s">
        <v>424</v>
      </c>
      <c r="B422" s="1" t="s">
        <v>3076</v>
      </c>
      <c r="C422" s="1" t="s">
        <v>1751</v>
      </c>
      <c r="D422" t="str">
        <f t="shared" si="57"/>
        <v>69CBBA</v>
      </c>
      <c r="E422" t="str">
        <f t="shared" si="58"/>
        <v>105-203-186</v>
      </c>
      <c r="F422" t="str">
        <f t="shared" si="59"/>
        <v>105203186</v>
      </c>
      <c r="G422">
        <f t="shared" si="60"/>
        <v>105</v>
      </c>
      <c r="H422">
        <f t="shared" si="61"/>
        <v>203</v>
      </c>
      <c r="I422">
        <f t="shared" si="62"/>
        <v>186</v>
      </c>
      <c r="J422" t="str">
        <f t="shared" si="54"/>
        <v>PIR3",</v>
      </c>
      <c r="K422" t="str">
        <f t="shared" si="54"/>
        <v>Piriform area, polymorph layer",</v>
      </c>
      <c r="L422" t="str">
        <f t="shared" si="55"/>
        <v>PIR3</v>
      </c>
      <c r="M422" t="str">
        <f t="shared" si="55"/>
        <v>Piriform area, polymorph layer</v>
      </c>
      <c r="N422" t="s">
        <v>5312</v>
      </c>
      <c r="O422" t="s">
        <v>5313</v>
      </c>
      <c r="Q422" s="6">
        <v>651</v>
      </c>
      <c r="R422" s="6">
        <v>563807435</v>
      </c>
      <c r="S422" s="6" t="s">
        <v>5765</v>
      </c>
      <c r="T422" s="6" t="s">
        <v>5764</v>
      </c>
      <c r="U422" s="6">
        <v>637</v>
      </c>
      <c r="V422" s="6">
        <v>7</v>
      </c>
      <c r="W422" s="6" t="s">
        <v>7670</v>
      </c>
      <c r="Y422" t="s">
        <v>5312</v>
      </c>
      <c r="Z422" t="s">
        <v>5313</v>
      </c>
      <c r="AA422" s="6" t="str">
        <f t="shared" si="56"/>
        <v/>
      </c>
      <c r="AB422">
        <v>105</v>
      </c>
      <c r="AC422">
        <v>203</v>
      </c>
      <c r="AD422">
        <v>186</v>
      </c>
    </row>
    <row r="423" spans="1:30" ht="17" x14ac:dyDescent="0.25">
      <c r="A423" s="1" t="s">
        <v>425</v>
      </c>
      <c r="B423" s="1" t="s">
        <v>3077</v>
      </c>
      <c r="C423" s="1" t="s">
        <v>1752</v>
      </c>
      <c r="D423" t="str">
        <f t="shared" si="57"/>
        <v>95E3C7</v>
      </c>
      <c r="E423" t="str">
        <f t="shared" si="58"/>
        <v>149-227-199</v>
      </c>
      <c r="F423" t="str">
        <f t="shared" si="59"/>
        <v>149227199</v>
      </c>
      <c r="G423">
        <f t="shared" si="60"/>
        <v>149</v>
      </c>
      <c r="H423">
        <f t="shared" si="61"/>
        <v>227</v>
      </c>
      <c r="I423">
        <f t="shared" si="62"/>
        <v>199</v>
      </c>
      <c r="J423" t="str">
        <f t="shared" si="54"/>
        <v>NLOT",</v>
      </c>
      <c r="K423" t="str">
        <f t="shared" si="54"/>
        <v>Nucleus of the lateral olfactory tract",</v>
      </c>
      <c r="L423" t="str">
        <f t="shared" si="55"/>
        <v>NLOT</v>
      </c>
      <c r="M423" t="str">
        <f t="shared" si="55"/>
        <v>Nucleus of the lateral olfactory tract</v>
      </c>
      <c r="N423" t="s">
        <v>5314</v>
      </c>
      <c r="O423" t="s">
        <v>5315</v>
      </c>
      <c r="Q423" s="6">
        <v>652</v>
      </c>
      <c r="R423" s="6">
        <v>406</v>
      </c>
      <c r="S423" s="6" t="s">
        <v>5767</v>
      </c>
      <c r="T423" s="6" t="s">
        <v>5766</v>
      </c>
      <c r="U423" s="6">
        <v>864</v>
      </c>
      <c r="V423" s="6">
        <v>6</v>
      </c>
      <c r="W423" s="6" t="s">
        <v>7671</v>
      </c>
      <c r="Y423" t="s">
        <v>5314</v>
      </c>
      <c r="Z423" t="s">
        <v>5315</v>
      </c>
      <c r="AA423" s="6">
        <f t="shared" si="56"/>
        <v>619</v>
      </c>
      <c r="AB423">
        <v>149</v>
      </c>
      <c r="AC423">
        <v>227</v>
      </c>
      <c r="AD423">
        <v>199</v>
      </c>
    </row>
    <row r="424" spans="1:30" ht="17" x14ac:dyDescent="0.25">
      <c r="A424" s="1" t="s">
        <v>426</v>
      </c>
      <c r="B424" s="1" t="s">
        <v>3078</v>
      </c>
      <c r="C424" s="1" t="s">
        <v>1753</v>
      </c>
      <c r="D424" t="str">
        <f t="shared" si="57"/>
        <v>94E4C8</v>
      </c>
      <c r="E424" t="str">
        <f t="shared" si="58"/>
        <v>148-228-200</v>
      </c>
      <c r="F424" t="str">
        <f t="shared" si="59"/>
        <v>148228200</v>
      </c>
      <c r="G424">
        <f t="shared" si="60"/>
        <v>148</v>
      </c>
      <c r="H424">
        <f t="shared" si="61"/>
        <v>228</v>
      </c>
      <c r="I424">
        <f t="shared" si="62"/>
        <v>200</v>
      </c>
      <c r="J424" t="str">
        <f t="shared" si="54"/>
        <v>NLOT1-3",</v>
      </c>
      <c r="K424" t="str">
        <f t="shared" si="54"/>
        <v>Nucleus of the lateral olfactory tract, layers 1-3",</v>
      </c>
      <c r="L424" t="str">
        <f t="shared" si="55"/>
        <v>NLOT1-3</v>
      </c>
      <c r="M424" t="str">
        <f t="shared" si="55"/>
        <v>Nucleus of the lateral olfactory tract, layers 1-3</v>
      </c>
      <c r="N424" t="s">
        <v>5316</v>
      </c>
      <c r="O424" t="s">
        <v>5317</v>
      </c>
      <c r="Q424" s="6">
        <v>653</v>
      </c>
      <c r="R424" s="6">
        <v>414</v>
      </c>
      <c r="S424" s="6" t="s">
        <v>5769</v>
      </c>
      <c r="T424" s="6" t="s">
        <v>5768</v>
      </c>
      <c r="U424" s="6">
        <v>406</v>
      </c>
      <c r="V424" s="6">
        <v>7</v>
      </c>
      <c r="W424" s="6" t="s">
        <v>7672</v>
      </c>
      <c r="Y424" t="s">
        <v>5316</v>
      </c>
      <c r="Z424" t="s">
        <v>5317</v>
      </c>
      <c r="AA424" s="6" t="str">
        <f t="shared" si="56"/>
        <v/>
      </c>
      <c r="AB424">
        <v>148</v>
      </c>
      <c r="AC424">
        <v>228</v>
      </c>
      <c r="AD424">
        <v>200</v>
      </c>
    </row>
    <row r="425" spans="1:30" ht="17" x14ac:dyDescent="0.25">
      <c r="A425" s="1" t="s">
        <v>427</v>
      </c>
      <c r="B425" s="1" t="s">
        <v>3079</v>
      </c>
      <c r="C425" s="1" t="s">
        <v>1754</v>
      </c>
      <c r="D425" t="str">
        <f t="shared" si="57"/>
        <v>95E4C7</v>
      </c>
      <c r="E425" t="str">
        <f t="shared" si="58"/>
        <v>149-228-199</v>
      </c>
      <c r="F425" t="str">
        <f t="shared" si="59"/>
        <v>149228199</v>
      </c>
      <c r="G425">
        <f t="shared" si="60"/>
        <v>149</v>
      </c>
      <c r="H425">
        <f t="shared" si="61"/>
        <v>228</v>
      </c>
      <c r="I425">
        <f t="shared" si="62"/>
        <v>199</v>
      </c>
      <c r="J425" t="str">
        <f t="shared" si="54"/>
        <v>NLOT1",</v>
      </c>
      <c r="K425" t="str">
        <f t="shared" si="54"/>
        <v>Nucleus of the lateral olfactory tract, molecular layer",</v>
      </c>
      <c r="L425" t="str">
        <f t="shared" si="55"/>
        <v>NLOT1</v>
      </c>
      <c r="M425" t="str">
        <f t="shared" si="55"/>
        <v>Nucleus of the lateral olfactory tract, molecular layer</v>
      </c>
      <c r="N425" t="s">
        <v>5318</v>
      </c>
      <c r="O425" t="s">
        <v>5319</v>
      </c>
      <c r="Q425" s="6">
        <v>654</v>
      </c>
      <c r="R425" s="6">
        <v>422</v>
      </c>
      <c r="S425" s="6" t="s">
        <v>5771</v>
      </c>
      <c r="T425" s="6" t="s">
        <v>5770</v>
      </c>
      <c r="U425" s="6">
        <v>406</v>
      </c>
      <c r="V425" s="6">
        <v>7</v>
      </c>
      <c r="W425" s="6" t="s">
        <v>7673</v>
      </c>
      <c r="Y425" t="s">
        <v>5318</v>
      </c>
      <c r="Z425" t="s">
        <v>5319</v>
      </c>
      <c r="AA425" s="6">
        <f t="shared" si="56"/>
        <v>260</v>
      </c>
      <c r="AB425">
        <v>149</v>
      </c>
      <c r="AC425">
        <v>228</v>
      </c>
      <c r="AD425">
        <v>199</v>
      </c>
    </row>
    <row r="426" spans="1:30" ht="17" x14ac:dyDescent="0.25">
      <c r="A426" s="1" t="s">
        <v>428</v>
      </c>
      <c r="B426" s="1" t="s">
        <v>3080</v>
      </c>
      <c r="C426" s="1" t="s">
        <v>1755</v>
      </c>
      <c r="D426" t="str">
        <f t="shared" si="57"/>
        <v>95E3C8</v>
      </c>
      <c r="E426" t="str">
        <f t="shared" si="58"/>
        <v>149-227-200</v>
      </c>
      <c r="F426" t="str">
        <f t="shared" si="59"/>
        <v>149227200</v>
      </c>
      <c r="G426">
        <f t="shared" si="60"/>
        <v>149</v>
      </c>
      <c r="H426">
        <f t="shared" si="61"/>
        <v>227</v>
      </c>
      <c r="I426">
        <f t="shared" si="62"/>
        <v>200</v>
      </c>
      <c r="J426" t="str">
        <f t="shared" si="54"/>
        <v>NLOT2",</v>
      </c>
      <c r="K426" t="str">
        <f t="shared" si="54"/>
        <v>Nucleus of the lateral olfactory tract, pyramidal layer",</v>
      </c>
      <c r="L426" t="str">
        <f t="shared" si="55"/>
        <v>NLOT2</v>
      </c>
      <c r="M426" t="str">
        <f t="shared" si="55"/>
        <v>Nucleus of the lateral olfactory tract, pyramidal layer</v>
      </c>
      <c r="N426" t="s">
        <v>5320</v>
      </c>
      <c r="O426" t="s">
        <v>5321</v>
      </c>
      <c r="Q426" s="6">
        <v>655</v>
      </c>
      <c r="R426" s="6">
        <v>609</v>
      </c>
      <c r="S426" s="6" t="s">
        <v>5773</v>
      </c>
      <c r="T426" s="6" t="s">
        <v>5772</v>
      </c>
      <c r="U426" s="6">
        <v>864</v>
      </c>
      <c r="V426" s="6">
        <v>6</v>
      </c>
      <c r="W426" s="6" t="s">
        <v>7674</v>
      </c>
      <c r="Y426" t="s">
        <v>5320</v>
      </c>
      <c r="Z426" t="s">
        <v>5321</v>
      </c>
      <c r="AA426" s="6">
        <f t="shared" si="56"/>
        <v>268</v>
      </c>
      <c r="AB426">
        <v>149</v>
      </c>
      <c r="AC426">
        <v>227</v>
      </c>
      <c r="AD426">
        <v>200</v>
      </c>
    </row>
    <row r="427" spans="1:30" ht="17" x14ac:dyDescent="0.25">
      <c r="A427" s="1" t="s">
        <v>429</v>
      </c>
      <c r="B427" s="1" t="s">
        <v>3081</v>
      </c>
      <c r="C427" s="1" t="s">
        <v>1756</v>
      </c>
      <c r="D427" t="str">
        <f t="shared" si="57"/>
        <v>94E4C7</v>
      </c>
      <c r="E427" t="str">
        <f t="shared" si="58"/>
        <v>148-228-199</v>
      </c>
      <c r="F427" t="str">
        <f t="shared" si="59"/>
        <v>148228199</v>
      </c>
      <c r="G427">
        <f t="shared" si="60"/>
        <v>148</v>
      </c>
      <c r="H427">
        <f t="shared" si="61"/>
        <v>228</v>
      </c>
      <c r="I427">
        <f t="shared" si="62"/>
        <v>199</v>
      </c>
      <c r="J427" t="str">
        <f t="shared" si="54"/>
        <v>NLOT3",</v>
      </c>
      <c r="K427" t="str">
        <f t="shared" si="54"/>
        <v>Nucleus of the lateral olfactory tract, layer 3",</v>
      </c>
      <c r="L427" t="str">
        <f t="shared" si="55"/>
        <v>NLOT3</v>
      </c>
      <c r="M427" t="str">
        <f t="shared" si="55"/>
        <v>Nucleus of the lateral olfactory tract, layer 3</v>
      </c>
      <c r="N427" t="s">
        <v>5322</v>
      </c>
      <c r="O427" t="s">
        <v>5323</v>
      </c>
      <c r="Q427" s="6">
        <v>656</v>
      </c>
      <c r="R427" s="6">
        <v>1044</v>
      </c>
      <c r="S427" s="6" t="s">
        <v>5775</v>
      </c>
      <c r="T427" s="6" t="s">
        <v>5774</v>
      </c>
      <c r="U427" s="6">
        <v>864</v>
      </c>
      <c r="V427" s="6">
        <v>6</v>
      </c>
      <c r="W427" s="6" t="s">
        <v>7675</v>
      </c>
      <c r="Y427" t="s">
        <v>5322</v>
      </c>
      <c r="Z427" t="s">
        <v>5323</v>
      </c>
      <c r="AA427" s="6">
        <f t="shared" si="56"/>
        <v>1139</v>
      </c>
      <c r="AB427">
        <v>148</v>
      </c>
      <c r="AC427">
        <v>228</v>
      </c>
      <c r="AD427">
        <v>199</v>
      </c>
    </row>
    <row r="428" spans="1:30" ht="17" x14ac:dyDescent="0.25">
      <c r="A428" s="1" t="s">
        <v>430</v>
      </c>
      <c r="B428" s="1" t="s">
        <v>3082</v>
      </c>
      <c r="C428" s="1" t="s">
        <v>1757</v>
      </c>
      <c r="D428" t="str">
        <f t="shared" si="57"/>
        <v>60E7B5</v>
      </c>
      <c r="E428" t="str">
        <f t="shared" si="58"/>
        <v>96-231-181</v>
      </c>
      <c r="F428" t="str">
        <f t="shared" si="59"/>
        <v>96231181</v>
      </c>
      <c r="G428">
        <f t="shared" si="60"/>
        <v>96</v>
      </c>
      <c r="H428">
        <f t="shared" si="61"/>
        <v>231</v>
      </c>
      <c r="I428">
        <f t="shared" si="62"/>
        <v>181</v>
      </c>
      <c r="J428" t="str">
        <f t="shared" si="54"/>
        <v>COA",</v>
      </c>
      <c r="K428" t="str">
        <f t="shared" si="54"/>
        <v>Cortical amygdalar area",</v>
      </c>
      <c r="L428" t="str">
        <f t="shared" si="55"/>
        <v>COA</v>
      </c>
      <c r="M428" t="str">
        <f t="shared" si="55"/>
        <v>Cortical amygdalar area</v>
      </c>
      <c r="N428" t="s">
        <v>5324</v>
      </c>
      <c r="O428" t="s">
        <v>5325</v>
      </c>
      <c r="Q428" s="6">
        <v>657</v>
      </c>
      <c r="R428" s="6">
        <v>1008</v>
      </c>
      <c r="S428" s="6" t="s">
        <v>5777</v>
      </c>
      <c r="T428" s="6" t="s">
        <v>5776</v>
      </c>
      <c r="U428" s="6">
        <v>864</v>
      </c>
      <c r="V428" s="6">
        <v>6</v>
      </c>
      <c r="W428" s="6" t="s">
        <v>7676</v>
      </c>
      <c r="Y428" t="s">
        <v>5324</v>
      </c>
      <c r="Z428" t="s">
        <v>5325</v>
      </c>
      <c r="AA428" s="6">
        <f t="shared" si="56"/>
        <v>631</v>
      </c>
      <c r="AB428">
        <v>96</v>
      </c>
      <c r="AC428">
        <v>231</v>
      </c>
      <c r="AD428">
        <v>181</v>
      </c>
    </row>
    <row r="429" spans="1:30" ht="17" x14ac:dyDescent="0.25">
      <c r="A429" s="1" t="s">
        <v>431</v>
      </c>
      <c r="B429" s="1" t="s">
        <v>3083</v>
      </c>
      <c r="C429" s="1" t="s">
        <v>1758</v>
      </c>
      <c r="D429" t="str">
        <f t="shared" si="57"/>
        <v>60E5B7</v>
      </c>
      <c r="E429" t="str">
        <f t="shared" si="58"/>
        <v>96-229-183</v>
      </c>
      <c r="F429" t="str">
        <f t="shared" si="59"/>
        <v>96229183</v>
      </c>
      <c r="G429">
        <f t="shared" si="60"/>
        <v>96</v>
      </c>
      <c r="H429">
        <f t="shared" si="61"/>
        <v>229</v>
      </c>
      <c r="I429">
        <f t="shared" si="62"/>
        <v>183</v>
      </c>
      <c r="J429" t="str">
        <f t="shared" si="54"/>
        <v>COAa",</v>
      </c>
      <c r="K429" t="str">
        <f t="shared" si="54"/>
        <v>Cortical amygdalar area, anterior part",</v>
      </c>
      <c r="L429" t="str">
        <f t="shared" si="55"/>
        <v>COAa</v>
      </c>
      <c r="M429" t="str">
        <f t="shared" si="55"/>
        <v>Cortical amygdalar area, anterior part</v>
      </c>
      <c r="N429" t="s">
        <v>5326</v>
      </c>
      <c r="O429" t="s">
        <v>5327</v>
      </c>
      <c r="Q429" s="6">
        <v>658</v>
      </c>
      <c r="R429" s="6">
        <v>475</v>
      </c>
      <c r="S429" s="6" t="s">
        <v>5779</v>
      </c>
      <c r="T429" s="6" t="s">
        <v>5778</v>
      </c>
      <c r="U429" s="6">
        <v>1008</v>
      </c>
      <c r="V429" s="6">
        <v>7</v>
      </c>
      <c r="W429" s="6" t="s">
        <v>7677</v>
      </c>
      <c r="Y429" t="s">
        <v>5326</v>
      </c>
      <c r="Z429" t="s">
        <v>5327</v>
      </c>
      <c r="AA429" s="6">
        <f t="shared" si="56"/>
        <v>639</v>
      </c>
      <c r="AB429">
        <v>96</v>
      </c>
      <c r="AC429">
        <v>229</v>
      </c>
      <c r="AD429">
        <v>183</v>
      </c>
    </row>
    <row r="430" spans="1:30" ht="17" x14ac:dyDescent="0.25">
      <c r="A430" s="1" t="s">
        <v>432</v>
      </c>
      <c r="B430" s="1" t="s">
        <v>3084</v>
      </c>
      <c r="C430" s="1" t="s">
        <v>1759</v>
      </c>
      <c r="D430" t="str">
        <f t="shared" si="57"/>
        <v>61E7B7</v>
      </c>
      <c r="E430" t="str">
        <f t="shared" si="58"/>
        <v>97-231-183</v>
      </c>
      <c r="F430" t="str">
        <f t="shared" si="59"/>
        <v>97231183</v>
      </c>
      <c r="G430">
        <f t="shared" si="60"/>
        <v>97</v>
      </c>
      <c r="H430">
        <f t="shared" si="61"/>
        <v>231</v>
      </c>
      <c r="I430">
        <f t="shared" si="62"/>
        <v>183</v>
      </c>
      <c r="J430" t="str">
        <f t="shared" si="54"/>
        <v>COAa1",</v>
      </c>
      <c r="K430" t="str">
        <f t="shared" si="54"/>
        <v>Cortical amygdalar area, anterior part, layer 1",</v>
      </c>
      <c r="L430" t="str">
        <f t="shared" si="55"/>
        <v>COAa1</v>
      </c>
      <c r="M430" t="str">
        <f t="shared" si="55"/>
        <v>Cortical amygdalar area, anterior part, layer 1</v>
      </c>
      <c r="N430" t="s">
        <v>5328</v>
      </c>
      <c r="O430" t="s">
        <v>5329</v>
      </c>
      <c r="Q430" s="6">
        <v>659</v>
      </c>
      <c r="R430" s="6">
        <v>1072</v>
      </c>
      <c r="S430" s="6" t="s">
        <v>5781</v>
      </c>
      <c r="T430" s="6" t="s">
        <v>5780</v>
      </c>
      <c r="U430" s="6">
        <v>475</v>
      </c>
      <c r="V430" s="6">
        <v>8</v>
      </c>
      <c r="W430" s="6" t="s">
        <v>7678</v>
      </c>
      <c r="Y430" t="s">
        <v>5328</v>
      </c>
      <c r="Z430" t="s">
        <v>5329</v>
      </c>
      <c r="AA430" s="6" t="str">
        <f t="shared" si="56"/>
        <v/>
      </c>
      <c r="AB430">
        <v>97</v>
      </c>
      <c r="AC430">
        <v>231</v>
      </c>
      <c r="AD430">
        <v>183</v>
      </c>
    </row>
    <row r="431" spans="1:30" ht="17" x14ac:dyDescent="0.25">
      <c r="A431" s="1" t="s">
        <v>433</v>
      </c>
      <c r="B431" s="1" t="s">
        <v>3085</v>
      </c>
      <c r="C431" s="1" t="s">
        <v>1760</v>
      </c>
      <c r="D431" t="str">
        <f t="shared" si="57"/>
        <v>61E7B6</v>
      </c>
      <c r="E431" t="str">
        <f t="shared" si="58"/>
        <v>97-231-182</v>
      </c>
      <c r="F431" t="str">
        <f t="shared" si="59"/>
        <v>97231182</v>
      </c>
      <c r="G431">
        <f t="shared" si="60"/>
        <v>97</v>
      </c>
      <c r="H431">
        <f t="shared" si="61"/>
        <v>231</v>
      </c>
      <c r="I431">
        <f t="shared" si="62"/>
        <v>182</v>
      </c>
      <c r="J431" t="str">
        <f t="shared" si="54"/>
        <v>COAa2",</v>
      </c>
      <c r="K431" t="str">
        <f t="shared" si="54"/>
        <v>Cortical amygdalar area, anterior part, layer 2",</v>
      </c>
      <c r="L431" t="str">
        <f t="shared" si="55"/>
        <v>COAa2</v>
      </c>
      <c r="M431" t="str">
        <f t="shared" si="55"/>
        <v>Cortical amygdalar area, anterior part, layer 2</v>
      </c>
      <c r="N431" t="s">
        <v>5330</v>
      </c>
      <c r="O431" t="s">
        <v>5331</v>
      </c>
      <c r="Q431" s="6">
        <v>660</v>
      </c>
      <c r="R431" s="6">
        <v>1079</v>
      </c>
      <c r="S431" s="6" t="s">
        <v>5783</v>
      </c>
      <c r="T431" s="6" t="s">
        <v>5782</v>
      </c>
      <c r="U431" s="6">
        <v>475</v>
      </c>
      <c r="V431" s="6">
        <v>8</v>
      </c>
      <c r="W431" s="6" t="s">
        <v>7679</v>
      </c>
      <c r="Y431" t="s">
        <v>5330</v>
      </c>
      <c r="Z431" t="s">
        <v>5331</v>
      </c>
      <c r="AA431" s="6" t="str">
        <f t="shared" si="56"/>
        <v/>
      </c>
      <c r="AB431">
        <v>97</v>
      </c>
      <c r="AC431">
        <v>231</v>
      </c>
      <c r="AD431">
        <v>182</v>
      </c>
    </row>
    <row r="432" spans="1:30" ht="17" x14ac:dyDescent="0.25">
      <c r="A432" s="1" t="s">
        <v>434</v>
      </c>
      <c r="B432" s="1" t="s">
        <v>3086</v>
      </c>
      <c r="C432" s="1" t="s">
        <v>1761</v>
      </c>
      <c r="D432" t="str">
        <f t="shared" si="57"/>
        <v>61E6B7</v>
      </c>
      <c r="E432" t="str">
        <f t="shared" si="58"/>
        <v>97-230-183</v>
      </c>
      <c r="F432" t="str">
        <f t="shared" si="59"/>
        <v>97230183</v>
      </c>
      <c r="G432">
        <f t="shared" si="60"/>
        <v>97</v>
      </c>
      <c r="H432">
        <f t="shared" si="61"/>
        <v>230</v>
      </c>
      <c r="I432">
        <f t="shared" si="62"/>
        <v>183</v>
      </c>
      <c r="J432" t="str">
        <f t="shared" si="54"/>
        <v>COAa3",</v>
      </c>
      <c r="K432" t="str">
        <f t="shared" si="54"/>
        <v>Cortical amygdalar area, anterior part, layer 3",</v>
      </c>
      <c r="L432" t="str">
        <f t="shared" si="55"/>
        <v>COAa3</v>
      </c>
      <c r="M432" t="str">
        <f t="shared" si="55"/>
        <v>Cortical amygdalar area, anterior part, layer 3</v>
      </c>
      <c r="N432" t="s">
        <v>5332</v>
      </c>
      <c r="O432" t="s">
        <v>5333</v>
      </c>
      <c r="Q432" s="6">
        <v>661</v>
      </c>
      <c r="R432" s="6">
        <v>1088</v>
      </c>
      <c r="S432" s="6" t="s">
        <v>5785</v>
      </c>
      <c r="T432" s="6" t="s">
        <v>5784</v>
      </c>
      <c r="U432" s="6">
        <v>475</v>
      </c>
      <c r="V432" s="6">
        <v>8</v>
      </c>
      <c r="W432" s="6" t="s">
        <v>7680</v>
      </c>
      <c r="Y432" t="s">
        <v>5332</v>
      </c>
      <c r="Z432" t="s">
        <v>5333</v>
      </c>
      <c r="AA432" s="6" t="str">
        <f t="shared" si="56"/>
        <v/>
      </c>
      <c r="AB432">
        <v>97</v>
      </c>
      <c r="AC432">
        <v>230</v>
      </c>
      <c r="AD432">
        <v>183</v>
      </c>
    </row>
    <row r="433" spans="1:30" ht="17" x14ac:dyDescent="0.25">
      <c r="A433" s="1" t="s">
        <v>435</v>
      </c>
      <c r="B433" s="1" t="s">
        <v>3087</v>
      </c>
      <c r="C433" s="1" t="s">
        <v>1762</v>
      </c>
      <c r="D433" t="str">
        <f t="shared" si="57"/>
        <v>5FE7B6</v>
      </c>
      <c r="E433" t="str">
        <f t="shared" si="58"/>
        <v>95-231-182</v>
      </c>
      <c r="F433" t="str">
        <f t="shared" si="59"/>
        <v>95231182</v>
      </c>
      <c r="G433">
        <f t="shared" si="60"/>
        <v>95</v>
      </c>
      <c r="H433">
        <f t="shared" si="61"/>
        <v>231</v>
      </c>
      <c r="I433">
        <f t="shared" si="62"/>
        <v>182</v>
      </c>
      <c r="J433" t="str">
        <f t="shared" si="54"/>
        <v>COAp",</v>
      </c>
      <c r="K433" t="str">
        <f t="shared" si="54"/>
        <v>Cortical amygdalar area, posterior part",</v>
      </c>
      <c r="L433" t="str">
        <f t="shared" si="55"/>
        <v>COAp</v>
      </c>
      <c r="M433" t="str">
        <f t="shared" si="55"/>
        <v>Cortical amygdalar area, posterior part</v>
      </c>
      <c r="N433" t="s">
        <v>5334</v>
      </c>
      <c r="O433" t="s">
        <v>5335</v>
      </c>
      <c r="Q433" s="6">
        <v>662</v>
      </c>
      <c r="R433" s="6">
        <v>170</v>
      </c>
      <c r="S433" s="6" t="s">
        <v>5787</v>
      </c>
      <c r="T433" s="6" t="s">
        <v>5786</v>
      </c>
      <c r="U433" s="6">
        <v>1008</v>
      </c>
      <c r="V433" s="6">
        <v>7</v>
      </c>
      <c r="W433" s="6" t="s">
        <v>7681</v>
      </c>
      <c r="Y433" t="s">
        <v>5334</v>
      </c>
      <c r="Z433" t="s">
        <v>5335</v>
      </c>
      <c r="AA433" s="6">
        <f t="shared" si="56"/>
        <v>647</v>
      </c>
      <c r="AB433">
        <v>95</v>
      </c>
      <c r="AC433">
        <v>231</v>
      </c>
      <c r="AD433">
        <v>182</v>
      </c>
    </row>
    <row r="434" spans="1:30" ht="17" x14ac:dyDescent="0.25">
      <c r="A434" s="1" t="s">
        <v>436</v>
      </c>
      <c r="B434" s="1" t="s">
        <v>3088</v>
      </c>
      <c r="C434" s="1" t="s">
        <v>1763</v>
      </c>
      <c r="D434" t="str">
        <f t="shared" si="57"/>
        <v>5FE6B7</v>
      </c>
      <c r="E434" t="str">
        <f t="shared" si="58"/>
        <v>95-230-183</v>
      </c>
      <c r="F434" t="str">
        <f t="shared" si="59"/>
        <v>95230183</v>
      </c>
      <c r="G434">
        <f t="shared" si="60"/>
        <v>95</v>
      </c>
      <c r="H434">
        <f t="shared" si="61"/>
        <v>230</v>
      </c>
      <c r="I434">
        <f t="shared" si="62"/>
        <v>183</v>
      </c>
      <c r="J434" t="str">
        <f t="shared" si="54"/>
        <v>COApl",</v>
      </c>
      <c r="K434" t="str">
        <f t="shared" si="54"/>
        <v>Cortical amygdalar area, posterior part, lateral zone",</v>
      </c>
      <c r="L434" t="str">
        <f t="shared" si="55"/>
        <v>COApl</v>
      </c>
      <c r="M434" t="str">
        <f t="shared" si="55"/>
        <v>Cortical amygdalar area, posterior part, lateral zone</v>
      </c>
      <c r="N434" t="s">
        <v>5336</v>
      </c>
      <c r="O434" t="s">
        <v>5337</v>
      </c>
      <c r="Q434" s="6">
        <v>663</v>
      </c>
      <c r="R434" s="6">
        <v>549</v>
      </c>
      <c r="S434" s="6" t="s">
        <v>5789</v>
      </c>
      <c r="T434" s="6" t="s">
        <v>5788</v>
      </c>
      <c r="U434" s="6">
        <v>170</v>
      </c>
      <c r="V434" s="6">
        <v>8</v>
      </c>
      <c r="W434" s="6" t="s">
        <v>8091</v>
      </c>
      <c r="Y434" t="s">
        <v>5336</v>
      </c>
      <c r="Z434" t="s">
        <v>5337</v>
      </c>
      <c r="AA434" s="6">
        <f t="shared" si="56"/>
        <v>655</v>
      </c>
      <c r="AB434">
        <v>95</v>
      </c>
      <c r="AC434">
        <v>230</v>
      </c>
      <c r="AD434">
        <v>183</v>
      </c>
    </row>
    <row r="435" spans="1:30" ht="17" x14ac:dyDescent="0.25">
      <c r="A435" s="1" t="s">
        <v>437</v>
      </c>
      <c r="B435" s="1" t="s">
        <v>3089</v>
      </c>
      <c r="C435" s="1" t="s">
        <v>1764</v>
      </c>
      <c r="D435" t="str">
        <f t="shared" si="57"/>
        <v>61E6B5</v>
      </c>
      <c r="E435" t="str">
        <f t="shared" si="58"/>
        <v>97-230-181</v>
      </c>
      <c r="F435" t="str">
        <f t="shared" si="59"/>
        <v>97230181</v>
      </c>
      <c r="G435">
        <f t="shared" si="60"/>
        <v>97</v>
      </c>
      <c r="H435">
        <f t="shared" si="61"/>
        <v>230</v>
      </c>
      <c r="I435">
        <f t="shared" si="62"/>
        <v>181</v>
      </c>
      <c r="J435" t="str">
        <f t="shared" si="54"/>
        <v>COApl1-2",</v>
      </c>
      <c r="K435" t="str">
        <f t="shared" si="54"/>
        <v>Cortical amygdalar area, posterior part, lateral zone, layers 1-2",</v>
      </c>
      <c r="L435" t="str">
        <f t="shared" si="55"/>
        <v>COApl1-2</v>
      </c>
      <c r="M435" t="str">
        <f t="shared" si="55"/>
        <v>Cortical amygdalar area, posterior part, lateral zone, layers 1-2</v>
      </c>
      <c r="N435" t="s">
        <v>5338</v>
      </c>
      <c r="O435" t="s">
        <v>5339</v>
      </c>
      <c r="Q435" s="6">
        <v>664</v>
      </c>
      <c r="R435" s="6">
        <v>496345668</v>
      </c>
      <c r="S435" s="6" t="s">
        <v>5791</v>
      </c>
      <c r="T435" s="6" t="s">
        <v>5790</v>
      </c>
      <c r="U435" s="6">
        <v>170</v>
      </c>
      <c r="V435" s="6">
        <v>8</v>
      </c>
      <c r="W435" s="6" t="s">
        <v>7682</v>
      </c>
      <c r="Y435" t="s">
        <v>5338</v>
      </c>
      <c r="Z435" t="s">
        <v>5339</v>
      </c>
      <c r="AA435" s="6" t="str">
        <f t="shared" si="56"/>
        <v/>
      </c>
      <c r="AB435">
        <v>97</v>
      </c>
      <c r="AC435">
        <v>230</v>
      </c>
      <c r="AD435">
        <v>181</v>
      </c>
    </row>
    <row r="436" spans="1:30" ht="17" x14ac:dyDescent="0.25">
      <c r="A436" s="1" t="s">
        <v>438</v>
      </c>
      <c r="B436" s="1" t="s">
        <v>3090</v>
      </c>
      <c r="C436" s="1" t="s">
        <v>1765</v>
      </c>
      <c r="D436" t="str">
        <f t="shared" si="57"/>
        <v>61E5B7</v>
      </c>
      <c r="E436" t="str">
        <f t="shared" si="58"/>
        <v>97-229-183</v>
      </c>
      <c r="F436" t="str">
        <f t="shared" si="59"/>
        <v>97229183</v>
      </c>
      <c r="G436">
        <f t="shared" si="60"/>
        <v>97</v>
      </c>
      <c r="H436">
        <f t="shared" si="61"/>
        <v>229</v>
      </c>
      <c r="I436">
        <f t="shared" si="62"/>
        <v>183</v>
      </c>
      <c r="J436" t="str">
        <f t="shared" si="54"/>
        <v>COApl1-3",</v>
      </c>
      <c r="K436" t="str">
        <f t="shared" si="54"/>
        <v>Cortical amygdalar area, posterior part, lateral zone, layers 1-3",</v>
      </c>
      <c r="L436" t="str">
        <f t="shared" si="55"/>
        <v>COApl1-3</v>
      </c>
      <c r="M436" t="str">
        <f t="shared" si="55"/>
        <v>Cortical amygdalar area, posterior part, lateral zone, layers 1-3</v>
      </c>
      <c r="N436" t="s">
        <v>5340</v>
      </c>
      <c r="O436" t="s">
        <v>5341</v>
      </c>
      <c r="Q436" s="6">
        <v>665</v>
      </c>
      <c r="R436" s="6">
        <v>496345672</v>
      </c>
      <c r="S436" s="6" t="s">
        <v>5793</v>
      </c>
      <c r="T436" s="6" t="s">
        <v>5792</v>
      </c>
      <c r="U436" s="6">
        <v>170</v>
      </c>
      <c r="V436" s="6">
        <v>8</v>
      </c>
      <c r="W436" s="6" t="s">
        <v>7683</v>
      </c>
      <c r="Y436" t="s">
        <v>5340</v>
      </c>
      <c r="Z436" t="s">
        <v>5341</v>
      </c>
      <c r="AA436" s="6" t="str">
        <f t="shared" si="56"/>
        <v/>
      </c>
      <c r="AB436">
        <v>97</v>
      </c>
      <c r="AC436">
        <v>229</v>
      </c>
      <c r="AD436">
        <v>183</v>
      </c>
    </row>
    <row r="437" spans="1:30" ht="17" x14ac:dyDescent="0.25">
      <c r="A437" s="1" t="s">
        <v>439</v>
      </c>
      <c r="B437" s="1" t="s">
        <v>3091</v>
      </c>
      <c r="C437" s="1" t="s">
        <v>1766</v>
      </c>
      <c r="D437" t="str">
        <f t="shared" si="57"/>
        <v>60E7B7</v>
      </c>
      <c r="E437" t="str">
        <f t="shared" si="58"/>
        <v>96-231-183</v>
      </c>
      <c r="F437" t="str">
        <f t="shared" si="59"/>
        <v>96231183</v>
      </c>
      <c r="G437">
        <f t="shared" si="60"/>
        <v>96</v>
      </c>
      <c r="H437">
        <f t="shared" si="61"/>
        <v>231</v>
      </c>
      <c r="I437">
        <f t="shared" si="62"/>
        <v>183</v>
      </c>
      <c r="J437" t="str">
        <f t="shared" si="54"/>
        <v>COApl1",</v>
      </c>
      <c r="K437" t="str">
        <f t="shared" si="54"/>
        <v>Cortical amygdalar area, posterior part, lateral zone, layer 1",</v>
      </c>
      <c r="L437" t="str">
        <f t="shared" si="55"/>
        <v>COApl1</v>
      </c>
      <c r="M437" t="str">
        <f t="shared" si="55"/>
        <v>Cortical amygdalar area, posterior part, lateral zone, layer 1</v>
      </c>
      <c r="N437" t="s">
        <v>5342</v>
      </c>
      <c r="O437" t="s">
        <v>5343</v>
      </c>
      <c r="Q437" s="6">
        <v>666</v>
      </c>
      <c r="R437" s="6">
        <v>856</v>
      </c>
      <c r="S437" s="6" t="s">
        <v>5795</v>
      </c>
      <c r="T437" s="6" t="s">
        <v>5794</v>
      </c>
      <c r="U437" s="6">
        <v>549</v>
      </c>
      <c r="V437" s="6">
        <v>5</v>
      </c>
      <c r="W437" s="6" t="s">
        <v>7684</v>
      </c>
      <c r="Y437" t="s">
        <v>5342</v>
      </c>
      <c r="Z437" t="s">
        <v>5343</v>
      </c>
      <c r="AA437" s="6" t="str">
        <f t="shared" si="56"/>
        <v/>
      </c>
      <c r="AB437">
        <v>96</v>
      </c>
      <c r="AC437">
        <v>231</v>
      </c>
      <c r="AD437">
        <v>183</v>
      </c>
    </row>
    <row r="438" spans="1:30" ht="17" x14ac:dyDescent="0.25">
      <c r="A438" s="1" t="s">
        <v>440</v>
      </c>
      <c r="B438" s="1" t="s">
        <v>3092</v>
      </c>
      <c r="C438" s="1" t="s">
        <v>1767</v>
      </c>
      <c r="D438" t="str">
        <f t="shared" si="57"/>
        <v>61E6B6</v>
      </c>
      <c r="E438" t="str">
        <f t="shared" si="58"/>
        <v>97-230-182</v>
      </c>
      <c r="F438" t="str">
        <f t="shared" si="59"/>
        <v>97230182</v>
      </c>
      <c r="G438">
        <f t="shared" si="60"/>
        <v>97</v>
      </c>
      <c r="H438">
        <f t="shared" si="61"/>
        <v>230</v>
      </c>
      <c r="I438">
        <f t="shared" si="62"/>
        <v>182</v>
      </c>
      <c r="J438" t="str">
        <f t="shared" si="54"/>
        <v>COApl2",</v>
      </c>
      <c r="K438" t="str">
        <f t="shared" si="54"/>
        <v>Cortical amygdalar area, posterior part, lateral zone, layer 2",</v>
      </c>
      <c r="L438" t="str">
        <f t="shared" si="55"/>
        <v>COApl2</v>
      </c>
      <c r="M438" t="str">
        <f t="shared" si="55"/>
        <v>Cortical amygdalar area, posterior part, lateral zone, layer 2</v>
      </c>
      <c r="N438" t="s">
        <v>5344</v>
      </c>
      <c r="O438" t="s">
        <v>5345</v>
      </c>
      <c r="Q438" s="6">
        <v>667</v>
      </c>
      <c r="R438" s="6">
        <v>138</v>
      </c>
      <c r="S438" s="6" t="s">
        <v>5797</v>
      </c>
      <c r="T438" s="6" t="s">
        <v>5796</v>
      </c>
      <c r="U438" s="6">
        <v>856</v>
      </c>
      <c r="V438" s="6">
        <v>6</v>
      </c>
      <c r="W438" s="6" t="s">
        <v>7685</v>
      </c>
      <c r="Y438" t="s">
        <v>5344</v>
      </c>
      <c r="Z438" t="s">
        <v>5345</v>
      </c>
      <c r="AA438" s="6" t="str">
        <f t="shared" si="56"/>
        <v/>
      </c>
      <c r="AB438">
        <v>97</v>
      </c>
      <c r="AC438">
        <v>230</v>
      </c>
      <c r="AD438">
        <v>182</v>
      </c>
    </row>
    <row r="439" spans="1:30" ht="17" x14ac:dyDescent="0.25">
      <c r="A439" s="1" t="s">
        <v>441</v>
      </c>
      <c r="B439" s="1" t="s">
        <v>3093</v>
      </c>
      <c r="C439" s="1" t="s">
        <v>1768</v>
      </c>
      <c r="D439" t="str">
        <f t="shared" si="57"/>
        <v>60E7B6</v>
      </c>
      <c r="E439" t="str">
        <f t="shared" si="58"/>
        <v>96-231-182</v>
      </c>
      <c r="F439" t="str">
        <f t="shared" si="59"/>
        <v>96231182</v>
      </c>
      <c r="G439">
        <f t="shared" si="60"/>
        <v>96</v>
      </c>
      <c r="H439">
        <f t="shared" si="61"/>
        <v>231</v>
      </c>
      <c r="I439">
        <f t="shared" si="62"/>
        <v>182</v>
      </c>
      <c r="J439" t="str">
        <f t="shared" si="54"/>
        <v>COApl3",</v>
      </c>
      <c r="K439" t="str">
        <f t="shared" si="54"/>
        <v>Cortical amygdalar area, posterior part, lateral zone, layer 3",</v>
      </c>
      <c r="L439" t="str">
        <f t="shared" si="55"/>
        <v>COApl3</v>
      </c>
      <c r="M439" t="str">
        <f t="shared" si="55"/>
        <v>Cortical amygdalar area, posterior part, lateral zone, layer 3</v>
      </c>
      <c r="N439" t="s">
        <v>5346</v>
      </c>
      <c r="O439" t="s">
        <v>5347</v>
      </c>
      <c r="Q439" s="6">
        <v>668</v>
      </c>
      <c r="R439" s="6">
        <v>218</v>
      </c>
      <c r="S439" s="6" t="s">
        <v>5799</v>
      </c>
      <c r="T439" s="6" t="s">
        <v>5798</v>
      </c>
      <c r="U439" s="6">
        <v>138</v>
      </c>
      <c r="V439" s="6">
        <v>7</v>
      </c>
      <c r="W439" s="6" t="s">
        <v>7686</v>
      </c>
      <c r="Y439" t="s">
        <v>5346</v>
      </c>
      <c r="Z439" t="s">
        <v>5347</v>
      </c>
      <c r="AA439" s="6" t="str">
        <f t="shared" si="56"/>
        <v/>
      </c>
      <c r="AB439">
        <v>96</v>
      </c>
      <c r="AC439">
        <v>231</v>
      </c>
      <c r="AD439">
        <v>182</v>
      </c>
    </row>
    <row r="440" spans="1:30" ht="17" x14ac:dyDescent="0.25">
      <c r="A440" s="1" t="s">
        <v>442</v>
      </c>
      <c r="B440" s="1" t="s">
        <v>3094</v>
      </c>
      <c r="C440" s="1" t="s">
        <v>1769</v>
      </c>
      <c r="D440" t="str">
        <f t="shared" si="57"/>
        <v>60E6B5</v>
      </c>
      <c r="E440" t="str">
        <f t="shared" si="58"/>
        <v>96-230-181</v>
      </c>
      <c r="F440" t="str">
        <f t="shared" si="59"/>
        <v>96230181</v>
      </c>
      <c r="G440">
        <f t="shared" si="60"/>
        <v>96</v>
      </c>
      <c r="H440">
        <f t="shared" si="61"/>
        <v>230</v>
      </c>
      <c r="I440">
        <f t="shared" si="62"/>
        <v>181</v>
      </c>
      <c r="J440" t="str">
        <f t="shared" si="54"/>
        <v>COApm",</v>
      </c>
      <c r="K440" t="str">
        <f t="shared" si="54"/>
        <v>Cortical amygdalar area, posterior part, medial zone",</v>
      </c>
      <c r="L440" t="str">
        <f t="shared" si="55"/>
        <v>COApm</v>
      </c>
      <c r="M440" t="str">
        <f t="shared" si="55"/>
        <v>Cortical amygdalar area, posterior part, medial zone</v>
      </c>
      <c r="N440" t="s">
        <v>5348</v>
      </c>
      <c r="O440" t="s">
        <v>5349</v>
      </c>
      <c r="Q440" s="6">
        <v>669</v>
      </c>
      <c r="R440" s="6">
        <v>1020</v>
      </c>
      <c r="S440" s="6" t="s">
        <v>5801</v>
      </c>
      <c r="T440" s="6" t="s">
        <v>5800</v>
      </c>
      <c r="U440" s="6">
        <v>138</v>
      </c>
      <c r="V440" s="6">
        <v>7</v>
      </c>
      <c r="W440" s="6" t="s">
        <v>7687</v>
      </c>
      <c r="Y440" t="s">
        <v>5348</v>
      </c>
      <c r="Z440" t="s">
        <v>5349</v>
      </c>
      <c r="AA440" s="6">
        <f t="shared" si="56"/>
        <v>663</v>
      </c>
      <c r="AB440">
        <v>96</v>
      </c>
      <c r="AC440">
        <v>230</v>
      </c>
      <c r="AD440">
        <v>181</v>
      </c>
    </row>
    <row r="441" spans="1:30" ht="17" x14ac:dyDescent="0.25">
      <c r="A441" s="1" t="s">
        <v>443</v>
      </c>
      <c r="B441" s="1" t="s">
        <v>3095</v>
      </c>
      <c r="C441" s="1" t="s">
        <v>1770</v>
      </c>
      <c r="D441" t="str">
        <f t="shared" si="57"/>
        <v>61E5B6</v>
      </c>
      <c r="E441" t="str">
        <f t="shared" si="58"/>
        <v>97-229-182</v>
      </c>
      <c r="F441" t="str">
        <f t="shared" si="59"/>
        <v>97229182</v>
      </c>
      <c r="G441">
        <f t="shared" si="60"/>
        <v>97</v>
      </c>
      <c r="H441">
        <f t="shared" si="61"/>
        <v>229</v>
      </c>
      <c r="I441">
        <f t="shared" si="62"/>
        <v>182</v>
      </c>
      <c r="J441" t="str">
        <f t="shared" si="54"/>
        <v>COApm1-2",</v>
      </c>
      <c r="K441" t="str">
        <f t="shared" si="54"/>
        <v>Cortical amygdalar area, posterior part, medial zone, layers 1-2",</v>
      </c>
      <c r="L441" t="str">
        <f t="shared" si="55"/>
        <v>COApm1-2</v>
      </c>
      <c r="M441" t="str">
        <f t="shared" si="55"/>
        <v>Cortical amygdalar area, posterior part, medial zone, layers 1-2</v>
      </c>
      <c r="N441" t="s">
        <v>5350</v>
      </c>
      <c r="O441" t="s">
        <v>5351</v>
      </c>
      <c r="Q441" s="6">
        <v>670</v>
      </c>
      <c r="R441" s="6">
        <v>1029</v>
      </c>
      <c r="S441" s="6" t="s">
        <v>5803</v>
      </c>
      <c r="T441" s="6" t="s">
        <v>5802</v>
      </c>
      <c r="U441" s="6">
        <v>138</v>
      </c>
      <c r="V441" s="6">
        <v>7</v>
      </c>
      <c r="W441" s="6" t="s">
        <v>7688</v>
      </c>
      <c r="Y441" t="s">
        <v>5350</v>
      </c>
      <c r="Z441" t="s">
        <v>5351</v>
      </c>
      <c r="AA441" s="6" t="str">
        <f t="shared" si="56"/>
        <v/>
      </c>
      <c r="AB441">
        <v>97</v>
      </c>
      <c r="AC441">
        <v>229</v>
      </c>
      <c r="AD441">
        <v>182</v>
      </c>
    </row>
    <row r="442" spans="1:30" ht="17" x14ac:dyDescent="0.25">
      <c r="A442" s="1" t="s">
        <v>444</v>
      </c>
      <c r="B442" s="1" t="s">
        <v>3096</v>
      </c>
      <c r="C442" s="1" t="s">
        <v>1771</v>
      </c>
      <c r="D442" t="str">
        <f t="shared" si="57"/>
        <v>5FE7B7</v>
      </c>
      <c r="E442" t="str">
        <f t="shared" si="58"/>
        <v>95-231-183</v>
      </c>
      <c r="F442" t="str">
        <f t="shared" si="59"/>
        <v>95231183</v>
      </c>
      <c r="G442">
        <f t="shared" si="60"/>
        <v>95</v>
      </c>
      <c r="H442">
        <f t="shared" si="61"/>
        <v>231</v>
      </c>
      <c r="I442">
        <f t="shared" si="62"/>
        <v>183</v>
      </c>
      <c r="J442" t="str">
        <f t="shared" si="54"/>
        <v>COApm1-3",</v>
      </c>
      <c r="K442" t="str">
        <f t="shared" si="54"/>
        <v>Cortical amygdalar area, posterior part, medial zone, layers 1-3",</v>
      </c>
      <c r="L442" t="str">
        <f t="shared" si="55"/>
        <v>COApm1-3</v>
      </c>
      <c r="M442" t="str">
        <f t="shared" si="55"/>
        <v>Cortical amygdalar area, posterior part, medial zone, layers 1-3</v>
      </c>
      <c r="N442" t="s">
        <v>5352</v>
      </c>
      <c r="O442" t="s">
        <v>5353</v>
      </c>
      <c r="Q442" s="6">
        <v>671</v>
      </c>
      <c r="R442" s="6">
        <v>325</v>
      </c>
      <c r="S442" s="6" t="s">
        <v>5805</v>
      </c>
      <c r="T442" s="6" t="s">
        <v>5804</v>
      </c>
      <c r="U442" s="6">
        <v>138</v>
      </c>
      <c r="V442" s="6">
        <v>7</v>
      </c>
      <c r="W442" s="6" t="s">
        <v>7689</v>
      </c>
      <c r="Y442" t="s">
        <v>5352</v>
      </c>
      <c r="Z442" t="s">
        <v>5353</v>
      </c>
      <c r="AA442" s="6" t="str">
        <f t="shared" si="56"/>
        <v/>
      </c>
      <c r="AB442">
        <v>95</v>
      </c>
      <c r="AC442">
        <v>231</v>
      </c>
      <c r="AD442">
        <v>183</v>
      </c>
    </row>
    <row r="443" spans="1:30" ht="17" x14ac:dyDescent="0.25">
      <c r="A443" s="1" t="s">
        <v>445</v>
      </c>
      <c r="B443" s="1" t="s">
        <v>3097</v>
      </c>
      <c r="C443" s="1" t="s">
        <v>1772</v>
      </c>
      <c r="D443" t="str">
        <f t="shared" si="57"/>
        <v>60E6B7</v>
      </c>
      <c r="E443" t="str">
        <f t="shared" si="58"/>
        <v>96-230-183</v>
      </c>
      <c r="F443" t="str">
        <f t="shared" si="59"/>
        <v>96230183</v>
      </c>
      <c r="G443">
        <f t="shared" si="60"/>
        <v>96</v>
      </c>
      <c r="H443">
        <f t="shared" si="61"/>
        <v>230</v>
      </c>
      <c r="I443">
        <f t="shared" si="62"/>
        <v>183</v>
      </c>
      <c r="J443" t="str">
        <f t="shared" si="54"/>
        <v>COApm1",</v>
      </c>
      <c r="K443" t="str">
        <f t="shared" si="54"/>
        <v>Cortical amygdalar area, posterior part, medial zone, layer 1",</v>
      </c>
      <c r="L443" t="str">
        <f t="shared" si="55"/>
        <v>COApm1</v>
      </c>
      <c r="M443" t="str">
        <f t="shared" si="55"/>
        <v>Cortical amygdalar area, posterior part, medial zone, layer 1</v>
      </c>
      <c r="N443" t="s">
        <v>5354</v>
      </c>
      <c r="O443" t="s">
        <v>5355</v>
      </c>
      <c r="Q443" s="6">
        <v>672</v>
      </c>
      <c r="R443" s="6">
        <v>560581551</v>
      </c>
      <c r="S443" s="6" t="s">
        <v>5807</v>
      </c>
      <c r="T443" s="6" t="s">
        <v>5806</v>
      </c>
      <c r="U443" s="6">
        <v>138</v>
      </c>
      <c r="V443" s="6">
        <v>7</v>
      </c>
      <c r="W443" s="6" t="s">
        <v>7690</v>
      </c>
      <c r="Y443" t="s">
        <v>5354</v>
      </c>
      <c r="Z443" t="s">
        <v>5355</v>
      </c>
      <c r="AA443" s="6" t="str">
        <f t="shared" si="56"/>
        <v/>
      </c>
      <c r="AB443">
        <v>96</v>
      </c>
      <c r="AC443">
        <v>230</v>
      </c>
      <c r="AD443">
        <v>183</v>
      </c>
    </row>
    <row r="444" spans="1:30" ht="17" x14ac:dyDescent="0.25">
      <c r="A444" s="1" t="s">
        <v>446</v>
      </c>
      <c r="B444" s="1" t="s">
        <v>3098</v>
      </c>
      <c r="C444" s="1" t="s">
        <v>1773</v>
      </c>
      <c r="D444" t="str">
        <f t="shared" si="57"/>
        <v>60E6B6</v>
      </c>
      <c r="E444" t="str">
        <f t="shared" si="58"/>
        <v>96-230-182</v>
      </c>
      <c r="F444" t="str">
        <f t="shared" si="59"/>
        <v>96230182</v>
      </c>
      <c r="G444">
        <f t="shared" si="60"/>
        <v>96</v>
      </c>
      <c r="H444">
        <f t="shared" si="61"/>
        <v>230</v>
      </c>
      <c r="I444">
        <f t="shared" si="62"/>
        <v>182</v>
      </c>
      <c r="J444" t="str">
        <f t="shared" si="54"/>
        <v>COApm2",</v>
      </c>
      <c r="K444" t="str">
        <f t="shared" si="54"/>
        <v>Cortical amygdalar area, posterior part, medial zone, layer 2",</v>
      </c>
      <c r="L444" t="str">
        <f t="shared" si="55"/>
        <v>COApm2</v>
      </c>
      <c r="M444" t="str">
        <f t="shared" si="55"/>
        <v>Cortical amygdalar area, posterior part, medial zone, layer 2</v>
      </c>
      <c r="N444" t="s">
        <v>5356</v>
      </c>
      <c r="O444" t="s">
        <v>5357</v>
      </c>
      <c r="Q444" s="6">
        <v>674</v>
      </c>
      <c r="R444" s="6">
        <v>239</v>
      </c>
      <c r="S444" s="6" t="s">
        <v>5811</v>
      </c>
      <c r="T444" s="6" t="s">
        <v>5810</v>
      </c>
      <c r="U444" s="6">
        <v>856</v>
      </c>
      <c r="V444" s="6">
        <v>6</v>
      </c>
      <c r="W444" s="6" t="s">
        <v>7691</v>
      </c>
      <c r="Y444" t="s">
        <v>5356</v>
      </c>
      <c r="Z444" t="s">
        <v>5357</v>
      </c>
      <c r="AA444" s="6" t="str">
        <f t="shared" si="56"/>
        <v/>
      </c>
      <c r="AB444">
        <v>96</v>
      </c>
      <c r="AC444">
        <v>230</v>
      </c>
      <c r="AD444">
        <v>182</v>
      </c>
    </row>
    <row r="445" spans="1:30" ht="17" x14ac:dyDescent="0.25">
      <c r="A445" s="1" t="s">
        <v>447</v>
      </c>
      <c r="B445" s="1" t="s">
        <v>3099</v>
      </c>
      <c r="C445" s="1" t="s">
        <v>1774</v>
      </c>
      <c r="D445" t="str">
        <f t="shared" si="57"/>
        <v>61E7B5</v>
      </c>
      <c r="E445" t="str">
        <f t="shared" si="58"/>
        <v>97-231-181</v>
      </c>
      <c r="F445" t="str">
        <f t="shared" si="59"/>
        <v>97231181</v>
      </c>
      <c r="G445">
        <f t="shared" si="60"/>
        <v>97</v>
      </c>
      <c r="H445">
        <f t="shared" si="61"/>
        <v>231</v>
      </c>
      <c r="I445">
        <f t="shared" si="62"/>
        <v>181</v>
      </c>
      <c r="J445" t="str">
        <f t="shared" si="54"/>
        <v>COApm3",</v>
      </c>
      <c r="K445" t="str">
        <f t="shared" si="54"/>
        <v>Cortical amygdalar area, posterior part, medial zone, layer 3",</v>
      </c>
      <c r="L445" t="str">
        <f t="shared" si="55"/>
        <v>COApm3</v>
      </c>
      <c r="M445" t="str">
        <f t="shared" si="55"/>
        <v>Cortical amygdalar area, posterior part, medial zone, layer 3</v>
      </c>
      <c r="N445" t="s">
        <v>5358</v>
      </c>
      <c r="O445" t="s">
        <v>5359</v>
      </c>
      <c r="Q445" s="6">
        <v>675</v>
      </c>
      <c r="R445" s="6">
        <v>255</v>
      </c>
      <c r="S445" s="6" t="s">
        <v>5813</v>
      </c>
      <c r="T445" s="6" t="s">
        <v>5812</v>
      </c>
      <c r="U445" s="6">
        <v>239</v>
      </c>
      <c r="V445" s="6">
        <v>7</v>
      </c>
      <c r="W445" s="6" t="s">
        <v>7692</v>
      </c>
      <c r="Y445" t="s">
        <v>5358</v>
      </c>
      <c r="Z445" t="s">
        <v>5359</v>
      </c>
      <c r="AA445" s="6" t="str">
        <f t="shared" si="56"/>
        <v/>
      </c>
      <c r="AB445">
        <v>97</v>
      </c>
      <c r="AC445">
        <v>231</v>
      </c>
      <c r="AD445">
        <v>181</v>
      </c>
    </row>
    <row r="446" spans="1:30" ht="17" x14ac:dyDescent="0.25">
      <c r="A446" s="1" t="s">
        <v>448</v>
      </c>
      <c r="B446" s="1" t="s">
        <v>3100</v>
      </c>
      <c r="C446" s="1" t="s">
        <v>1775</v>
      </c>
      <c r="D446" t="str">
        <f t="shared" si="57"/>
        <v>59D9AA</v>
      </c>
      <c r="E446" t="str">
        <f t="shared" si="58"/>
        <v>89-217-170</v>
      </c>
      <c r="F446" t="str">
        <f t="shared" si="59"/>
        <v>89217170</v>
      </c>
      <c r="G446">
        <f t="shared" si="60"/>
        <v>89</v>
      </c>
      <c r="H446">
        <f t="shared" si="61"/>
        <v>217</v>
      </c>
      <c r="I446">
        <f t="shared" si="62"/>
        <v>170</v>
      </c>
      <c r="J446" t="str">
        <f t="shared" si="54"/>
        <v>PAA",</v>
      </c>
      <c r="K446" t="str">
        <f t="shared" si="54"/>
        <v>Piriform-amygdalar area",</v>
      </c>
      <c r="L446" t="str">
        <f t="shared" si="55"/>
        <v>PAA</v>
      </c>
      <c r="M446" t="str">
        <f t="shared" si="55"/>
        <v>Piriform-amygdalar area</v>
      </c>
      <c r="N446" t="s">
        <v>5360</v>
      </c>
      <c r="O446" t="s">
        <v>5361</v>
      </c>
      <c r="Q446" s="6">
        <v>676</v>
      </c>
      <c r="R446" s="6">
        <v>127</v>
      </c>
      <c r="S446" s="6" t="s">
        <v>5815</v>
      </c>
      <c r="T446" s="6" t="s">
        <v>5814</v>
      </c>
      <c r="U446" s="6">
        <v>239</v>
      </c>
      <c r="V446" s="6">
        <v>7</v>
      </c>
      <c r="W446" s="6" t="s">
        <v>7693</v>
      </c>
      <c r="Y446" t="s">
        <v>5360</v>
      </c>
      <c r="Z446" t="s">
        <v>5361</v>
      </c>
      <c r="AA446" s="6">
        <f t="shared" si="56"/>
        <v>788</v>
      </c>
      <c r="AB446">
        <v>89</v>
      </c>
      <c r="AC446">
        <v>217</v>
      </c>
      <c r="AD446">
        <v>170</v>
      </c>
    </row>
    <row r="447" spans="1:30" ht="17" x14ac:dyDescent="0.25">
      <c r="A447" s="1" t="s">
        <v>449</v>
      </c>
      <c r="B447" s="1" t="s">
        <v>3101</v>
      </c>
      <c r="C447" s="1" t="s">
        <v>1776</v>
      </c>
      <c r="D447" t="str">
        <f t="shared" si="57"/>
        <v>59DAAB</v>
      </c>
      <c r="E447" t="str">
        <f t="shared" si="58"/>
        <v>89-218-171</v>
      </c>
      <c r="F447" t="str">
        <f t="shared" si="59"/>
        <v>89218171</v>
      </c>
      <c r="G447">
        <f t="shared" si="60"/>
        <v>89</v>
      </c>
      <c r="H447">
        <f t="shared" si="61"/>
        <v>218</v>
      </c>
      <c r="I447">
        <f t="shared" si="62"/>
        <v>171</v>
      </c>
      <c r="J447" t="str">
        <f t="shared" si="54"/>
        <v>PAA1-3",</v>
      </c>
      <c r="K447" t="str">
        <f t="shared" si="54"/>
        <v>Piriform-amygdalar area, layers 1-3",</v>
      </c>
      <c r="L447" t="str">
        <f t="shared" si="55"/>
        <v>PAA1-3</v>
      </c>
      <c r="M447" t="str">
        <f t="shared" si="55"/>
        <v>Piriform-amygdalar area, layers 1-3</v>
      </c>
      <c r="N447" t="s">
        <v>5362</v>
      </c>
      <c r="O447" t="s">
        <v>5363</v>
      </c>
      <c r="Q447" s="6">
        <v>677</v>
      </c>
      <c r="R447" s="6">
        <v>1096</v>
      </c>
      <c r="S447" s="6" t="s">
        <v>5817</v>
      </c>
      <c r="T447" s="6" t="s">
        <v>5816</v>
      </c>
      <c r="U447" s="6">
        <v>127</v>
      </c>
      <c r="V447" s="6">
        <v>8</v>
      </c>
      <c r="W447" s="6" t="s">
        <v>7694</v>
      </c>
      <c r="Y447" t="s">
        <v>5362</v>
      </c>
      <c r="Z447" t="s">
        <v>5363</v>
      </c>
      <c r="AA447" s="6" t="str">
        <f t="shared" si="56"/>
        <v/>
      </c>
      <c r="AB447">
        <v>89</v>
      </c>
      <c r="AC447">
        <v>218</v>
      </c>
      <c r="AD447">
        <v>171</v>
      </c>
    </row>
    <row r="448" spans="1:30" ht="17" x14ac:dyDescent="0.25">
      <c r="A448" s="1" t="s">
        <v>450</v>
      </c>
      <c r="B448" s="1" t="s">
        <v>3102</v>
      </c>
      <c r="C448" s="1" t="s">
        <v>1777</v>
      </c>
      <c r="D448" t="str">
        <f t="shared" si="57"/>
        <v>59DAAA</v>
      </c>
      <c r="E448" t="str">
        <f t="shared" si="58"/>
        <v>89-218-170</v>
      </c>
      <c r="F448" t="str">
        <f t="shared" si="59"/>
        <v>89218170</v>
      </c>
      <c r="G448">
        <f t="shared" si="60"/>
        <v>89</v>
      </c>
      <c r="H448">
        <f t="shared" si="61"/>
        <v>218</v>
      </c>
      <c r="I448">
        <f t="shared" si="62"/>
        <v>170</v>
      </c>
      <c r="J448" t="str">
        <f t="shared" si="54"/>
        <v>PAA1",</v>
      </c>
      <c r="K448" t="str">
        <f t="shared" si="54"/>
        <v>Piriform-amygdalar area, molecular layer",</v>
      </c>
      <c r="L448" t="str">
        <f t="shared" si="55"/>
        <v>PAA1</v>
      </c>
      <c r="M448" t="str">
        <f t="shared" si="55"/>
        <v>Piriform-amygdalar area, molecular layer</v>
      </c>
      <c r="N448" t="s">
        <v>5364</v>
      </c>
      <c r="O448" t="s">
        <v>5365</v>
      </c>
      <c r="Q448" s="6">
        <v>678</v>
      </c>
      <c r="R448" s="6">
        <v>1104</v>
      </c>
      <c r="S448" s="6" t="s">
        <v>5819</v>
      </c>
      <c r="T448" s="6" t="s">
        <v>5818</v>
      </c>
      <c r="U448" s="6">
        <v>127</v>
      </c>
      <c r="V448" s="6">
        <v>8</v>
      </c>
      <c r="W448" s="6" t="s">
        <v>7695</v>
      </c>
      <c r="Y448" t="s">
        <v>5364</v>
      </c>
      <c r="Z448" t="s">
        <v>5365</v>
      </c>
      <c r="AA448" s="6" t="str">
        <f t="shared" si="56"/>
        <v/>
      </c>
      <c r="AB448">
        <v>89</v>
      </c>
      <c r="AC448">
        <v>218</v>
      </c>
      <c r="AD448">
        <v>170</v>
      </c>
    </row>
    <row r="449" spans="1:30" ht="17" x14ac:dyDescent="0.25">
      <c r="A449" s="1" t="s">
        <v>451</v>
      </c>
      <c r="B449" s="1" t="s">
        <v>3103</v>
      </c>
      <c r="C449" s="1" t="s">
        <v>1778</v>
      </c>
      <c r="D449" t="str">
        <f t="shared" si="57"/>
        <v>59D9AB</v>
      </c>
      <c r="E449" t="str">
        <f t="shared" si="58"/>
        <v>89-217-171</v>
      </c>
      <c r="F449" t="str">
        <f t="shared" si="59"/>
        <v>89217171</v>
      </c>
      <c r="G449">
        <f t="shared" si="60"/>
        <v>89</v>
      </c>
      <c r="H449">
        <f t="shared" si="61"/>
        <v>217</v>
      </c>
      <c r="I449">
        <f t="shared" si="62"/>
        <v>171</v>
      </c>
      <c r="J449" t="str">
        <f t="shared" si="54"/>
        <v>PAA2",</v>
      </c>
      <c r="K449" t="str">
        <f t="shared" si="54"/>
        <v>Piriform-amygdalar area, pyramidal layer",</v>
      </c>
      <c r="L449" t="str">
        <f t="shared" si="55"/>
        <v>PAA2</v>
      </c>
      <c r="M449" t="str">
        <f t="shared" si="55"/>
        <v>Piriform-amygdalar area, pyramidal layer</v>
      </c>
      <c r="N449" t="s">
        <v>5366</v>
      </c>
      <c r="O449" t="s">
        <v>5367</v>
      </c>
      <c r="Q449" s="6">
        <v>679</v>
      </c>
      <c r="R449" s="6">
        <v>64</v>
      </c>
      <c r="S449" s="6" t="s">
        <v>5821</v>
      </c>
      <c r="T449" s="6" t="s">
        <v>5820</v>
      </c>
      <c r="U449" s="6">
        <v>239</v>
      </c>
      <c r="V449" s="6">
        <v>7</v>
      </c>
      <c r="W449" s="6" t="s">
        <v>7696</v>
      </c>
      <c r="Y449" t="s">
        <v>5366</v>
      </c>
      <c r="Z449" t="s">
        <v>5367</v>
      </c>
      <c r="AA449" s="6" t="str">
        <f t="shared" si="56"/>
        <v/>
      </c>
      <c r="AB449">
        <v>89</v>
      </c>
      <c r="AC449">
        <v>217</v>
      </c>
      <c r="AD449">
        <v>171</v>
      </c>
    </row>
    <row r="450" spans="1:30" ht="17" x14ac:dyDescent="0.25">
      <c r="A450" s="1" t="s">
        <v>452</v>
      </c>
      <c r="B450" s="1" t="s">
        <v>3104</v>
      </c>
      <c r="C450" s="1" t="s">
        <v>1779</v>
      </c>
      <c r="D450" t="str">
        <f t="shared" si="57"/>
        <v>58DAAB</v>
      </c>
      <c r="E450" t="str">
        <f t="shared" si="58"/>
        <v>88-218-171</v>
      </c>
      <c r="F450" t="str">
        <f t="shared" si="59"/>
        <v>88218171</v>
      </c>
      <c r="G450">
        <f t="shared" si="60"/>
        <v>88</v>
      </c>
      <c r="H450">
        <f t="shared" si="61"/>
        <v>218</v>
      </c>
      <c r="I450">
        <f t="shared" si="62"/>
        <v>171</v>
      </c>
      <c r="J450" t="str">
        <f t="shared" si="54"/>
        <v>PAA3",</v>
      </c>
      <c r="K450" t="str">
        <f t="shared" si="54"/>
        <v>Piriform-amygdalar area, polymorph layer",</v>
      </c>
      <c r="L450" t="str">
        <f t="shared" si="55"/>
        <v>PAA3</v>
      </c>
      <c r="M450" t="str">
        <f t="shared" si="55"/>
        <v>Piriform-amygdalar area, polymorph layer</v>
      </c>
      <c r="N450" t="s">
        <v>5368</v>
      </c>
      <c r="O450" t="s">
        <v>5369</v>
      </c>
      <c r="Q450" s="6">
        <v>680</v>
      </c>
      <c r="R450" s="6">
        <v>1120</v>
      </c>
      <c r="S450" s="6" t="s">
        <v>5823</v>
      </c>
      <c r="T450" s="6" t="s">
        <v>5822</v>
      </c>
      <c r="U450" s="6">
        <v>239</v>
      </c>
      <c r="V450" s="6">
        <v>7</v>
      </c>
      <c r="W450" s="6" t="s">
        <v>7697</v>
      </c>
      <c r="Y450" t="s">
        <v>5368</v>
      </c>
      <c r="Z450" t="s">
        <v>5369</v>
      </c>
      <c r="AA450" s="6" t="str">
        <f t="shared" si="56"/>
        <v/>
      </c>
      <c r="AB450">
        <v>88</v>
      </c>
      <c r="AC450">
        <v>218</v>
      </c>
      <c r="AD450">
        <v>171</v>
      </c>
    </row>
    <row r="451" spans="1:30" ht="17" x14ac:dyDescent="0.25">
      <c r="A451" s="1" t="s">
        <v>453</v>
      </c>
      <c r="B451" s="1" t="s">
        <v>3105</v>
      </c>
      <c r="C451" s="1" t="s">
        <v>1780</v>
      </c>
      <c r="D451" t="str">
        <f t="shared" si="57"/>
        <v>A8ECD2</v>
      </c>
      <c r="E451" t="str">
        <f t="shared" si="58"/>
        <v>168-236-210</v>
      </c>
      <c r="F451" t="str">
        <f t="shared" si="59"/>
        <v>168236210</v>
      </c>
      <c r="G451">
        <f t="shared" si="60"/>
        <v>168</v>
      </c>
      <c r="H451">
        <f t="shared" si="61"/>
        <v>236</v>
      </c>
      <c r="I451">
        <f t="shared" si="62"/>
        <v>210</v>
      </c>
      <c r="J451" t="str">
        <f t="shared" ref="J451:K514" si="63">RIGHT(A451,LEN(A451)-3)</f>
        <v>TR",</v>
      </c>
      <c r="K451" t="str">
        <f t="shared" si="63"/>
        <v>Postpiriform transition area",</v>
      </c>
      <c r="L451" t="str">
        <f t="shared" ref="L451:M514" si="64">LEFT(J451,LEN(J451)-2)</f>
        <v>TR</v>
      </c>
      <c r="M451" t="str">
        <f t="shared" si="64"/>
        <v>Postpiriform transition area</v>
      </c>
      <c r="N451" t="s">
        <v>5370</v>
      </c>
      <c r="O451" t="s">
        <v>5371</v>
      </c>
      <c r="Q451" s="6">
        <v>681</v>
      </c>
      <c r="R451" s="6">
        <v>1113</v>
      </c>
      <c r="S451" s="6" t="s">
        <v>5825</v>
      </c>
      <c r="T451" s="6" t="s">
        <v>5824</v>
      </c>
      <c r="U451" s="6">
        <v>239</v>
      </c>
      <c r="V451" s="6">
        <v>7</v>
      </c>
      <c r="W451" s="6" t="s">
        <v>7698</v>
      </c>
      <c r="Y451" t="s">
        <v>5370</v>
      </c>
      <c r="Z451" t="s">
        <v>5371</v>
      </c>
      <c r="AA451" s="6">
        <f t="shared" ref="AA451:AA514" si="65">IFERROR(INDEX(R:R,MATCH($Z451,S:S,0)),"")</f>
        <v>566</v>
      </c>
      <c r="AB451">
        <v>168</v>
      </c>
      <c r="AC451">
        <v>236</v>
      </c>
      <c r="AD451">
        <v>210</v>
      </c>
    </row>
    <row r="452" spans="1:30" ht="17" x14ac:dyDescent="0.25">
      <c r="A452" s="1" t="s">
        <v>454</v>
      </c>
      <c r="B452" s="1" t="s">
        <v>3106</v>
      </c>
      <c r="C452" s="1" t="s">
        <v>1781</v>
      </c>
      <c r="D452" t="str">
        <f t="shared" ref="D452:D515" si="66">RIGHT(LEFT(C452,9),6)</f>
        <v>A8ECD3</v>
      </c>
      <c r="E452" t="str">
        <f t="shared" ref="E452:E515" si="67">HEX2DEC(LEFT(D452,2))&amp;"-"&amp;HEX2DEC(MID(D452,3,2))&amp;"-"&amp;HEX2DEC(RIGHT(D452,2))</f>
        <v>168-236-211</v>
      </c>
      <c r="F452" t="str">
        <f t="shared" ref="F452:F515" si="68">HEX2DEC(LEFT(D452,2))&amp;HEX2DEC(MID(D452,3,2))&amp;HEX2DEC(RIGHT(D452,2))</f>
        <v>168236211</v>
      </c>
      <c r="G452">
        <f t="shared" ref="G452:G515" si="69">HEX2DEC(LEFT(D452,2))</f>
        <v>168</v>
      </c>
      <c r="H452">
        <f t="shared" ref="H452:H515" si="70">HEX2DEC(MID(D452,3,2))</f>
        <v>236</v>
      </c>
      <c r="I452">
        <f t="shared" ref="I452:I515" si="71">HEX2DEC(RIGHT(D452,2))</f>
        <v>211</v>
      </c>
      <c r="J452" t="str">
        <f t="shared" si="63"/>
        <v>TR1-3",</v>
      </c>
      <c r="K452" t="str">
        <f t="shared" si="63"/>
        <v>Postpiriform transition area, layers 1-3",</v>
      </c>
      <c r="L452" t="str">
        <f t="shared" si="64"/>
        <v>TR1-3</v>
      </c>
      <c r="M452" t="str">
        <f t="shared" si="64"/>
        <v>Postpiriform transition area, layers 1-3</v>
      </c>
      <c r="N452" t="s">
        <v>5372</v>
      </c>
      <c r="O452" t="s">
        <v>5373</v>
      </c>
      <c r="Q452" s="6">
        <v>682</v>
      </c>
      <c r="R452" s="6">
        <v>155</v>
      </c>
      <c r="S452" s="6" t="s">
        <v>5827</v>
      </c>
      <c r="T452" s="6" t="s">
        <v>5826</v>
      </c>
      <c r="U452" s="6">
        <v>239</v>
      </c>
      <c r="V452" s="6">
        <v>7</v>
      </c>
      <c r="W452" s="6" t="s">
        <v>7699</v>
      </c>
      <c r="Y452" t="s">
        <v>5372</v>
      </c>
      <c r="Z452" t="s">
        <v>5373</v>
      </c>
      <c r="AA452" s="6" t="str">
        <f t="shared" si="65"/>
        <v/>
      </c>
      <c r="AB452">
        <v>168</v>
      </c>
      <c r="AC452">
        <v>236</v>
      </c>
      <c r="AD452">
        <v>211</v>
      </c>
    </row>
    <row r="453" spans="1:30" ht="17" x14ac:dyDescent="0.25">
      <c r="A453" s="1" t="s">
        <v>455</v>
      </c>
      <c r="B453" s="1" t="s">
        <v>3107</v>
      </c>
      <c r="C453" s="1" t="s">
        <v>1782</v>
      </c>
      <c r="D453" t="str">
        <f t="shared" si="66"/>
        <v>A8EBD3</v>
      </c>
      <c r="E453" t="str">
        <f t="shared" si="67"/>
        <v>168-235-211</v>
      </c>
      <c r="F453" t="str">
        <f t="shared" si="68"/>
        <v>168235211</v>
      </c>
      <c r="G453">
        <f t="shared" si="69"/>
        <v>168</v>
      </c>
      <c r="H453">
        <f t="shared" si="70"/>
        <v>235</v>
      </c>
      <c r="I453">
        <f t="shared" si="71"/>
        <v>211</v>
      </c>
      <c r="J453" t="str">
        <f t="shared" si="63"/>
        <v>TR1",</v>
      </c>
      <c r="K453" t="str">
        <f t="shared" si="63"/>
        <v>Postpiriform transition area, layers 1",</v>
      </c>
      <c r="L453" t="str">
        <f t="shared" si="64"/>
        <v>TR1</v>
      </c>
      <c r="M453" t="str">
        <f t="shared" si="64"/>
        <v>Postpiriform transition area, layers 1</v>
      </c>
      <c r="N453" t="s">
        <v>5374</v>
      </c>
      <c r="O453" t="s">
        <v>5375</v>
      </c>
      <c r="Q453" s="6">
        <v>683</v>
      </c>
      <c r="R453" s="6">
        <v>444</v>
      </c>
      <c r="S453" s="6" t="s">
        <v>5829</v>
      </c>
      <c r="T453" s="6" t="s">
        <v>5828</v>
      </c>
      <c r="U453" s="6">
        <v>856</v>
      </c>
      <c r="V453" s="6">
        <v>6</v>
      </c>
      <c r="W453" s="6" t="s">
        <v>7700</v>
      </c>
      <c r="Y453" t="s">
        <v>5374</v>
      </c>
      <c r="Z453" t="s">
        <v>5375</v>
      </c>
      <c r="AA453" s="6" t="str">
        <f t="shared" si="65"/>
        <v/>
      </c>
      <c r="AB453">
        <v>168</v>
      </c>
      <c r="AC453">
        <v>235</v>
      </c>
      <c r="AD453">
        <v>211</v>
      </c>
    </row>
    <row r="454" spans="1:30" ht="17" x14ac:dyDescent="0.25">
      <c r="A454" s="1" t="s">
        <v>456</v>
      </c>
      <c r="B454" s="1" t="s">
        <v>3108</v>
      </c>
      <c r="C454" s="1" t="s">
        <v>1783</v>
      </c>
      <c r="D454" t="str">
        <f t="shared" si="66"/>
        <v>A7ECD3</v>
      </c>
      <c r="E454" t="str">
        <f t="shared" si="67"/>
        <v>167-236-211</v>
      </c>
      <c r="F454" t="str">
        <f t="shared" si="68"/>
        <v>167236211</v>
      </c>
      <c r="G454">
        <f t="shared" si="69"/>
        <v>167</v>
      </c>
      <c r="H454">
        <f t="shared" si="70"/>
        <v>236</v>
      </c>
      <c r="I454">
        <f t="shared" si="71"/>
        <v>211</v>
      </c>
      <c r="J454" t="str">
        <f t="shared" si="63"/>
        <v>TR2",</v>
      </c>
      <c r="K454" t="str">
        <f t="shared" si="63"/>
        <v>Postpiriform transition area, layers 2",</v>
      </c>
      <c r="L454" t="str">
        <f t="shared" si="64"/>
        <v>TR2</v>
      </c>
      <c r="M454" t="str">
        <f t="shared" si="64"/>
        <v>Postpiriform transition area, layers 2</v>
      </c>
      <c r="N454" t="s">
        <v>5376</v>
      </c>
      <c r="O454" t="s">
        <v>5377</v>
      </c>
      <c r="Q454" s="6">
        <v>684</v>
      </c>
      <c r="R454" s="6">
        <v>59</v>
      </c>
      <c r="S454" s="6" t="s">
        <v>5831</v>
      </c>
      <c r="T454" s="6" t="s">
        <v>5830</v>
      </c>
      <c r="U454" s="6">
        <v>444</v>
      </c>
      <c r="V454" s="6">
        <v>7</v>
      </c>
      <c r="W454" s="6" t="s">
        <v>7701</v>
      </c>
      <c r="Y454" t="s">
        <v>5376</v>
      </c>
      <c r="Z454" t="s">
        <v>5377</v>
      </c>
      <c r="AA454" s="6" t="str">
        <f t="shared" si="65"/>
        <v/>
      </c>
      <c r="AB454">
        <v>167</v>
      </c>
      <c r="AC454">
        <v>236</v>
      </c>
      <c r="AD454">
        <v>211</v>
      </c>
    </row>
    <row r="455" spans="1:30" ht="17" x14ac:dyDescent="0.25">
      <c r="A455" s="1" t="s">
        <v>457</v>
      </c>
      <c r="B455" s="1" t="s">
        <v>3109</v>
      </c>
      <c r="C455" s="1" t="s">
        <v>1784</v>
      </c>
      <c r="D455" t="str">
        <f t="shared" si="66"/>
        <v>A8EBD2</v>
      </c>
      <c r="E455" t="str">
        <f t="shared" si="67"/>
        <v>168-235-210</v>
      </c>
      <c r="F455" t="str">
        <f t="shared" si="68"/>
        <v>168235210</v>
      </c>
      <c r="G455">
        <f t="shared" si="69"/>
        <v>168</v>
      </c>
      <c r="H455">
        <f t="shared" si="70"/>
        <v>235</v>
      </c>
      <c r="I455">
        <f t="shared" si="71"/>
        <v>210</v>
      </c>
      <c r="J455" t="str">
        <f t="shared" si="63"/>
        <v>TR3",</v>
      </c>
      <c r="K455" t="str">
        <f t="shared" si="63"/>
        <v>Postpiriform transition area, layers 3",</v>
      </c>
      <c r="L455" t="str">
        <f t="shared" si="64"/>
        <v>TR3</v>
      </c>
      <c r="M455" t="str">
        <f t="shared" si="64"/>
        <v>Postpiriform transition area, layers 3</v>
      </c>
      <c r="N455" t="s">
        <v>5378</v>
      </c>
      <c r="O455" t="s">
        <v>5379</v>
      </c>
      <c r="Q455" s="6">
        <v>685</v>
      </c>
      <c r="R455" s="6">
        <v>362</v>
      </c>
      <c r="S455" s="6" t="s">
        <v>5833</v>
      </c>
      <c r="T455" s="6" t="s">
        <v>5832</v>
      </c>
      <c r="U455" s="6">
        <v>444</v>
      </c>
      <c r="V455" s="6">
        <v>7</v>
      </c>
      <c r="W455" s="6" t="s">
        <v>7702</v>
      </c>
      <c r="Y455" t="s">
        <v>5378</v>
      </c>
      <c r="Z455" t="s">
        <v>5379</v>
      </c>
      <c r="AA455" s="6" t="str">
        <f t="shared" si="65"/>
        <v/>
      </c>
      <c r="AB455">
        <v>168</v>
      </c>
      <c r="AC455">
        <v>235</v>
      </c>
      <c r="AD455">
        <v>210</v>
      </c>
    </row>
    <row r="456" spans="1:30" ht="17" x14ac:dyDescent="0.25">
      <c r="A456" s="1" t="s">
        <v>458</v>
      </c>
      <c r="B456" s="1" t="s">
        <v>3110</v>
      </c>
      <c r="C456" s="1" t="s">
        <v>1785</v>
      </c>
      <c r="D456" t="str">
        <f t="shared" si="66"/>
        <v>7DCD4B</v>
      </c>
      <c r="E456" t="str">
        <f t="shared" si="67"/>
        <v>125-205-75</v>
      </c>
      <c r="F456" t="str">
        <f t="shared" si="68"/>
        <v>12520575</v>
      </c>
      <c r="G456">
        <f t="shared" si="69"/>
        <v>125</v>
      </c>
      <c r="H456">
        <f t="shared" si="70"/>
        <v>205</v>
      </c>
      <c r="I456">
        <f t="shared" si="71"/>
        <v>75</v>
      </c>
      <c r="J456" t="str">
        <f t="shared" si="63"/>
        <v>HPF",</v>
      </c>
      <c r="K456" t="str">
        <f t="shared" si="63"/>
        <v>Hippocampal formation",</v>
      </c>
      <c r="L456" t="str">
        <f t="shared" si="64"/>
        <v>HPF</v>
      </c>
      <c r="M456" t="str">
        <f t="shared" si="64"/>
        <v>Hippocampal formation</v>
      </c>
      <c r="N456" t="s">
        <v>5380</v>
      </c>
      <c r="O456" t="s">
        <v>5381</v>
      </c>
      <c r="Q456" s="6">
        <v>689</v>
      </c>
      <c r="R456" s="6">
        <v>366</v>
      </c>
      <c r="S456" s="6" t="s">
        <v>5841</v>
      </c>
      <c r="T456" s="6" t="s">
        <v>5840</v>
      </c>
      <c r="U456" s="6">
        <v>444</v>
      </c>
      <c r="V456" s="6">
        <v>7</v>
      </c>
      <c r="W456" s="6" t="s">
        <v>7703</v>
      </c>
      <c r="Y456" t="s">
        <v>5380</v>
      </c>
      <c r="Z456" t="s">
        <v>5381</v>
      </c>
      <c r="AA456" s="6">
        <f t="shared" si="65"/>
        <v>1089</v>
      </c>
      <c r="AB456">
        <v>125</v>
      </c>
      <c r="AC456">
        <v>205</v>
      </c>
      <c r="AD456">
        <v>75</v>
      </c>
    </row>
    <row r="457" spans="1:30" ht="17" x14ac:dyDescent="0.25">
      <c r="A457" s="1" t="s">
        <v>459</v>
      </c>
      <c r="B457" s="1" t="s">
        <v>3111</v>
      </c>
      <c r="C457" s="1" t="s">
        <v>1786</v>
      </c>
      <c r="D457" t="str">
        <f t="shared" si="66"/>
        <v>7DD048</v>
      </c>
      <c r="E457" t="str">
        <f t="shared" si="67"/>
        <v>125-208-72</v>
      </c>
      <c r="F457" t="str">
        <f t="shared" si="68"/>
        <v>12520872</v>
      </c>
      <c r="G457">
        <f t="shared" si="69"/>
        <v>125</v>
      </c>
      <c r="H457">
        <f t="shared" si="70"/>
        <v>208</v>
      </c>
      <c r="I457">
        <f t="shared" si="71"/>
        <v>72</v>
      </c>
      <c r="J457" t="str">
        <f t="shared" si="63"/>
        <v>HIP",</v>
      </c>
      <c r="K457" t="str">
        <f t="shared" si="63"/>
        <v>Hippocampal region",</v>
      </c>
      <c r="L457" t="str">
        <f t="shared" si="64"/>
        <v>HIP</v>
      </c>
      <c r="M457" t="str">
        <f t="shared" si="64"/>
        <v>Hippocampal region</v>
      </c>
      <c r="N457" t="s">
        <v>5382</v>
      </c>
      <c r="O457" t="s">
        <v>5383</v>
      </c>
      <c r="Q457" s="6">
        <v>690</v>
      </c>
      <c r="R457" s="6">
        <v>1077</v>
      </c>
      <c r="S457" s="6" t="s">
        <v>5843</v>
      </c>
      <c r="T457" s="6" t="s">
        <v>5842</v>
      </c>
      <c r="U457" s="6">
        <v>444</v>
      </c>
      <c r="V457" s="6">
        <v>7</v>
      </c>
      <c r="W457" s="6" t="s">
        <v>7704</v>
      </c>
      <c r="Y457" t="s">
        <v>5382</v>
      </c>
      <c r="Z457" t="s">
        <v>5383</v>
      </c>
      <c r="AA457" s="6">
        <f t="shared" si="65"/>
        <v>1080</v>
      </c>
      <c r="AB457">
        <v>125</v>
      </c>
      <c r="AC457">
        <v>208</v>
      </c>
      <c r="AD457">
        <v>72</v>
      </c>
    </row>
    <row r="458" spans="1:30" ht="17" x14ac:dyDescent="0.25">
      <c r="A458" s="1" t="s">
        <v>460</v>
      </c>
      <c r="B458" s="1" t="s">
        <v>3112</v>
      </c>
      <c r="C458" s="1" t="s">
        <v>1787</v>
      </c>
      <c r="D458" t="str">
        <f t="shared" si="66"/>
        <v>7ED04A</v>
      </c>
      <c r="E458" t="str">
        <f t="shared" si="67"/>
        <v>126-208-74</v>
      </c>
      <c r="F458" t="str">
        <f t="shared" si="68"/>
        <v>12620874</v>
      </c>
      <c r="G458">
        <f t="shared" si="69"/>
        <v>126</v>
      </c>
      <c r="H458">
        <f t="shared" si="70"/>
        <v>208</v>
      </c>
      <c r="I458">
        <f t="shared" si="71"/>
        <v>74</v>
      </c>
      <c r="J458" t="str">
        <f t="shared" si="63"/>
        <v>CA",</v>
      </c>
      <c r="K458" t="str">
        <f t="shared" si="63"/>
        <v>Ammon's horn",</v>
      </c>
      <c r="L458" t="str">
        <f t="shared" si="64"/>
        <v>CA</v>
      </c>
      <c r="M458" t="str">
        <f t="shared" si="64"/>
        <v>Ammon's horn</v>
      </c>
      <c r="N458" t="s">
        <v>5384</v>
      </c>
      <c r="O458" t="s">
        <v>5385</v>
      </c>
      <c r="Q458" s="6">
        <v>691</v>
      </c>
      <c r="R458" s="6">
        <v>571</v>
      </c>
      <c r="S458" s="6" t="s">
        <v>5845</v>
      </c>
      <c r="T458" s="6" t="s">
        <v>5844</v>
      </c>
      <c r="U458" s="6">
        <v>856</v>
      </c>
      <c r="V458" s="6">
        <v>6</v>
      </c>
      <c r="W458" s="6" t="s">
        <v>7705</v>
      </c>
      <c r="Y458" t="s">
        <v>5384</v>
      </c>
      <c r="Z458" t="s">
        <v>5385</v>
      </c>
      <c r="AA458" s="6">
        <f t="shared" si="65"/>
        <v>375</v>
      </c>
      <c r="AB458">
        <v>126</v>
      </c>
      <c r="AC458">
        <v>208</v>
      </c>
      <c r="AD458">
        <v>74</v>
      </c>
    </row>
    <row r="459" spans="1:30" ht="17" x14ac:dyDescent="0.25">
      <c r="A459" s="1" t="s">
        <v>461</v>
      </c>
      <c r="B459" s="1" t="s">
        <v>3113</v>
      </c>
      <c r="C459" s="1" t="s">
        <v>1788</v>
      </c>
      <c r="D459" t="str">
        <f t="shared" si="66"/>
        <v>7ECF4B</v>
      </c>
      <c r="E459" t="str">
        <f t="shared" si="67"/>
        <v>126-207-75</v>
      </c>
      <c r="F459" t="str">
        <f t="shared" si="68"/>
        <v>12620775</v>
      </c>
      <c r="G459">
        <f t="shared" si="69"/>
        <v>126</v>
      </c>
      <c r="H459">
        <f t="shared" si="70"/>
        <v>207</v>
      </c>
      <c r="I459">
        <f t="shared" si="71"/>
        <v>75</v>
      </c>
      <c r="J459" t="str">
        <f t="shared" si="63"/>
        <v>CA1",</v>
      </c>
      <c r="K459" t="str">
        <f t="shared" si="63"/>
        <v>Field CA1",</v>
      </c>
      <c r="L459" t="str">
        <f t="shared" si="64"/>
        <v>CA1</v>
      </c>
      <c r="M459" t="str">
        <f t="shared" si="64"/>
        <v>Field CA1</v>
      </c>
      <c r="N459" t="s">
        <v>5386</v>
      </c>
      <c r="O459" t="s">
        <v>5387</v>
      </c>
      <c r="Q459" s="6">
        <v>692</v>
      </c>
      <c r="R459" s="6">
        <v>149</v>
      </c>
      <c r="S459" s="6" t="s">
        <v>5847</v>
      </c>
      <c r="T459" s="6" t="s">
        <v>5846</v>
      </c>
      <c r="U459" s="6">
        <v>571</v>
      </c>
      <c r="V459" s="6">
        <v>7</v>
      </c>
      <c r="W459" s="6" t="s">
        <v>7706</v>
      </c>
      <c r="Y459" t="s">
        <v>5386</v>
      </c>
      <c r="Z459" t="s">
        <v>5387</v>
      </c>
      <c r="AA459" s="6">
        <f t="shared" si="65"/>
        <v>382</v>
      </c>
      <c r="AB459">
        <v>126</v>
      </c>
      <c r="AC459">
        <v>207</v>
      </c>
      <c r="AD459">
        <v>75</v>
      </c>
    </row>
    <row r="460" spans="1:30" ht="17" x14ac:dyDescent="0.25">
      <c r="A460" s="1" t="s">
        <v>462</v>
      </c>
      <c r="B460" s="1" t="s">
        <v>3114</v>
      </c>
      <c r="C460" s="1" t="s">
        <v>1789</v>
      </c>
      <c r="D460" t="str">
        <f t="shared" si="66"/>
        <v>7DD04B</v>
      </c>
      <c r="E460" t="str">
        <f t="shared" si="67"/>
        <v>125-208-75</v>
      </c>
      <c r="F460" t="str">
        <f t="shared" si="68"/>
        <v>12520875</v>
      </c>
      <c r="G460">
        <f t="shared" si="69"/>
        <v>125</v>
      </c>
      <c r="H460">
        <f t="shared" si="70"/>
        <v>208</v>
      </c>
      <c r="I460">
        <f t="shared" si="71"/>
        <v>75</v>
      </c>
      <c r="J460" t="str">
        <f t="shared" si="63"/>
        <v>CA1slm",</v>
      </c>
      <c r="K460" t="str">
        <f t="shared" si="63"/>
        <v>Field CA1, stratum lacunosum-moleculare",</v>
      </c>
      <c r="L460" t="str">
        <f t="shared" si="64"/>
        <v>CA1slm</v>
      </c>
      <c r="M460" t="str">
        <f t="shared" si="64"/>
        <v>Field CA1, stratum lacunosum-moleculare</v>
      </c>
      <c r="N460" t="s">
        <v>5388</v>
      </c>
      <c r="O460" t="s">
        <v>5389</v>
      </c>
      <c r="Q460" s="6">
        <v>693</v>
      </c>
      <c r="R460" s="6">
        <v>15</v>
      </c>
      <c r="S460" s="6" t="s">
        <v>5849</v>
      </c>
      <c r="T460" s="6" t="s">
        <v>5848</v>
      </c>
      <c r="U460" s="6">
        <v>571</v>
      </c>
      <c r="V460" s="6">
        <v>7</v>
      </c>
      <c r="W460" s="6" t="s">
        <v>7707</v>
      </c>
      <c r="Y460" t="s">
        <v>5388</v>
      </c>
      <c r="Z460" t="s">
        <v>5389</v>
      </c>
      <c r="AA460" s="6" t="str">
        <f t="shared" si="65"/>
        <v/>
      </c>
      <c r="AB460">
        <v>125</v>
      </c>
      <c r="AC460">
        <v>208</v>
      </c>
      <c r="AD460">
        <v>75</v>
      </c>
    </row>
    <row r="461" spans="1:30" ht="17" x14ac:dyDescent="0.25">
      <c r="A461" s="1" t="s">
        <v>463</v>
      </c>
      <c r="B461" s="1" t="s">
        <v>3115</v>
      </c>
      <c r="C461" s="1" t="s">
        <v>1790</v>
      </c>
      <c r="D461" t="str">
        <f t="shared" si="66"/>
        <v>7ECF4A</v>
      </c>
      <c r="E461" t="str">
        <f t="shared" si="67"/>
        <v>126-207-74</v>
      </c>
      <c r="F461" t="str">
        <f t="shared" si="68"/>
        <v>12620774</v>
      </c>
      <c r="G461">
        <f t="shared" si="69"/>
        <v>126</v>
      </c>
      <c r="H461">
        <f t="shared" si="70"/>
        <v>207</v>
      </c>
      <c r="I461">
        <f t="shared" si="71"/>
        <v>74</v>
      </c>
      <c r="J461" t="str">
        <f t="shared" si="63"/>
        <v>CA1so",</v>
      </c>
      <c r="K461" t="str">
        <f t="shared" si="63"/>
        <v>Field CA1, stratum oriens",</v>
      </c>
      <c r="L461" t="str">
        <f t="shared" si="64"/>
        <v>CA1so</v>
      </c>
      <c r="M461" t="str">
        <f t="shared" si="64"/>
        <v>Field CA1, stratum oriens</v>
      </c>
      <c r="N461" t="s">
        <v>5390</v>
      </c>
      <c r="O461" t="s">
        <v>5391</v>
      </c>
      <c r="Q461" s="6">
        <v>694</v>
      </c>
      <c r="R461" s="6">
        <v>181</v>
      </c>
      <c r="S461" s="6" t="s">
        <v>5851</v>
      </c>
      <c r="T461" s="6" t="s">
        <v>5850</v>
      </c>
      <c r="U461" s="6">
        <v>571</v>
      </c>
      <c r="V461" s="6">
        <v>7</v>
      </c>
      <c r="W461" s="6" t="s">
        <v>7708</v>
      </c>
      <c r="Y461" t="s">
        <v>5390</v>
      </c>
      <c r="Z461" t="s">
        <v>5391</v>
      </c>
      <c r="AA461" s="6" t="str">
        <f t="shared" si="65"/>
        <v/>
      </c>
      <c r="AB461">
        <v>126</v>
      </c>
      <c r="AC461">
        <v>207</v>
      </c>
      <c r="AD461">
        <v>74</v>
      </c>
    </row>
    <row r="462" spans="1:30" ht="17" x14ac:dyDescent="0.25">
      <c r="A462" s="1" t="s">
        <v>464</v>
      </c>
      <c r="B462" s="1" t="s">
        <v>3116</v>
      </c>
      <c r="C462" s="1" t="s">
        <v>1791</v>
      </c>
      <c r="D462" t="str">
        <f t="shared" si="66"/>
        <v>66A83D</v>
      </c>
      <c r="E462" t="str">
        <f t="shared" si="67"/>
        <v>102-168-61</v>
      </c>
      <c r="F462" t="str">
        <f t="shared" si="68"/>
        <v>10216861</v>
      </c>
      <c r="G462">
        <f t="shared" si="69"/>
        <v>102</v>
      </c>
      <c r="H462">
        <f t="shared" si="70"/>
        <v>168</v>
      </c>
      <c r="I462">
        <f t="shared" si="71"/>
        <v>61</v>
      </c>
      <c r="J462" t="str">
        <f t="shared" si="63"/>
        <v>CA1sp",</v>
      </c>
      <c r="K462" t="str">
        <f t="shared" si="63"/>
        <v>Field CA1, pyramidal layer",</v>
      </c>
      <c r="L462" t="str">
        <f t="shared" si="64"/>
        <v>CA1sp</v>
      </c>
      <c r="M462" t="str">
        <f t="shared" si="64"/>
        <v>Field CA1, pyramidal layer</v>
      </c>
      <c r="N462" t="s">
        <v>5392</v>
      </c>
      <c r="O462" t="s">
        <v>5393</v>
      </c>
      <c r="Q462" s="6">
        <v>695</v>
      </c>
      <c r="R462" s="6">
        <v>560581559</v>
      </c>
      <c r="S462" s="6" t="s">
        <v>5853</v>
      </c>
      <c r="T462" s="6" t="s">
        <v>5852</v>
      </c>
      <c r="U462" s="6">
        <v>571</v>
      </c>
      <c r="V462" s="6">
        <v>7</v>
      </c>
      <c r="W462" s="6" t="s">
        <v>7709</v>
      </c>
      <c r="Y462" t="s">
        <v>5392</v>
      </c>
      <c r="Z462" t="s">
        <v>5393</v>
      </c>
      <c r="AA462" s="6" t="str">
        <f t="shared" si="65"/>
        <v/>
      </c>
      <c r="AB462">
        <v>102</v>
      </c>
      <c r="AC462">
        <v>168</v>
      </c>
      <c r="AD462">
        <v>61</v>
      </c>
    </row>
    <row r="463" spans="1:30" ht="17" x14ac:dyDescent="0.25">
      <c r="A463" s="1" t="s">
        <v>465</v>
      </c>
      <c r="B463" s="1" t="s">
        <v>3117</v>
      </c>
      <c r="C463" s="1" t="s">
        <v>1792</v>
      </c>
      <c r="D463" t="str">
        <f t="shared" si="66"/>
        <v>7DD04A</v>
      </c>
      <c r="E463" t="str">
        <f t="shared" si="67"/>
        <v>125-208-74</v>
      </c>
      <c r="F463" t="str">
        <f t="shared" si="68"/>
        <v>12520874</v>
      </c>
      <c r="G463">
        <f t="shared" si="69"/>
        <v>125</v>
      </c>
      <c r="H463">
        <f t="shared" si="70"/>
        <v>208</v>
      </c>
      <c r="I463">
        <f t="shared" si="71"/>
        <v>74</v>
      </c>
      <c r="J463" t="str">
        <f t="shared" si="63"/>
        <v>CA1sr",</v>
      </c>
      <c r="K463" t="str">
        <f t="shared" si="63"/>
        <v>Field CA1, stratum radiatum",</v>
      </c>
      <c r="L463" t="str">
        <f t="shared" si="64"/>
        <v>CA1sr</v>
      </c>
      <c r="M463" t="str">
        <f t="shared" si="64"/>
        <v>Field CA1, stratum radiatum</v>
      </c>
      <c r="N463" t="s">
        <v>5394</v>
      </c>
      <c r="O463" t="s">
        <v>5395</v>
      </c>
      <c r="Q463" s="6">
        <v>696</v>
      </c>
      <c r="R463" s="6">
        <v>51</v>
      </c>
      <c r="S463" s="6" t="s">
        <v>5855</v>
      </c>
      <c r="T463" s="6" t="s">
        <v>5854</v>
      </c>
      <c r="U463" s="6">
        <v>856</v>
      </c>
      <c r="V463" s="6">
        <v>6</v>
      </c>
      <c r="W463" s="6" t="s">
        <v>7710</v>
      </c>
      <c r="Y463" t="s">
        <v>5394</v>
      </c>
      <c r="Z463" t="s">
        <v>5395</v>
      </c>
      <c r="AA463" s="6" t="str">
        <f t="shared" si="65"/>
        <v/>
      </c>
      <c r="AB463">
        <v>125</v>
      </c>
      <c r="AC463">
        <v>208</v>
      </c>
      <c r="AD463">
        <v>74</v>
      </c>
    </row>
    <row r="464" spans="1:30" ht="17" x14ac:dyDescent="0.25">
      <c r="A464" s="1" t="s">
        <v>466</v>
      </c>
      <c r="B464" s="1" t="s">
        <v>3118</v>
      </c>
      <c r="C464" s="1" t="s">
        <v>1793</v>
      </c>
      <c r="D464" t="str">
        <f t="shared" si="66"/>
        <v>7DCF4B</v>
      </c>
      <c r="E464" t="str">
        <f t="shared" si="67"/>
        <v>125-207-75</v>
      </c>
      <c r="F464" t="str">
        <f t="shared" si="68"/>
        <v>12520775</v>
      </c>
      <c r="G464">
        <f t="shared" si="69"/>
        <v>125</v>
      </c>
      <c r="H464">
        <f t="shared" si="70"/>
        <v>207</v>
      </c>
      <c r="I464">
        <f t="shared" si="71"/>
        <v>75</v>
      </c>
      <c r="J464" t="str">
        <f t="shared" si="63"/>
        <v>CA2",</v>
      </c>
      <c r="K464" t="str">
        <f t="shared" si="63"/>
        <v>Field CA2",</v>
      </c>
      <c r="L464" t="str">
        <f t="shared" si="64"/>
        <v>CA2</v>
      </c>
      <c r="M464" t="str">
        <f t="shared" si="64"/>
        <v>Field CA2</v>
      </c>
      <c r="N464" t="s">
        <v>5396</v>
      </c>
      <c r="O464" t="s">
        <v>5397</v>
      </c>
      <c r="Q464" s="6">
        <v>697</v>
      </c>
      <c r="R464" s="6">
        <v>189</v>
      </c>
      <c r="S464" s="6" t="s">
        <v>5857</v>
      </c>
      <c r="T464" s="6" t="s">
        <v>5856</v>
      </c>
      <c r="U464" s="6">
        <v>51</v>
      </c>
      <c r="V464" s="6">
        <v>7</v>
      </c>
      <c r="W464" s="6" t="s">
        <v>7711</v>
      </c>
      <c r="Y464" t="s">
        <v>5396</v>
      </c>
      <c r="Z464" t="s">
        <v>5397</v>
      </c>
      <c r="AA464" s="6">
        <f t="shared" si="65"/>
        <v>423</v>
      </c>
      <c r="AB464">
        <v>125</v>
      </c>
      <c r="AC464">
        <v>207</v>
      </c>
      <c r="AD464">
        <v>75</v>
      </c>
    </row>
    <row r="465" spans="1:30" ht="17" x14ac:dyDescent="0.25">
      <c r="A465" s="1" t="s">
        <v>467</v>
      </c>
      <c r="B465" s="1" t="s">
        <v>3119</v>
      </c>
      <c r="C465" s="1" t="s">
        <v>1794</v>
      </c>
      <c r="D465" t="str">
        <f t="shared" si="66"/>
        <v>7DCF4A</v>
      </c>
      <c r="E465" t="str">
        <f t="shared" si="67"/>
        <v>125-207-74</v>
      </c>
      <c r="F465" t="str">
        <f t="shared" si="68"/>
        <v>12520774</v>
      </c>
      <c r="G465">
        <f t="shared" si="69"/>
        <v>125</v>
      </c>
      <c r="H465">
        <f t="shared" si="70"/>
        <v>207</v>
      </c>
      <c r="I465">
        <f t="shared" si="71"/>
        <v>74</v>
      </c>
      <c r="J465" t="str">
        <f t="shared" si="63"/>
        <v>CA2slm",</v>
      </c>
      <c r="K465" t="str">
        <f t="shared" si="63"/>
        <v>Field CA2, stratum lacunosum-moleculare",</v>
      </c>
      <c r="L465" t="str">
        <f t="shared" si="64"/>
        <v>CA2slm</v>
      </c>
      <c r="M465" t="str">
        <f t="shared" si="64"/>
        <v>Field CA2, stratum lacunosum-moleculare</v>
      </c>
      <c r="N465" t="s">
        <v>5398</v>
      </c>
      <c r="O465" t="s">
        <v>5399</v>
      </c>
      <c r="Q465" s="6">
        <v>698</v>
      </c>
      <c r="R465" s="6">
        <v>599</v>
      </c>
      <c r="S465" s="6" t="s">
        <v>5859</v>
      </c>
      <c r="T465" s="6" t="s">
        <v>5858</v>
      </c>
      <c r="U465" s="6">
        <v>51</v>
      </c>
      <c r="V465" s="6">
        <v>7</v>
      </c>
      <c r="W465" s="6" t="s">
        <v>7712</v>
      </c>
      <c r="Y465" t="s">
        <v>5398</v>
      </c>
      <c r="Z465" t="s">
        <v>5399</v>
      </c>
      <c r="AA465" s="6" t="str">
        <f t="shared" si="65"/>
        <v/>
      </c>
      <c r="AB465">
        <v>125</v>
      </c>
      <c r="AC465">
        <v>207</v>
      </c>
      <c r="AD465">
        <v>74</v>
      </c>
    </row>
    <row r="466" spans="1:30" ht="17" x14ac:dyDescent="0.25">
      <c r="A466" s="1" t="s">
        <v>468</v>
      </c>
      <c r="B466" s="1" t="s">
        <v>3120</v>
      </c>
      <c r="C466" s="1" t="s">
        <v>1795</v>
      </c>
      <c r="D466" t="str">
        <f t="shared" si="66"/>
        <v>7ED049</v>
      </c>
      <c r="E466" t="str">
        <f t="shared" si="67"/>
        <v>126-208-73</v>
      </c>
      <c r="F466" t="str">
        <f t="shared" si="68"/>
        <v>12620873</v>
      </c>
      <c r="G466">
        <f t="shared" si="69"/>
        <v>126</v>
      </c>
      <c r="H466">
        <f t="shared" si="70"/>
        <v>208</v>
      </c>
      <c r="I466">
        <f t="shared" si="71"/>
        <v>73</v>
      </c>
      <c r="J466" t="str">
        <f t="shared" si="63"/>
        <v>CA2so",</v>
      </c>
      <c r="K466" t="str">
        <f t="shared" si="63"/>
        <v>Field CA2, stratum oriens",</v>
      </c>
      <c r="L466" t="str">
        <f t="shared" si="64"/>
        <v>CA2so</v>
      </c>
      <c r="M466" t="str">
        <f t="shared" si="64"/>
        <v>Field CA2, stratum oriens</v>
      </c>
      <c r="N466" t="s">
        <v>5400</v>
      </c>
      <c r="O466" t="s">
        <v>5401</v>
      </c>
      <c r="Q466" s="6">
        <v>699</v>
      </c>
      <c r="R466" s="6">
        <v>907</v>
      </c>
      <c r="S466" s="6" t="s">
        <v>5861</v>
      </c>
      <c r="T466" s="6" t="s">
        <v>5860</v>
      </c>
      <c r="U466" s="6">
        <v>51</v>
      </c>
      <c r="V466" s="6">
        <v>7</v>
      </c>
      <c r="W466" s="6" t="s">
        <v>7713</v>
      </c>
      <c r="Y466" t="s">
        <v>5400</v>
      </c>
      <c r="Z466" t="s">
        <v>5401</v>
      </c>
      <c r="AA466" s="6" t="str">
        <f t="shared" si="65"/>
        <v/>
      </c>
      <c r="AB466">
        <v>126</v>
      </c>
      <c r="AC466">
        <v>208</v>
      </c>
      <c r="AD466">
        <v>73</v>
      </c>
    </row>
    <row r="467" spans="1:30" ht="17" x14ac:dyDescent="0.25">
      <c r="A467" s="1" t="s">
        <v>469</v>
      </c>
      <c r="B467" s="1" t="s">
        <v>3121</v>
      </c>
      <c r="C467" s="1" t="s">
        <v>1796</v>
      </c>
      <c r="D467" t="str">
        <f t="shared" si="66"/>
        <v>66A83C</v>
      </c>
      <c r="E467" t="str">
        <f t="shared" si="67"/>
        <v>102-168-60</v>
      </c>
      <c r="F467" t="str">
        <f t="shared" si="68"/>
        <v>10216860</v>
      </c>
      <c r="G467">
        <f t="shared" si="69"/>
        <v>102</v>
      </c>
      <c r="H467">
        <f t="shared" si="70"/>
        <v>168</v>
      </c>
      <c r="I467">
        <f t="shared" si="71"/>
        <v>60</v>
      </c>
      <c r="J467" t="str">
        <f t="shared" si="63"/>
        <v>CA2sp",</v>
      </c>
      <c r="K467" t="str">
        <f t="shared" si="63"/>
        <v>Field CA2, pyramidal layer",</v>
      </c>
      <c r="L467" t="str">
        <f t="shared" si="64"/>
        <v>CA2sp</v>
      </c>
      <c r="M467" t="str">
        <f t="shared" si="64"/>
        <v>Field CA2, pyramidal layer</v>
      </c>
      <c r="N467" t="s">
        <v>5402</v>
      </c>
      <c r="O467" t="s">
        <v>5403</v>
      </c>
      <c r="Q467" s="6">
        <v>700</v>
      </c>
      <c r="R467" s="6">
        <v>575</v>
      </c>
      <c r="S467" s="6" t="s">
        <v>5863</v>
      </c>
      <c r="T467" s="6" t="s">
        <v>5862</v>
      </c>
      <c r="U467" s="6">
        <v>51</v>
      </c>
      <c r="V467" s="6">
        <v>7</v>
      </c>
      <c r="W467" s="6" t="s">
        <v>7714</v>
      </c>
      <c r="Y467" t="s">
        <v>5402</v>
      </c>
      <c r="Z467" t="s">
        <v>5403</v>
      </c>
      <c r="AA467" s="6" t="str">
        <f t="shared" si="65"/>
        <v/>
      </c>
      <c r="AB467">
        <v>102</v>
      </c>
      <c r="AC467">
        <v>168</v>
      </c>
      <c r="AD467">
        <v>60</v>
      </c>
    </row>
    <row r="468" spans="1:30" ht="17" x14ac:dyDescent="0.25">
      <c r="A468" s="1" t="s">
        <v>470</v>
      </c>
      <c r="B468" s="1" t="s">
        <v>3122</v>
      </c>
      <c r="C468" s="1" t="s">
        <v>1797</v>
      </c>
      <c r="D468" t="str">
        <f t="shared" si="66"/>
        <v>7ECE4B</v>
      </c>
      <c r="E468" t="str">
        <f t="shared" si="67"/>
        <v>126-206-75</v>
      </c>
      <c r="F468" t="str">
        <f t="shared" si="68"/>
        <v>12620675</v>
      </c>
      <c r="G468">
        <f t="shared" si="69"/>
        <v>126</v>
      </c>
      <c r="H468">
        <f t="shared" si="70"/>
        <v>206</v>
      </c>
      <c r="I468">
        <f t="shared" si="71"/>
        <v>75</v>
      </c>
      <c r="J468" t="str">
        <f t="shared" si="63"/>
        <v>CA2sr",</v>
      </c>
      <c r="K468" t="str">
        <f t="shared" si="63"/>
        <v>Field CA2, stratum radiatum",</v>
      </c>
      <c r="L468" t="str">
        <f t="shared" si="64"/>
        <v>CA2sr</v>
      </c>
      <c r="M468" t="str">
        <f t="shared" si="64"/>
        <v>Field CA2, stratum radiatum</v>
      </c>
      <c r="N468" t="s">
        <v>5404</v>
      </c>
      <c r="O468" t="s">
        <v>5405</v>
      </c>
      <c r="Q468" s="6">
        <v>701</v>
      </c>
      <c r="R468" s="6">
        <v>930</v>
      </c>
      <c r="S468" s="6" t="s">
        <v>5865</v>
      </c>
      <c r="T468" s="6" t="s">
        <v>5864</v>
      </c>
      <c r="U468" s="6">
        <v>51</v>
      </c>
      <c r="V468" s="6">
        <v>7</v>
      </c>
      <c r="W468" s="6" t="s">
        <v>7715</v>
      </c>
      <c r="Y468" t="s">
        <v>5404</v>
      </c>
      <c r="Z468" t="s">
        <v>5405</v>
      </c>
      <c r="AA468" s="6" t="str">
        <f t="shared" si="65"/>
        <v/>
      </c>
      <c r="AB468">
        <v>126</v>
      </c>
      <c r="AC468">
        <v>206</v>
      </c>
      <c r="AD468">
        <v>75</v>
      </c>
    </row>
    <row r="469" spans="1:30" ht="17" x14ac:dyDescent="0.25">
      <c r="A469" s="1" t="s">
        <v>471</v>
      </c>
      <c r="B469" s="1" t="s">
        <v>3123</v>
      </c>
      <c r="C469" s="1" t="s">
        <v>1798</v>
      </c>
      <c r="D469" t="str">
        <f t="shared" si="66"/>
        <v>7ECF49</v>
      </c>
      <c r="E469" t="str">
        <f t="shared" si="67"/>
        <v>126-207-73</v>
      </c>
      <c r="F469" t="str">
        <f t="shared" si="68"/>
        <v>12620773</v>
      </c>
      <c r="G469">
        <f t="shared" si="69"/>
        <v>126</v>
      </c>
      <c r="H469">
        <f t="shared" si="70"/>
        <v>207</v>
      </c>
      <c r="I469">
        <f t="shared" si="71"/>
        <v>73</v>
      </c>
      <c r="J469" t="str">
        <f t="shared" si="63"/>
        <v>CA3",</v>
      </c>
      <c r="K469" t="str">
        <f t="shared" si="63"/>
        <v>Field CA3",</v>
      </c>
      <c r="L469" t="str">
        <f t="shared" si="64"/>
        <v>CA3</v>
      </c>
      <c r="M469" t="str">
        <f t="shared" si="64"/>
        <v>Field CA3</v>
      </c>
      <c r="N469" t="s">
        <v>5406</v>
      </c>
      <c r="O469" t="s">
        <v>5407</v>
      </c>
      <c r="Q469" s="6">
        <v>702</v>
      </c>
      <c r="R469" s="6">
        <v>560581563</v>
      </c>
      <c r="S469" s="6" t="s">
        <v>5867</v>
      </c>
      <c r="T469" s="6" t="s">
        <v>5866</v>
      </c>
      <c r="U469" s="6">
        <v>51</v>
      </c>
      <c r="V469" s="6">
        <v>7</v>
      </c>
      <c r="W469" s="6" t="s">
        <v>7716</v>
      </c>
      <c r="Y469" t="s">
        <v>5406</v>
      </c>
      <c r="Z469" t="s">
        <v>5407</v>
      </c>
      <c r="AA469" s="6">
        <f t="shared" si="65"/>
        <v>463</v>
      </c>
      <c r="AB469">
        <v>126</v>
      </c>
      <c r="AC469">
        <v>207</v>
      </c>
      <c r="AD469">
        <v>73</v>
      </c>
    </row>
    <row r="470" spans="1:30" ht="17" x14ac:dyDescent="0.25">
      <c r="A470" s="1" t="s">
        <v>472</v>
      </c>
      <c r="B470" s="1" t="s">
        <v>3124</v>
      </c>
      <c r="C470" s="1" t="s">
        <v>1799</v>
      </c>
      <c r="D470" t="str">
        <f t="shared" si="66"/>
        <v>7DD049</v>
      </c>
      <c r="E470" t="str">
        <f t="shared" si="67"/>
        <v>125-208-73</v>
      </c>
      <c r="F470" t="str">
        <f t="shared" si="68"/>
        <v>12520873</v>
      </c>
      <c r="G470">
        <f t="shared" si="69"/>
        <v>125</v>
      </c>
      <c r="H470">
        <f t="shared" si="70"/>
        <v>208</v>
      </c>
      <c r="I470">
        <f t="shared" si="71"/>
        <v>73</v>
      </c>
      <c r="J470" t="str">
        <f t="shared" si="63"/>
        <v>CA3slm",</v>
      </c>
      <c r="K470" t="str">
        <f t="shared" si="63"/>
        <v>Field CA3, stratum lacunosum-moleculare",</v>
      </c>
      <c r="L470" t="str">
        <f t="shared" si="64"/>
        <v>CA3slm</v>
      </c>
      <c r="M470" t="str">
        <f t="shared" si="64"/>
        <v>Field CA3, stratum lacunosum-moleculare</v>
      </c>
      <c r="N470" t="s">
        <v>5408</v>
      </c>
      <c r="O470" t="s">
        <v>5409</v>
      </c>
      <c r="Q470" s="6">
        <v>703</v>
      </c>
      <c r="R470" s="6">
        <v>262</v>
      </c>
      <c r="S470" s="6" t="s">
        <v>5869</v>
      </c>
      <c r="T470" s="6" t="s">
        <v>5868</v>
      </c>
      <c r="U470" s="6">
        <v>856</v>
      </c>
      <c r="V470" s="6">
        <v>6</v>
      </c>
      <c r="W470" s="6" t="s">
        <v>7717</v>
      </c>
      <c r="Y470" t="s">
        <v>5408</v>
      </c>
      <c r="Z470" t="s">
        <v>5409</v>
      </c>
      <c r="AA470" s="6" t="str">
        <f t="shared" si="65"/>
        <v/>
      </c>
      <c r="AB470">
        <v>125</v>
      </c>
      <c r="AC470">
        <v>208</v>
      </c>
      <c r="AD470">
        <v>73</v>
      </c>
    </row>
    <row r="471" spans="1:30" ht="17" x14ac:dyDescent="0.25">
      <c r="A471" s="1" t="s">
        <v>473</v>
      </c>
      <c r="B471" s="1" t="s">
        <v>3125</v>
      </c>
      <c r="C471" s="1" t="s">
        <v>1800</v>
      </c>
      <c r="D471" t="str">
        <f t="shared" si="66"/>
        <v>7DCE4B</v>
      </c>
      <c r="E471" t="str">
        <f t="shared" si="67"/>
        <v>125-206-75</v>
      </c>
      <c r="F471" t="str">
        <f t="shared" si="68"/>
        <v>12520675</v>
      </c>
      <c r="G471">
        <f t="shared" si="69"/>
        <v>125</v>
      </c>
      <c r="H471">
        <f t="shared" si="70"/>
        <v>206</v>
      </c>
      <c r="I471">
        <f t="shared" si="71"/>
        <v>75</v>
      </c>
      <c r="J471" t="str">
        <f t="shared" si="63"/>
        <v>CA3slu",</v>
      </c>
      <c r="K471" t="str">
        <f t="shared" si="63"/>
        <v>Field CA3, stratum lucidum",</v>
      </c>
      <c r="L471" t="str">
        <f t="shared" si="64"/>
        <v>CA3slu</v>
      </c>
      <c r="M471" t="str">
        <f t="shared" si="64"/>
        <v>Field CA3, stratum lucidum</v>
      </c>
      <c r="N471" t="s">
        <v>5410</v>
      </c>
      <c r="O471" t="s">
        <v>5411</v>
      </c>
      <c r="Q471" s="6">
        <v>704</v>
      </c>
      <c r="R471" s="6">
        <v>1014</v>
      </c>
      <c r="S471" s="6" t="s">
        <v>5871</v>
      </c>
      <c r="T471" s="6" t="s">
        <v>5870</v>
      </c>
      <c r="U471" s="6">
        <v>856</v>
      </c>
      <c r="V471" s="6">
        <v>6</v>
      </c>
      <c r="W471" s="6" t="s">
        <v>7718</v>
      </c>
      <c r="Y471" t="s">
        <v>5410</v>
      </c>
      <c r="Z471" t="s">
        <v>5411</v>
      </c>
      <c r="AA471" s="6" t="str">
        <f t="shared" si="65"/>
        <v/>
      </c>
      <c r="AB471">
        <v>125</v>
      </c>
      <c r="AC471">
        <v>206</v>
      </c>
      <c r="AD471">
        <v>75</v>
      </c>
    </row>
    <row r="472" spans="1:30" ht="17" x14ac:dyDescent="0.25">
      <c r="A472" s="1" t="s">
        <v>474</v>
      </c>
      <c r="B472" s="1" t="s">
        <v>3126</v>
      </c>
      <c r="C472" s="1" t="s">
        <v>1801</v>
      </c>
      <c r="D472" t="str">
        <f t="shared" si="66"/>
        <v>7CD04A</v>
      </c>
      <c r="E472" t="str">
        <f t="shared" si="67"/>
        <v>124-208-74</v>
      </c>
      <c r="F472" t="str">
        <f t="shared" si="68"/>
        <v>12420874</v>
      </c>
      <c r="G472">
        <f t="shared" si="69"/>
        <v>124</v>
      </c>
      <c r="H472">
        <f t="shared" si="70"/>
        <v>208</v>
      </c>
      <c r="I472">
        <f t="shared" si="71"/>
        <v>74</v>
      </c>
      <c r="J472" t="str">
        <f t="shared" si="63"/>
        <v>CA3so",</v>
      </c>
      <c r="K472" t="str">
        <f t="shared" si="63"/>
        <v>Field CA3, stratum oriens",</v>
      </c>
      <c r="L472" t="str">
        <f t="shared" si="64"/>
        <v>CA3so</v>
      </c>
      <c r="M472" t="str">
        <f t="shared" si="64"/>
        <v>Field CA3, stratum oriens</v>
      </c>
      <c r="N472" t="s">
        <v>5412</v>
      </c>
      <c r="O472" t="s">
        <v>5413</v>
      </c>
      <c r="Q472" s="6">
        <v>705</v>
      </c>
      <c r="R472" s="6">
        <v>27</v>
      </c>
      <c r="S472" s="6" t="s">
        <v>5873</v>
      </c>
      <c r="T472" s="6" t="s">
        <v>5872</v>
      </c>
      <c r="U472" s="6">
        <v>1014</v>
      </c>
      <c r="V472" s="6">
        <v>7</v>
      </c>
      <c r="W472" s="6" t="s">
        <v>7719</v>
      </c>
      <c r="Y472" t="s">
        <v>5412</v>
      </c>
      <c r="Z472" t="s">
        <v>5413</v>
      </c>
      <c r="AA472" s="6" t="str">
        <f t="shared" si="65"/>
        <v/>
      </c>
      <c r="AB472">
        <v>124</v>
      </c>
      <c r="AC472">
        <v>208</v>
      </c>
      <c r="AD472">
        <v>74</v>
      </c>
    </row>
    <row r="473" spans="1:30" ht="17" x14ac:dyDescent="0.25">
      <c r="A473" s="1" t="s">
        <v>475</v>
      </c>
      <c r="B473" s="1" t="s">
        <v>3127</v>
      </c>
      <c r="C473" s="1" t="s">
        <v>1802</v>
      </c>
      <c r="D473" t="str">
        <f t="shared" si="66"/>
        <v>66A73D</v>
      </c>
      <c r="E473" t="str">
        <f t="shared" si="67"/>
        <v>102-167-61</v>
      </c>
      <c r="F473" t="str">
        <f t="shared" si="68"/>
        <v>10216761</v>
      </c>
      <c r="G473">
        <f t="shared" si="69"/>
        <v>102</v>
      </c>
      <c r="H473">
        <f t="shared" si="70"/>
        <v>167</v>
      </c>
      <c r="I473">
        <f t="shared" si="71"/>
        <v>61</v>
      </c>
      <c r="J473" t="str">
        <f t="shared" si="63"/>
        <v>CA3sp",</v>
      </c>
      <c r="K473" t="str">
        <f t="shared" si="63"/>
        <v>Field CA3, pyramidal layer",</v>
      </c>
      <c r="L473" t="str">
        <f t="shared" si="64"/>
        <v>CA3sp</v>
      </c>
      <c r="M473" t="str">
        <f t="shared" si="64"/>
        <v>Field CA3, pyramidal layer</v>
      </c>
      <c r="N473" t="s">
        <v>5414</v>
      </c>
      <c r="O473" t="s">
        <v>5415</v>
      </c>
      <c r="Q473" s="6">
        <v>706</v>
      </c>
      <c r="R473" s="6">
        <v>563807439</v>
      </c>
      <c r="S473" s="6" t="s">
        <v>5875</v>
      </c>
      <c r="T473" s="6" t="s">
        <v>5874</v>
      </c>
      <c r="U473" s="6">
        <v>1014</v>
      </c>
      <c r="V473" s="6">
        <v>7</v>
      </c>
      <c r="W473" s="6" t="s">
        <v>7720</v>
      </c>
      <c r="Y473" t="s">
        <v>5414</v>
      </c>
      <c r="Z473" t="s">
        <v>5415</v>
      </c>
      <c r="AA473" s="6" t="str">
        <f t="shared" si="65"/>
        <v/>
      </c>
      <c r="AB473">
        <v>102</v>
      </c>
      <c r="AC473">
        <v>167</v>
      </c>
      <c r="AD473">
        <v>61</v>
      </c>
    </row>
    <row r="474" spans="1:30" ht="17" x14ac:dyDescent="0.25">
      <c r="A474" s="1" t="s">
        <v>476</v>
      </c>
      <c r="B474" s="1" t="s">
        <v>3128</v>
      </c>
      <c r="C474" s="1" t="s">
        <v>1803</v>
      </c>
      <c r="D474" t="str">
        <f t="shared" si="66"/>
        <v>7CCF4B</v>
      </c>
      <c r="E474" t="str">
        <f t="shared" si="67"/>
        <v>124-207-75</v>
      </c>
      <c r="F474" t="str">
        <f t="shared" si="68"/>
        <v>12420775</v>
      </c>
      <c r="G474">
        <f t="shared" si="69"/>
        <v>124</v>
      </c>
      <c r="H474">
        <f t="shared" si="70"/>
        <v>207</v>
      </c>
      <c r="I474">
        <f t="shared" si="71"/>
        <v>75</v>
      </c>
      <c r="J474" t="str">
        <f t="shared" si="63"/>
        <v>CA3sr",</v>
      </c>
      <c r="K474" t="str">
        <f t="shared" si="63"/>
        <v>Field CA3, stratum radiatum",</v>
      </c>
      <c r="L474" t="str">
        <f t="shared" si="64"/>
        <v>CA3sr</v>
      </c>
      <c r="M474" t="str">
        <f t="shared" si="64"/>
        <v>Field CA3, stratum radiatum</v>
      </c>
      <c r="N474" t="s">
        <v>5416</v>
      </c>
      <c r="O474" t="s">
        <v>5417</v>
      </c>
      <c r="Q474" s="6">
        <v>707</v>
      </c>
      <c r="R474" s="6">
        <v>178</v>
      </c>
      <c r="S474" s="6" t="s">
        <v>5877</v>
      </c>
      <c r="T474" s="6" t="s">
        <v>5876</v>
      </c>
      <c r="U474" s="6">
        <v>1014</v>
      </c>
      <c r="V474" s="6">
        <v>7</v>
      </c>
      <c r="W474" s="6" t="s">
        <v>7721</v>
      </c>
      <c r="Y474" t="s">
        <v>5416</v>
      </c>
      <c r="Z474" t="s">
        <v>5417</v>
      </c>
      <c r="AA474" s="6" t="str">
        <f t="shared" si="65"/>
        <v/>
      </c>
      <c r="AB474">
        <v>124</v>
      </c>
      <c r="AC474">
        <v>207</v>
      </c>
      <c r="AD474">
        <v>75</v>
      </c>
    </row>
    <row r="475" spans="1:30" ht="17" x14ac:dyDescent="0.25">
      <c r="A475" s="1" t="s">
        <v>477</v>
      </c>
      <c r="B475" s="1" t="s">
        <v>3129</v>
      </c>
      <c r="C475" s="1" t="s">
        <v>1804</v>
      </c>
      <c r="D475" t="str">
        <f t="shared" si="66"/>
        <v>7DCF49</v>
      </c>
      <c r="E475" t="str">
        <f t="shared" si="67"/>
        <v>125-207-73</v>
      </c>
      <c r="F475" t="str">
        <f t="shared" si="68"/>
        <v>12520773</v>
      </c>
      <c r="G475">
        <f t="shared" si="69"/>
        <v>125</v>
      </c>
      <c r="H475">
        <f t="shared" si="70"/>
        <v>207</v>
      </c>
      <c r="I475">
        <f t="shared" si="71"/>
        <v>73</v>
      </c>
      <c r="J475" t="str">
        <f t="shared" si="63"/>
        <v>DG",</v>
      </c>
      <c r="K475" t="str">
        <f t="shared" si="63"/>
        <v>Dentate gyrus",</v>
      </c>
      <c r="L475" t="str">
        <f t="shared" si="64"/>
        <v>DG</v>
      </c>
      <c r="M475" t="str">
        <f t="shared" si="64"/>
        <v>Dentate gyrus</v>
      </c>
      <c r="N475" t="s">
        <v>5418</v>
      </c>
      <c r="O475" t="s">
        <v>5419</v>
      </c>
      <c r="Q475" s="6">
        <v>710</v>
      </c>
      <c r="R475" s="6">
        <v>321</v>
      </c>
      <c r="S475" s="6" t="s">
        <v>5883</v>
      </c>
      <c r="T475" s="6" t="s">
        <v>5882</v>
      </c>
      <c r="U475" s="6">
        <v>1014</v>
      </c>
      <c r="V475" s="6">
        <v>7</v>
      </c>
      <c r="W475" s="6" t="s">
        <v>7722</v>
      </c>
      <c r="Y475" t="s">
        <v>5418</v>
      </c>
      <c r="Z475" t="s">
        <v>5419</v>
      </c>
      <c r="AA475" s="6">
        <f t="shared" si="65"/>
        <v>726</v>
      </c>
      <c r="AB475">
        <v>125</v>
      </c>
      <c r="AC475">
        <v>207</v>
      </c>
      <c r="AD475">
        <v>73</v>
      </c>
    </row>
    <row r="476" spans="1:30" ht="17" x14ac:dyDescent="0.25">
      <c r="A476" s="1" t="s">
        <v>478</v>
      </c>
      <c r="B476" s="1" t="s">
        <v>3130</v>
      </c>
      <c r="C476" s="1" t="s">
        <v>1805</v>
      </c>
      <c r="D476" t="str">
        <f t="shared" si="66"/>
        <v>7BD04A</v>
      </c>
      <c r="E476" t="str">
        <f t="shared" si="67"/>
        <v>123-208-74</v>
      </c>
      <c r="F476" t="str">
        <f t="shared" si="68"/>
        <v>12320874</v>
      </c>
      <c r="G476">
        <f t="shared" si="69"/>
        <v>123</v>
      </c>
      <c r="H476">
        <f t="shared" si="70"/>
        <v>208</v>
      </c>
      <c r="I476">
        <f t="shared" si="71"/>
        <v>74</v>
      </c>
      <c r="J476" t="str">
        <f t="shared" si="63"/>
        <v>DG-mo",</v>
      </c>
      <c r="K476" t="str">
        <f t="shared" si="63"/>
        <v>Dentate gyrus, molecular layer",</v>
      </c>
      <c r="L476" t="str">
        <f t="shared" si="64"/>
        <v>DG-mo</v>
      </c>
      <c r="M476" t="str">
        <f t="shared" si="64"/>
        <v>Dentate gyrus, molecular layer</v>
      </c>
      <c r="N476" t="s">
        <v>5420</v>
      </c>
      <c r="O476" t="s">
        <v>5421</v>
      </c>
      <c r="Q476" s="6">
        <v>711</v>
      </c>
      <c r="R476" s="6">
        <v>958</v>
      </c>
      <c r="S476" s="6" t="s">
        <v>5885</v>
      </c>
      <c r="T476" s="6" t="s">
        <v>5884</v>
      </c>
      <c r="U476" s="6">
        <v>856</v>
      </c>
      <c r="V476" s="6">
        <v>6</v>
      </c>
      <c r="W476" s="6" t="s">
        <v>7723</v>
      </c>
      <c r="Y476" t="s">
        <v>5420</v>
      </c>
      <c r="Z476" t="s">
        <v>5421</v>
      </c>
      <c r="AA476" s="6">
        <f t="shared" si="65"/>
        <v>1141</v>
      </c>
      <c r="AB476">
        <v>123</v>
      </c>
      <c r="AC476">
        <v>208</v>
      </c>
      <c r="AD476">
        <v>74</v>
      </c>
    </row>
    <row r="477" spans="1:30" ht="17" x14ac:dyDescent="0.25">
      <c r="A477" s="1" t="s">
        <v>479</v>
      </c>
      <c r="B477" s="1" t="s">
        <v>3131</v>
      </c>
      <c r="C477" s="1" t="s">
        <v>1806</v>
      </c>
      <c r="D477" t="str">
        <f t="shared" si="66"/>
        <v>7ECE4A</v>
      </c>
      <c r="E477" t="str">
        <f t="shared" si="67"/>
        <v>126-206-74</v>
      </c>
      <c r="F477" t="str">
        <f t="shared" si="68"/>
        <v>12620674</v>
      </c>
      <c r="G477">
        <f t="shared" si="69"/>
        <v>126</v>
      </c>
      <c r="H477">
        <f t="shared" si="70"/>
        <v>206</v>
      </c>
      <c r="I477">
        <f t="shared" si="71"/>
        <v>74</v>
      </c>
      <c r="J477" t="str">
        <f t="shared" si="63"/>
        <v>DG-po",</v>
      </c>
      <c r="K477" t="str">
        <f t="shared" si="63"/>
        <v>Dentate gyrus, polymorph layer",</v>
      </c>
      <c r="L477" t="str">
        <f t="shared" si="64"/>
        <v>DG-po</v>
      </c>
      <c r="M477" t="str">
        <f t="shared" si="64"/>
        <v>Dentate gyrus, polymorph layer</v>
      </c>
      <c r="N477" t="s">
        <v>5422</v>
      </c>
      <c r="O477" t="s">
        <v>5423</v>
      </c>
      <c r="Q477" s="6">
        <v>712</v>
      </c>
      <c r="R477" s="6">
        <v>483</v>
      </c>
      <c r="S477" s="6" t="s">
        <v>5887</v>
      </c>
      <c r="T477" s="6" t="s">
        <v>5886</v>
      </c>
      <c r="U477" s="6">
        <v>958</v>
      </c>
      <c r="V477" s="6">
        <v>7</v>
      </c>
      <c r="W477" s="6" t="s">
        <v>7724</v>
      </c>
      <c r="Y477" t="s">
        <v>5422</v>
      </c>
      <c r="Z477" t="s">
        <v>5423</v>
      </c>
      <c r="AA477" s="6">
        <f t="shared" si="65"/>
        <v>1142</v>
      </c>
      <c r="AB477">
        <v>126</v>
      </c>
      <c r="AC477">
        <v>206</v>
      </c>
      <c r="AD477">
        <v>74</v>
      </c>
    </row>
    <row r="478" spans="1:30" ht="17" x14ac:dyDescent="0.25">
      <c r="A478" s="1" t="s">
        <v>480</v>
      </c>
      <c r="B478" s="1" t="s">
        <v>3132</v>
      </c>
      <c r="C478" s="1" t="s">
        <v>1807</v>
      </c>
      <c r="D478" t="str">
        <f t="shared" si="66"/>
        <v>65A83D</v>
      </c>
      <c r="E478" t="str">
        <f t="shared" si="67"/>
        <v>101-168-61</v>
      </c>
      <c r="F478" t="str">
        <f t="shared" si="68"/>
        <v>10116861</v>
      </c>
      <c r="G478">
        <f t="shared" si="69"/>
        <v>101</v>
      </c>
      <c r="H478">
        <f t="shared" si="70"/>
        <v>168</v>
      </c>
      <c r="I478">
        <f t="shared" si="71"/>
        <v>61</v>
      </c>
      <c r="J478" t="str">
        <f t="shared" si="63"/>
        <v>DG-sg",</v>
      </c>
      <c r="K478" t="str">
        <f t="shared" si="63"/>
        <v>Dentate gyrus, granule cell layer",</v>
      </c>
      <c r="L478" t="str">
        <f t="shared" si="64"/>
        <v>DG-sg</v>
      </c>
      <c r="M478" t="str">
        <f t="shared" si="64"/>
        <v>Dentate gyrus, granule cell layer</v>
      </c>
      <c r="N478" t="s">
        <v>5424</v>
      </c>
      <c r="O478" t="s">
        <v>5425</v>
      </c>
      <c r="Q478" s="6">
        <v>713</v>
      </c>
      <c r="R478" s="6">
        <v>186</v>
      </c>
      <c r="S478" s="6" t="s">
        <v>5889</v>
      </c>
      <c r="T478" s="6" t="s">
        <v>5888</v>
      </c>
      <c r="U478" s="6">
        <v>958</v>
      </c>
      <c r="V478" s="6">
        <v>7</v>
      </c>
      <c r="W478" s="6" t="s">
        <v>7725</v>
      </c>
      <c r="Y478" t="s">
        <v>5424</v>
      </c>
      <c r="Z478" t="s">
        <v>5425</v>
      </c>
      <c r="AA478" s="6">
        <f t="shared" si="65"/>
        <v>632</v>
      </c>
      <c r="AB478">
        <v>101</v>
      </c>
      <c r="AC478">
        <v>168</v>
      </c>
      <c r="AD478">
        <v>61</v>
      </c>
    </row>
    <row r="479" spans="1:30" ht="17" x14ac:dyDescent="0.25">
      <c r="A479" s="1" t="s">
        <v>481</v>
      </c>
      <c r="B479" s="1" t="s">
        <v>3133</v>
      </c>
      <c r="C479" s="1" t="s">
        <v>1808</v>
      </c>
      <c r="D479" t="str">
        <f t="shared" si="66"/>
        <v>7CD04B</v>
      </c>
      <c r="E479" t="str">
        <f t="shared" si="67"/>
        <v>124-208-75</v>
      </c>
      <c r="F479" t="str">
        <f t="shared" si="68"/>
        <v>12420875</v>
      </c>
      <c r="G479">
        <f t="shared" si="69"/>
        <v>124</v>
      </c>
      <c r="H479">
        <f t="shared" si="70"/>
        <v>208</v>
      </c>
      <c r="I479">
        <f t="shared" si="71"/>
        <v>75</v>
      </c>
      <c r="J479" t="str">
        <f t="shared" si="63"/>
        <v>DG-sgz",</v>
      </c>
      <c r="K479" t="str">
        <f t="shared" si="63"/>
        <v>Dentate gyrus, subgranular zone",</v>
      </c>
      <c r="L479" t="str">
        <f t="shared" si="64"/>
        <v>DG-sgz</v>
      </c>
      <c r="M479" t="str">
        <f t="shared" si="64"/>
        <v>Dentate gyrus, subgranular zone</v>
      </c>
      <c r="N479" t="s">
        <v>5426</v>
      </c>
      <c r="O479" t="s">
        <v>5427</v>
      </c>
      <c r="Q479" s="6">
        <v>715</v>
      </c>
      <c r="R479" s="6">
        <v>1097</v>
      </c>
      <c r="S479" s="6" t="s">
        <v>5893</v>
      </c>
      <c r="T479" s="6" t="s">
        <v>5892</v>
      </c>
      <c r="U479" s="6">
        <v>1129</v>
      </c>
      <c r="V479" s="6">
        <v>4</v>
      </c>
      <c r="W479" s="6" t="s">
        <v>7726</v>
      </c>
      <c r="Y479" t="s">
        <v>5426</v>
      </c>
      <c r="Z479" t="s">
        <v>5427</v>
      </c>
      <c r="AA479" s="6" t="str">
        <f t="shared" si="65"/>
        <v/>
      </c>
      <c r="AB479">
        <v>124</v>
      </c>
      <c r="AC479">
        <v>208</v>
      </c>
      <c r="AD479">
        <v>75</v>
      </c>
    </row>
    <row r="480" spans="1:30" ht="17" x14ac:dyDescent="0.25">
      <c r="A480" s="1" t="s">
        <v>482</v>
      </c>
      <c r="B480" s="1" t="s">
        <v>3134</v>
      </c>
      <c r="C480" s="1" t="s">
        <v>1809</v>
      </c>
      <c r="D480" t="str">
        <f t="shared" si="66"/>
        <v>7DCE4A</v>
      </c>
      <c r="E480" t="str">
        <f t="shared" si="67"/>
        <v>125-206-74</v>
      </c>
      <c r="F480" t="str">
        <f t="shared" si="68"/>
        <v>12520674</v>
      </c>
      <c r="G480">
        <f t="shared" si="69"/>
        <v>125</v>
      </c>
      <c r="H480">
        <f t="shared" si="70"/>
        <v>206</v>
      </c>
      <c r="I480">
        <f t="shared" si="71"/>
        <v>74</v>
      </c>
      <c r="J480" t="str">
        <f t="shared" si="63"/>
        <v>DGcr",</v>
      </c>
      <c r="K480" t="str">
        <f t="shared" si="63"/>
        <v>Dentate gyrus crest",</v>
      </c>
      <c r="L480" t="str">
        <f t="shared" si="64"/>
        <v>DGcr</v>
      </c>
      <c r="M480" t="str">
        <f t="shared" si="64"/>
        <v>Dentate gyrus crest</v>
      </c>
      <c r="N480" t="s">
        <v>5428</v>
      </c>
      <c r="O480" t="s">
        <v>5429</v>
      </c>
      <c r="Q480" s="6">
        <v>716</v>
      </c>
      <c r="R480" s="6">
        <v>157</v>
      </c>
      <c r="S480" s="6" t="s">
        <v>5895</v>
      </c>
      <c r="T480" s="6" t="s">
        <v>5894</v>
      </c>
      <c r="U480" s="6">
        <v>1097</v>
      </c>
      <c r="V480" s="6">
        <v>5</v>
      </c>
      <c r="W480" s="6" t="s">
        <v>7727</v>
      </c>
      <c r="Y480" t="s">
        <v>5428</v>
      </c>
      <c r="Z480" t="s">
        <v>5429</v>
      </c>
      <c r="AA480" s="6" t="str">
        <f t="shared" si="65"/>
        <v/>
      </c>
      <c r="AB480">
        <v>125</v>
      </c>
      <c r="AC480">
        <v>206</v>
      </c>
      <c r="AD480">
        <v>74</v>
      </c>
    </row>
    <row r="481" spans="1:30" ht="17" x14ac:dyDescent="0.25">
      <c r="A481" s="1" t="s">
        <v>483</v>
      </c>
      <c r="B481" s="1" t="s">
        <v>3135</v>
      </c>
      <c r="C481" s="1" t="s">
        <v>1810</v>
      </c>
      <c r="D481" t="str">
        <f t="shared" si="66"/>
        <v>7CCF4A</v>
      </c>
      <c r="E481" t="str">
        <f t="shared" si="67"/>
        <v>124-207-74</v>
      </c>
      <c r="F481" t="str">
        <f t="shared" si="68"/>
        <v>12420774</v>
      </c>
      <c r="G481">
        <f t="shared" si="69"/>
        <v>124</v>
      </c>
      <c r="H481">
        <f t="shared" si="70"/>
        <v>207</v>
      </c>
      <c r="I481">
        <f t="shared" si="71"/>
        <v>74</v>
      </c>
      <c r="J481" t="str">
        <f t="shared" si="63"/>
        <v>DGcr-mo",</v>
      </c>
      <c r="K481" t="str">
        <f t="shared" si="63"/>
        <v>Dentate gyrus crest, molecular layer",</v>
      </c>
      <c r="L481" t="str">
        <f t="shared" si="64"/>
        <v>DGcr-mo</v>
      </c>
      <c r="M481" t="str">
        <f t="shared" si="64"/>
        <v>Dentate gyrus crest, molecular layer</v>
      </c>
      <c r="N481" t="s">
        <v>5430</v>
      </c>
      <c r="O481" t="s">
        <v>5431</v>
      </c>
      <c r="Q481" s="6">
        <v>717</v>
      </c>
      <c r="R481" s="6">
        <v>390</v>
      </c>
      <c r="S481" s="6" t="s">
        <v>5897</v>
      </c>
      <c r="T481" s="6" t="s">
        <v>5896</v>
      </c>
      <c r="U481" s="6">
        <v>157</v>
      </c>
      <c r="V481" s="6">
        <v>6</v>
      </c>
      <c r="W481" s="6" t="s">
        <v>7728</v>
      </c>
      <c r="Y481" t="s">
        <v>5430</v>
      </c>
      <c r="Z481" t="s">
        <v>5431</v>
      </c>
      <c r="AA481" s="6" t="str">
        <f t="shared" si="65"/>
        <v/>
      </c>
      <c r="AB481">
        <v>124</v>
      </c>
      <c r="AC481">
        <v>207</v>
      </c>
      <c r="AD481">
        <v>74</v>
      </c>
    </row>
    <row r="482" spans="1:30" ht="17" x14ac:dyDescent="0.25">
      <c r="A482" s="1" t="s">
        <v>484</v>
      </c>
      <c r="B482" s="1" t="s">
        <v>3136</v>
      </c>
      <c r="C482" s="1" t="s">
        <v>1811</v>
      </c>
      <c r="D482" t="str">
        <f t="shared" si="66"/>
        <v>7ECE49</v>
      </c>
      <c r="E482" t="str">
        <f t="shared" si="67"/>
        <v>126-206-73</v>
      </c>
      <c r="F482" t="str">
        <f t="shared" si="68"/>
        <v>12620673</v>
      </c>
      <c r="G482">
        <f t="shared" si="69"/>
        <v>126</v>
      </c>
      <c r="H482">
        <f t="shared" si="70"/>
        <v>206</v>
      </c>
      <c r="I482">
        <f t="shared" si="71"/>
        <v>73</v>
      </c>
      <c r="J482" t="str">
        <f t="shared" si="63"/>
        <v>DGcr-po",</v>
      </c>
      <c r="K482" t="str">
        <f t="shared" si="63"/>
        <v>Dentate gyrus crest, polymorph layer",</v>
      </c>
      <c r="L482" t="str">
        <f t="shared" si="64"/>
        <v>DGcr-po</v>
      </c>
      <c r="M482" t="str">
        <f t="shared" si="64"/>
        <v>Dentate gyrus crest, polymorph layer</v>
      </c>
      <c r="N482" t="s">
        <v>5432</v>
      </c>
      <c r="O482" t="s">
        <v>5433</v>
      </c>
      <c r="Q482" s="6">
        <v>718</v>
      </c>
      <c r="R482" s="6">
        <v>332</v>
      </c>
      <c r="S482" s="6" t="s">
        <v>5899</v>
      </c>
      <c r="T482" s="6" t="s">
        <v>5898</v>
      </c>
      <c r="U482" s="6">
        <v>157</v>
      </c>
      <c r="V482" s="6">
        <v>6</v>
      </c>
      <c r="W482" s="6" t="s">
        <v>7729</v>
      </c>
      <c r="Y482" t="s">
        <v>5432</v>
      </c>
      <c r="Z482" t="s">
        <v>5433</v>
      </c>
      <c r="AA482" s="6" t="str">
        <f t="shared" si="65"/>
        <v/>
      </c>
      <c r="AB482">
        <v>126</v>
      </c>
      <c r="AC482">
        <v>206</v>
      </c>
      <c r="AD482">
        <v>73</v>
      </c>
    </row>
    <row r="483" spans="1:30" ht="17" x14ac:dyDescent="0.25">
      <c r="A483" s="1" t="s">
        <v>485</v>
      </c>
      <c r="B483" s="1" t="s">
        <v>3137</v>
      </c>
      <c r="C483" s="1" t="s">
        <v>1812</v>
      </c>
      <c r="D483" t="str">
        <f t="shared" si="66"/>
        <v>7CD049</v>
      </c>
      <c r="E483" t="str">
        <f t="shared" si="67"/>
        <v>124-208-73</v>
      </c>
      <c r="F483" t="str">
        <f t="shared" si="68"/>
        <v>12420873</v>
      </c>
      <c r="G483">
        <f t="shared" si="69"/>
        <v>124</v>
      </c>
      <c r="H483">
        <f t="shared" si="70"/>
        <v>208</v>
      </c>
      <c r="I483">
        <f t="shared" si="71"/>
        <v>73</v>
      </c>
      <c r="J483" t="str">
        <f t="shared" si="63"/>
        <v>DGcr-sg",</v>
      </c>
      <c r="K483" t="str">
        <f t="shared" si="63"/>
        <v>Dentate gyrus crest, granule cell layer",</v>
      </c>
      <c r="L483" t="str">
        <f t="shared" si="64"/>
        <v>DGcr-sg</v>
      </c>
      <c r="M483" t="str">
        <f t="shared" si="64"/>
        <v>Dentate gyrus crest, granule cell layer</v>
      </c>
      <c r="N483" t="s">
        <v>5434</v>
      </c>
      <c r="O483" t="s">
        <v>5435</v>
      </c>
      <c r="Q483" s="6">
        <v>720</v>
      </c>
      <c r="R483" s="6">
        <v>38</v>
      </c>
      <c r="S483" s="6" t="s">
        <v>5903</v>
      </c>
      <c r="T483" s="6" t="s">
        <v>5902</v>
      </c>
      <c r="U483" s="6">
        <v>157</v>
      </c>
      <c r="V483" s="6">
        <v>6</v>
      </c>
      <c r="W483" s="6" t="s">
        <v>7730</v>
      </c>
      <c r="Y483" t="s">
        <v>5434</v>
      </c>
      <c r="Z483" t="s">
        <v>5435</v>
      </c>
      <c r="AA483" s="6" t="str">
        <f t="shared" si="65"/>
        <v/>
      </c>
      <c r="AB483">
        <v>124</v>
      </c>
      <c r="AC483">
        <v>208</v>
      </c>
      <c r="AD483">
        <v>73</v>
      </c>
    </row>
    <row r="484" spans="1:30" ht="17" x14ac:dyDescent="0.25">
      <c r="A484" s="1" t="s">
        <v>486</v>
      </c>
      <c r="B484" s="1" t="s">
        <v>3138</v>
      </c>
      <c r="C484" s="1" t="s">
        <v>1813</v>
      </c>
      <c r="D484" t="str">
        <f t="shared" si="66"/>
        <v>7CCE4B</v>
      </c>
      <c r="E484" t="str">
        <f t="shared" si="67"/>
        <v>124-206-75</v>
      </c>
      <c r="F484" t="str">
        <f t="shared" si="68"/>
        <v>12420675</v>
      </c>
      <c r="G484">
        <f t="shared" si="69"/>
        <v>124</v>
      </c>
      <c r="H484">
        <f t="shared" si="70"/>
        <v>206</v>
      </c>
      <c r="I484">
        <f t="shared" si="71"/>
        <v>75</v>
      </c>
      <c r="J484" t="str">
        <f t="shared" si="63"/>
        <v>DGlb",</v>
      </c>
      <c r="K484" t="str">
        <f t="shared" si="63"/>
        <v>Dentate gyrus lateral blade",</v>
      </c>
      <c r="L484" t="str">
        <f t="shared" si="64"/>
        <v>DGlb</v>
      </c>
      <c r="M484" t="str">
        <f t="shared" si="64"/>
        <v>Dentate gyrus lateral blade</v>
      </c>
      <c r="N484" t="s">
        <v>5436</v>
      </c>
      <c r="O484" t="s">
        <v>5437</v>
      </c>
      <c r="Q484" s="6">
        <v>731</v>
      </c>
      <c r="R484" s="6">
        <v>30</v>
      </c>
      <c r="S484" s="6" t="s">
        <v>5925</v>
      </c>
      <c r="T484" s="6" t="s">
        <v>5924</v>
      </c>
      <c r="U484" s="6">
        <v>157</v>
      </c>
      <c r="V484" s="6">
        <v>6</v>
      </c>
      <c r="W484" s="6" t="s">
        <v>7731</v>
      </c>
      <c r="Y484" t="s">
        <v>5436</v>
      </c>
      <c r="Z484" t="s">
        <v>5437</v>
      </c>
      <c r="AA484" s="6" t="str">
        <f t="shared" si="65"/>
        <v/>
      </c>
      <c r="AB484">
        <v>124</v>
      </c>
      <c r="AC484">
        <v>206</v>
      </c>
      <c r="AD484">
        <v>75</v>
      </c>
    </row>
    <row r="485" spans="1:30" ht="17" x14ac:dyDescent="0.25">
      <c r="A485" s="1" t="s">
        <v>487</v>
      </c>
      <c r="B485" s="1" t="s">
        <v>3139</v>
      </c>
      <c r="C485" s="1" t="s">
        <v>1814</v>
      </c>
      <c r="D485" t="str">
        <f t="shared" si="66"/>
        <v>7ED048</v>
      </c>
      <c r="E485" t="str">
        <f t="shared" si="67"/>
        <v>126-208-72</v>
      </c>
      <c r="F485" t="str">
        <f t="shared" si="68"/>
        <v>12620872</v>
      </c>
      <c r="G485">
        <f t="shared" si="69"/>
        <v>126</v>
      </c>
      <c r="H485">
        <f t="shared" si="70"/>
        <v>208</v>
      </c>
      <c r="I485">
        <f t="shared" si="71"/>
        <v>72</v>
      </c>
      <c r="J485" t="str">
        <f t="shared" si="63"/>
        <v>DGlb-mo",</v>
      </c>
      <c r="K485" t="str">
        <f t="shared" si="63"/>
        <v>Dentate gyrus lateral blade, molecular layer",</v>
      </c>
      <c r="L485" t="str">
        <f t="shared" si="64"/>
        <v>DGlb-mo</v>
      </c>
      <c r="M485" t="str">
        <f t="shared" si="64"/>
        <v>Dentate gyrus lateral blade, molecular layer</v>
      </c>
      <c r="N485" t="s">
        <v>5438</v>
      </c>
      <c r="O485" t="s">
        <v>5439</v>
      </c>
      <c r="Q485" s="6">
        <v>732</v>
      </c>
      <c r="R485" s="6">
        <v>118</v>
      </c>
      <c r="S485" s="6" t="s">
        <v>5927</v>
      </c>
      <c r="T485" s="6" t="s">
        <v>5926</v>
      </c>
      <c r="U485" s="6">
        <v>157</v>
      </c>
      <c r="V485" s="6">
        <v>6</v>
      </c>
      <c r="W485" s="6" t="s">
        <v>7732</v>
      </c>
      <c r="Y485" t="s">
        <v>5438</v>
      </c>
      <c r="Z485" t="s">
        <v>5439</v>
      </c>
      <c r="AA485" s="6" t="str">
        <f t="shared" si="65"/>
        <v/>
      </c>
      <c r="AB485">
        <v>126</v>
      </c>
      <c r="AC485">
        <v>208</v>
      </c>
      <c r="AD485">
        <v>72</v>
      </c>
    </row>
    <row r="486" spans="1:30" ht="17" x14ac:dyDescent="0.25">
      <c r="A486" s="1" t="s">
        <v>488</v>
      </c>
      <c r="B486" s="1" t="s">
        <v>3140</v>
      </c>
      <c r="C486" s="1" t="s">
        <v>1815</v>
      </c>
      <c r="D486" t="str">
        <f t="shared" si="66"/>
        <v>7ECD4B</v>
      </c>
      <c r="E486" t="str">
        <f t="shared" si="67"/>
        <v>126-205-75</v>
      </c>
      <c r="F486" t="str">
        <f t="shared" si="68"/>
        <v>12620575</v>
      </c>
      <c r="G486">
        <f t="shared" si="69"/>
        <v>126</v>
      </c>
      <c r="H486">
        <f t="shared" si="70"/>
        <v>205</v>
      </c>
      <c r="I486">
        <f t="shared" si="71"/>
        <v>75</v>
      </c>
      <c r="J486" t="str">
        <f t="shared" si="63"/>
        <v>DGlb-po",</v>
      </c>
      <c r="K486" t="str">
        <f t="shared" si="63"/>
        <v>Dentate gyrus lateral blade, polymorph layer",</v>
      </c>
      <c r="L486" t="str">
        <f t="shared" si="64"/>
        <v>DGlb-po</v>
      </c>
      <c r="M486" t="str">
        <f t="shared" si="64"/>
        <v>Dentate gyrus lateral blade, polymorph layer</v>
      </c>
      <c r="N486" t="s">
        <v>5440</v>
      </c>
      <c r="O486" t="s">
        <v>5441</v>
      </c>
      <c r="Q486" s="6">
        <v>733</v>
      </c>
      <c r="R486" s="6">
        <v>223</v>
      </c>
      <c r="S486" s="6" t="s">
        <v>5929</v>
      </c>
      <c r="T486" s="6" t="s">
        <v>5928</v>
      </c>
      <c r="U486" s="6">
        <v>157</v>
      </c>
      <c r="V486" s="6">
        <v>6</v>
      </c>
      <c r="W486" s="6" t="s">
        <v>7733</v>
      </c>
      <c r="Y486" t="s">
        <v>5440</v>
      </c>
      <c r="Z486" t="s">
        <v>5441</v>
      </c>
      <c r="AA486" s="6" t="str">
        <f t="shared" si="65"/>
        <v/>
      </c>
      <c r="AB486">
        <v>126</v>
      </c>
      <c r="AC486">
        <v>205</v>
      </c>
      <c r="AD486">
        <v>75</v>
      </c>
    </row>
    <row r="487" spans="1:30" ht="17" x14ac:dyDescent="0.25">
      <c r="A487" s="1" t="s">
        <v>489</v>
      </c>
      <c r="B487" s="1" t="s">
        <v>3141</v>
      </c>
      <c r="C487" s="1" t="s">
        <v>1816</v>
      </c>
      <c r="D487" t="str">
        <f t="shared" si="66"/>
        <v>7DCE49</v>
      </c>
      <c r="E487" t="str">
        <f t="shared" si="67"/>
        <v>125-206-73</v>
      </c>
      <c r="F487" t="str">
        <f t="shared" si="68"/>
        <v>12520673</v>
      </c>
      <c r="G487">
        <f t="shared" si="69"/>
        <v>125</v>
      </c>
      <c r="H487">
        <f t="shared" si="70"/>
        <v>206</v>
      </c>
      <c r="I487">
        <f t="shared" si="71"/>
        <v>73</v>
      </c>
      <c r="J487" t="str">
        <f t="shared" si="63"/>
        <v>DGlb-sg",</v>
      </c>
      <c r="K487" t="str">
        <f t="shared" si="63"/>
        <v>Dentate gyrus lateral blade, granule cell layer",</v>
      </c>
      <c r="L487" t="str">
        <f t="shared" si="64"/>
        <v>DGlb-sg</v>
      </c>
      <c r="M487" t="str">
        <f t="shared" si="64"/>
        <v>Dentate gyrus lateral blade, granule cell layer</v>
      </c>
      <c r="N487" t="s">
        <v>5442</v>
      </c>
      <c r="O487" t="s">
        <v>5443</v>
      </c>
      <c r="Q487" s="6">
        <v>734</v>
      </c>
      <c r="R487" s="6">
        <v>141</v>
      </c>
      <c r="S487" s="6" t="s">
        <v>5931</v>
      </c>
      <c r="T487" s="6" t="s">
        <v>5930</v>
      </c>
      <c r="U487" s="6">
        <v>1097</v>
      </c>
      <c r="V487" s="6">
        <v>5</v>
      </c>
      <c r="W487" s="6" t="s">
        <v>7734</v>
      </c>
      <c r="Y487" t="s">
        <v>5442</v>
      </c>
      <c r="Z487" t="s">
        <v>5443</v>
      </c>
      <c r="AA487" s="6" t="str">
        <f t="shared" si="65"/>
        <v/>
      </c>
      <c r="AB487">
        <v>125</v>
      </c>
      <c r="AC487">
        <v>206</v>
      </c>
      <c r="AD487">
        <v>73</v>
      </c>
    </row>
    <row r="488" spans="1:30" ht="17" x14ac:dyDescent="0.25">
      <c r="A488" s="1" t="s">
        <v>490</v>
      </c>
      <c r="B488" s="1" t="s">
        <v>3142</v>
      </c>
      <c r="C488" s="1" t="s">
        <v>1817</v>
      </c>
      <c r="D488" t="str">
        <f t="shared" si="66"/>
        <v>7CCF49</v>
      </c>
      <c r="E488" t="str">
        <f t="shared" si="67"/>
        <v>124-207-73</v>
      </c>
      <c r="F488" t="str">
        <f t="shared" si="68"/>
        <v>12420773</v>
      </c>
      <c r="G488">
        <f t="shared" si="69"/>
        <v>124</v>
      </c>
      <c r="H488">
        <f t="shared" si="70"/>
        <v>207</v>
      </c>
      <c r="I488">
        <f t="shared" si="71"/>
        <v>73</v>
      </c>
      <c r="J488" t="str">
        <f t="shared" si="63"/>
        <v>DGmb",</v>
      </c>
      <c r="K488" t="str">
        <f t="shared" si="63"/>
        <v>Dentate gyrus medial blade",</v>
      </c>
      <c r="L488" t="str">
        <f t="shared" si="64"/>
        <v>DGmb</v>
      </c>
      <c r="M488" t="str">
        <f t="shared" si="64"/>
        <v>Dentate gyrus medial blade</v>
      </c>
      <c r="N488" t="s">
        <v>5444</v>
      </c>
      <c r="O488" t="s">
        <v>5445</v>
      </c>
      <c r="Q488" s="6">
        <v>735</v>
      </c>
      <c r="R488" s="6">
        <v>72</v>
      </c>
      <c r="S488" s="6" t="s">
        <v>5933</v>
      </c>
      <c r="T488" s="6" t="s">
        <v>5932</v>
      </c>
      <c r="U488" s="6">
        <v>141</v>
      </c>
      <c r="V488" s="6">
        <v>6</v>
      </c>
      <c r="W488" s="6" t="s">
        <v>7735</v>
      </c>
      <c r="Y488" t="s">
        <v>5444</v>
      </c>
      <c r="Z488" t="s">
        <v>5445</v>
      </c>
      <c r="AA488" s="6" t="str">
        <f t="shared" si="65"/>
        <v/>
      </c>
      <c r="AB488">
        <v>124</v>
      </c>
      <c r="AC488">
        <v>207</v>
      </c>
      <c r="AD488">
        <v>73</v>
      </c>
    </row>
    <row r="489" spans="1:30" ht="17" x14ac:dyDescent="0.25">
      <c r="A489" s="1" t="s">
        <v>491</v>
      </c>
      <c r="B489" s="1" t="s">
        <v>3143</v>
      </c>
      <c r="C489" s="1" t="s">
        <v>1818</v>
      </c>
      <c r="D489" t="str">
        <f t="shared" si="66"/>
        <v>7CCE4A</v>
      </c>
      <c r="E489" t="str">
        <f t="shared" si="67"/>
        <v>124-206-74</v>
      </c>
      <c r="F489" t="str">
        <f t="shared" si="68"/>
        <v>12420674</v>
      </c>
      <c r="G489">
        <f t="shared" si="69"/>
        <v>124</v>
      </c>
      <c r="H489">
        <f t="shared" si="70"/>
        <v>206</v>
      </c>
      <c r="I489">
        <f t="shared" si="71"/>
        <v>74</v>
      </c>
      <c r="J489" t="str">
        <f t="shared" si="63"/>
        <v>DGmb-mo",</v>
      </c>
      <c r="K489" t="str">
        <f t="shared" si="63"/>
        <v>Dentate gyrus medial blade, molecular layer",</v>
      </c>
      <c r="L489" t="str">
        <f t="shared" si="64"/>
        <v>DGmb-mo</v>
      </c>
      <c r="M489" t="str">
        <f t="shared" si="64"/>
        <v>Dentate gyrus medial blade, molecular layer</v>
      </c>
      <c r="N489" t="s">
        <v>5446</v>
      </c>
      <c r="O489" t="s">
        <v>5447</v>
      </c>
      <c r="Q489" s="6">
        <v>737</v>
      </c>
      <c r="R489" s="6">
        <v>263</v>
      </c>
      <c r="S489" s="6" t="s">
        <v>5937</v>
      </c>
      <c r="T489" s="6" t="s">
        <v>5936</v>
      </c>
      <c r="U489" s="6">
        <v>141</v>
      </c>
      <c r="V489" s="6">
        <v>6</v>
      </c>
      <c r="W489" s="6" t="s">
        <v>7736</v>
      </c>
      <c r="Y489" t="s">
        <v>5446</v>
      </c>
      <c r="Z489" t="s">
        <v>5447</v>
      </c>
      <c r="AA489" s="6" t="str">
        <f t="shared" si="65"/>
        <v/>
      </c>
      <c r="AB489">
        <v>124</v>
      </c>
      <c r="AC489">
        <v>206</v>
      </c>
      <c r="AD489">
        <v>74</v>
      </c>
    </row>
    <row r="490" spans="1:30" ht="17" x14ac:dyDescent="0.25">
      <c r="A490" s="1" t="s">
        <v>492</v>
      </c>
      <c r="B490" s="1" t="s">
        <v>3144</v>
      </c>
      <c r="C490" s="1" t="s">
        <v>1819</v>
      </c>
      <c r="D490" t="str">
        <f t="shared" si="66"/>
        <v>7BD04B</v>
      </c>
      <c r="E490" t="str">
        <f t="shared" si="67"/>
        <v>123-208-75</v>
      </c>
      <c r="F490" t="str">
        <f t="shared" si="68"/>
        <v>12320875</v>
      </c>
      <c r="G490">
        <f t="shared" si="69"/>
        <v>123</v>
      </c>
      <c r="H490">
        <f t="shared" si="70"/>
        <v>208</v>
      </c>
      <c r="I490">
        <f t="shared" si="71"/>
        <v>75</v>
      </c>
      <c r="J490" t="str">
        <f t="shared" si="63"/>
        <v>DGmb-po",</v>
      </c>
      <c r="K490" t="str">
        <f t="shared" si="63"/>
        <v>Dentate gyrus medial blade, polymorph layer",</v>
      </c>
      <c r="L490" t="str">
        <f t="shared" si="64"/>
        <v>DGmb-po</v>
      </c>
      <c r="M490" t="str">
        <f t="shared" si="64"/>
        <v>Dentate gyrus medial blade, polymorph layer</v>
      </c>
      <c r="N490" t="s">
        <v>5448</v>
      </c>
      <c r="O490" t="s">
        <v>5449</v>
      </c>
      <c r="Q490" s="6">
        <v>738</v>
      </c>
      <c r="R490" s="6">
        <v>272</v>
      </c>
      <c r="S490" s="6" t="s">
        <v>5939</v>
      </c>
      <c r="T490" s="6" t="s">
        <v>5938</v>
      </c>
      <c r="U490" s="6">
        <v>141</v>
      </c>
      <c r="V490" s="6">
        <v>6</v>
      </c>
      <c r="W490" s="6" t="s">
        <v>7737</v>
      </c>
      <c r="Y490" t="s">
        <v>5448</v>
      </c>
      <c r="Z490" t="s">
        <v>5449</v>
      </c>
      <c r="AA490" s="6" t="str">
        <f t="shared" si="65"/>
        <v/>
      </c>
      <c r="AB490">
        <v>123</v>
      </c>
      <c r="AC490">
        <v>208</v>
      </c>
      <c r="AD490">
        <v>75</v>
      </c>
    </row>
    <row r="491" spans="1:30" ht="17" x14ac:dyDescent="0.25">
      <c r="A491" s="1" t="s">
        <v>493</v>
      </c>
      <c r="B491" s="1" t="s">
        <v>3145</v>
      </c>
      <c r="C491" s="1" t="s">
        <v>1820</v>
      </c>
      <c r="D491" t="str">
        <f t="shared" si="66"/>
        <v>7ECF48</v>
      </c>
      <c r="E491" t="str">
        <f t="shared" si="67"/>
        <v>126-207-72</v>
      </c>
      <c r="F491" t="str">
        <f t="shared" si="68"/>
        <v>12620772</v>
      </c>
      <c r="G491">
        <f t="shared" si="69"/>
        <v>126</v>
      </c>
      <c r="H491">
        <f t="shared" si="70"/>
        <v>207</v>
      </c>
      <c r="I491">
        <f t="shared" si="71"/>
        <v>72</v>
      </c>
      <c r="J491" t="str">
        <f t="shared" si="63"/>
        <v>DGmb-sg",</v>
      </c>
      <c r="K491" t="str">
        <f t="shared" si="63"/>
        <v>Dentate gyrus medial blade, granule cell layer",</v>
      </c>
      <c r="L491" t="str">
        <f t="shared" si="64"/>
        <v>DGmb-sg</v>
      </c>
      <c r="M491" t="str">
        <f t="shared" si="64"/>
        <v>Dentate gyrus medial blade, granule cell layer</v>
      </c>
      <c r="N491" t="s">
        <v>5450</v>
      </c>
      <c r="O491" t="s">
        <v>5451</v>
      </c>
      <c r="Q491" s="6">
        <v>739</v>
      </c>
      <c r="R491" s="6">
        <v>830</v>
      </c>
      <c r="S491" s="6" t="s">
        <v>5941</v>
      </c>
      <c r="T491" s="6" t="s">
        <v>5940</v>
      </c>
      <c r="U491" s="6">
        <v>141</v>
      </c>
      <c r="V491" s="6">
        <v>6</v>
      </c>
      <c r="W491" s="6" t="s">
        <v>7738</v>
      </c>
      <c r="Y491" t="s">
        <v>5450</v>
      </c>
      <c r="Z491" t="s">
        <v>5451</v>
      </c>
      <c r="AA491" s="6" t="str">
        <f t="shared" si="65"/>
        <v/>
      </c>
      <c r="AB491">
        <v>126</v>
      </c>
      <c r="AC491">
        <v>207</v>
      </c>
      <c r="AD491">
        <v>72</v>
      </c>
    </row>
    <row r="492" spans="1:30" ht="17" x14ac:dyDescent="0.25">
      <c r="A492" s="1" t="s">
        <v>494</v>
      </c>
      <c r="B492" s="1" t="s">
        <v>3146</v>
      </c>
      <c r="C492" s="1" t="s">
        <v>1821</v>
      </c>
      <c r="D492" t="str">
        <f t="shared" si="66"/>
        <v>7ECD4A</v>
      </c>
      <c r="E492" t="str">
        <f t="shared" si="67"/>
        <v>126-205-74</v>
      </c>
      <c r="F492" t="str">
        <f t="shared" si="68"/>
        <v>12620574</v>
      </c>
      <c r="G492">
        <f t="shared" si="69"/>
        <v>126</v>
      </c>
      <c r="H492">
        <f t="shared" si="70"/>
        <v>205</v>
      </c>
      <c r="I492">
        <f t="shared" si="71"/>
        <v>74</v>
      </c>
      <c r="J492" t="str">
        <f t="shared" si="63"/>
        <v>FC",</v>
      </c>
      <c r="K492" t="str">
        <f t="shared" si="63"/>
        <v>Fasciola cinerea",</v>
      </c>
      <c r="L492" t="str">
        <f t="shared" si="64"/>
        <v>FC</v>
      </c>
      <c r="M492" t="str">
        <f t="shared" si="64"/>
        <v>Fasciola cinerea</v>
      </c>
      <c r="N492" t="s">
        <v>5452</v>
      </c>
      <c r="O492" t="s">
        <v>5453</v>
      </c>
      <c r="Q492" s="6">
        <v>743</v>
      </c>
      <c r="R492" s="6">
        <v>452</v>
      </c>
      <c r="S492" s="6" t="s">
        <v>5949</v>
      </c>
      <c r="T492" s="6" t="s">
        <v>5948</v>
      </c>
      <c r="U492" s="6">
        <v>141</v>
      </c>
      <c r="V492" s="6">
        <v>6</v>
      </c>
      <c r="W492" s="6" t="s">
        <v>7739</v>
      </c>
      <c r="Y492" t="s">
        <v>5452</v>
      </c>
      <c r="Z492" t="s">
        <v>5453</v>
      </c>
      <c r="AA492" s="6">
        <f t="shared" si="65"/>
        <v>982</v>
      </c>
      <c r="AB492">
        <v>126</v>
      </c>
      <c r="AC492">
        <v>205</v>
      </c>
      <c r="AD492">
        <v>74</v>
      </c>
    </row>
    <row r="493" spans="1:30" ht="17" x14ac:dyDescent="0.25">
      <c r="A493" s="1" t="s">
        <v>495</v>
      </c>
      <c r="B493" s="1" t="s">
        <v>3147</v>
      </c>
      <c r="C493" s="1" t="s">
        <v>1822</v>
      </c>
      <c r="D493" t="str">
        <f t="shared" si="66"/>
        <v>7ED04B</v>
      </c>
      <c r="E493" t="str">
        <f t="shared" si="67"/>
        <v>126-208-75</v>
      </c>
      <c r="F493" t="str">
        <f t="shared" si="68"/>
        <v>12620875</v>
      </c>
      <c r="G493">
        <f t="shared" si="69"/>
        <v>126</v>
      </c>
      <c r="H493">
        <f t="shared" si="70"/>
        <v>208</v>
      </c>
      <c r="I493">
        <f t="shared" si="71"/>
        <v>75</v>
      </c>
      <c r="J493" t="str">
        <f t="shared" si="63"/>
        <v>IG",</v>
      </c>
      <c r="K493" t="str">
        <f t="shared" si="63"/>
        <v>Induseum griseum",</v>
      </c>
      <c r="L493" t="str">
        <f t="shared" si="64"/>
        <v>IG</v>
      </c>
      <c r="M493" t="str">
        <f t="shared" si="64"/>
        <v>Induseum griseum</v>
      </c>
      <c r="N493" t="s">
        <v>5454</v>
      </c>
      <c r="O493" t="s">
        <v>5455</v>
      </c>
      <c r="Q493" s="6">
        <v>744</v>
      </c>
      <c r="R493" s="6">
        <v>523</v>
      </c>
      <c r="S493" s="6" t="s">
        <v>5951</v>
      </c>
      <c r="T493" s="6" t="s">
        <v>5950</v>
      </c>
      <c r="U493" s="6">
        <v>141</v>
      </c>
      <c r="V493" s="6">
        <v>6</v>
      </c>
      <c r="W493" s="6" t="s">
        <v>7740</v>
      </c>
      <c r="Y493" t="s">
        <v>5454</v>
      </c>
      <c r="Z493" t="s">
        <v>5455</v>
      </c>
      <c r="AA493" s="6">
        <f t="shared" si="65"/>
        <v>19</v>
      </c>
      <c r="AB493">
        <v>126</v>
      </c>
      <c r="AC493">
        <v>208</v>
      </c>
      <c r="AD493">
        <v>75</v>
      </c>
    </row>
    <row r="494" spans="1:30" ht="17" x14ac:dyDescent="0.25">
      <c r="A494" s="1" t="s">
        <v>496</v>
      </c>
      <c r="B494" s="1" t="s">
        <v>3148</v>
      </c>
      <c r="C494" s="1" t="s">
        <v>1823</v>
      </c>
      <c r="D494" t="str">
        <f t="shared" si="66"/>
        <v>30B625</v>
      </c>
      <c r="E494" t="str">
        <f t="shared" si="67"/>
        <v>48-182-37</v>
      </c>
      <c r="F494" t="str">
        <f t="shared" si="68"/>
        <v>4818237</v>
      </c>
      <c r="G494">
        <f t="shared" si="69"/>
        <v>48</v>
      </c>
      <c r="H494">
        <f t="shared" si="70"/>
        <v>182</v>
      </c>
      <c r="I494">
        <f t="shared" si="71"/>
        <v>37</v>
      </c>
      <c r="J494" t="str">
        <f t="shared" si="63"/>
        <v>RHP",</v>
      </c>
      <c r="K494" t="str">
        <f t="shared" si="63"/>
        <v>Retrohippocampal region",</v>
      </c>
      <c r="L494" t="str">
        <f t="shared" si="64"/>
        <v>RHP</v>
      </c>
      <c r="M494" t="str">
        <f t="shared" si="64"/>
        <v>Retrohippocampal region</v>
      </c>
      <c r="N494" t="s">
        <v>5456</v>
      </c>
      <c r="O494" t="s">
        <v>5457</v>
      </c>
      <c r="Q494" s="6">
        <v>745</v>
      </c>
      <c r="R494" s="6">
        <v>763</v>
      </c>
      <c r="S494" s="6" t="s">
        <v>5953</v>
      </c>
      <c r="T494" s="6" t="s">
        <v>5952</v>
      </c>
      <c r="U494" s="6">
        <v>141</v>
      </c>
      <c r="V494" s="6">
        <v>6</v>
      </c>
      <c r="W494" s="6" t="s">
        <v>7741</v>
      </c>
      <c r="Y494" t="s">
        <v>5456</v>
      </c>
      <c r="Z494" t="s">
        <v>5457</v>
      </c>
      <c r="AA494" s="6">
        <f t="shared" si="65"/>
        <v>822</v>
      </c>
      <c r="AB494">
        <v>48</v>
      </c>
      <c r="AC494">
        <v>182</v>
      </c>
      <c r="AD494">
        <v>37</v>
      </c>
    </row>
    <row r="495" spans="1:30" ht="17" x14ac:dyDescent="0.25">
      <c r="A495" s="1" t="s">
        <v>497</v>
      </c>
      <c r="B495" s="1" t="s">
        <v>3149</v>
      </c>
      <c r="C495" s="1" t="s">
        <v>1824</v>
      </c>
      <c r="D495" t="str">
        <f t="shared" si="66"/>
        <v>32B822</v>
      </c>
      <c r="E495" t="str">
        <f t="shared" si="67"/>
        <v>50-184-34</v>
      </c>
      <c r="F495" t="str">
        <f t="shared" si="68"/>
        <v>5018434</v>
      </c>
      <c r="G495">
        <f t="shared" si="69"/>
        <v>50</v>
      </c>
      <c r="H495">
        <f t="shared" si="70"/>
        <v>184</v>
      </c>
      <c r="I495">
        <f t="shared" si="71"/>
        <v>34</v>
      </c>
      <c r="J495" t="str">
        <f t="shared" si="63"/>
        <v>ENT",</v>
      </c>
      <c r="K495" t="str">
        <f t="shared" si="63"/>
        <v>Entorhinal area",</v>
      </c>
      <c r="L495" t="str">
        <f t="shared" si="64"/>
        <v>ENT</v>
      </c>
      <c r="M495" t="str">
        <f t="shared" si="64"/>
        <v>Entorhinal area</v>
      </c>
      <c r="N495" t="s">
        <v>5458</v>
      </c>
      <c r="O495" t="s">
        <v>5459</v>
      </c>
      <c r="Q495" s="6">
        <v>746</v>
      </c>
      <c r="R495" s="6">
        <v>914</v>
      </c>
      <c r="S495" s="6" t="s">
        <v>5955</v>
      </c>
      <c r="T495" s="6" t="s">
        <v>5954</v>
      </c>
      <c r="U495" s="6">
        <v>141</v>
      </c>
      <c r="V495" s="6">
        <v>6</v>
      </c>
      <c r="W495" s="6" t="s">
        <v>7742</v>
      </c>
      <c r="Y495" t="s">
        <v>5458</v>
      </c>
      <c r="Z495" t="s">
        <v>5459</v>
      </c>
      <c r="AA495" s="6">
        <f t="shared" si="65"/>
        <v>909</v>
      </c>
      <c r="AB495">
        <v>50</v>
      </c>
      <c r="AC495">
        <v>184</v>
      </c>
      <c r="AD495">
        <v>34</v>
      </c>
    </row>
    <row r="496" spans="1:30" ht="17" x14ac:dyDescent="0.25">
      <c r="A496" s="1" t="s">
        <v>498</v>
      </c>
      <c r="B496" s="1" t="s">
        <v>3150</v>
      </c>
      <c r="C496" s="1" t="s">
        <v>1825</v>
      </c>
      <c r="D496" t="str">
        <f t="shared" si="66"/>
        <v>32B525</v>
      </c>
      <c r="E496" t="str">
        <f t="shared" si="67"/>
        <v>50-181-37</v>
      </c>
      <c r="F496" t="str">
        <f t="shared" si="68"/>
        <v>5018137</v>
      </c>
      <c r="G496">
        <f t="shared" si="69"/>
        <v>50</v>
      </c>
      <c r="H496">
        <f t="shared" si="70"/>
        <v>181</v>
      </c>
      <c r="I496">
        <f t="shared" si="71"/>
        <v>37</v>
      </c>
      <c r="J496" t="str">
        <f t="shared" si="63"/>
        <v>ENTl",</v>
      </c>
      <c r="K496" t="str">
        <f t="shared" si="63"/>
        <v>Entorhinal area, lateral part",</v>
      </c>
      <c r="L496" t="str">
        <f t="shared" si="64"/>
        <v>ENTl</v>
      </c>
      <c r="M496" t="str">
        <f t="shared" si="64"/>
        <v>Entorhinal area, lateral part</v>
      </c>
      <c r="N496" t="s">
        <v>5460</v>
      </c>
      <c r="O496" t="s">
        <v>5461</v>
      </c>
      <c r="Q496" s="6">
        <v>747</v>
      </c>
      <c r="R496" s="6">
        <v>1109</v>
      </c>
      <c r="S496" s="6" t="s">
        <v>5957</v>
      </c>
      <c r="T496" s="6" t="s">
        <v>5956</v>
      </c>
      <c r="U496" s="6">
        <v>141</v>
      </c>
      <c r="V496" s="6">
        <v>6</v>
      </c>
      <c r="W496" s="6" t="s">
        <v>7743</v>
      </c>
      <c r="Y496" t="s">
        <v>5460</v>
      </c>
      <c r="Z496" t="s">
        <v>5461</v>
      </c>
      <c r="AA496" s="6">
        <f t="shared" si="65"/>
        <v>918</v>
      </c>
      <c r="AB496">
        <v>50</v>
      </c>
      <c r="AC496">
        <v>181</v>
      </c>
      <c r="AD496">
        <v>37</v>
      </c>
    </row>
    <row r="497" spans="1:30" ht="17" x14ac:dyDescent="0.25">
      <c r="A497" s="1" t="s">
        <v>499</v>
      </c>
      <c r="B497" s="1" t="s">
        <v>3151</v>
      </c>
      <c r="C497" s="1" t="s">
        <v>1826</v>
      </c>
      <c r="D497" t="str">
        <f t="shared" si="66"/>
        <v>32B722</v>
      </c>
      <c r="E497" t="str">
        <f t="shared" si="67"/>
        <v>50-183-34</v>
      </c>
      <c r="F497" t="str">
        <f t="shared" si="68"/>
        <v>5018334</v>
      </c>
      <c r="G497">
        <f t="shared" si="69"/>
        <v>50</v>
      </c>
      <c r="H497">
        <f t="shared" si="70"/>
        <v>183</v>
      </c>
      <c r="I497">
        <f t="shared" si="71"/>
        <v>34</v>
      </c>
      <c r="J497" t="str">
        <f t="shared" si="63"/>
        <v>ENTl1",</v>
      </c>
      <c r="K497" t="str">
        <f t="shared" si="63"/>
        <v>Entorhinal area, lateral part, layer 1",</v>
      </c>
      <c r="L497" t="str">
        <f t="shared" si="64"/>
        <v>ENTl1</v>
      </c>
      <c r="M497" t="str">
        <f t="shared" si="64"/>
        <v>Entorhinal area, lateral part, layer 1</v>
      </c>
      <c r="N497" t="s">
        <v>5462</v>
      </c>
      <c r="O497" t="s">
        <v>5463</v>
      </c>
      <c r="Q497" s="6">
        <v>749</v>
      </c>
      <c r="R497" s="6">
        <v>126</v>
      </c>
      <c r="S497" s="6" t="s">
        <v>5961</v>
      </c>
      <c r="T497" s="6" t="s">
        <v>5960</v>
      </c>
      <c r="U497" s="6">
        <v>141</v>
      </c>
      <c r="V497" s="6">
        <v>6</v>
      </c>
      <c r="W497" s="6" t="s">
        <v>7744</v>
      </c>
      <c r="Y497" t="s">
        <v>5462</v>
      </c>
      <c r="Z497" t="s">
        <v>5463</v>
      </c>
      <c r="AA497" s="6">
        <f t="shared" si="65"/>
        <v>1121</v>
      </c>
      <c r="AB497">
        <v>50</v>
      </c>
      <c r="AC497">
        <v>183</v>
      </c>
      <c r="AD497">
        <v>34</v>
      </c>
    </row>
    <row r="498" spans="1:30" ht="17" x14ac:dyDescent="0.25">
      <c r="A498" s="1" t="s">
        <v>500</v>
      </c>
      <c r="B498" s="1" t="s">
        <v>3152</v>
      </c>
      <c r="C498" s="1" t="s">
        <v>1827</v>
      </c>
      <c r="D498" t="str">
        <f t="shared" si="66"/>
        <v>32B825</v>
      </c>
      <c r="E498" t="str">
        <f t="shared" si="67"/>
        <v>50-184-37</v>
      </c>
      <c r="F498" t="str">
        <f t="shared" si="68"/>
        <v>5018437</v>
      </c>
      <c r="G498">
        <f t="shared" si="69"/>
        <v>50</v>
      </c>
      <c r="H498">
        <f t="shared" si="70"/>
        <v>184</v>
      </c>
      <c r="I498">
        <f t="shared" si="71"/>
        <v>37</v>
      </c>
      <c r="J498" t="str">
        <f t="shared" si="63"/>
        <v>ENTl2",</v>
      </c>
      <c r="K498" t="str">
        <f t="shared" si="63"/>
        <v>Entorhinal area, lateral part, layer 2",</v>
      </c>
      <c r="L498" t="str">
        <f t="shared" si="64"/>
        <v>ENTl2</v>
      </c>
      <c r="M498" t="str">
        <f t="shared" si="64"/>
        <v>Entorhinal area, lateral part, layer 2</v>
      </c>
      <c r="N498" t="s">
        <v>5464</v>
      </c>
      <c r="O498" t="s">
        <v>5465</v>
      </c>
      <c r="Q498" s="6">
        <v>750</v>
      </c>
      <c r="R498" s="6">
        <v>133</v>
      </c>
      <c r="S498" s="6" t="s">
        <v>5963</v>
      </c>
      <c r="T498" s="6" t="s">
        <v>5962</v>
      </c>
      <c r="U498" s="6">
        <v>141</v>
      </c>
      <c r="V498" s="6">
        <v>6</v>
      </c>
      <c r="W498" s="6" t="s">
        <v>7745</v>
      </c>
      <c r="Y498" t="s">
        <v>5464</v>
      </c>
      <c r="Z498" t="s">
        <v>5465</v>
      </c>
      <c r="AA498" s="6">
        <f t="shared" si="65"/>
        <v>20</v>
      </c>
      <c r="AB498">
        <v>50</v>
      </c>
      <c r="AC498">
        <v>184</v>
      </c>
      <c r="AD498">
        <v>37</v>
      </c>
    </row>
    <row r="499" spans="1:30" ht="17" x14ac:dyDescent="0.25">
      <c r="A499" s="1" t="s">
        <v>501</v>
      </c>
      <c r="B499" s="1" t="s">
        <v>3153</v>
      </c>
      <c r="C499" s="1" t="s">
        <v>1828</v>
      </c>
      <c r="D499" t="str">
        <f t="shared" si="66"/>
        <v>2FB825</v>
      </c>
      <c r="E499" t="str">
        <f t="shared" si="67"/>
        <v>47-184-37</v>
      </c>
      <c r="F499" t="str">
        <f t="shared" si="68"/>
        <v>4718437</v>
      </c>
      <c r="G499">
        <f t="shared" si="69"/>
        <v>47</v>
      </c>
      <c r="H499">
        <f t="shared" si="70"/>
        <v>184</v>
      </c>
      <c r="I499">
        <f t="shared" si="71"/>
        <v>37</v>
      </c>
      <c r="J499" t="str">
        <f t="shared" si="63"/>
        <v>ENTl2\/3",</v>
      </c>
      <c r="K499" t="str">
        <f t="shared" si="63"/>
        <v>Entorhinal area, lateral part, layer 2\/3",</v>
      </c>
      <c r="L499" t="str">
        <f t="shared" si="64"/>
        <v>ENTl2\/3</v>
      </c>
      <c r="M499" t="str">
        <f t="shared" si="64"/>
        <v>Entorhinal area, lateral part, layer 2\/3</v>
      </c>
      <c r="N499" t="s">
        <v>7168</v>
      </c>
      <c r="O499" t="s">
        <v>7233</v>
      </c>
      <c r="Q499" s="6">
        <v>751</v>
      </c>
      <c r="R499" s="6">
        <v>347</v>
      </c>
      <c r="S499" s="6" t="s">
        <v>5965</v>
      </c>
      <c r="T499" s="6" t="s">
        <v>5964</v>
      </c>
      <c r="U499" s="6">
        <v>141</v>
      </c>
      <c r="V499" s="6">
        <v>6</v>
      </c>
      <c r="W499" s="6" t="s">
        <v>7746</v>
      </c>
      <c r="Y499" t="s">
        <v>7168</v>
      </c>
      <c r="Z499" t="s">
        <v>7233</v>
      </c>
      <c r="AA499" s="6" t="str">
        <f t="shared" si="65"/>
        <v/>
      </c>
      <c r="AB499">
        <v>47</v>
      </c>
      <c r="AC499">
        <v>184</v>
      </c>
      <c r="AD499">
        <v>37</v>
      </c>
    </row>
    <row r="500" spans="1:30" ht="17" x14ac:dyDescent="0.25">
      <c r="A500" s="1" t="s">
        <v>502</v>
      </c>
      <c r="B500" s="1" t="s">
        <v>3154</v>
      </c>
      <c r="C500" s="1" t="s">
        <v>1829</v>
      </c>
      <c r="D500" t="str">
        <f t="shared" si="66"/>
        <v>30B624</v>
      </c>
      <c r="E500" t="str">
        <f t="shared" si="67"/>
        <v>48-182-36</v>
      </c>
      <c r="F500" t="str">
        <f t="shared" si="68"/>
        <v>4818236</v>
      </c>
      <c r="G500">
        <f t="shared" si="69"/>
        <v>48</v>
      </c>
      <c r="H500">
        <f t="shared" si="70"/>
        <v>182</v>
      </c>
      <c r="I500">
        <f t="shared" si="71"/>
        <v>36</v>
      </c>
      <c r="J500" t="str">
        <f t="shared" si="63"/>
        <v>ENTl2a",</v>
      </c>
      <c r="K500" t="str">
        <f t="shared" si="63"/>
        <v>Entorhinal area, lateral part, layer 2a",</v>
      </c>
      <c r="L500" t="str">
        <f t="shared" si="64"/>
        <v>ENTl2a</v>
      </c>
      <c r="M500" t="str">
        <f t="shared" si="64"/>
        <v>Entorhinal area, lateral part, layer 2a</v>
      </c>
      <c r="N500" t="s">
        <v>5466</v>
      </c>
      <c r="O500" t="s">
        <v>5467</v>
      </c>
      <c r="Q500" s="6">
        <v>752</v>
      </c>
      <c r="R500" s="6">
        <v>286</v>
      </c>
      <c r="S500" s="6" t="s">
        <v>5967</v>
      </c>
      <c r="T500" s="6" t="s">
        <v>5966</v>
      </c>
      <c r="U500" s="6">
        <v>141</v>
      </c>
      <c r="V500" s="6">
        <v>6</v>
      </c>
      <c r="W500" s="6" t="s">
        <v>7747</v>
      </c>
      <c r="Y500" t="s">
        <v>5466</v>
      </c>
      <c r="Z500" t="s">
        <v>5467</v>
      </c>
      <c r="AA500" s="6" t="str">
        <f t="shared" si="65"/>
        <v/>
      </c>
      <c r="AB500">
        <v>48</v>
      </c>
      <c r="AC500">
        <v>182</v>
      </c>
      <c r="AD500">
        <v>36</v>
      </c>
    </row>
    <row r="501" spans="1:30" ht="17" x14ac:dyDescent="0.25">
      <c r="A501" s="1" t="s">
        <v>503</v>
      </c>
      <c r="B501" s="1" t="s">
        <v>3155</v>
      </c>
      <c r="C501" s="1" t="s">
        <v>1830</v>
      </c>
      <c r="D501" t="str">
        <f t="shared" si="66"/>
        <v>30B823</v>
      </c>
      <c r="E501" t="str">
        <f t="shared" si="67"/>
        <v>48-184-35</v>
      </c>
      <c r="F501" t="str">
        <f t="shared" si="68"/>
        <v>4818435</v>
      </c>
      <c r="G501">
        <f t="shared" si="69"/>
        <v>48</v>
      </c>
      <c r="H501">
        <f t="shared" si="70"/>
        <v>184</v>
      </c>
      <c r="I501">
        <f t="shared" si="71"/>
        <v>35</v>
      </c>
      <c r="J501" t="str">
        <f t="shared" si="63"/>
        <v>ENTl2b",</v>
      </c>
      <c r="K501" t="str">
        <f t="shared" si="63"/>
        <v>Entorhinal area, lateral part, layer 2b",</v>
      </c>
      <c r="L501" t="str">
        <f t="shared" si="64"/>
        <v>ENTl2b</v>
      </c>
      <c r="M501" t="str">
        <f t="shared" si="64"/>
        <v>Entorhinal area, lateral part, layer 2b</v>
      </c>
      <c r="N501" t="s">
        <v>5468</v>
      </c>
      <c r="O501" t="s">
        <v>5469</v>
      </c>
      <c r="Q501" s="6">
        <v>753</v>
      </c>
      <c r="R501" s="6">
        <v>338</v>
      </c>
      <c r="S501" s="6" t="s">
        <v>5969</v>
      </c>
      <c r="T501" s="6" t="s">
        <v>5968</v>
      </c>
      <c r="U501" s="6">
        <v>141</v>
      </c>
      <c r="V501" s="6">
        <v>6</v>
      </c>
      <c r="W501" s="6" t="s">
        <v>7748</v>
      </c>
      <c r="Y501" t="s">
        <v>5468</v>
      </c>
      <c r="Z501" t="s">
        <v>5469</v>
      </c>
      <c r="AA501" s="6" t="str">
        <f t="shared" si="65"/>
        <v/>
      </c>
      <c r="AB501">
        <v>48</v>
      </c>
      <c r="AC501">
        <v>184</v>
      </c>
      <c r="AD501">
        <v>35</v>
      </c>
    </row>
    <row r="502" spans="1:30" ht="17" x14ac:dyDescent="0.25">
      <c r="A502" s="1" t="s">
        <v>504</v>
      </c>
      <c r="B502" s="1" t="s">
        <v>3156</v>
      </c>
      <c r="C502" s="1" t="s">
        <v>1831</v>
      </c>
      <c r="D502" t="str">
        <f t="shared" si="66"/>
        <v>32B725</v>
      </c>
      <c r="E502" t="str">
        <f t="shared" si="67"/>
        <v>50-183-37</v>
      </c>
      <c r="F502" t="str">
        <f t="shared" si="68"/>
        <v>5018337</v>
      </c>
      <c r="G502">
        <f t="shared" si="69"/>
        <v>50</v>
      </c>
      <c r="H502">
        <f t="shared" si="70"/>
        <v>183</v>
      </c>
      <c r="I502">
        <f t="shared" si="71"/>
        <v>37</v>
      </c>
      <c r="J502" t="str">
        <f t="shared" si="63"/>
        <v>ENTl3",</v>
      </c>
      <c r="K502" t="str">
        <f t="shared" si="63"/>
        <v>Entorhinal area, lateral part, layer 3",</v>
      </c>
      <c r="L502" t="str">
        <f t="shared" si="64"/>
        <v>ENTl3</v>
      </c>
      <c r="M502" t="str">
        <f t="shared" si="64"/>
        <v>Entorhinal area, lateral part, layer 3</v>
      </c>
      <c r="N502" t="s">
        <v>5470</v>
      </c>
      <c r="O502" t="s">
        <v>5471</v>
      </c>
      <c r="Q502" s="6">
        <v>754</v>
      </c>
      <c r="R502" s="6">
        <v>576073699</v>
      </c>
      <c r="S502" s="6" t="s">
        <v>5971</v>
      </c>
      <c r="T502" s="6" t="s">
        <v>5970</v>
      </c>
      <c r="U502" s="6">
        <v>141</v>
      </c>
      <c r="V502" s="6">
        <v>6</v>
      </c>
      <c r="W502" s="6" t="s">
        <v>7749</v>
      </c>
      <c r="Y502" t="s">
        <v>5470</v>
      </c>
      <c r="Z502" t="s">
        <v>5471</v>
      </c>
      <c r="AA502" s="6">
        <f t="shared" si="65"/>
        <v>52</v>
      </c>
      <c r="AB502">
        <v>50</v>
      </c>
      <c r="AC502">
        <v>183</v>
      </c>
      <c r="AD502">
        <v>37</v>
      </c>
    </row>
    <row r="503" spans="1:30" ht="17" x14ac:dyDescent="0.25">
      <c r="A503" s="1" t="s">
        <v>505</v>
      </c>
      <c r="B503" s="1" t="s">
        <v>3157</v>
      </c>
      <c r="C503" s="1" t="s">
        <v>1832</v>
      </c>
      <c r="D503" t="str">
        <f t="shared" si="66"/>
        <v>32B724</v>
      </c>
      <c r="E503" t="str">
        <f t="shared" si="67"/>
        <v>50-183-36</v>
      </c>
      <c r="F503" t="str">
        <f t="shared" si="68"/>
        <v>5018336</v>
      </c>
      <c r="G503">
        <f t="shared" si="69"/>
        <v>50</v>
      </c>
      <c r="H503">
        <f t="shared" si="70"/>
        <v>183</v>
      </c>
      <c r="I503">
        <f t="shared" si="71"/>
        <v>36</v>
      </c>
      <c r="J503" t="str">
        <f t="shared" si="63"/>
        <v>ENTl4",</v>
      </c>
      <c r="K503" t="str">
        <f t="shared" si="63"/>
        <v>Entorhinal area, lateral part, layer 4",</v>
      </c>
      <c r="L503" t="str">
        <f t="shared" si="64"/>
        <v>ENTl4</v>
      </c>
      <c r="M503" t="str">
        <f t="shared" si="64"/>
        <v>Entorhinal area, lateral part, layer 4</v>
      </c>
      <c r="N503" t="s">
        <v>5472</v>
      </c>
      <c r="O503" t="s">
        <v>5473</v>
      </c>
      <c r="Q503" s="6">
        <v>755</v>
      </c>
      <c r="R503" s="6">
        <v>689</v>
      </c>
      <c r="S503" s="6" t="s">
        <v>5973</v>
      </c>
      <c r="T503" s="6" t="s">
        <v>5972</v>
      </c>
      <c r="U503" s="6">
        <v>141</v>
      </c>
      <c r="V503" s="6">
        <v>6</v>
      </c>
      <c r="W503" s="6" t="s">
        <v>7750</v>
      </c>
      <c r="Y503" t="s">
        <v>5472</v>
      </c>
      <c r="Z503" t="s">
        <v>5473</v>
      </c>
      <c r="AA503" s="6" t="str">
        <f t="shared" si="65"/>
        <v/>
      </c>
      <c r="AB503">
        <v>50</v>
      </c>
      <c r="AC503">
        <v>183</v>
      </c>
      <c r="AD503">
        <v>36</v>
      </c>
    </row>
    <row r="504" spans="1:30" ht="17" x14ac:dyDescent="0.25">
      <c r="A504" s="1" t="s">
        <v>506</v>
      </c>
      <c r="B504" s="1" t="s">
        <v>3158</v>
      </c>
      <c r="C504" s="1" t="s">
        <v>1833</v>
      </c>
      <c r="D504" t="str">
        <f t="shared" si="66"/>
        <v>31B724</v>
      </c>
      <c r="E504" t="str">
        <f t="shared" si="67"/>
        <v>49-183-36</v>
      </c>
      <c r="F504" t="str">
        <f t="shared" si="68"/>
        <v>4918336</v>
      </c>
      <c r="G504">
        <f t="shared" si="69"/>
        <v>49</v>
      </c>
      <c r="H504">
        <f t="shared" si="70"/>
        <v>183</v>
      </c>
      <c r="I504">
        <f t="shared" si="71"/>
        <v>36</v>
      </c>
      <c r="J504" t="str">
        <f t="shared" si="63"/>
        <v>ENTl4\/5",</v>
      </c>
      <c r="K504" t="str">
        <f t="shared" si="63"/>
        <v>Entorhinal area, lateral part, layer 4\/5",</v>
      </c>
      <c r="L504" t="str">
        <f t="shared" si="64"/>
        <v>ENTl4\/5</v>
      </c>
      <c r="M504" t="str">
        <f t="shared" si="64"/>
        <v>Entorhinal area, lateral part, layer 4\/5</v>
      </c>
      <c r="N504" t="s">
        <v>7169</v>
      </c>
      <c r="O504" t="s">
        <v>7234</v>
      </c>
      <c r="Q504" s="6">
        <v>756</v>
      </c>
      <c r="R504" s="6">
        <v>467</v>
      </c>
      <c r="S504" s="6" t="s">
        <v>5975</v>
      </c>
      <c r="T504" s="6" t="s">
        <v>5974</v>
      </c>
      <c r="U504" s="6">
        <v>1097</v>
      </c>
      <c r="V504" s="6">
        <v>5</v>
      </c>
      <c r="W504" s="6" t="s">
        <v>7751</v>
      </c>
      <c r="Y504" t="s">
        <v>7169</v>
      </c>
      <c r="Z504" t="s">
        <v>7234</v>
      </c>
      <c r="AA504" s="6" t="str">
        <f t="shared" si="65"/>
        <v/>
      </c>
      <c r="AB504">
        <v>49</v>
      </c>
      <c r="AC504">
        <v>183</v>
      </c>
      <c r="AD504">
        <v>36</v>
      </c>
    </row>
    <row r="505" spans="1:30" ht="17" x14ac:dyDescent="0.25">
      <c r="A505" s="1" t="s">
        <v>507</v>
      </c>
      <c r="B505" s="1" t="s">
        <v>3159</v>
      </c>
      <c r="C505" s="1" t="s">
        <v>1834</v>
      </c>
      <c r="D505" t="str">
        <f t="shared" si="66"/>
        <v>31B824</v>
      </c>
      <c r="E505" t="str">
        <f t="shared" si="67"/>
        <v>49-184-36</v>
      </c>
      <c r="F505" t="str">
        <f t="shared" si="68"/>
        <v>4918436</v>
      </c>
      <c r="G505">
        <f t="shared" si="69"/>
        <v>49</v>
      </c>
      <c r="H505">
        <f t="shared" si="70"/>
        <v>184</v>
      </c>
      <c r="I505">
        <f t="shared" si="71"/>
        <v>36</v>
      </c>
      <c r="J505" t="str">
        <f t="shared" si="63"/>
        <v>ENTl5",</v>
      </c>
      <c r="K505" t="str">
        <f t="shared" si="63"/>
        <v>Entorhinal area, lateral part, layer 5",</v>
      </c>
      <c r="L505" t="str">
        <f t="shared" si="64"/>
        <v>ENTl5</v>
      </c>
      <c r="M505" t="str">
        <f t="shared" si="64"/>
        <v>Entorhinal area, lateral part, layer 5</v>
      </c>
      <c r="N505" t="s">
        <v>5474</v>
      </c>
      <c r="O505" t="s">
        <v>5475</v>
      </c>
      <c r="Q505" s="6">
        <v>757</v>
      </c>
      <c r="R505" s="6">
        <v>88</v>
      </c>
      <c r="S505" s="6" t="s">
        <v>5977</v>
      </c>
      <c r="T505" s="6" t="s">
        <v>5976</v>
      </c>
      <c r="U505" s="6">
        <v>467</v>
      </c>
      <c r="V505" s="6">
        <v>6</v>
      </c>
      <c r="W505" s="6" t="s">
        <v>7752</v>
      </c>
      <c r="Y505" t="s">
        <v>5474</v>
      </c>
      <c r="Z505" t="s">
        <v>5475</v>
      </c>
      <c r="AA505" s="6">
        <f t="shared" si="65"/>
        <v>139</v>
      </c>
      <c r="AB505">
        <v>49</v>
      </c>
      <c r="AC505">
        <v>184</v>
      </c>
      <c r="AD505">
        <v>36</v>
      </c>
    </row>
    <row r="506" spans="1:30" ht="17" x14ac:dyDescent="0.25">
      <c r="A506" s="1" t="s">
        <v>508</v>
      </c>
      <c r="B506" s="1" t="s">
        <v>3160</v>
      </c>
      <c r="C506" s="1" t="s">
        <v>1835</v>
      </c>
      <c r="D506" t="str">
        <f t="shared" si="66"/>
        <v>30B825</v>
      </c>
      <c r="E506" t="str">
        <f t="shared" si="67"/>
        <v>48-184-37</v>
      </c>
      <c r="F506" t="str">
        <f t="shared" si="68"/>
        <v>4818437</v>
      </c>
      <c r="G506">
        <f t="shared" si="69"/>
        <v>48</v>
      </c>
      <c r="H506">
        <f t="shared" si="70"/>
        <v>184</v>
      </c>
      <c r="I506">
        <f t="shared" si="71"/>
        <v>37</v>
      </c>
      <c r="J506" t="str">
        <f t="shared" si="63"/>
        <v>ENTl5\/6",</v>
      </c>
      <c r="K506" t="str">
        <f t="shared" si="63"/>
        <v>Entorhinal area, lateral part, layer 5\/6",</v>
      </c>
      <c r="L506" t="str">
        <f t="shared" si="64"/>
        <v>ENTl5\/6</v>
      </c>
      <c r="M506" t="str">
        <f t="shared" si="64"/>
        <v>Entorhinal area, lateral part, layer 5\/6</v>
      </c>
      <c r="N506" t="s">
        <v>7170</v>
      </c>
      <c r="O506" t="s">
        <v>7235</v>
      </c>
      <c r="Q506" s="6">
        <v>762</v>
      </c>
      <c r="R506" s="6">
        <v>331</v>
      </c>
      <c r="S506" s="6" t="s">
        <v>5987</v>
      </c>
      <c r="T506" s="6" t="s">
        <v>5986</v>
      </c>
      <c r="U506" s="6">
        <v>467</v>
      </c>
      <c r="V506" s="6">
        <v>6</v>
      </c>
      <c r="W506" s="6" t="s">
        <v>7753</v>
      </c>
      <c r="Y506" t="s">
        <v>7170</v>
      </c>
      <c r="Z506" t="s">
        <v>7235</v>
      </c>
      <c r="AA506" s="6" t="str">
        <f t="shared" si="65"/>
        <v/>
      </c>
      <c r="AB506">
        <v>48</v>
      </c>
      <c r="AC506">
        <v>184</v>
      </c>
      <c r="AD506">
        <v>37</v>
      </c>
    </row>
    <row r="507" spans="1:30" ht="17" x14ac:dyDescent="0.25">
      <c r="A507" s="1" t="s">
        <v>509</v>
      </c>
      <c r="B507" s="1" t="s">
        <v>3161</v>
      </c>
      <c r="C507" s="1" t="s">
        <v>1836</v>
      </c>
      <c r="D507" t="str">
        <f t="shared" si="66"/>
        <v>32B824</v>
      </c>
      <c r="E507" t="str">
        <f t="shared" si="67"/>
        <v>50-184-36</v>
      </c>
      <c r="F507" t="str">
        <f t="shared" si="68"/>
        <v>5018436</v>
      </c>
      <c r="G507">
        <f t="shared" si="69"/>
        <v>50</v>
      </c>
      <c r="H507">
        <f t="shared" si="70"/>
        <v>184</v>
      </c>
      <c r="I507">
        <f t="shared" si="71"/>
        <v>36</v>
      </c>
      <c r="J507" t="str">
        <f t="shared" si="63"/>
        <v>ENTl6a",</v>
      </c>
      <c r="K507" t="str">
        <f t="shared" si="63"/>
        <v>Entorhinal area, lateral part, layer 6a",</v>
      </c>
      <c r="L507" t="str">
        <f t="shared" si="64"/>
        <v>ENTl6a</v>
      </c>
      <c r="M507" t="str">
        <f t="shared" si="64"/>
        <v>Entorhinal area, lateral part, layer 6a</v>
      </c>
      <c r="N507" t="s">
        <v>5476</v>
      </c>
      <c r="O507" t="s">
        <v>5477</v>
      </c>
      <c r="Q507" s="6">
        <v>763</v>
      </c>
      <c r="R507" s="6">
        <v>210</v>
      </c>
      <c r="S507" s="6" t="s">
        <v>5989</v>
      </c>
      <c r="T507" s="6" t="s">
        <v>5988</v>
      </c>
      <c r="U507" s="6">
        <v>331</v>
      </c>
      <c r="V507" s="6">
        <v>7</v>
      </c>
      <c r="W507" s="6" t="s">
        <v>7754</v>
      </c>
      <c r="Y507" t="s">
        <v>5476</v>
      </c>
      <c r="Z507" t="s">
        <v>5477</v>
      </c>
      <c r="AA507" s="6">
        <f t="shared" si="65"/>
        <v>28</v>
      </c>
      <c r="AB507">
        <v>50</v>
      </c>
      <c r="AC507">
        <v>184</v>
      </c>
      <c r="AD507">
        <v>36</v>
      </c>
    </row>
    <row r="508" spans="1:30" ht="17" x14ac:dyDescent="0.25">
      <c r="A508" s="1" t="s">
        <v>510</v>
      </c>
      <c r="B508" s="1" t="s">
        <v>3162</v>
      </c>
      <c r="C508" s="1" t="s">
        <v>1837</v>
      </c>
      <c r="D508" t="str">
        <f t="shared" si="66"/>
        <v>31B825</v>
      </c>
      <c r="E508" t="str">
        <f t="shared" si="67"/>
        <v>49-184-37</v>
      </c>
      <c r="F508" t="str">
        <f t="shared" si="68"/>
        <v>4918437</v>
      </c>
      <c r="G508">
        <f t="shared" si="69"/>
        <v>49</v>
      </c>
      <c r="H508">
        <f t="shared" si="70"/>
        <v>184</v>
      </c>
      <c r="I508">
        <f t="shared" si="71"/>
        <v>37</v>
      </c>
      <c r="J508" t="str">
        <f t="shared" si="63"/>
        <v>ENTl6b",</v>
      </c>
      <c r="K508" t="str">
        <f t="shared" si="63"/>
        <v>Entorhinal area, lateral part, layer 6b",</v>
      </c>
      <c r="L508" t="str">
        <f t="shared" si="64"/>
        <v>ENTl6b</v>
      </c>
      <c r="M508" t="str">
        <f t="shared" si="64"/>
        <v>Entorhinal area, lateral part, layer 6b</v>
      </c>
      <c r="N508" t="s">
        <v>5478</v>
      </c>
      <c r="O508" t="s">
        <v>5479</v>
      </c>
      <c r="Q508" s="6">
        <v>764</v>
      </c>
      <c r="R508" s="6">
        <v>491</v>
      </c>
      <c r="S508" s="6" t="s">
        <v>5991</v>
      </c>
      <c r="T508" s="6" t="s">
        <v>5990</v>
      </c>
      <c r="U508" s="6">
        <v>331</v>
      </c>
      <c r="V508" s="6">
        <v>7</v>
      </c>
      <c r="W508" s="6" t="s">
        <v>7755</v>
      </c>
      <c r="Y508" t="s">
        <v>5478</v>
      </c>
      <c r="Z508" t="s">
        <v>5479</v>
      </c>
      <c r="AA508" s="6" t="str">
        <f t="shared" si="65"/>
        <v/>
      </c>
      <c r="AB508">
        <v>49</v>
      </c>
      <c r="AC508">
        <v>184</v>
      </c>
      <c r="AD508">
        <v>37</v>
      </c>
    </row>
    <row r="509" spans="1:30" ht="17" x14ac:dyDescent="0.25">
      <c r="A509" s="1" t="s">
        <v>511</v>
      </c>
      <c r="B509" s="1" t="s">
        <v>3163</v>
      </c>
      <c r="C509" s="1" t="s">
        <v>1838</v>
      </c>
      <c r="D509" t="str">
        <f t="shared" si="66"/>
        <v>31B623</v>
      </c>
      <c r="E509" t="str">
        <f t="shared" si="67"/>
        <v>49-182-35</v>
      </c>
      <c r="F509" t="str">
        <f t="shared" si="68"/>
        <v>4918235</v>
      </c>
      <c r="G509">
        <f t="shared" si="69"/>
        <v>49</v>
      </c>
      <c r="H509">
        <f t="shared" si="70"/>
        <v>182</v>
      </c>
      <c r="I509">
        <f t="shared" si="71"/>
        <v>35</v>
      </c>
      <c r="J509" t="str">
        <f t="shared" si="63"/>
        <v>ENTm",</v>
      </c>
      <c r="K509" t="str">
        <f t="shared" si="63"/>
        <v>Entorhinal area, medial part, dorsal zone",</v>
      </c>
      <c r="L509" t="str">
        <f t="shared" si="64"/>
        <v>ENTm</v>
      </c>
      <c r="M509" t="str">
        <f t="shared" si="64"/>
        <v>Entorhinal area, medial part, dorsal zone</v>
      </c>
      <c r="N509" t="s">
        <v>5480</v>
      </c>
      <c r="O509" t="s">
        <v>5481</v>
      </c>
      <c r="Q509" s="6">
        <v>765</v>
      </c>
      <c r="R509" s="6">
        <v>732</v>
      </c>
      <c r="S509" s="6" t="s">
        <v>5993</v>
      </c>
      <c r="T509" s="6" t="s">
        <v>5992</v>
      </c>
      <c r="U509" s="6">
        <v>491</v>
      </c>
      <c r="V509" s="6">
        <v>8</v>
      </c>
      <c r="W509" s="6" t="s">
        <v>7756</v>
      </c>
      <c r="Y509" t="s">
        <v>5480</v>
      </c>
      <c r="Z509" t="s">
        <v>5481</v>
      </c>
      <c r="AA509" s="6">
        <f t="shared" si="65"/>
        <v>926</v>
      </c>
      <c r="AB509">
        <v>49</v>
      </c>
      <c r="AC509">
        <v>182</v>
      </c>
      <c r="AD509">
        <v>35</v>
      </c>
    </row>
    <row r="510" spans="1:30" ht="17" x14ac:dyDescent="0.25">
      <c r="A510" s="1" t="s">
        <v>512</v>
      </c>
      <c r="B510" s="1" t="s">
        <v>3164</v>
      </c>
      <c r="C510" s="1" t="s">
        <v>1839</v>
      </c>
      <c r="D510" t="str">
        <f t="shared" si="66"/>
        <v>31B625</v>
      </c>
      <c r="E510" t="str">
        <f t="shared" si="67"/>
        <v>49-182-37</v>
      </c>
      <c r="F510" t="str">
        <f t="shared" si="68"/>
        <v>4918237</v>
      </c>
      <c r="G510">
        <f t="shared" si="69"/>
        <v>49</v>
      </c>
      <c r="H510">
        <f t="shared" si="70"/>
        <v>182</v>
      </c>
      <c r="I510">
        <f t="shared" si="71"/>
        <v>37</v>
      </c>
      <c r="J510" t="str">
        <f t="shared" si="63"/>
        <v>ENTm1",</v>
      </c>
      <c r="K510" t="str">
        <f t="shared" si="63"/>
        <v>Entorhinal area, medial part, dorsal zone, layer 1",</v>
      </c>
      <c r="L510" t="str">
        <f t="shared" si="64"/>
        <v>ENTm1</v>
      </c>
      <c r="M510" t="str">
        <f t="shared" si="64"/>
        <v>Entorhinal area, medial part, dorsal zone, layer 1</v>
      </c>
      <c r="N510" t="s">
        <v>5482</v>
      </c>
      <c r="O510" t="s">
        <v>5483</v>
      </c>
      <c r="Q510" s="6">
        <v>766</v>
      </c>
      <c r="R510" s="6">
        <v>606826647</v>
      </c>
      <c r="S510" s="6" t="s">
        <v>5995</v>
      </c>
      <c r="T510" s="6" t="s">
        <v>5994</v>
      </c>
      <c r="U510" s="6">
        <v>491</v>
      </c>
      <c r="V510" s="6">
        <v>8</v>
      </c>
      <c r="W510" s="6" t="s">
        <v>7757</v>
      </c>
      <c r="Y510" t="s">
        <v>5482</v>
      </c>
      <c r="Z510" t="s">
        <v>5483</v>
      </c>
      <c r="AA510" s="6">
        <f t="shared" si="65"/>
        <v>526</v>
      </c>
      <c r="AB510">
        <v>49</v>
      </c>
      <c r="AC510">
        <v>182</v>
      </c>
      <c r="AD510">
        <v>37</v>
      </c>
    </row>
    <row r="511" spans="1:30" ht="17" x14ac:dyDescent="0.25">
      <c r="A511" s="1" t="s">
        <v>513</v>
      </c>
      <c r="B511" s="1" t="s">
        <v>3165</v>
      </c>
      <c r="C511" s="1" t="s">
        <v>1840</v>
      </c>
      <c r="D511" t="str">
        <f t="shared" si="66"/>
        <v>30B824</v>
      </c>
      <c r="E511" t="str">
        <f t="shared" si="67"/>
        <v>48-184-36</v>
      </c>
      <c r="F511" t="str">
        <f t="shared" si="68"/>
        <v>4818436</v>
      </c>
      <c r="G511">
        <f t="shared" si="69"/>
        <v>48</v>
      </c>
      <c r="H511">
        <f t="shared" si="70"/>
        <v>184</v>
      </c>
      <c r="I511">
        <f t="shared" si="71"/>
        <v>36</v>
      </c>
      <c r="J511" t="str">
        <f t="shared" si="63"/>
        <v>ENTm2",</v>
      </c>
      <c r="K511" t="str">
        <f t="shared" si="63"/>
        <v>Entorhinal area, medial part, dorsal zone, layer 2",</v>
      </c>
      <c r="L511" t="str">
        <f t="shared" si="64"/>
        <v>ENTm2</v>
      </c>
      <c r="M511" t="str">
        <f t="shared" si="64"/>
        <v>Entorhinal area, medial part, dorsal zone, layer 2</v>
      </c>
      <c r="N511" t="s">
        <v>5484</v>
      </c>
      <c r="O511" t="s">
        <v>5485</v>
      </c>
      <c r="Q511" s="6">
        <v>767</v>
      </c>
      <c r="R511" s="6">
        <v>606826651</v>
      </c>
      <c r="S511" s="6" t="s">
        <v>5997</v>
      </c>
      <c r="T511" s="6" t="s">
        <v>5996</v>
      </c>
      <c r="U511" s="6">
        <v>491</v>
      </c>
      <c r="V511" s="6">
        <v>8</v>
      </c>
      <c r="W511" s="6" t="s">
        <v>7758</v>
      </c>
      <c r="Y511" t="s">
        <v>5484</v>
      </c>
      <c r="Z511" t="s">
        <v>5485</v>
      </c>
      <c r="AA511" s="6">
        <f t="shared" si="65"/>
        <v>543</v>
      </c>
      <c r="AB511">
        <v>48</v>
      </c>
      <c r="AC511">
        <v>184</v>
      </c>
      <c r="AD511">
        <v>36</v>
      </c>
    </row>
    <row r="512" spans="1:30" ht="17" x14ac:dyDescent="0.25">
      <c r="A512" s="1" t="s">
        <v>514</v>
      </c>
      <c r="B512" s="1" t="s">
        <v>3166</v>
      </c>
      <c r="C512" s="1" t="s">
        <v>1841</v>
      </c>
      <c r="D512" t="str">
        <f t="shared" si="66"/>
        <v>32B624</v>
      </c>
      <c r="E512" t="str">
        <f t="shared" si="67"/>
        <v>50-182-36</v>
      </c>
      <c r="F512" t="str">
        <f t="shared" si="68"/>
        <v>5018236</v>
      </c>
      <c r="G512">
        <f t="shared" si="69"/>
        <v>50</v>
      </c>
      <c r="H512">
        <f t="shared" si="70"/>
        <v>182</v>
      </c>
      <c r="I512">
        <f t="shared" si="71"/>
        <v>36</v>
      </c>
      <c r="J512" t="str">
        <f t="shared" si="63"/>
        <v>ENTm2a",</v>
      </c>
      <c r="K512" t="str">
        <f t="shared" si="63"/>
        <v>Entorhinal area, medial part, dorsal zone, layer 2a",</v>
      </c>
      <c r="L512" t="str">
        <f t="shared" si="64"/>
        <v>ENTm2a</v>
      </c>
      <c r="M512" t="str">
        <f t="shared" si="64"/>
        <v>Entorhinal area, medial part, dorsal zone, layer 2a</v>
      </c>
      <c r="N512" t="s">
        <v>5486</v>
      </c>
      <c r="O512" t="s">
        <v>5487</v>
      </c>
      <c r="Q512" s="6">
        <v>768</v>
      </c>
      <c r="R512" s="6">
        <v>606826655</v>
      </c>
      <c r="S512" s="6" t="s">
        <v>5999</v>
      </c>
      <c r="T512" s="6" t="s">
        <v>5998</v>
      </c>
      <c r="U512" s="6">
        <v>491</v>
      </c>
      <c r="V512" s="6">
        <v>8</v>
      </c>
      <c r="W512" s="6" t="s">
        <v>7759</v>
      </c>
      <c r="Y512" t="s">
        <v>5486</v>
      </c>
      <c r="Z512" t="s">
        <v>5487</v>
      </c>
      <c r="AA512" s="6" t="str">
        <f t="shared" si="65"/>
        <v/>
      </c>
      <c r="AB512">
        <v>50</v>
      </c>
      <c r="AC512">
        <v>182</v>
      </c>
      <c r="AD512">
        <v>36</v>
      </c>
    </row>
    <row r="513" spans="1:30" ht="17" x14ac:dyDescent="0.25">
      <c r="A513" s="1" t="s">
        <v>515</v>
      </c>
      <c r="B513" s="1" t="s">
        <v>3167</v>
      </c>
      <c r="C513" s="1" t="s">
        <v>1842</v>
      </c>
      <c r="D513" t="str">
        <f t="shared" si="66"/>
        <v>31B823</v>
      </c>
      <c r="E513" t="str">
        <f t="shared" si="67"/>
        <v>49-184-35</v>
      </c>
      <c r="F513" t="str">
        <f t="shared" si="68"/>
        <v>4918435</v>
      </c>
      <c r="G513">
        <f t="shared" si="69"/>
        <v>49</v>
      </c>
      <c r="H513">
        <f t="shared" si="70"/>
        <v>184</v>
      </c>
      <c r="I513">
        <f t="shared" si="71"/>
        <v>35</v>
      </c>
      <c r="J513" t="str">
        <f t="shared" si="63"/>
        <v>ENTm2b",</v>
      </c>
      <c r="K513" t="str">
        <f t="shared" si="63"/>
        <v>Entorhinal area, medial part, dorsal zone, layer 2b",</v>
      </c>
      <c r="L513" t="str">
        <f t="shared" si="64"/>
        <v>ENTm2b</v>
      </c>
      <c r="M513" t="str">
        <f t="shared" si="64"/>
        <v>Entorhinal area, medial part, dorsal zone, layer 2b</v>
      </c>
      <c r="N513" t="s">
        <v>5488</v>
      </c>
      <c r="O513" t="s">
        <v>5489</v>
      </c>
      <c r="Q513" s="6">
        <v>769</v>
      </c>
      <c r="R513" s="6">
        <v>606826659</v>
      </c>
      <c r="S513" s="6" t="s">
        <v>6001</v>
      </c>
      <c r="T513" s="6" t="s">
        <v>6000</v>
      </c>
      <c r="U513" s="6">
        <v>491</v>
      </c>
      <c r="V513" s="6">
        <v>8</v>
      </c>
      <c r="W513" s="6" t="s">
        <v>7760</v>
      </c>
      <c r="Y513" t="s">
        <v>5488</v>
      </c>
      <c r="Z513" t="s">
        <v>5489</v>
      </c>
      <c r="AA513" s="6" t="str">
        <f t="shared" si="65"/>
        <v/>
      </c>
      <c r="AB513">
        <v>49</v>
      </c>
      <c r="AC513">
        <v>184</v>
      </c>
      <c r="AD513">
        <v>35</v>
      </c>
    </row>
    <row r="514" spans="1:30" ht="17" x14ac:dyDescent="0.25">
      <c r="A514" s="1" t="s">
        <v>516</v>
      </c>
      <c r="B514" s="1" t="s">
        <v>3168</v>
      </c>
      <c r="C514" s="1" t="s">
        <v>1843</v>
      </c>
      <c r="D514" t="str">
        <f t="shared" si="66"/>
        <v>31B723</v>
      </c>
      <c r="E514" t="str">
        <f t="shared" si="67"/>
        <v>49-183-35</v>
      </c>
      <c r="F514" t="str">
        <f t="shared" si="68"/>
        <v>4918335</v>
      </c>
      <c r="G514">
        <f t="shared" si="69"/>
        <v>49</v>
      </c>
      <c r="H514">
        <f t="shared" si="70"/>
        <v>183</v>
      </c>
      <c r="I514">
        <f t="shared" si="71"/>
        <v>35</v>
      </c>
      <c r="J514" t="str">
        <f t="shared" si="63"/>
        <v>ENTm3",</v>
      </c>
      <c r="K514" t="str">
        <f t="shared" si="63"/>
        <v>Entorhinal area, medial part, dorsal zone, layer 3",</v>
      </c>
      <c r="L514" t="str">
        <f t="shared" si="64"/>
        <v>ENTm3</v>
      </c>
      <c r="M514" t="str">
        <f t="shared" si="64"/>
        <v>Entorhinal area, medial part, dorsal zone, layer 3</v>
      </c>
      <c r="N514" t="s">
        <v>5490</v>
      </c>
      <c r="O514" t="s">
        <v>5491</v>
      </c>
      <c r="Q514" s="6">
        <v>770</v>
      </c>
      <c r="R514" s="6">
        <v>525</v>
      </c>
      <c r="S514" s="6" t="s">
        <v>6003</v>
      </c>
      <c r="T514" s="6" t="s">
        <v>6002</v>
      </c>
      <c r="U514" s="6">
        <v>331</v>
      </c>
      <c r="V514" s="6">
        <v>7</v>
      </c>
      <c r="W514" s="6" t="s">
        <v>7761</v>
      </c>
      <c r="Y514" t="s">
        <v>5490</v>
      </c>
      <c r="Z514" t="s">
        <v>5491</v>
      </c>
      <c r="AA514" s="6">
        <f t="shared" si="65"/>
        <v>664</v>
      </c>
      <c r="AB514">
        <v>49</v>
      </c>
      <c r="AC514">
        <v>183</v>
      </c>
      <c r="AD514">
        <v>35</v>
      </c>
    </row>
    <row r="515" spans="1:30" ht="17" x14ac:dyDescent="0.25">
      <c r="A515" s="1" t="s">
        <v>517</v>
      </c>
      <c r="B515" s="1" t="s">
        <v>3169</v>
      </c>
      <c r="C515" s="1" t="s">
        <v>1844</v>
      </c>
      <c r="D515" t="str">
        <f t="shared" si="66"/>
        <v>31B624</v>
      </c>
      <c r="E515" t="str">
        <f t="shared" si="67"/>
        <v>49-182-36</v>
      </c>
      <c r="F515" t="str">
        <f t="shared" si="68"/>
        <v>4918236</v>
      </c>
      <c r="G515">
        <f t="shared" si="69"/>
        <v>49</v>
      </c>
      <c r="H515">
        <f t="shared" si="70"/>
        <v>182</v>
      </c>
      <c r="I515">
        <f t="shared" si="71"/>
        <v>36</v>
      </c>
      <c r="J515" t="str">
        <f t="shared" ref="J515:K578" si="72">RIGHT(A515,LEN(A515)-3)</f>
        <v>ENTm4",</v>
      </c>
      <c r="K515" t="str">
        <f t="shared" si="72"/>
        <v>Entorhinal area, medial part, dorsal zone, layer 4",</v>
      </c>
      <c r="L515" t="str">
        <f t="shared" ref="L515:M578" si="73">LEFT(J515,LEN(J515)-2)</f>
        <v>ENTm4</v>
      </c>
      <c r="M515" t="str">
        <f t="shared" si="73"/>
        <v>Entorhinal area, medial part, dorsal zone, layer 4</v>
      </c>
      <c r="N515" t="s">
        <v>5492</v>
      </c>
      <c r="O515" t="s">
        <v>5493</v>
      </c>
      <c r="Q515" s="6">
        <v>773</v>
      </c>
      <c r="R515" s="6">
        <v>557</v>
      </c>
      <c r="S515" s="6" t="s">
        <v>6009</v>
      </c>
      <c r="T515" s="6" t="s">
        <v>6008</v>
      </c>
      <c r="U515" s="6">
        <v>331</v>
      </c>
      <c r="V515" s="6">
        <v>7</v>
      </c>
      <c r="W515" s="6" t="s">
        <v>7762</v>
      </c>
      <c r="Y515" t="s">
        <v>5492</v>
      </c>
      <c r="Z515" t="s">
        <v>5493</v>
      </c>
      <c r="AA515" s="6" t="str">
        <f t="shared" ref="AA515:AA578" si="74">IFERROR(INDEX(R:R,MATCH($Z515,S:S,0)),"")</f>
        <v/>
      </c>
      <c r="AB515">
        <v>49</v>
      </c>
      <c r="AC515">
        <v>182</v>
      </c>
      <c r="AD515">
        <v>36</v>
      </c>
    </row>
    <row r="516" spans="1:30" ht="17" x14ac:dyDescent="0.25">
      <c r="A516" s="1" t="s">
        <v>518</v>
      </c>
      <c r="B516" s="1" t="s">
        <v>3170</v>
      </c>
      <c r="C516" s="1" t="s">
        <v>1845</v>
      </c>
      <c r="D516" t="str">
        <f t="shared" ref="D516:D579" si="75">RIGHT(LEFT(C516,9),6)</f>
        <v>30B724</v>
      </c>
      <c r="E516" t="str">
        <f t="shared" ref="E516:E579" si="76">HEX2DEC(LEFT(D516,2))&amp;"-"&amp;HEX2DEC(MID(D516,3,2))&amp;"-"&amp;HEX2DEC(RIGHT(D516,2))</f>
        <v>48-183-36</v>
      </c>
      <c r="F516" t="str">
        <f t="shared" ref="F516:F579" si="77">HEX2DEC(LEFT(D516,2))&amp;HEX2DEC(MID(D516,3,2))&amp;HEX2DEC(RIGHT(D516,2))</f>
        <v>4818336</v>
      </c>
      <c r="G516">
        <f t="shared" ref="G516:G579" si="78">HEX2DEC(LEFT(D516,2))</f>
        <v>48</v>
      </c>
      <c r="H516">
        <f t="shared" ref="H516:H579" si="79">HEX2DEC(MID(D516,3,2))</f>
        <v>183</v>
      </c>
      <c r="I516">
        <f t="shared" ref="I516:I579" si="80">HEX2DEC(RIGHT(D516,2))</f>
        <v>36</v>
      </c>
      <c r="J516" t="str">
        <f t="shared" si="72"/>
        <v>ENTm5",</v>
      </c>
      <c r="K516" t="str">
        <f t="shared" si="72"/>
        <v>Entorhinal area, medial part, dorsal zone, layer 5",</v>
      </c>
      <c r="L516" t="str">
        <f t="shared" si="73"/>
        <v>ENTm5</v>
      </c>
      <c r="M516" t="str">
        <f t="shared" si="73"/>
        <v>Entorhinal area, medial part, dorsal zone, layer 5</v>
      </c>
      <c r="N516" t="s">
        <v>5494</v>
      </c>
      <c r="O516" t="s">
        <v>5495</v>
      </c>
      <c r="Q516" s="6">
        <v>774</v>
      </c>
      <c r="R516" s="6">
        <v>1126</v>
      </c>
      <c r="S516" s="6" t="s">
        <v>6011</v>
      </c>
      <c r="T516" s="6" t="s">
        <v>6010</v>
      </c>
      <c r="U516" s="6">
        <v>557</v>
      </c>
      <c r="V516" s="6">
        <v>8</v>
      </c>
      <c r="W516" s="6" t="s">
        <v>7763</v>
      </c>
      <c r="Y516" t="s">
        <v>5494</v>
      </c>
      <c r="Z516" t="s">
        <v>5495</v>
      </c>
      <c r="AA516" s="6">
        <f t="shared" si="74"/>
        <v>727</v>
      </c>
      <c r="AB516">
        <v>48</v>
      </c>
      <c r="AC516">
        <v>183</v>
      </c>
      <c r="AD516">
        <v>36</v>
      </c>
    </row>
    <row r="517" spans="1:30" ht="17" x14ac:dyDescent="0.25">
      <c r="A517" s="1" t="s">
        <v>519</v>
      </c>
      <c r="B517" s="1" t="s">
        <v>3171</v>
      </c>
      <c r="C517" s="1" t="s">
        <v>1846</v>
      </c>
      <c r="D517" t="str">
        <f t="shared" si="75"/>
        <v>30B725</v>
      </c>
      <c r="E517" t="str">
        <f t="shared" si="76"/>
        <v>48-183-37</v>
      </c>
      <c r="F517" t="str">
        <f t="shared" si="77"/>
        <v>4818337</v>
      </c>
      <c r="G517">
        <f t="shared" si="78"/>
        <v>48</v>
      </c>
      <c r="H517">
        <f t="shared" si="79"/>
        <v>183</v>
      </c>
      <c r="I517">
        <f t="shared" si="80"/>
        <v>37</v>
      </c>
      <c r="J517" t="str">
        <f t="shared" si="72"/>
        <v>ENTm5\/6",</v>
      </c>
      <c r="K517" t="str">
        <f t="shared" si="72"/>
        <v>Entorhinal area, medial part, dorsal zone, layer 5\/6",</v>
      </c>
      <c r="L517" t="str">
        <f t="shared" si="73"/>
        <v>ENTm5\/6</v>
      </c>
      <c r="M517" t="str">
        <f t="shared" si="73"/>
        <v>Entorhinal area, medial part, dorsal zone, layer 5\/6</v>
      </c>
      <c r="N517" t="s">
        <v>7171</v>
      </c>
      <c r="O517" t="s">
        <v>7236</v>
      </c>
      <c r="Q517" s="6">
        <v>775</v>
      </c>
      <c r="R517" s="6">
        <v>1</v>
      </c>
      <c r="S517" s="6" t="s">
        <v>6013</v>
      </c>
      <c r="T517" s="6" t="s">
        <v>6012</v>
      </c>
      <c r="U517" s="6">
        <v>557</v>
      </c>
      <c r="V517" s="6">
        <v>8</v>
      </c>
      <c r="W517" s="6" t="s">
        <v>7764</v>
      </c>
      <c r="Y517" t="s">
        <v>7171</v>
      </c>
      <c r="Z517" t="s">
        <v>7236</v>
      </c>
      <c r="AA517" s="6" t="str">
        <f t="shared" si="74"/>
        <v/>
      </c>
      <c r="AB517">
        <v>48</v>
      </c>
      <c r="AC517">
        <v>183</v>
      </c>
      <c r="AD517">
        <v>37</v>
      </c>
    </row>
    <row r="518" spans="1:30" ht="17" x14ac:dyDescent="0.25">
      <c r="A518" s="1" t="s">
        <v>520</v>
      </c>
      <c r="B518" s="1" t="s">
        <v>3172</v>
      </c>
      <c r="C518" s="1" t="s">
        <v>1847</v>
      </c>
      <c r="D518" t="str">
        <f t="shared" si="75"/>
        <v>32B623</v>
      </c>
      <c r="E518" t="str">
        <f t="shared" si="76"/>
        <v>50-182-35</v>
      </c>
      <c r="F518" t="str">
        <f t="shared" si="77"/>
        <v>5018235</v>
      </c>
      <c r="G518">
        <f t="shared" si="78"/>
        <v>50</v>
      </c>
      <c r="H518">
        <f t="shared" si="79"/>
        <v>182</v>
      </c>
      <c r="I518">
        <f t="shared" si="80"/>
        <v>35</v>
      </c>
      <c r="J518" t="str">
        <f t="shared" si="72"/>
        <v>ENTm6",</v>
      </c>
      <c r="K518" t="str">
        <f t="shared" si="72"/>
        <v>Entorhinal area, medial part, dorsal zone, layer 6",</v>
      </c>
      <c r="L518" t="str">
        <f t="shared" si="73"/>
        <v>ENTm6</v>
      </c>
      <c r="M518" t="str">
        <f t="shared" si="73"/>
        <v>Entorhinal area, medial part, dorsal zone, layer 6</v>
      </c>
      <c r="N518" t="s">
        <v>5496</v>
      </c>
      <c r="O518" t="s">
        <v>5497</v>
      </c>
      <c r="Q518" s="6">
        <v>776</v>
      </c>
      <c r="R518" s="6">
        <v>515</v>
      </c>
      <c r="S518" s="6" t="s">
        <v>6015</v>
      </c>
      <c r="T518" s="6" t="s">
        <v>6014</v>
      </c>
      <c r="U518" s="6">
        <v>467</v>
      </c>
      <c r="V518" s="6">
        <v>6</v>
      </c>
      <c r="W518" s="6" t="s">
        <v>7765</v>
      </c>
      <c r="Y518" t="s">
        <v>5496</v>
      </c>
      <c r="Z518" t="s">
        <v>5497</v>
      </c>
      <c r="AA518" s="6">
        <f t="shared" si="74"/>
        <v>743</v>
      </c>
      <c r="AB518">
        <v>50</v>
      </c>
      <c r="AC518">
        <v>182</v>
      </c>
      <c r="AD518">
        <v>35</v>
      </c>
    </row>
    <row r="519" spans="1:30" ht="17" x14ac:dyDescent="0.25">
      <c r="A519" s="1" t="s">
        <v>521</v>
      </c>
      <c r="B519" s="1" t="s">
        <v>3173</v>
      </c>
      <c r="C519" s="1" t="s">
        <v>1848</v>
      </c>
      <c r="D519" t="str">
        <f t="shared" si="75"/>
        <v>30B723</v>
      </c>
      <c r="E519" t="str">
        <f t="shared" si="76"/>
        <v>48-183-35</v>
      </c>
      <c r="F519" t="str">
        <f t="shared" si="77"/>
        <v>4818335</v>
      </c>
      <c r="G519">
        <f t="shared" si="78"/>
        <v>48</v>
      </c>
      <c r="H519">
        <f t="shared" si="79"/>
        <v>183</v>
      </c>
      <c r="I519">
        <f t="shared" si="80"/>
        <v>35</v>
      </c>
      <c r="J519" t="str">
        <f t="shared" si="72"/>
        <v>ENTmv",</v>
      </c>
      <c r="K519" t="str">
        <f t="shared" si="72"/>
        <v>Entorhinal area, medial part, ventral zone",</v>
      </c>
      <c r="L519" t="str">
        <f t="shared" si="73"/>
        <v>ENTmv</v>
      </c>
      <c r="M519" t="str">
        <f t="shared" si="73"/>
        <v>Entorhinal area, medial part, ventral zone</v>
      </c>
      <c r="N519" t="s">
        <v>5498</v>
      </c>
      <c r="O519" t="s">
        <v>5499</v>
      </c>
      <c r="Q519" s="6">
        <v>780</v>
      </c>
      <c r="R519" s="6">
        <v>980</v>
      </c>
      <c r="S519" s="6" t="s">
        <v>6023</v>
      </c>
      <c r="T519" s="6" t="s">
        <v>6022</v>
      </c>
      <c r="U519" s="6">
        <v>467</v>
      </c>
      <c r="V519" s="6">
        <v>6</v>
      </c>
      <c r="W519" s="6" t="s">
        <v>7766</v>
      </c>
      <c r="Y519" t="s">
        <v>5498</v>
      </c>
      <c r="Z519" t="s">
        <v>5499</v>
      </c>
      <c r="AA519" s="6" t="str">
        <f t="shared" si="74"/>
        <v/>
      </c>
      <c r="AB519">
        <v>48</v>
      </c>
      <c r="AC519">
        <v>183</v>
      </c>
      <c r="AD519">
        <v>35</v>
      </c>
    </row>
    <row r="520" spans="1:30" ht="17" x14ac:dyDescent="0.25">
      <c r="A520" s="1" t="s">
        <v>522</v>
      </c>
      <c r="B520" s="1" t="s">
        <v>3174</v>
      </c>
      <c r="C520" s="1" t="s">
        <v>1849</v>
      </c>
      <c r="D520" t="str">
        <f t="shared" si="75"/>
        <v>31B725</v>
      </c>
      <c r="E520" t="str">
        <f t="shared" si="76"/>
        <v>49-183-37</v>
      </c>
      <c r="F520" t="str">
        <f t="shared" si="77"/>
        <v>4918337</v>
      </c>
      <c r="G520">
        <f t="shared" si="78"/>
        <v>49</v>
      </c>
      <c r="H520">
        <f t="shared" si="79"/>
        <v>183</v>
      </c>
      <c r="I520">
        <f t="shared" si="80"/>
        <v>37</v>
      </c>
      <c r="J520" t="str">
        <f t="shared" si="72"/>
        <v>ENTmv1",</v>
      </c>
      <c r="K520" t="str">
        <f t="shared" si="72"/>
        <v>Entorhinal area, medial part, ventral zone, layer 1",</v>
      </c>
      <c r="L520" t="str">
        <f t="shared" si="73"/>
        <v>ENTmv1</v>
      </c>
      <c r="M520" t="str">
        <f t="shared" si="73"/>
        <v>Entorhinal area, medial part, ventral zone, layer 1</v>
      </c>
      <c r="N520" t="s">
        <v>5500</v>
      </c>
      <c r="O520" t="s">
        <v>5501</v>
      </c>
      <c r="Q520" s="6">
        <v>781</v>
      </c>
      <c r="R520" s="6">
        <v>1004</v>
      </c>
      <c r="S520" s="6" t="s">
        <v>6025</v>
      </c>
      <c r="T520" s="6" t="s">
        <v>6024</v>
      </c>
      <c r="U520" s="6">
        <v>467</v>
      </c>
      <c r="V520" s="6">
        <v>6</v>
      </c>
      <c r="W520" s="6" t="s">
        <v>7767</v>
      </c>
      <c r="Y520" t="s">
        <v>5500</v>
      </c>
      <c r="Z520" t="s">
        <v>5501</v>
      </c>
      <c r="AA520" s="6" t="str">
        <f t="shared" si="74"/>
        <v/>
      </c>
      <c r="AB520">
        <v>49</v>
      </c>
      <c r="AC520">
        <v>183</v>
      </c>
      <c r="AD520">
        <v>37</v>
      </c>
    </row>
    <row r="521" spans="1:30" ht="17" x14ac:dyDescent="0.25">
      <c r="A521" s="1" t="s">
        <v>523</v>
      </c>
      <c r="B521" s="1" t="s">
        <v>3175</v>
      </c>
      <c r="C521" s="1" t="s">
        <v>1850</v>
      </c>
      <c r="D521" t="str">
        <f t="shared" si="75"/>
        <v>32B823</v>
      </c>
      <c r="E521" t="str">
        <f t="shared" si="76"/>
        <v>50-184-35</v>
      </c>
      <c r="F521" t="str">
        <f t="shared" si="77"/>
        <v>5018435</v>
      </c>
      <c r="G521">
        <f t="shared" si="78"/>
        <v>50</v>
      </c>
      <c r="H521">
        <f t="shared" si="79"/>
        <v>184</v>
      </c>
      <c r="I521">
        <f t="shared" si="80"/>
        <v>35</v>
      </c>
      <c r="J521" t="str">
        <f t="shared" si="72"/>
        <v>ENTmv2",</v>
      </c>
      <c r="K521" t="str">
        <f t="shared" si="72"/>
        <v>Entorhinal area, medial part, ventral zone, layer 2",</v>
      </c>
      <c r="L521" t="str">
        <f t="shared" si="73"/>
        <v>ENTmv2</v>
      </c>
      <c r="M521" t="str">
        <f t="shared" si="73"/>
        <v>Entorhinal area, medial part, ventral zone, layer 2</v>
      </c>
      <c r="N521" t="s">
        <v>5502</v>
      </c>
      <c r="O521" t="s">
        <v>5503</v>
      </c>
      <c r="Q521" s="6">
        <v>782</v>
      </c>
      <c r="R521" s="6">
        <v>63</v>
      </c>
      <c r="S521" s="6" t="s">
        <v>6027</v>
      </c>
      <c r="T521" s="6" t="s">
        <v>6026</v>
      </c>
      <c r="U521" s="6">
        <v>467</v>
      </c>
      <c r="V521" s="6">
        <v>6</v>
      </c>
      <c r="W521" s="6" t="s">
        <v>7768</v>
      </c>
      <c r="Y521" t="s">
        <v>5502</v>
      </c>
      <c r="Z521" t="s">
        <v>5503</v>
      </c>
      <c r="AA521" s="6" t="str">
        <f t="shared" si="74"/>
        <v/>
      </c>
      <c r="AB521">
        <v>50</v>
      </c>
      <c r="AC521">
        <v>184</v>
      </c>
      <c r="AD521">
        <v>35</v>
      </c>
    </row>
    <row r="522" spans="1:30" ht="17" x14ac:dyDescent="0.25">
      <c r="A522" s="1" t="s">
        <v>524</v>
      </c>
      <c r="B522" s="1" t="s">
        <v>3176</v>
      </c>
      <c r="C522" s="1" t="s">
        <v>1851</v>
      </c>
      <c r="D522" t="str">
        <f t="shared" si="75"/>
        <v>32B625</v>
      </c>
      <c r="E522" t="str">
        <f t="shared" si="76"/>
        <v>50-182-37</v>
      </c>
      <c r="F522" t="str">
        <f t="shared" si="77"/>
        <v>5018237</v>
      </c>
      <c r="G522">
        <f t="shared" si="78"/>
        <v>50</v>
      </c>
      <c r="H522">
        <f t="shared" si="79"/>
        <v>182</v>
      </c>
      <c r="I522">
        <f t="shared" si="80"/>
        <v>37</v>
      </c>
      <c r="J522" t="str">
        <f t="shared" si="72"/>
        <v>ENTmv3",</v>
      </c>
      <c r="K522" t="str">
        <f t="shared" si="72"/>
        <v>Entorhinal area, medial part, ventral zone, layer 3",</v>
      </c>
      <c r="L522" t="str">
        <f t="shared" si="73"/>
        <v>ENTmv3</v>
      </c>
      <c r="M522" t="str">
        <f t="shared" si="73"/>
        <v>Entorhinal area, medial part, ventral zone, layer 3</v>
      </c>
      <c r="N522" t="s">
        <v>5504</v>
      </c>
      <c r="O522" t="s">
        <v>5505</v>
      </c>
      <c r="Q522" s="6">
        <v>787</v>
      </c>
      <c r="R522" s="6">
        <v>693</v>
      </c>
      <c r="S522" s="6" t="s">
        <v>6037</v>
      </c>
      <c r="T522" s="6" t="s">
        <v>6036</v>
      </c>
      <c r="U522" s="6">
        <v>467</v>
      </c>
      <c r="V522" s="6">
        <v>6</v>
      </c>
      <c r="W522" s="6" t="s">
        <v>7769</v>
      </c>
      <c r="Y522" t="s">
        <v>5504</v>
      </c>
      <c r="Z522" t="s">
        <v>5505</v>
      </c>
      <c r="AA522" s="6" t="str">
        <f t="shared" si="74"/>
        <v/>
      </c>
      <c r="AB522">
        <v>50</v>
      </c>
      <c r="AC522">
        <v>182</v>
      </c>
      <c r="AD522">
        <v>37</v>
      </c>
    </row>
    <row r="523" spans="1:30" ht="17" x14ac:dyDescent="0.25">
      <c r="A523" s="1" t="s">
        <v>525</v>
      </c>
      <c r="B523" s="1" t="s">
        <v>3177</v>
      </c>
      <c r="C523" s="1" t="s">
        <v>1852</v>
      </c>
      <c r="D523" t="str">
        <f t="shared" si="75"/>
        <v>32B723</v>
      </c>
      <c r="E523" t="str">
        <f t="shared" si="76"/>
        <v>50-183-35</v>
      </c>
      <c r="F523" t="str">
        <f t="shared" si="77"/>
        <v>5018335</v>
      </c>
      <c r="G523">
        <f t="shared" si="78"/>
        <v>50</v>
      </c>
      <c r="H523">
        <f t="shared" si="79"/>
        <v>183</v>
      </c>
      <c r="I523">
        <f t="shared" si="80"/>
        <v>35</v>
      </c>
      <c r="J523" t="str">
        <f t="shared" si="72"/>
        <v>ENTmv4",</v>
      </c>
      <c r="K523" t="str">
        <f t="shared" si="72"/>
        <v>Entorhinal area, medial part, ventral zone, layer 4",</v>
      </c>
      <c r="L523" t="str">
        <f t="shared" si="73"/>
        <v>ENTmv4</v>
      </c>
      <c r="M523" t="str">
        <f t="shared" si="73"/>
        <v>Entorhinal area, medial part, ventral zone, layer 4</v>
      </c>
      <c r="N523" t="s">
        <v>5506</v>
      </c>
      <c r="O523" t="s">
        <v>5507</v>
      </c>
      <c r="Q523" s="6">
        <v>792</v>
      </c>
      <c r="R523" s="6">
        <v>946</v>
      </c>
      <c r="S523" s="6" t="s">
        <v>6047</v>
      </c>
      <c r="T523" s="6" t="s">
        <v>6046</v>
      </c>
      <c r="U523" s="6">
        <v>467</v>
      </c>
      <c r="V523" s="6">
        <v>6</v>
      </c>
      <c r="W523" s="6" t="s">
        <v>7770</v>
      </c>
      <c r="Y523" t="s">
        <v>5506</v>
      </c>
      <c r="Z523" t="s">
        <v>5507</v>
      </c>
      <c r="AA523" s="6" t="str">
        <f t="shared" si="74"/>
        <v/>
      </c>
      <c r="AB523">
        <v>50</v>
      </c>
      <c r="AC523">
        <v>183</v>
      </c>
      <c r="AD523">
        <v>35</v>
      </c>
    </row>
    <row r="524" spans="1:30" ht="17" x14ac:dyDescent="0.25">
      <c r="A524" s="1" t="s">
        <v>526</v>
      </c>
      <c r="B524" s="1" t="s">
        <v>3178</v>
      </c>
      <c r="C524" s="1" t="s">
        <v>1853</v>
      </c>
      <c r="D524" t="str">
        <f t="shared" si="75"/>
        <v>32B524</v>
      </c>
      <c r="E524" t="str">
        <f t="shared" si="76"/>
        <v>50-181-36</v>
      </c>
      <c r="F524" t="str">
        <f t="shared" si="77"/>
        <v>5018136</v>
      </c>
      <c r="G524">
        <f t="shared" si="78"/>
        <v>50</v>
      </c>
      <c r="H524">
        <f t="shared" si="79"/>
        <v>181</v>
      </c>
      <c r="I524">
        <f t="shared" si="80"/>
        <v>36</v>
      </c>
      <c r="J524" t="str">
        <f t="shared" si="72"/>
        <v>ENTmv5\/6",</v>
      </c>
      <c r="K524" t="str">
        <f t="shared" si="72"/>
        <v>Entorhinal area, medial part, ventral zone, layer 5\/6",</v>
      </c>
      <c r="L524" t="str">
        <f t="shared" si="73"/>
        <v>ENTmv5\/6</v>
      </c>
      <c r="M524" t="str">
        <f t="shared" si="73"/>
        <v>Entorhinal area, medial part, ventral zone, layer 5\/6</v>
      </c>
      <c r="N524" t="s">
        <v>7172</v>
      </c>
      <c r="O524" t="s">
        <v>7237</v>
      </c>
      <c r="Q524" s="6">
        <v>793</v>
      </c>
      <c r="R524" s="6">
        <v>290</v>
      </c>
      <c r="S524" s="6" t="s">
        <v>6049</v>
      </c>
      <c r="T524" s="6" t="s">
        <v>6048</v>
      </c>
      <c r="U524" s="6">
        <v>1097</v>
      </c>
      <c r="V524" s="6">
        <v>5</v>
      </c>
      <c r="W524" s="6" t="s">
        <v>7771</v>
      </c>
      <c r="Y524" t="s">
        <v>7172</v>
      </c>
      <c r="Z524" t="s">
        <v>7237</v>
      </c>
      <c r="AA524" s="6" t="str">
        <f t="shared" si="74"/>
        <v/>
      </c>
      <c r="AB524">
        <v>50</v>
      </c>
      <c r="AC524">
        <v>181</v>
      </c>
      <c r="AD524">
        <v>36</v>
      </c>
    </row>
    <row r="525" spans="1:30" ht="17" x14ac:dyDescent="0.25">
      <c r="A525" s="1" t="s">
        <v>527</v>
      </c>
      <c r="B525" s="1" t="s">
        <v>3179</v>
      </c>
      <c r="C525" s="1" t="s">
        <v>1854</v>
      </c>
      <c r="D525" t="str">
        <f t="shared" si="75"/>
        <v>72D568</v>
      </c>
      <c r="E525" t="str">
        <f t="shared" si="76"/>
        <v>114-213-104</v>
      </c>
      <c r="F525" t="str">
        <f t="shared" si="77"/>
        <v>114213104</v>
      </c>
      <c r="G525">
        <f t="shared" si="78"/>
        <v>114</v>
      </c>
      <c r="H525">
        <f t="shared" si="79"/>
        <v>213</v>
      </c>
      <c r="I525">
        <f t="shared" si="80"/>
        <v>104</v>
      </c>
      <c r="J525" t="str">
        <f t="shared" si="72"/>
        <v>PAR",</v>
      </c>
      <c r="K525" t="str">
        <f t="shared" si="72"/>
        <v>Parasubiculum",</v>
      </c>
      <c r="L525" t="str">
        <f t="shared" si="73"/>
        <v>PAR</v>
      </c>
      <c r="M525" t="str">
        <f t="shared" si="73"/>
        <v>Parasubiculum</v>
      </c>
      <c r="N525" t="s">
        <v>5508</v>
      </c>
      <c r="O525" t="s">
        <v>5509</v>
      </c>
      <c r="Q525" s="6">
        <v>794</v>
      </c>
      <c r="R525" s="6">
        <v>194</v>
      </c>
      <c r="S525" s="6" t="s">
        <v>6051</v>
      </c>
      <c r="T525" s="6" t="s">
        <v>6050</v>
      </c>
      <c r="U525" s="6">
        <v>290</v>
      </c>
      <c r="V525" s="6">
        <v>6</v>
      </c>
      <c r="W525" s="6" t="s">
        <v>7772</v>
      </c>
      <c r="Y525" t="s">
        <v>5508</v>
      </c>
      <c r="Z525" t="s">
        <v>5509</v>
      </c>
      <c r="AA525" s="6">
        <f t="shared" si="74"/>
        <v>843</v>
      </c>
      <c r="AB525">
        <v>114</v>
      </c>
      <c r="AC525">
        <v>213</v>
      </c>
      <c r="AD525">
        <v>104</v>
      </c>
    </row>
    <row r="526" spans="1:30" ht="17" x14ac:dyDescent="0.25">
      <c r="A526" s="1" t="s">
        <v>528</v>
      </c>
      <c r="B526" s="1" t="s">
        <v>3180</v>
      </c>
      <c r="C526" s="1" t="s">
        <v>1855</v>
      </c>
      <c r="D526" t="str">
        <f t="shared" si="75"/>
        <v>72D469</v>
      </c>
      <c r="E526" t="str">
        <f t="shared" si="76"/>
        <v>114-212-105</v>
      </c>
      <c r="F526" t="str">
        <f t="shared" si="77"/>
        <v>114212105</v>
      </c>
      <c r="G526">
        <f t="shared" si="78"/>
        <v>114</v>
      </c>
      <c r="H526">
        <f t="shared" si="79"/>
        <v>212</v>
      </c>
      <c r="I526">
        <f t="shared" si="80"/>
        <v>105</v>
      </c>
      <c r="J526" t="str">
        <f t="shared" si="72"/>
        <v>PAR1",</v>
      </c>
      <c r="K526" t="str">
        <f t="shared" si="72"/>
        <v>Parasubiculum, layer 1",</v>
      </c>
      <c r="L526" t="str">
        <f t="shared" si="73"/>
        <v>PAR1</v>
      </c>
      <c r="M526" t="str">
        <f t="shared" si="73"/>
        <v>Parasubiculum, layer 1</v>
      </c>
      <c r="N526" t="s">
        <v>5510</v>
      </c>
      <c r="O526" t="s">
        <v>5511</v>
      </c>
      <c r="Q526" s="6">
        <v>795</v>
      </c>
      <c r="R526" s="6">
        <v>226</v>
      </c>
      <c r="S526" s="6" t="s">
        <v>6053</v>
      </c>
      <c r="T526" s="6" t="s">
        <v>6052</v>
      </c>
      <c r="U526" s="6">
        <v>290</v>
      </c>
      <c r="V526" s="6">
        <v>6</v>
      </c>
      <c r="W526" s="6" t="s">
        <v>7773</v>
      </c>
      <c r="Y526" t="s">
        <v>5510</v>
      </c>
      <c r="Z526" t="s">
        <v>5511</v>
      </c>
      <c r="AA526" s="6" t="str">
        <f t="shared" si="74"/>
        <v/>
      </c>
      <c r="AB526">
        <v>114</v>
      </c>
      <c r="AC526">
        <v>212</v>
      </c>
      <c r="AD526">
        <v>105</v>
      </c>
    </row>
    <row r="527" spans="1:30" ht="17" x14ac:dyDescent="0.25">
      <c r="A527" s="1" t="s">
        <v>529</v>
      </c>
      <c r="B527" s="1" t="s">
        <v>3181</v>
      </c>
      <c r="C527" s="1" t="s">
        <v>1856</v>
      </c>
      <c r="D527" t="str">
        <f t="shared" si="75"/>
        <v>71D569</v>
      </c>
      <c r="E527" t="str">
        <f t="shared" si="76"/>
        <v>113-213-105</v>
      </c>
      <c r="F527" t="str">
        <f t="shared" si="77"/>
        <v>113213105</v>
      </c>
      <c r="G527">
        <f t="shared" si="78"/>
        <v>113</v>
      </c>
      <c r="H527">
        <f t="shared" si="79"/>
        <v>213</v>
      </c>
      <c r="I527">
        <f t="shared" si="80"/>
        <v>105</v>
      </c>
      <c r="J527" t="str">
        <f t="shared" si="72"/>
        <v>PAR2",</v>
      </c>
      <c r="K527" t="str">
        <f t="shared" si="72"/>
        <v>Parasubiculum, layer 2",</v>
      </c>
      <c r="L527" t="str">
        <f t="shared" si="73"/>
        <v>PAR2</v>
      </c>
      <c r="M527" t="str">
        <f t="shared" si="73"/>
        <v>Parasubiculum, layer 2</v>
      </c>
      <c r="N527" t="s">
        <v>5512</v>
      </c>
      <c r="O527" t="s">
        <v>5513</v>
      </c>
      <c r="Q527" s="6">
        <v>796</v>
      </c>
      <c r="R527" s="6">
        <v>356</v>
      </c>
      <c r="S527" s="6" t="s">
        <v>6055</v>
      </c>
      <c r="T527" s="6" t="s">
        <v>6054</v>
      </c>
      <c r="U527" s="6">
        <v>290</v>
      </c>
      <c r="V527" s="6">
        <v>6</v>
      </c>
      <c r="W527" s="6" t="s">
        <v>7774</v>
      </c>
      <c r="Y527" t="s">
        <v>5512</v>
      </c>
      <c r="Z527" t="s">
        <v>5513</v>
      </c>
      <c r="AA527" s="6" t="str">
        <f t="shared" si="74"/>
        <v/>
      </c>
      <c r="AB527">
        <v>113</v>
      </c>
      <c r="AC527">
        <v>213</v>
      </c>
      <c r="AD527">
        <v>105</v>
      </c>
    </row>
    <row r="528" spans="1:30" ht="17" x14ac:dyDescent="0.25">
      <c r="A528" s="1" t="s">
        <v>530</v>
      </c>
      <c r="B528" s="1" t="s">
        <v>3182</v>
      </c>
      <c r="C528" s="1" t="s">
        <v>1857</v>
      </c>
      <c r="D528" t="str">
        <f t="shared" si="75"/>
        <v>72D569</v>
      </c>
      <c r="E528" t="str">
        <f t="shared" si="76"/>
        <v>114-213-105</v>
      </c>
      <c r="F528" t="str">
        <f t="shared" si="77"/>
        <v>114213105</v>
      </c>
      <c r="G528">
        <f t="shared" si="78"/>
        <v>114</v>
      </c>
      <c r="H528">
        <f t="shared" si="79"/>
        <v>213</v>
      </c>
      <c r="I528">
        <f t="shared" si="80"/>
        <v>105</v>
      </c>
      <c r="J528" t="str">
        <f t="shared" si="72"/>
        <v>PAR3",</v>
      </c>
      <c r="K528" t="str">
        <f t="shared" si="72"/>
        <v>Parasubiculum, layer 3",</v>
      </c>
      <c r="L528" t="str">
        <f t="shared" si="73"/>
        <v>PAR3</v>
      </c>
      <c r="M528" t="str">
        <f t="shared" si="73"/>
        <v>Parasubiculum, layer 3</v>
      </c>
      <c r="N528" t="s">
        <v>5514</v>
      </c>
      <c r="O528" t="s">
        <v>5515</v>
      </c>
      <c r="Q528" s="6">
        <v>797</v>
      </c>
      <c r="R528" s="6">
        <v>364</v>
      </c>
      <c r="S528" s="6" t="s">
        <v>6057</v>
      </c>
      <c r="T528" s="6" t="s">
        <v>6056</v>
      </c>
      <c r="U528" s="6">
        <v>290</v>
      </c>
      <c r="V528" s="6">
        <v>6</v>
      </c>
      <c r="W528" s="6" t="s">
        <v>7775</v>
      </c>
      <c r="Y528" t="s">
        <v>5514</v>
      </c>
      <c r="Z528" t="s">
        <v>5515</v>
      </c>
      <c r="AA528" s="6" t="str">
        <f t="shared" si="74"/>
        <v/>
      </c>
      <c r="AB528">
        <v>114</v>
      </c>
      <c r="AC528">
        <v>213</v>
      </c>
      <c r="AD528">
        <v>105</v>
      </c>
    </row>
    <row r="529" spans="1:30" ht="17" x14ac:dyDescent="0.25">
      <c r="A529" s="1" t="s">
        <v>531</v>
      </c>
      <c r="B529" s="1" t="s">
        <v>3183</v>
      </c>
      <c r="C529" s="1" t="s">
        <v>1858</v>
      </c>
      <c r="D529" t="str">
        <f t="shared" si="75"/>
        <v>47C83C</v>
      </c>
      <c r="E529" t="str">
        <f t="shared" si="76"/>
        <v>71-200-60</v>
      </c>
      <c r="F529" t="str">
        <f t="shared" si="77"/>
        <v>7120060</v>
      </c>
      <c r="G529">
        <f t="shared" si="78"/>
        <v>71</v>
      </c>
      <c r="H529">
        <f t="shared" si="79"/>
        <v>200</v>
      </c>
      <c r="I529">
        <f t="shared" si="80"/>
        <v>60</v>
      </c>
      <c r="J529" t="str">
        <f t="shared" si="72"/>
        <v>POST",</v>
      </c>
      <c r="K529" t="str">
        <f t="shared" si="72"/>
        <v>Postsubiculum",</v>
      </c>
      <c r="L529" t="str">
        <f t="shared" si="73"/>
        <v>POST</v>
      </c>
      <c r="M529" t="str">
        <f t="shared" si="73"/>
        <v>Postsubiculum</v>
      </c>
      <c r="N529" t="s">
        <v>5516</v>
      </c>
      <c r="O529" t="s">
        <v>5517</v>
      </c>
      <c r="Q529" s="6">
        <v>798</v>
      </c>
      <c r="R529" s="6">
        <v>576073704</v>
      </c>
      <c r="S529" s="6" t="s">
        <v>6059</v>
      </c>
      <c r="T529" s="6" t="s">
        <v>6058</v>
      </c>
      <c r="U529" s="6">
        <v>290</v>
      </c>
      <c r="V529" s="6">
        <v>6</v>
      </c>
      <c r="W529" s="6" t="s">
        <v>7776</v>
      </c>
      <c r="Y529" t="s">
        <v>5516</v>
      </c>
      <c r="Z529" t="s">
        <v>5517</v>
      </c>
      <c r="AA529" s="6">
        <f t="shared" si="74"/>
        <v>1037</v>
      </c>
      <c r="AB529">
        <v>71</v>
      </c>
      <c r="AC529">
        <v>200</v>
      </c>
      <c r="AD529">
        <v>60</v>
      </c>
    </row>
    <row r="530" spans="1:30" ht="17" x14ac:dyDescent="0.25">
      <c r="A530" s="1" t="s">
        <v>532</v>
      </c>
      <c r="B530" s="1" t="s">
        <v>3184</v>
      </c>
      <c r="C530" s="1" t="s">
        <v>1859</v>
      </c>
      <c r="D530" t="str">
        <f t="shared" si="75"/>
        <v>48C73C</v>
      </c>
      <c r="E530" t="str">
        <f t="shared" si="76"/>
        <v>72-199-60</v>
      </c>
      <c r="F530" t="str">
        <f t="shared" si="77"/>
        <v>7219960</v>
      </c>
      <c r="G530">
        <f t="shared" si="78"/>
        <v>72</v>
      </c>
      <c r="H530">
        <f t="shared" si="79"/>
        <v>199</v>
      </c>
      <c r="I530">
        <f t="shared" si="80"/>
        <v>60</v>
      </c>
      <c r="J530" t="str">
        <f t="shared" si="72"/>
        <v>POST1",</v>
      </c>
      <c r="K530" t="str">
        <f t="shared" si="72"/>
        <v>Postsubiculum, layer 1",</v>
      </c>
      <c r="L530" t="str">
        <f t="shared" si="73"/>
        <v>POST1</v>
      </c>
      <c r="M530" t="str">
        <f t="shared" si="73"/>
        <v>Postsubiculum, layer 1</v>
      </c>
      <c r="N530" t="s">
        <v>5518</v>
      </c>
      <c r="O530" t="s">
        <v>5519</v>
      </c>
      <c r="Q530" s="6">
        <v>799</v>
      </c>
      <c r="R530" s="6">
        <v>173</v>
      </c>
      <c r="S530" s="6" t="s">
        <v>6061</v>
      </c>
      <c r="T530" s="6" t="s">
        <v>6060</v>
      </c>
      <c r="U530" s="6">
        <v>290</v>
      </c>
      <c r="V530" s="6">
        <v>6</v>
      </c>
      <c r="W530" s="6" t="s">
        <v>7777</v>
      </c>
      <c r="Y530" t="s">
        <v>5518</v>
      </c>
      <c r="Z530" t="s">
        <v>5519</v>
      </c>
      <c r="AA530" s="6" t="str">
        <f t="shared" si="74"/>
        <v/>
      </c>
      <c r="AB530">
        <v>72</v>
      </c>
      <c r="AC530">
        <v>199</v>
      </c>
      <c r="AD530">
        <v>60</v>
      </c>
    </row>
    <row r="531" spans="1:30" ht="17" x14ac:dyDescent="0.25">
      <c r="A531" s="1" t="s">
        <v>533</v>
      </c>
      <c r="B531" s="1" t="s">
        <v>3185</v>
      </c>
      <c r="C531" s="1" t="s">
        <v>1860</v>
      </c>
      <c r="D531" t="str">
        <f t="shared" si="75"/>
        <v>48C83B</v>
      </c>
      <c r="E531" t="str">
        <f t="shared" si="76"/>
        <v>72-200-59</v>
      </c>
      <c r="F531" t="str">
        <f t="shared" si="77"/>
        <v>7220059</v>
      </c>
      <c r="G531">
        <f t="shared" si="78"/>
        <v>72</v>
      </c>
      <c r="H531">
        <f t="shared" si="79"/>
        <v>200</v>
      </c>
      <c r="I531">
        <f t="shared" si="80"/>
        <v>59</v>
      </c>
      <c r="J531" t="str">
        <f t="shared" si="72"/>
        <v>POST2",</v>
      </c>
      <c r="K531" t="str">
        <f t="shared" si="72"/>
        <v>Postsubiculum, layer 2",</v>
      </c>
      <c r="L531" t="str">
        <f t="shared" si="73"/>
        <v>POST2</v>
      </c>
      <c r="M531" t="str">
        <f t="shared" si="73"/>
        <v>Postsubiculum, layer 2</v>
      </c>
      <c r="N531" t="s">
        <v>5520</v>
      </c>
      <c r="O531" t="s">
        <v>5521</v>
      </c>
      <c r="Q531" s="6">
        <v>800</v>
      </c>
      <c r="R531" s="6">
        <v>470</v>
      </c>
      <c r="S531" s="6" t="s">
        <v>6063</v>
      </c>
      <c r="T531" s="6" t="s">
        <v>6062</v>
      </c>
      <c r="U531" s="6">
        <v>290</v>
      </c>
      <c r="V531" s="6">
        <v>6</v>
      </c>
      <c r="W531" s="6" t="s">
        <v>7778</v>
      </c>
      <c r="Y531" t="s">
        <v>5520</v>
      </c>
      <c r="Z531" t="s">
        <v>5521</v>
      </c>
      <c r="AA531" s="6" t="str">
        <f t="shared" si="74"/>
        <v/>
      </c>
      <c r="AB531">
        <v>72</v>
      </c>
      <c r="AC531">
        <v>200</v>
      </c>
      <c r="AD531">
        <v>59</v>
      </c>
    </row>
    <row r="532" spans="1:30" ht="17" x14ac:dyDescent="0.25">
      <c r="A532" s="1" t="s">
        <v>534</v>
      </c>
      <c r="B532" s="1" t="s">
        <v>3186</v>
      </c>
      <c r="C532" s="1" t="s">
        <v>1861</v>
      </c>
      <c r="D532" t="str">
        <f t="shared" si="75"/>
        <v>48C83C</v>
      </c>
      <c r="E532" t="str">
        <f t="shared" si="76"/>
        <v>72-200-60</v>
      </c>
      <c r="F532" t="str">
        <f t="shared" si="77"/>
        <v>7220060</v>
      </c>
      <c r="G532">
        <f t="shared" si="78"/>
        <v>72</v>
      </c>
      <c r="H532">
        <f t="shared" si="79"/>
        <v>200</v>
      </c>
      <c r="I532">
        <f t="shared" si="80"/>
        <v>60</v>
      </c>
      <c r="J532" t="str">
        <f t="shared" si="72"/>
        <v>POST3",</v>
      </c>
      <c r="K532" t="str">
        <f t="shared" si="72"/>
        <v>Postsubiculum, layer 3",</v>
      </c>
      <c r="L532" t="str">
        <f t="shared" si="73"/>
        <v>POST3</v>
      </c>
      <c r="M532" t="str">
        <f t="shared" si="73"/>
        <v>Postsubiculum, layer 3</v>
      </c>
      <c r="N532" t="s">
        <v>5522</v>
      </c>
      <c r="O532" t="s">
        <v>5523</v>
      </c>
      <c r="Q532" s="6">
        <v>801</v>
      </c>
      <c r="R532" s="6">
        <v>614</v>
      </c>
      <c r="S532" s="6" t="s">
        <v>6065</v>
      </c>
      <c r="T532" s="6" t="s">
        <v>6064</v>
      </c>
      <c r="U532" s="6">
        <v>290</v>
      </c>
      <c r="V532" s="6">
        <v>6</v>
      </c>
      <c r="W532" s="6" t="s">
        <v>7779</v>
      </c>
      <c r="Y532" t="s">
        <v>5522</v>
      </c>
      <c r="Z532" t="s">
        <v>5523</v>
      </c>
      <c r="AA532" s="6" t="str">
        <f t="shared" si="74"/>
        <v/>
      </c>
      <c r="AB532">
        <v>72</v>
      </c>
      <c r="AC532">
        <v>200</v>
      </c>
      <c r="AD532">
        <v>60</v>
      </c>
    </row>
    <row r="533" spans="1:30" ht="17" x14ac:dyDescent="0.25">
      <c r="A533" s="1" t="s">
        <v>535</v>
      </c>
      <c r="B533" s="1" t="s">
        <v>3187</v>
      </c>
      <c r="C533" s="1" t="s">
        <v>1862</v>
      </c>
      <c r="D533" t="str">
        <f t="shared" si="75"/>
        <v>59B847</v>
      </c>
      <c r="E533" t="str">
        <f t="shared" si="76"/>
        <v>89-184-71</v>
      </c>
      <c r="F533" t="str">
        <f t="shared" si="77"/>
        <v>8918471</v>
      </c>
      <c r="G533">
        <f t="shared" si="78"/>
        <v>89</v>
      </c>
      <c r="H533">
        <f t="shared" si="79"/>
        <v>184</v>
      </c>
      <c r="I533">
        <f t="shared" si="80"/>
        <v>71</v>
      </c>
      <c r="J533" t="str">
        <f t="shared" si="72"/>
        <v>PRE",</v>
      </c>
      <c r="K533" t="str">
        <f t="shared" si="72"/>
        <v>Presubiculum",</v>
      </c>
      <c r="L533" t="str">
        <f t="shared" si="73"/>
        <v>PRE</v>
      </c>
      <c r="M533" t="str">
        <f t="shared" si="73"/>
        <v>Presubiculum</v>
      </c>
      <c r="N533" t="s">
        <v>5524</v>
      </c>
      <c r="O533" t="s">
        <v>5525</v>
      </c>
      <c r="Q533" s="6">
        <v>802</v>
      </c>
      <c r="R533" s="6">
        <v>797</v>
      </c>
      <c r="S533" s="6" t="s">
        <v>6067</v>
      </c>
      <c r="T533" s="6" t="s">
        <v>6066</v>
      </c>
      <c r="U533" s="6">
        <v>290</v>
      </c>
      <c r="V533" s="6">
        <v>6</v>
      </c>
      <c r="W533" s="6" t="s">
        <v>7780</v>
      </c>
      <c r="Y533" t="s">
        <v>5524</v>
      </c>
      <c r="Z533" t="s">
        <v>5525</v>
      </c>
      <c r="AA533" s="6">
        <f t="shared" si="74"/>
        <v>1084</v>
      </c>
      <c r="AB533">
        <v>89</v>
      </c>
      <c r="AC533">
        <v>184</v>
      </c>
      <c r="AD533">
        <v>71</v>
      </c>
    </row>
    <row r="534" spans="1:30" ht="17" x14ac:dyDescent="0.25">
      <c r="A534" s="1" t="s">
        <v>536</v>
      </c>
      <c r="B534" s="1" t="s">
        <v>3188</v>
      </c>
      <c r="C534" s="1" t="s">
        <v>1863</v>
      </c>
      <c r="D534" t="str">
        <f t="shared" si="75"/>
        <v>59B947</v>
      </c>
      <c r="E534" t="str">
        <f t="shared" si="76"/>
        <v>89-185-71</v>
      </c>
      <c r="F534" t="str">
        <f t="shared" si="77"/>
        <v>8918571</v>
      </c>
      <c r="G534">
        <f t="shared" si="78"/>
        <v>89</v>
      </c>
      <c r="H534">
        <f t="shared" si="79"/>
        <v>185</v>
      </c>
      <c r="I534">
        <f t="shared" si="80"/>
        <v>71</v>
      </c>
      <c r="J534" t="str">
        <f t="shared" si="72"/>
        <v>PRE1",</v>
      </c>
      <c r="K534" t="str">
        <f t="shared" si="72"/>
        <v>Presubiculum, layer 1",</v>
      </c>
      <c r="L534" t="str">
        <f t="shared" si="73"/>
        <v>PRE1</v>
      </c>
      <c r="M534" t="str">
        <f t="shared" si="73"/>
        <v>Presubiculum, layer 1</v>
      </c>
      <c r="N534" t="s">
        <v>5526</v>
      </c>
      <c r="O534" t="s">
        <v>5527</v>
      </c>
      <c r="Q534" s="6">
        <v>804</v>
      </c>
      <c r="R534" s="6">
        <v>804</v>
      </c>
      <c r="S534" s="6" t="s">
        <v>6071</v>
      </c>
      <c r="T534" s="6" t="s">
        <v>6070</v>
      </c>
      <c r="U534" s="6">
        <v>797</v>
      </c>
      <c r="V534" s="6">
        <v>7</v>
      </c>
      <c r="W534" s="6" t="s">
        <v>7781</v>
      </c>
      <c r="Y534" t="s">
        <v>5526</v>
      </c>
      <c r="Z534" t="s">
        <v>5527</v>
      </c>
      <c r="AA534" s="6" t="str">
        <f t="shared" si="74"/>
        <v/>
      </c>
      <c r="AB534">
        <v>89</v>
      </c>
      <c r="AC534">
        <v>185</v>
      </c>
      <c r="AD534">
        <v>71</v>
      </c>
    </row>
    <row r="535" spans="1:30" ht="17" x14ac:dyDescent="0.25">
      <c r="A535" s="1" t="s">
        <v>537</v>
      </c>
      <c r="B535" s="1" t="s">
        <v>3189</v>
      </c>
      <c r="C535" s="1" t="s">
        <v>1864</v>
      </c>
      <c r="D535" t="str">
        <f t="shared" si="75"/>
        <v>59B946</v>
      </c>
      <c r="E535" t="str">
        <f t="shared" si="76"/>
        <v>89-185-70</v>
      </c>
      <c r="F535" t="str">
        <f t="shared" si="77"/>
        <v>8918570</v>
      </c>
      <c r="G535">
        <f t="shared" si="78"/>
        <v>89</v>
      </c>
      <c r="H535">
        <f t="shared" si="79"/>
        <v>185</v>
      </c>
      <c r="I535">
        <f t="shared" si="80"/>
        <v>70</v>
      </c>
      <c r="J535" t="str">
        <f t="shared" si="72"/>
        <v>PRE2",</v>
      </c>
      <c r="K535" t="str">
        <f t="shared" si="72"/>
        <v>Presubiculum, layer 2",</v>
      </c>
      <c r="L535" t="str">
        <f t="shared" si="73"/>
        <v>PRE2</v>
      </c>
      <c r="M535" t="str">
        <f t="shared" si="73"/>
        <v>Presubiculum, layer 2</v>
      </c>
      <c r="N535" t="s">
        <v>5528</v>
      </c>
      <c r="O535" t="s">
        <v>5529</v>
      </c>
      <c r="Q535" s="6">
        <v>805</v>
      </c>
      <c r="R535" s="6">
        <v>1140</v>
      </c>
      <c r="S535" s="6" t="s">
        <v>6073</v>
      </c>
      <c r="T535" s="6" t="s">
        <v>6072</v>
      </c>
      <c r="U535" s="6">
        <v>1097</v>
      </c>
      <c r="V535" s="6">
        <v>5</v>
      </c>
      <c r="W535" s="6" t="s">
        <v>8086</v>
      </c>
      <c r="Y535" t="s">
        <v>5528</v>
      </c>
      <c r="Z535" t="s">
        <v>5529</v>
      </c>
      <c r="AA535" s="6" t="str">
        <f t="shared" si="74"/>
        <v/>
      </c>
      <c r="AB535">
        <v>89</v>
      </c>
      <c r="AC535">
        <v>185</v>
      </c>
      <c r="AD535">
        <v>70</v>
      </c>
    </row>
    <row r="536" spans="1:30" ht="17" x14ac:dyDescent="0.25">
      <c r="A536" s="1" t="s">
        <v>538</v>
      </c>
      <c r="B536" s="1" t="s">
        <v>3190</v>
      </c>
      <c r="C536" s="1" t="s">
        <v>1865</v>
      </c>
      <c r="D536" t="str">
        <f t="shared" si="75"/>
        <v>58B947</v>
      </c>
      <c r="E536" t="str">
        <f t="shared" si="76"/>
        <v>88-185-71</v>
      </c>
      <c r="F536" t="str">
        <f t="shared" si="77"/>
        <v>8818571</v>
      </c>
      <c r="G536">
        <f t="shared" si="78"/>
        <v>88</v>
      </c>
      <c r="H536">
        <f t="shared" si="79"/>
        <v>185</v>
      </c>
      <c r="I536">
        <f t="shared" si="80"/>
        <v>71</v>
      </c>
      <c r="J536" t="str">
        <f t="shared" si="72"/>
        <v>PRE3",</v>
      </c>
      <c r="K536" t="str">
        <f t="shared" si="72"/>
        <v>Presubiculum, layer 3",</v>
      </c>
      <c r="L536" t="str">
        <f t="shared" si="73"/>
        <v>PRE3</v>
      </c>
      <c r="M536" t="str">
        <f t="shared" si="73"/>
        <v>Presubiculum, layer 3</v>
      </c>
      <c r="N536" t="s">
        <v>5530</v>
      </c>
      <c r="O536" t="s">
        <v>5531</v>
      </c>
      <c r="Q536" s="6">
        <v>806</v>
      </c>
      <c r="R536" s="6">
        <v>313</v>
      </c>
      <c r="S536" s="6" t="s">
        <v>6075</v>
      </c>
      <c r="T536" s="6" t="s">
        <v>6074</v>
      </c>
      <c r="U536" s="6">
        <v>343</v>
      </c>
      <c r="V536" s="6">
        <v>3</v>
      </c>
      <c r="W536" s="6" t="s">
        <v>7782</v>
      </c>
      <c r="Y536" t="s">
        <v>5530</v>
      </c>
      <c r="Z536" t="s">
        <v>5531</v>
      </c>
      <c r="AA536" s="6" t="str">
        <f t="shared" si="74"/>
        <v/>
      </c>
      <c r="AB536">
        <v>88</v>
      </c>
      <c r="AC536">
        <v>185</v>
      </c>
      <c r="AD536">
        <v>71</v>
      </c>
    </row>
    <row r="537" spans="1:30" ht="17" x14ac:dyDescent="0.25">
      <c r="A537" s="1" t="s">
        <v>539</v>
      </c>
      <c r="B537" s="1" t="s">
        <v>3191</v>
      </c>
      <c r="C537" s="1" t="s">
        <v>1866</v>
      </c>
      <c r="D537" t="str">
        <f t="shared" si="75"/>
        <v>4FC244</v>
      </c>
      <c r="E537" t="str">
        <f t="shared" si="76"/>
        <v>79-194-68</v>
      </c>
      <c r="F537" t="str">
        <f t="shared" si="77"/>
        <v>7919468</v>
      </c>
      <c r="G537">
        <f t="shared" si="78"/>
        <v>79</v>
      </c>
      <c r="H537">
        <f t="shared" si="79"/>
        <v>194</v>
      </c>
      <c r="I537">
        <f t="shared" si="80"/>
        <v>68</v>
      </c>
      <c r="J537" t="str">
        <f t="shared" si="72"/>
        <v>SUB",</v>
      </c>
      <c r="K537" t="str">
        <f t="shared" si="72"/>
        <v>Subiculum",</v>
      </c>
      <c r="L537" t="str">
        <f t="shared" si="73"/>
        <v>SUB</v>
      </c>
      <c r="M537" t="str">
        <f t="shared" si="73"/>
        <v>Subiculum</v>
      </c>
      <c r="N537" t="s">
        <v>5532</v>
      </c>
      <c r="O537" t="s">
        <v>5533</v>
      </c>
      <c r="Q537" s="6">
        <v>807</v>
      </c>
      <c r="R537" s="6">
        <v>339</v>
      </c>
      <c r="S537" s="6" t="s">
        <v>6077</v>
      </c>
      <c r="T537" s="6" t="s">
        <v>6076</v>
      </c>
      <c r="U537" s="6">
        <v>313</v>
      </c>
      <c r="V537" s="6">
        <v>4</v>
      </c>
      <c r="W537" s="6" t="s">
        <v>7783</v>
      </c>
      <c r="Y537" t="s">
        <v>5532</v>
      </c>
      <c r="Z537" t="s">
        <v>5533</v>
      </c>
      <c r="AA537" s="6">
        <f t="shared" si="74"/>
        <v>502</v>
      </c>
      <c r="AB537">
        <v>79</v>
      </c>
      <c r="AC537">
        <v>194</v>
      </c>
      <c r="AD537">
        <v>68</v>
      </c>
    </row>
    <row r="538" spans="1:30" ht="17" x14ac:dyDescent="0.25">
      <c r="A538" s="1" t="s">
        <v>540</v>
      </c>
      <c r="B538" s="1" t="s">
        <v>3192</v>
      </c>
      <c r="C538" s="1" t="s">
        <v>1867</v>
      </c>
      <c r="D538" t="str">
        <f t="shared" si="75"/>
        <v>4FC243</v>
      </c>
      <c r="E538" t="str">
        <f t="shared" si="76"/>
        <v>79-194-67</v>
      </c>
      <c r="F538" t="str">
        <f t="shared" si="77"/>
        <v>7919467</v>
      </c>
      <c r="G538">
        <f t="shared" si="78"/>
        <v>79</v>
      </c>
      <c r="H538">
        <f t="shared" si="79"/>
        <v>194</v>
      </c>
      <c r="I538">
        <f t="shared" si="80"/>
        <v>67</v>
      </c>
      <c r="J538" t="str">
        <f t="shared" si="72"/>
        <v>SUBd",</v>
      </c>
      <c r="K538" t="str">
        <f t="shared" si="72"/>
        <v>Subiculum, dorsal part",</v>
      </c>
      <c r="L538" t="str">
        <f t="shared" si="73"/>
        <v>SUBd</v>
      </c>
      <c r="M538" t="str">
        <f t="shared" si="73"/>
        <v>Subiculum, dorsal part</v>
      </c>
      <c r="N538" t="s">
        <v>5534</v>
      </c>
      <c r="O538" t="s">
        <v>5535</v>
      </c>
      <c r="Q538" s="6">
        <v>808</v>
      </c>
      <c r="R538" s="6">
        <v>302</v>
      </c>
      <c r="S538" s="6" t="s">
        <v>6079</v>
      </c>
      <c r="T538" s="6" t="s">
        <v>6078</v>
      </c>
      <c r="U538" s="6">
        <v>339</v>
      </c>
      <c r="V538" s="6">
        <v>5</v>
      </c>
      <c r="W538" s="6" t="s">
        <v>7784</v>
      </c>
      <c r="Y538" t="s">
        <v>5534</v>
      </c>
      <c r="Z538" t="s">
        <v>5535</v>
      </c>
      <c r="AA538" s="6" t="str">
        <f t="shared" si="74"/>
        <v/>
      </c>
      <c r="AB538">
        <v>79</v>
      </c>
      <c r="AC538">
        <v>194</v>
      </c>
      <c r="AD538">
        <v>67</v>
      </c>
    </row>
    <row r="539" spans="1:30" ht="17" x14ac:dyDescent="0.25">
      <c r="A539" s="1" t="s">
        <v>541</v>
      </c>
      <c r="B539" s="1" t="s">
        <v>3193</v>
      </c>
      <c r="C539" s="1" t="s">
        <v>1868</v>
      </c>
      <c r="D539" t="str">
        <f t="shared" si="75"/>
        <v>4EC244</v>
      </c>
      <c r="E539" t="str">
        <f t="shared" si="76"/>
        <v>78-194-68</v>
      </c>
      <c r="F539" t="str">
        <f t="shared" si="77"/>
        <v>7819468</v>
      </c>
      <c r="G539">
        <f t="shared" si="78"/>
        <v>78</v>
      </c>
      <c r="H539">
        <f t="shared" si="79"/>
        <v>194</v>
      </c>
      <c r="I539">
        <f t="shared" si="80"/>
        <v>68</v>
      </c>
      <c r="J539" t="str">
        <f t="shared" si="72"/>
        <v>SUBd-m",</v>
      </c>
      <c r="K539" t="str">
        <f t="shared" si="72"/>
        <v>Subiculum, dorsal part, molecular layer",</v>
      </c>
      <c r="L539" t="str">
        <f t="shared" si="73"/>
        <v>SUBd-m</v>
      </c>
      <c r="M539" t="str">
        <f t="shared" si="73"/>
        <v>Subiculum, dorsal part, molecular layer</v>
      </c>
      <c r="N539" t="s">
        <v>5536</v>
      </c>
      <c r="O539" t="s">
        <v>5537</v>
      </c>
      <c r="Q539" s="6">
        <v>809</v>
      </c>
      <c r="R539" s="6">
        <v>851</v>
      </c>
      <c r="S539" s="6" t="s">
        <v>6081</v>
      </c>
      <c r="T539" s="6" t="s">
        <v>6080</v>
      </c>
      <c r="U539" s="6">
        <v>302</v>
      </c>
      <c r="V539" s="6">
        <v>6</v>
      </c>
      <c r="W539" s="6" t="s">
        <v>7785</v>
      </c>
      <c r="Y539" t="s">
        <v>5536</v>
      </c>
      <c r="Z539" t="s">
        <v>5537</v>
      </c>
      <c r="AA539" s="6" t="str">
        <f t="shared" si="74"/>
        <v/>
      </c>
      <c r="AB539">
        <v>78</v>
      </c>
      <c r="AC539">
        <v>194</v>
      </c>
      <c r="AD539">
        <v>68</v>
      </c>
    </row>
    <row r="540" spans="1:30" ht="17" x14ac:dyDescent="0.25">
      <c r="A540" s="1" t="s">
        <v>542</v>
      </c>
      <c r="B540" s="1" t="s">
        <v>3194</v>
      </c>
      <c r="C540" s="1" t="s">
        <v>1869</v>
      </c>
      <c r="D540" t="str">
        <f t="shared" si="75"/>
        <v>4BB547</v>
      </c>
      <c r="E540" t="str">
        <f t="shared" si="76"/>
        <v>75-181-71</v>
      </c>
      <c r="F540" t="str">
        <f t="shared" si="77"/>
        <v>7518171</v>
      </c>
      <c r="G540">
        <f t="shared" si="78"/>
        <v>75</v>
      </c>
      <c r="H540">
        <f t="shared" si="79"/>
        <v>181</v>
      </c>
      <c r="I540">
        <f t="shared" si="80"/>
        <v>71</v>
      </c>
      <c r="J540" t="str">
        <f t="shared" si="72"/>
        <v>SUBd-sp",</v>
      </c>
      <c r="K540" t="str">
        <f t="shared" si="72"/>
        <v>Subiculum, dorsal part, pyramidal layer",</v>
      </c>
      <c r="L540" t="str">
        <f t="shared" si="73"/>
        <v>SUBd-sp</v>
      </c>
      <c r="M540" t="str">
        <f t="shared" si="73"/>
        <v>Subiculum, dorsal part, pyramidal layer</v>
      </c>
      <c r="N540" t="s">
        <v>5538</v>
      </c>
      <c r="O540" t="s">
        <v>5539</v>
      </c>
      <c r="Q540" s="6">
        <v>810</v>
      </c>
      <c r="R540" s="6">
        <v>842</v>
      </c>
      <c r="S540" s="6" t="s">
        <v>6083</v>
      </c>
      <c r="T540" s="6" t="s">
        <v>6082</v>
      </c>
      <c r="U540" s="6">
        <v>302</v>
      </c>
      <c r="V540" s="6">
        <v>6</v>
      </c>
      <c r="W540" s="6" t="s">
        <v>7786</v>
      </c>
      <c r="Y540" t="s">
        <v>5538</v>
      </c>
      <c r="Z540" t="s">
        <v>5539</v>
      </c>
      <c r="AA540" s="6" t="str">
        <f t="shared" si="74"/>
        <v/>
      </c>
      <c r="AB540">
        <v>75</v>
      </c>
      <c r="AC540">
        <v>181</v>
      </c>
      <c r="AD540">
        <v>71</v>
      </c>
    </row>
    <row r="541" spans="1:30" ht="17" x14ac:dyDescent="0.25">
      <c r="A541" s="1" t="s">
        <v>543</v>
      </c>
      <c r="B541" s="1" t="s">
        <v>3195</v>
      </c>
      <c r="C541" s="1" t="s">
        <v>1870</v>
      </c>
      <c r="D541" t="str">
        <f t="shared" si="75"/>
        <v>4FC143</v>
      </c>
      <c r="E541" t="str">
        <f t="shared" si="76"/>
        <v>79-193-67</v>
      </c>
      <c r="F541" t="str">
        <f t="shared" si="77"/>
        <v>7919367</v>
      </c>
      <c r="G541">
        <f t="shared" si="78"/>
        <v>79</v>
      </c>
      <c r="H541">
        <f t="shared" si="79"/>
        <v>193</v>
      </c>
      <c r="I541">
        <f t="shared" si="80"/>
        <v>67</v>
      </c>
      <c r="J541" t="str">
        <f t="shared" si="72"/>
        <v>SUBd-sr",</v>
      </c>
      <c r="K541" t="str">
        <f t="shared" si="72"/>
        <v>Subiculum, dorsal part, stratum radiatum",</v>
      </c>
      <c r="L541" t="str">
        <f t="shared" si="73"/>
        <v>SUBd-sr</v>
      </c>
      <c r="M541" t="str">
        <f t="shared" si="73"/>
        <v>Subiculum, dorsal part, stratum radiatum</v>
      </c>
      <c r="N541" t="s">
        <v>5540</v>
      </c>
      <c r="O541" t="s">
        <v>5541</v>
      </c>
      <c r="Q541" s="6">
        <v>811</v>
      </c>
      <c r="R541" s="6">
        <v>834</v>
      </c>
      <c r="S541" s="6" t="s">
        <v>6085</v>
      </c>
      <c r="T541" s="6" t="s">
        <v>6084</v>
      </c>
      <c r="U541" s="6">
        <v>302</v>
      </c>
      <c r="V541" s="6">
        <v>6</v>
      </c>
      <c r="W541" s="6" t="s">
        <v>7787</v>
      </c>
      <c r="Y541" t="s">
        <v>5540</v>
      </c>
      <c r="Z541" t="s">
        <v>5541</v>
      </c>
      <c r="AA541" s="6" t="str">
        <f t="shared" si="74"/>
        <v/>
      </c>
      <c r="AB541">
        <v>79</v>
      </c>
      <c r="AC541">
        <v>193</v>
      </c>
      <c r="AD541">
        <v>67</v>
      </c>
    </row>
    <row r="542" spans="1:30" ht="17" x14ac:dyDescent="0.25">
      <c r="A542" s="1" t="s">
        <v>544</v>
      </c>
      <c r="B542" s="1" t="s">
        <v>3196</v>
      </c>
      <c r="C542" s="1" t="s">
        <v>1871</v>
      </c>
      <c r="D542" t="str">
        <f t="shared" si="75"/>
        <v>4FC144</v>
      </c>
      <c r="E542" t="str">
        <f t="shared" si="76"/>
        <v>79-193-68</v>
      </c>
      <c r="F542" t="str">
        <f t="shared" si="77"/>
        <v>7919368</v>
      </c>
      <c r="G542">
        <f t="shared" si="78"/>
        <v>79</v>
      </c>
      <c r="H542">
        <f t="shared" si="79"/>
        <v>193</v>
      </c>
      <c r="I542">
        <f t="shared" si="80"/>
        <v>68</v>
      </c>
      <c r="J542" t="str">
        <f t="shared" si="72"/>
        <v>SUBv",</v>
      </c>
      <c r="K542" t="str">
        <f t="shared" si="72"/>
        <v>Subiculum, ventral part",</v>
      </c>
      <c r="L542" t="str">
        <f t="shared" si="73"/>
        <v>SUBv</v>
      </c>
      <c r="M542" t="str">
        <f t="shared" si="73"/>
        <v>Subiculum, ventral part</v>
      </c>
      <c r="N542" t="s">
        <v>5542</v>
      </c>
      <c r="O542" t="s">
        <v>5543</v>
      </c>
      <c r="Q542" s="6">
        <v>812</v>
      </c>
      <c r="R542" s="6">
        <v>4</v>
      </c>
      <c r="S542" s="6" t="s">
        <v>6087</v>
      </c>
      <c r="T542" s="6" t="s">
        <v>6086</v>
      </c>
      <c r="U542" s="6">
        <v>339</v>
      </c>
      <c r="V542" s="6">
        <v>5</v>
      </c>
      <c r="W542" s="6" t="s">
        <v>7788</v>
      </c>
      <c r="Y542" t="s">
        <v>5542</v>
      </c>
      <c r="Z542" t="s">
        <v>5543</v>
      </c>
      <c r="AA542" s="6" t="str">
        <f t="shared" si="74"/>
        <v/>
      </c>
      <c r="AB542">
        <v>79</v>
      </c>
      <c r="AC542">
        <v>193</v>
      </c>
      <c r="AD542">
        <v>68</v>
      </c>
    </row>
    <row r="543" spans="1:30" ht="17" x14ac:dyDescent="0.25">
      <c r="A543" s="1" t="s">
        <v>545</v>
      </c>
      <c r="B543" s="1" t="s">
        <v>3197</v>
      </c>
      <c r="C543" s="1" t="s">
        <v>1872</v>
      </c>
      <c r="D543" t="str">
        <f t="shared" si="75"/>
        <v>4EC243</v>
      </c>
      <c r="E543" t="str">
        <f t="shared" si="76"/>
        <v>78-194-67</v>
      </c>
      <c r="F543" t="str">
        <f t="shared" si="77"/>
        <v>7819467</v>
      </c>
      <c r="G543">
        <f t="shared" si="78"/>
        <v>78</v>
      </c>
      <c r="H543">
        <f t="shared" si="79"/>
        <v>194</v>
      </c>
      <c r="I543">
        <f t="shared" si="80"/>
        <v>67</v>
      </c>
      <c r="J543" t="str">
        <f t="shared" si="72"/>
        <v>SUBv-m",</v>
      </c>
      <c r="K543" t="str">
        <f t="shared" si="72"/>
        <v>Subiculum, ventral part, molecular layer",</v>
      </c>
      <c r="L543" t="str">
        <f t="shared" si="73"/>
        <v>SUBv-m</v>
      </c>
      <c r="M543" t="str">
        <f t="shared" si="73"/>
        <v>Subiculum, ventral part, molecular layer</v>
      </c>
      <c r="N543" t="s">
        <v>5544</v>
      </c>
      <c r="O543" t="s">
        <v>5545</v>
      </c>
      <c r="Q543" s="6">
        <v>813</v>
      </c>
      <c r="R543" s="6">
        <v>811</v>
      </c>
      <c r="S543" s="6" t="s">
        <v>6089</v>
      </c>
      <c r="T543" s="6" t="s">
        <v>6088</v>
      </c>
      <c r="U543" s="6">
        <v>4</v>
      </c>
      <c r="V543" s="6">
        <v>6</v>
      </c>
      <c r="W543" s="6" t="s">
        <v>7789</v>
      </c>
      <c r="Y543" t="s">
        <v>5544</v>
      </c>
      <c r="Z543" t="s">
        <v>5545</v>
      </c>
      <c r="AA543" s="6" t="str">
        <f t="shared" si="74"/>
        <v/>
      </c>
      <c r="AB543">
        <v>78</v>
      </c>
      <c r="AC543">
        <v>194</v>
      </c>
      <c r="AD543">
        <v>67</v>
      </c>
    </row>
    <row r="544" spans="1:30" ht="17" x14ac:dyDescent="0.25">
      <c r="A544" s="1" t="s">
        <v>546</v>
      </c>
      <c r="B544" s="1" t="s">
        <v>3198</v>
      </c>
      <c r="C544" s="1" t="s">
        <v>1873</v>
      </c>
      <c r="D544" t="str">
        <f t="shared" si="75"/>
        <v>4BB546</v>
      </c>
      <c r="E544" t="str">
        <f t="shared" si="76"/>
        <v>75-181-70</v>
      </c>
      <c r="F544" t="str">
        <f t="shared" si="77"/>
        <v>7518170</v>
      </c>
      <c r="G544">
        <f t="shared" si="78"/>
        <v>75</v>
      </c>
      <c r="H544">
        <f t="shared" si="79"/>
        <v>181</v>
      </c>
      <c r="I544">
        <f t="shared" si="80"/>
        <v>70</v>
      </c>
      <c r="J544" t="str">
        <f t="shared" si="72"/>
        <v>SUBv-sp",</v>
      </c>
      <c r="K544" t="str">
        <f t="shared" si="72"/>
        <v>Subiculum, ventral part, pyramidal layer",</v>
      </c>
      <c r="L544" t="str">
        <f t="shared" si="73"/>
        <v>SUBv-sp</v>
      </c>
      <c r="M544" t="str">
        <f t="shared" si="73"/>
        <v>Subiculum, ventral part, pyramidal layer</v>
      </c>
      <c r="N544" t="s">
        <v>5546</v>
      </c>
      <c r="O544" t="s">
        <v>5547</v>
      </c>
      <c r="Q544" s="6">
        <v>814</v>
      </c>
      <c r="R544" s="6">
        <v>820</v>
      </c>
      <c r="S544" s="6" t="s">
        <v>6091</v>
      </c>
      <c r="T544" s="6" t="s">
        <v>6090</v>
      </c>
      <c r="U544" s="6">
        <v>4</v>
      </c>
      <c r="V544" s="6">
        <v>6</v>
      </c>
      <c r="W544" s="6" t="s">
        <v>7790</v>
      </c>
      <c r="Y544" t="s">
        <v>5546</v>
      </c>
      <c r="Z544" t="s">
        <v>5547</v>
      </c>
      <c r="AA544" s="6" t="str">
        <f t="shared" si="74"/>
        <v/>
      </c>
      <c r="AB544">
        <v>75</v>
      </c>
      <c r="AC544">
        <v>181</v>
      </c>
      <c r="AD544">
        <v>70</v>
      </c>
    </row>
    <row r="545" spans="1:30" ht="17" x14ac:dyDescent="0.25">
      <c r="A545" s="1" t="s">
        <v>547</v>
      </c>
      <c r="B545" s="1" t="s">
        <v>3199</v>
      </c>
      <c r="C545" s="1" t="s">
        <v>1874</v>
      </c>
      <c r="D545" t="str">
        <f t="shared" si="75"/>
        <v>4EC144</v>
      </c>
      <c r="E545" t="str">
        <f t="shared" si="76"/>
        <v>78-193-68</v>
      </c>
      <c r="F545" t="str">
        <f t="shared" si="77"/>
        <v>7819368</v>
      </c>
      <c r="G545">
        <f t="shared" si="78"/>
        <v>78</v>
      </c>
      <c r="H545">
        <f t="shared" si="79"/>
        <v>193</v>
      </c>
      <c r="I545">
        <f t="shared" si="80"/>
        <v>68</v>
      </c>
      <c r="J545" t="str">
        <f t="shared" si="72"/>
        <v>SUBv-sr",</v>
      </c>
      <c r="K545" t="str">
        <f t="shared" si="72"/>
        <v>Subiculum, ventral part, stratum radiatum",</v>
      </c>
      <c r="L545" t="str">
        <f t="shared" si="73"/>
        <v>SUBv-sr</v>
      </c>
      <c r="M545" t="str">
        <f t="shared" si="73"/>
        <v>Subiculum, ventral part, stratum radiatum</v>
      </c>
      <c r="N545" t="s">
        <v>5548</v>
      </c>
      <c r="O545" t="s">
        <v>5549</v>
      </c>
      <c r="Q545" s="6">
        <v>815</v>
      </c>
      <c r="R545" s="6">
        <v>828</v>
      </c>
      <c r="S545" s="6" t="s">
        <v>6093</v>
      </c>
      <c r="T545" s="6" t="s">
        <v>6092</v>
      </c>
      <c r="U545" s="6">
        <v>4</v>
      </c>
      <c r="V545" s="6">
        <v>6</v>
      </c>
      <c r="W545" s="6" t="s">
        <v>7791</v>
      </c>
      <c r="Y545" t="s">
        <v>5548</v>
      </c>
      <c r="Z545" t="s">
        <v>5549</v>
      </c>
      <c r="AA545" s="6" t="str">
        <f t="shared" si="74"/>
        <v/>
      </c>
      <c r="AB545">
        <v>78</v>
      </c>
      <c r="AC545">
        <v>193</v>
      </c>
      <c r="AD545">
        <v>68</v>
      </c>
    </row>
    <row r="546" spans="1:30" ht="17" x14ac:dyDescent="0.25">
      <c r="A546" s="1" t="s">
        <v>548</v>
      </c>
      <c r="B546" s="1" t="s">
        <v>3200</v>
      </c>
      <c r="C546" s="1" t="s">
        <v>1875</v>
      </c>
      <c r="D546" t="str">
        <f t="shared" si="75"/>
        <v>57B947</v>
      </c>
      <c r="E546" t="str">
        <f t="shared" si="76"/>
        <v>87-185-71</v>
      </c>
      <c r="F546" t="str">
        <f t="shared" si="77"/>
        <v>8718571</v>
      </c>
      <c r="G546">
        <f t="shared" si="78"/>
        <v>87</v>
      </c>
      <c r="H546">
        <f t="shared" si="79"/>
        <v>185</v>
      </c>
      <c r="I546">
        <f t="shared" si="80"/>
        <v>71</v>
      </c>
      <c r="J546" t="str">
        <f t="shared" si="72"/>
        <v>ProS",</v>
      </c>
      <c r="K546" t="str">
        <f t="shared" si="72"/>
        <v>Prosubiculum",</v>
      </c>
      <c r="L546" t="str">
        <f t="shared" si="73"/>
        <v>ProS</v>
      </c>
      <c r="M546" t="str">
        <f t="shared" si="73"/>
        <v>Prosubiculum</v>
      </c>
      <c r="N546" t="s">
        <v>5550</v>
      </c>
      <c r="O546" t="s">
        <v>5551</v>
      </c>
      <c r="Q546" s="6">
        <v>816</v>
      </c>
      <c r="R546" s="6">
        <v>580</v>
      </c>
      <c r="S546" s="6" t="s">
        <v>6095</v>
      </c>
      <c r="T546" s="6" t="s">
        <v>6094</v>
      </c>
      <c r="U546" s="6">
        <v>339</v>
      </c>
      <c r="V546" s="6">
        <v>5</v>
      </c>
      <c r="W546" s="6" t="s">
        <v>7792</v>
      </c>
      <c r="Y546" t="s">
        <v>5550</v>
      </c>
      <c r="Z546" t="s">
        <v>5551</v>
      </c>
      <c r="AA546" s="6">
        <f t="shared" si="74"/>
        <v>484682470</v>
      </c>
      <c r="AB546">
        <v>87</v>
      </c>
      <c r="AC546">
        <v>185</v>
      </c>
      <c r="AD546">
        <v>71</v>
      </c>
    </row>
    <row r="547" spans="1:30" ht="17" x14ac:dyDescent="0.25">
      <c r="A547" s="1" t="s">
        <v>549</v>
      </c>
      <c r="B547" s="1" t="s">
        <v>3201</v>
      </c>
      <c r="C547" s="1" t="s">
        <v>1876</v>
      </c>
      <c r="D547" t="str">
        <f t="shared" si="75"/>
        <v>57BA47</v>
      </c>
      <c r="E547" t="str">
        <f t="shared" si="76"/>
        <v>87-186-71</v>
      </c>
      <c r="F547" t="str">
        <f t="shared" si="77"/>
        <v>8718671</v>
      </c>
      <c r="G547">
        <f t="shared" si="78"/>
        <v>87</v>
      </c>
      <c r="H547">
        <f t="shared" si="79"/>
        <v>186</v>
      </c>
      <c r="I547">
        <f t="shared" si="80"/>
        <v>71</v>
      </c>
      <c r="J547" t="str">
        <f t="shared" si="72"/>
        <v>ProSd",</v>
      </c>
      <c r="K547" t="str">
        <f t="shared" si="72"/>
        <v>Prosubiculum, dorsal part",</v>
      </c>
      <c r="L547" t="str">
        <f t="shared" si="73"/>
        <v>ProSd</v>
      </c>
      <c r="M547" t="str">
        <f t="shared" si="73"/>
        <v>Prosubiculum, dorsal part</v>
      </c>
      <c r="N547" t="s">
        <v>5552</v>
      </c>
      <c r="O547" t="s">
        <v>5553</v>
      </c>
      <c r="Q547" s="6">
        <v>817</v>
      </c>
      <c r="R547" s="6">
        <v>271</v>
      </c>
      <c r="S547" s="6" t="s">
        <v>6097</v>
      </c>
      <c r="T547" s="6" t="s">
        <v>6096</v>
      </c>
      <c r="U547" s="6">
        <v>339</v>
      </c>
      <c r="V547" s="6">
        <v>5</v>
      </c>
      <c r="W547" s="6" t="s">
        <v>7793</v>
      </c>
      <c r="Y547" t="s">
        <v>5552</v>
      </c>
      <c r="Z547" t="s">
        <v>5553</v>
      </c>
      <c r="AA547" s="6" t="str">
        <f t="shared" si="74"/>
        <v/>
      </c>
      <c r="AB547">
        <v>87</v>
      </c>
      <c r="AC547">
        <v>186</v>
      </c>
      <c r="AD547">
        <v>71</v>
      </c>
    </row>
    <row r="548" spans="1:30" ht="17" x14ac:dyDescent="0.25">
      <c r="A548" s="1" t="s">
        <v>550</v>
      </c>
      <c r="B548" s="1" t="s">
        <v>3202</v>
      </c>
      <c r="C548" s="1" t="s">
        <v>1877</v>
      </c>
      <c r="D548" t="str">
        <f t="shared" si="75"/>
        <v>58BA48</v>
      </c>
      <c r="E548" t="str">
        <f t="shared" si="76"/>
        <v>88-186-72</v>
      </c>
      <c r="F548" t="str">
        <f t="shared" si="77"/>
        <v>8818672</v>
      </c>
      <c r="G548">
        <f t="shared" si="78"/>
        <v>88</v>
      </c>
      <c r="H548">
        <f t="shared" si="79"/>
        <v>186</v>
      </c>
      <c r="I548">
        <f t="shared" si="80"/>
        <v>72</v>
      </c>
      <c r="J548" t="str">
        <f t="shared" si="72"/>
        <v>ProSd-m",</v>
      </c>
      <c r="K548" t="str">
        <f t="shared" si="72"/>
        <v>Prosubiculum, dorsal part, molecular layer",</v>
      </c>
      <c r="L548" t="str">
        <f t="shared" si="73"/>
        <v>ProSd-m</v>
      </c>
      <c r="M548" t="str">
        <f t="shared" si="73"/>
        <v>Prosubiculum, dorsal part, molecular layer</v>
      </c>
      <c r="N548" t="s">
        <v>5554</v>
      </c>
      <c r="O548" t="s">
        <v>5555</v>
      </c>
      <c r="Q548" s="6">
        <v>818</v>
      </c>
      <c r="R548" s="6">
        <v>874</v>
      </c>
      <c r="S548" s="6" t="s">
        <v>6099</v>
      </c>
      <c r="T548" s="6" t="s">
        <v>6098</v>
      </c>
      <c r="U548" s="6">
        <v>339</v>
      </c>
      <c r="V548" s="6">
        <v>5</v>
      </c>
      <c r="W548" s="6" t="s">
        <v>7794</v>
      </c>
      <c r="Y548" t="s">
        <v>5554</v>
      </c>
      <c r="Z548" t="s">
        <v>5555</v>
      </c>
      <c r="AA548" s="6" t="str">
        <f t="shared" si="74"/>
        <v/>
      </c>
      <c r="AB548">
        <v>88</v>
      </c>
      <c r="AC548">
        <v>186</v>
      </c>
      <c r="AD548">
        <v>72</v>
      </c>
    </row>
    <row r="549" spans="1:30" ht="17" x14ac:dyDescent="0.25">
      <c r="A549" s="1" t="s">
        <v>551</v>
      </c>
      <c r="B549" s="1" t="s">
        <v>3203</v>
      </c>
      <c r="C549" s="1" t="s">
        <v>1878</v>
      </c>
      <c r="D549" t="str">
        <f t="shared" si="75"/>
        <v>56B84B</v>
      </c>
      <c r="E549" t="str">
        <f t="shared" si="76"/>
        <v>86-184-75</v>
      </c>
      <c r="F549" t="str">
        <f t="shared" si="77"/>
        <v>8618475</v>
      </c>
      <c r="G549">
        <f t="shared" si="78"/>
        <v>86</v>
      </c>
      <c r="H549">
        <f t="shared" si="79"/>
        <v>184</v>
      </c>
      <c r="I549">
        <f t="shared" si="80"/>
        <v>75</v>
      </c>
      <c r="J549" t="str">
        <f t="shared" si="72"/>
        <v>ProSd-sp",</v>
      </c>
      <c r="K549" t="str">
        <f t="shared" si="72"/>
        <v>Prosubiculum, dorsal part, pyramidal layer",</v>
      </c>
      <c r="L549" t="str">
        <f t="shared" si="73"/>
        <v>ProSd-sp</v>
      </c>
      <c r="M549" t="str">
        <f t="shared" si="73"/>
        <v>Prosubiculum, dorsal part, pyramidal layer</v>
      </c>
      <c r="N549" t="s">
        <v>5556</v>
      </c>
      <c r="O549" t="s">
        <v>5557</v>
      </c>
      <c r="Q549" s="6">
        <v>819</v>
      </c>
      <c r="R549" s="6">
        <v>460</v>
      </c>
      <c r="S549" s="6" t="s">
        <v>6101</v>
      </c>
      <c r="T549" s="6" t="s">
        <v>6100</v>
      </c>
      <c r="U549" s="6">
        <v>339</v>
      </c>
      <c r="V549" s="6">
        <v>5</v>
      </c>
      <c r="W549" s="6" t="s">
        <v>7795</v>
      </c>
      <c r="Y549" t="s">
        <v>5556</v>
      </c>
      <c r="Z549" t="s">
        <v>5557</v>
      </c>
      <c r="AA549" s="6" t="str">
        <f t="shared" si="74"/>
        <v/>
      </c>
      <c r="AB549">
        <v>86</v>
      </c>
      <c r="AC549">
        <v>184</v>
      </c>
      <c r="AD549">
        <v>75</v>
      </c>
    </row>
    <row r="550" spans="1:30" ht="17" x14ac:dyDescent="0.25">
      <c r="A550" s="1" t="s">
        <v>552</v>
      </c>
      <c r="B550" s="1" t="s">
        <v>3204</v>
      </c>
      <c r="C550" s="1" t="s">
        <v>1879</v>
      </c>
      <c r="D550" t="str">
        <f t="shared" si="75"/>
        <v>57B948</v>
      </c>
      <c r="E550" t="str">
        <f t="shared" si="76"/>
        <v>87-185-72</v>
      </c>
      <c r="F550" t="str">
        <f t="shared" si="77"/>
        <v>8718572</v>
      </c>
      <c r="G550">
        <f t="shared" si="78"/>
        <v>87</v>
      </c>
      <c r="H550">
        <f t="shared" si="79"/>
        <v>185</v>
      </c>
      <c r="I550">
        <f t="shared" si="80"/>
        <v>72</v>
      </c>
      <c r="J550" t="str">
        <f t="shared" si="72"/>
        <v>ProSd-sr",</v>
      </c>
      <c r="K550" t="str">
        <f t="shared" si="72"/>
        <v>Prosubiculum, dorsal part, stratum radiatum",</v>
      </c>
      <c r="L550" t="str">
        <f t="shared" si="73"/>
        <v>ProSd-sr</v>
      </c>
      <c r="M550" t="str">
        <f t="shared" si="73"/>
        <v>Prosubiculum, dorsal part, stratum radiatum</v>
      </c>
      <c r="N550" t="s">
        <v>5558</v>
      </c>
      <c r="O550" t="s">
        <v>5559</v>
      </c>
      <c r="Q550" s="6">
        <v>820</v>
      </c>
      <c r="R550" s="6">
        <v>599626923</v>
      </c>
      <c r="S550" s="6" t="s">
        <v>6103</v>
      </c>
      <c r="T550" s="6" t="s">
        <v>6102</v>
      </c>
      <c r="U550" s="6">
        <v>339</v>
      </c>
      <c r="V550" s="6">
        <v>5</v>
      </c>
      <c r="W550" s="6" t="s">
        <v>7796</v>
      </c>
      <c r="Y550" t="s">
        <v>5558</v>
      </c>
      <c r="Z550" t="s">
        <v>5559</v>
      </c>
      <c r="AA550" s="6" t="str">
        <f t="shared" si="74"/>
        <v/>
      </c>
      <c r="AB550">
        <v>87</v>
      </c>
      <c r="AC550">
        <v>185</v>
      </c>
      <c r="AD550">
        <v>72</v>
      </c>
    </row>
    <row r="551" spans="1:30" ht="17" x14ac:dyDescent="0.25">
      <c r="A551" s="1" t="s">
        <v>553</v>
      </c>
      <c r="B551" s="1" t="s">
        <v>3205</v>
      </c>
      <c r="C551" s="1" t="s">
        <v>1880</v>
      </c>
      <c r="D551" t="str">
        <f t="shared" si="75"/>
        <v>58BA47</v>
      </c>
      <c r="E551" t="str">
        <f t="shared" si="76"/>
        <v>88-186-71</v>
      </c>
      <c r="F551" t="str">
        <f t="shared" si="77"/>
        <v>8818671</v>
      </c>
      <c r="G551">
        <f t="shared" si="78"/>
        <v>88</v>
      </c>
      <c r="H551">
        <f t="shared" si="79"/>
        <v>186</v>
      </c>
      <c r="I551">
        <f t="shared" si="80"/>
        <v>71</v>
      </c>
      <c r="J551" t="str">
        <f t="shared" si="72"/>
        <v>ProSv",</v>
      </c>
      <c r="K551" t="str">
        <f t="shared" si="72"/>
        <v>Prosubiculum, ventral part",</v>
      </c>
      <c r="L551" t="str">
        <f t="shared" si="73"/>
        <v>ProSv</v>
      </c>
      <c r="M551" t="str">
        <f t="shared" si="73"/>
        <v>Prosubiculum, ventral part</v>
      </c>
      <c r="N551" t="s">
        <v>5560</v>
      </c>
      <c r="O551" t="s">
        <v>5561</v>
      </c>
      <c r="Q551" s="6">
        <v>821</v>
      </c>
      <c r="R551" s="6">
        <v>323</v>
      </c>
      <c r="S551" s="6" t="s">
        <v>6105</v>
      </c>
      <c r="T551" s="6" t="s">
        <v>6104</v>
      </c>
      <c r="U551" s="6">
        <v>313</v>
      </c>
      <c r="V551" s="6">
        <v>4</v>
      </c>
      <c r="W551" s="6" t="s">
        <v>7797</v>
      </c>
      <c r="Y551" t="s">
        <v>5560</v>
      </c>
      <c r="Z551" t="s">
        <v>5561</v>
      </c>
      <c r="AA551" s="6" t="str">
        <f t="shared" si="74"/>
        <v/>
      </c>
      <c r="AB551">
        <v>88</v>
      </c>
      <c r="AC551">
        <v>186</v>
      </c>
      <c r="AD551">
        <v>71</v>
      </c>
    </row>
    <row r="552" spans="1:30" ht="17" x14ac:dyDescent="0.25">
      <c r="A552" s="1" t="s">
        <v>554</v>
      </c>
      <c r="B552" s="1" t="s">
        <v>3206</v>
      </c>
      <c r="C552" s="1" t="s">
        <v>1881</v>
      </c>
      <c r="D552" t="str">
        <f t="shared" si="75"/>
        <v>58B948</v>
      </c>
      <c r="E552" t="str">
        <f t="shared" si="76"/>
        <v>88-185-72</v>
      </c>
      <c r="F552" t="str">
        <f t="shared" si="77"/>
        <v>8818572</v>
      </c>
      <c r="G552">
        <f t="shared" si="78"/>
        <v>88</v>
      </c>
      <c r="H552">
        <f t="shared" si="79"/>
        <v>185</v>
      </c>
      <c r="I552">
        <f t="shared" si="80"/>
        <v>72</v>
      </c>
      <c r="J552" t="str">
        <f t="shared" si="72"/>
        <v>ProSv-m",</v>
      </c>
      <c r="K552" t="str">
        <f t="shared" si="72"/>
        <v>Prosubiculum, ventral part, molecular layer",</v>
      </c>
      <c r="L552" t="str">
        <f t="shared" si="73"/>
        <v>ProSv-m</v>
      </c>
      <c r="M552" t="str">
        <f t="shared" si="73"/>
        <v>Prosubiculum, ventral part, molecular layer</v>
      </c>
      <c r="N552" t="s">
        <v>5562</v>
      </c>
      <c r="O552" t="s">
        <v>5563</v>
      </c>
      <c r="Q552" s="6">
        <v>822</v>
      </c>
      <c r="R552" s="6">
        <v>381</v>
      </c>
      <c r="S552" s="6" t="s">
        <v>6107</v>
      </c>
      <c r="T552" s="6" t="s">
        <v>6106</v>
      </c>
      <c r="U552" s="6">
        <v>323</v>
      </c>
      <c r="V552" s="6">
        <v>5</v>
      </c>
      <c r="W552" s="6" t="s">
        <v>7798</v>
      </c>
      <c r="Y552" t="s">
        <v>5562</v>
      </c>
      <c r="Z552" t="s">
        <v>5563</v>
      </c>
      <c r="AA552" s="6" t="str">
        <f t="shared" si="74"/>
        <v/>
      </c>
      <c r="AB552">
        <v>88</v>
      </c>
      <c r="AC552">
        <v>185</v>
      </c>
      <c r="AD552">
        <v>72</v>
      </c>
    </row>
    <row r="553" spans="1:30" ht="17" x14ac:dyDescent="0.25">
      <c r="A553" s="1" t="s">
        <v>555</v>
      </c>
      <c r="B553" s="1" t="s">
        <v>3207</v>
      </c>
      <c r="C553" s="1" t="s">
        <v>1882</v>
      </c>
      <c r="D553" t="str">
        <f t="shared" si="75"/>
        <v>56B84A</v>
      </c>
      <c r="E553" t="str">
        <f t="shared" si="76"/>
        <v>86-184-74</v>
      </c>
      <c r="F553" t="str">
        <f t="shared" si="77"/>
        <v>8618474</v>
      </c>
      <c r="G553">
        <f t="shared" si="78"/>
        <v>86</v>
      </c>
      <c r="H553">
        <f t="shared" si="79"/>
        <v>184</v>
      </c>
      <c r="I553">
        <f t="shared" si="80"/>
        <v>74</v>
      </c>
      <c r="J553" t="str">
        <f t="shared" si="72"/>
        <v>ProSv-sp",</v>
      </c>
      <c r="K553" t="str">
        <f t="shared" si="72"/>
        <v>Prosubiculum, ventral part, pyramidal layer",</v>
      </c>
      <c r="L553" t="str">
        <f t="shared" si="73"/>
        <v>ProSv-sp</v>
      </c>
      <c r="M553" t="str">
        <f t="shared" si="73"/>
        <v>Prosubiculum, ventral part, pyramidal layer</v>
      </c>
      <c r="N553" t="s">
        <v>5564</v>
      </c>
      <c r="O553" t="s">
        <v>5565</v>
      </c>
      <c r="Q553" s="6">
        <v>823</v>
      </c>
      <c r="R553" s="6">
        <v>749</v>
      </c>
      <c r="S553" s="6" t="s">
        <v>6109</v>
      </c>
      <c r="T553" s="6" t="s">
        <v>6108</v>
      </c>
      <c r="U553" s="6">
        <v>323</v>
      </c>
      <c r="V553" s="6">
        <v>5</v>
      </c>
      <c r="W553" s="6" t="s">
        <v>7799</v>
      </c>
      <c r="Y553" t="s">
        <v>5564</v>
      </c>
      <c r="Z553" t="s">
        <v>5565</v>
      </c>
      <c r="AA553" s="6" t="str">
        <f t="shared" si="74"/>
        <v/>
      </c>
      <c r="AB553">
        <v>86</v>
      </c>
      <c r="AC553">
        <v>184</v>
      </c>
      <c r="AD553">
        <v>74</v>
      </c>
    </row>
    <row r="554" spans="1:30" ht="17" x14ac:dyDescent="0.25">
      <c r="A554" s="1" t="s">
        <v>556</v>
      </c>
      <c r="B554" s="1" t="s">
        <v>3208</v>
      </c>
      <c r="C554" s="1" t="s">
        <v>1883</v>
      </c>
      <c r="D554" t="str">
        <f t="shared" si="75"/>
        <v>57BA48</v>
      </c>
      <c r="E554" t="str">
        <f t="shared" si="76"/>
        <v>87-186-72</v>
      </c>
      <c r="F554" t="str">
        <f t="shared" si="77"/>
        <v>8718672</v>
      </c>
      <c r="G554">
        <f t="shared" si="78"/>
        <v>87</v>
      </c>
      <c r="H554">
        <f t="shared" si="79"/>
        <v>186</v>
      </c>
      <c r="I554">
        <f t="shared" si="80"/>
        <v>72</v>
      </c>
      <c r="J554" t="str">
        <f t="shared" si="72"/>
        <v>Prosv-sr",</v>
      </c>
      <c r="K554" t="str">
        <f t="shared" si="72"/>
        <v>Prosubiculum, ventral part, stratum radiatum",</v>
      </c>
      <c r="L554" t="str">
        <f t="shared" si="73"/>
        <v>Prosv-sr</v>
      </c>
      <c r="M554" t="str">
        <f t="shared" si="73"/>
        <v>Prosubiculum, ventral part, stratum radiatum</v>
      </c>
      <c r="N554" t="s">
        <v>5566</v>
      </c>
      <c r="O554" t="s">
        <v>5567</v>
      </c>
      <c r="Q554" s="6">
        <v>824</v>
      </c>
      <c r="R554" s="6">
        <v>607344830</v>
      </c>
      <c r="S554" s="6" t="s">
        <v>6111</v>
      </c>
      <c r="T554" s="6" t="s">
        <v>6110</v>
      </c>
      <c r="U554" s="6">
        <v>323</v>
      </c>
      <c r="V554" s="6">
        <v>5</v>
      </c>
      <c r="W554" s="6" t="s">
        <v>7800</v>
      </c>
      <c r="Y554" t="s">
        <v>5566</v>
      </c>
      <c r="Z554" t="s">
        <v>5567</v>
      </c>
      <c r="AA554" s="6" t="str">
        <f t="shared" si="74"/>
        <v/>
      </c>
      <c r="AB554">
        <v>87</v>
      </c>
      <c r="AC554">
        <v>186</v>
      </c>
      <c r="AD554">
        <v>72</v>
      </c>
    </row>
    <row r="555" spans="1:30" ht="17" x14ac:dyDescent="0.25">
      <c r="A555" s="1" t="s">
        <v>557</v>
      </c>
      <c r="B555" s="1" t="s">
        <v>3209</v>
      </c>
      <c r="C555" s="1" t="s">
        <v>1884</v>
      </c>
      <c r="D555" t="str">
        <f t="shared" si="75"/>
        <v>33B931</v>
      </c>
      <c r="E555" t="str">
        <f t="shared" si="76"/>
        <v>51-185-49</v>
      </c>
      <c r="F555" t="str">
        <f t="shared" si="77"/>
        <v>5118549</v>
      </c>
      <c r="G555">
        <f t="shared" si="78"/>
        <v>51</v>
      </c>
      <c r="H555">
        <f t="shared" si="79"/>
        <v>185</v>
      </c>
      <c r="I555">
        <f t="shared" si="80"/>
        <v>49</v>
      </c>
      <c r="J555" t="str">
        <f t="shared" si="72"/>
        <v>HATA",</v>
      </c>
      <c r="K555" t="str">
        <f t="shared" si="72"/>
        <v>Hippocampo-amygdalar transition area",</v>
      </c>
      <c r="L555" t="str">
        <f t="shared" si="73"/>
        <v>HATA</v>
      </c>
      <c r="M555" t="str">
        <f t="shared" si="73"/>
        <v>Hippocampo-amygdalar transition area</v>
      </c>
      <c r="N555" t="s">
        <v>5568</v>
      </c>
      <c r="O555" t="s">
        <v>5569</v>
      </c>
      <c r="Q555" s="6">
        <v>825</v>
      </c>
      <c r="R555" s="6">
        <v>246</v>
      </c>
      <c r="S555" s="6" t="s">
        <v>6113</v>
      </c>
      <c r="T555" s="6" t="s">
        <v>6112</v>
      </c>
      <c r="U555" s="6">
        <v>323</v>
      </c>
      <c r="V555" s="6">
        <v>5</v>
      </c>
      <c r="W555" s="6" t="s">
        <v>7801</v>
      </c>
      <c r="Y555" t="s">
        <v>5568</v>
      </c>
      <c r="Z555" t="s">
        <v>5569</v>
      </c>
      <c r="AA555" s="6">
        <f t="shared" si="74"/>
        <v>589508447</v>
      </c>
      <c r="AB555">
        <v>51</v>
      </c>
      <c r="AC555">
        <v>185</v>
      </c>
      <c r="AD555">
        <v>49</v>
      </c>
    </row>
    <row r="556" spans="1:30" ht="17" x14ac:dyDescent="0.25">
      <c r="A556" s="1" t="s">
        <v>558</v>
      </c>
      <c r="B556" s="1" t="s">
        <v>3210</v>
      </c>
      <c r="C556" s="1" t="s">
        <v>1885</v>
      </c>
      <c r="D556" t="str">
        <f t="shared" si="75"/>
        <v>33B932</v>
      </c>
      <c r="E556" t="str">
        <f t="shared" si="76"/>
        <v>51-185-50</v>
      </c>
      <c r="F556" t="str">
        <f t="shared" si="77"/>
        <v>5118550</v>
      </c>
      <c r="G556">
        <f t="shared" si="78"/>
        <v>51</v>
      </c>
      <c r="H556">
        <f t="shared" si="79"/>
        <v>185</v>
      </c>
      <c r="I556">
        <f t="shared" si="80"/>
        <v>50</v>
      </c>
      <c r="J556" t="str">
        <f t="shared" si="72"/>
        <v>APr",</v>
      </c>
      <c r="K556" t="str">
        <f t="shared" si="72"/>
        <v>Area prostriata",</v>
      </c>
      <c r="L556" t="str">
        <f t="shared" si="73"/>
        <v>APr</v>
      </c>
      <c r="M556" t="str">
        <f t="shared" si="73"/>
        <v>Area prostriata</v>
      </c>
      <c r="N556" t="s">
        <v>5570</v>
      </c>
      <c r="O556" t="s">
        <v>5571</v>
      </c>
      <c r="Q556" s="6">
        <v>826</v>
      </c>
      <c r="R556" s="6">
        <v>128</v>
      </c>
      <c r="S556" s="6" t="s">
        <v>6115</v>
      </c>
      <c r="T556" s="6" t="s">
        <v>6114</v>
      </c>
      <c r="U556" s="6">
        <v>323</v>
      </c>
      <c r="V556" s="6">
        <v>5</v>
      </c>
      <c r="W556" s="6" t="s">
        <v>7802</v>
      </c>
      <c r="Y556" t="s">
        <v>5570</v>
      </c>
      <c r="Z556" t="s">
        <v>5571</v>
      </c>
      <c r="AA556" s="6">
        <f t="shared" si="74"/>
        <v>484682508</v>
      </c>
      <c r="AB556">
        <v>51</v>
      </c>
      <c r="AC556">
        <v>185</v>
      </c>
      <c r="AD556">
        <v>50</v>
      </c>
    </row>
    <row r="557" spans="1:30" ht="17" x14ac:dyDescent="0.25">
      <c r="A557" s="1" t="s">
        <v>559</v>
      </c>
      <c r="B557" s="1" t="s">
        <v>3211</v>
      </c>
      <c r="C557" s="1" t="s">
        <v>1886</v>
      </c>
      <c r="D557" t="str">
        <f t="shared" si="75"/>
        <v>8AD987</v>
      </c>
      <c r="E557" t="str">
        <f t="shared" si="76"/>
        <v>138-217-135</v>
      </c>
      <c r="F557" t="str">
        <f t="shared" si="77"/>
        <v>138217135</v>
      </c>
      <c r="G557">
        <f t="shared" si="78"/>
        <v>138</v>
      </c>
      <c r="H557">
        <f t="shared" si="79"/>
        <v>217</v>
      </c>
      <c r="I557">
        <f t="shared" si="80"/>
        <v>135</v>
      </c>
      <c r="J557" t="str">
        <f t="shared" si="72"/>
        <v>CTXsp",</v>
      </c>
      <c r="K557" t="str">
        <f t="shared" si="72"/>
        <v>Cortical subplate",</v>
      </c>
      <c r="L557" t="str">
        <f t="shared" si="73"/>
        <v>CTXsp</v>
      </c>
      <c r="M557" t="str">
        <f t="shared" si="73"/>
        <v>Cortical subplate</v>
      </c>
      <c r="N557" t="s">
        <v>5572</v>
      </c>
      <c r="O557" t="s">
        <v>5573</v>
      </c>
      <c r="Q557" s="6">
        <v>830</v>
      </c>
      <c r="R557" s="6">
        <v>294</v>
      </c>
      <c r="S557" s="6" t="s">
        <v>6123</v>
      </c>
      <c r="T557" s="6" t="s">
        <v>6122</v>
      </c>
      <c r="U557" s="6">
        <v>323</v>
      </c>
      <c r="V557" s="6">
        <v>5</v>
      </c>
      <c r="W557" s="6" t="s">
        <v>7803</v>
      </c>
      <c r="Y557" t="s">
        <v>5572</v>
      </c>
      <c r="Z557" t="s">
        <v>5573</v>
      </c>
      <c r="AA557" s="6">
        <f t="shared" si="74"/>
        <v>703</v>
      </c>
      <c r="AB557">
        <v>138</v>
      </c>
      <c r="AC557">
        <v>217</v>
      </c>
      <c r="AD557">
        <v>135</v>
      </c>
    </row>
    <row r="558" spans="1:30" ht="17" x14ac:dyDescent="0.25">
      <c r="A558" s="1" t="s">
        <v>560</v>
      </c>
      <c r="B558" s="1" t="s">
        <v>3212</v>
      </c>
      <c r="C558" s="1" t="s">
        <v>1887</v>
      </c>
      <c r="D558" t="str">
        <f t="shared" si="75"/>
        <v>8ADA87</v>
      </c>
      <c r="E558" t="str">
        <f t="shared" si="76"/>
        <v>138-218-135</v>
      </c>
      <c r="F558" t="str">
        <f t="shared" si="77"/>
        <v>138218135</v>
      </c>
      <c r="G558">
        <f t="shared" si="78"/>
        <v>138</v>
      </c>
      <c r="H558">
        <f t="shared" si="79"/>
        <v>218</v>
      </c>
      <c r="I558">
        <f t="shared" si="80"/>
        <v>135</v>
      </c>
      <c r="J558" t="str">
        <f t="shared" si="72"/>
        <v>6b",</v>
      </c>
      <c r="K558" t="str">
        <f t="shared" si="72"/>
        <v>Layer 6b, isocortex",</v>
      </c>
      <c r="L558" t="str">
        <f t="shared" si="73"/>
        <v>6b</v>
      </c>
      <c r="M558" t="str">
        <f t="shared" si="73"/>
        <v>Layer 6b, isocortex</v>
      </c>
      <c r="N558" t="s">
        <v>5574</v>
      </c>
      <c r="O558" t="s">
        <v>5575</v>
      </c>
      <c r="Q558" s="6">
        <v>831</v>
      </c>
      <c r="R558" s="6">
        <v>26</v>
      </c>
      <c r="S558" s="6" t="s">
        <v>6125</v>
      </c>
      <c r="T558" s="6" t="s">
        <v>6124</v>
      </c>
      <c r="U558" s="6">
        <v>294</v>
      </c>
      <c r="V558" s="6">
        <v>6</v>
      </c>
      <c r="W558" s="6" t="s">
        <v>7804</v>
      </c>
      <c r="Y558" t="s">
        <v>5574</v>
      </c>
      <c r="Z558" t="s">
        <v>5575</v>
      </c>
      <c r="AA558" s="6" t="str">
        <f t="shared" si="74"/>
        <v/>
      </c>
      <c r="AB558">
        <v>138</v>
      </c>
      <c r="AC558">
        <v>218</v>
      </c>
      <c r="AD558">
        <v>135</v>
      </c>
    </row>
    <row r="559" spans="1:30" ht="17" x14ac:dyDescent="0.25">
      <c r="A559" s="1" t="s">
        <v>561</v>
      </c>
      <c r="B559" s="1" t="s">
        <v>3213</v>
      </c>
      <c r="C559" s="1" t="s">
        <v>1888</v>
      </c>
      <c r="D559" t="str">
        <f t="shared" si="75"/>
        <v>8ADA86</v>
      </c>
      <c r="E559" t="str">
        <f t="shared" si="76"/>
        <v>138-218-134</v>
      </c>
      <c r="F559" t="str">
        <f t="shared" si="77"/>
        <v>138218134</v>
      </c>
      <c r="G559">
        <f t="shared" si="78"/>
        <v>138</v>
      </c>
      <c r="H559">
        <f t="shared" si="79"/>
        <v>218</v>
      </c>
      <c r="I559">
        <f t="shared" si="80"/>
        <v>134</v>
      </c>
      <c r="J559" t="str">
        <f t="shared" si="72"/>
        <v>CLA",</v>
      </c>
      <c r="K559" t="str">
        <f t="shared" si="72"/>
        <v>Claustrum",</v>
      </c>
      <c r="L559" t="str">
        <f t="shared" si="73"/>
        <v>CLA</v>
      </c>
      <c r="M559" t="str">
        <f t="shared" si="73"/>
        <v>Claustrum</v>
      </c>
      <c r="N559" t="s">
        <v>5576</v>
      </c>
      <c r="O559" t="s">
        <v>5577</v>
      </c>
      <c r="Q559" s="6">
        <v>832</v>
      </c>
      <c r="R559" s="6">
        <v>42</v>
      </c>
      <c r="S559" s="6" t="s">
        <v>6127</v>
      </c>
      <c r="T559" s="6" t="s">
        <v>6126</v>
      </c>
      <c r="U559" s="6">
        <v>294</v>
      </c>
      <c r="V559" s="6">
        <v>6</v>
      </c>
      <c r="W559" s="6" t="s">
        <v>7805</v>
      </c>
      <c r="Y559" t="s">
        <v>5576</v>
      </c>
      <c r="Z559" t="s">
        <v>5577</v>
      </c>
      <c r="AA559" s="6">
        <f t="shared" si="74"/>
        <v>583</v>
      </c>
      <c r="AB559">
        <v>138</v>
      </c>
      <c r="AC559">
        <v>218</v>
      </c>
      <c r="AD559">
        <v>134</v>
      </c>
    </row>
    <row r="560" spans="1:30" ht="17" x14ac:dyDescent="0.25">
      <c r="A560" s="1" t="s">
        <v>562</v>
      </c>
      <c r="B560" s="1" t="s">
        <v>3214</v>
      </c>
      <c r="C560" s="1" t="s">
        <v>1889</v>
      </c>
      <c r="D560" t="str">
        <f t="shared" si="75"/>
        <v>A0EE9D</v>
      </c>
      <c r="E560" t="str">
        <f t="shared" si="76"/>
        <v>160-238-157</v>
      </c>
      <c r="F560" t="str">
        <f t="shared" si="77"/>
        <v>160238157</v>
      </c>
      <c r="G560">
        <f t="shared" si="78"/>
        <v>160</v>
      </c>
      <c r="H560">
        <f t="shared" si="79"/>
        <v>238</v>
      </c>
      <c r="I560">
        <f t="shared" si="80"/>
        <v>157</v>
      </c>
      <c r="J560" t="str">
        <f t="shared" si="72"/>
        <v>EP",</v>
      </c>
      <c r="K560" t="str">
        <f t="shared" si="72"/>
        <v>Endopiriform nucleus",</v>
      </c>
      <c r="L560" t="str">
        <f t="shared" si="73"/>
        <v>EP</v>
      </c>
      <c r="M560" t="str">
        <f t="shared" si="73"/>
        <v>Endopiriform nucleus</v>
      </c>
      <c r="N560" t="s">
        <v>5578</v>
      </c>
      <c r="O560" t="s">
        <v>5579</v>
      </c>
      <c r="Q560" s="6">
        <v>833</v>
      </c>
      <c r="R560" s="6">
        <v>17</v>
      </c>
      <c r="S560" s="6" t="s">
        <v>6129</v>
      </c>
      <c r="T560" s="6" t="s">
        <v>6128</v>
      </c>
      <c r="U560" s="6">
        <v>294</v>
      </c>
      <c r="V560" s="6">
        <v>6</v>
      </c>
      <c r="W560" s="6" t="s">
        <v>7806</v>
      </c>
      <c r="Y560" t="s">
        <v>5578</v>
      </c>
      <c r="Z560" t="s">
        <v>5579</v>
      </c>
      <c r="AA560" s="6">
        <f t="shared" si="74"/>
        <v>942</v>
      </c>
      <c r="AB560">
        <v>160</v>
      </c>
      <c r="AC560">
        <v>238</v>
      </c>
      <c r="AD560">
        <v>157</v>
      </c>
    </row>
    <row r="561" spans="1:30" ht="17" x14ac:dyDescent="0.25">
      <c r="A561" s="1" t="s">
        <v>563</v>
      </c>
      <c r="B561" s="1" t="s">
        <v>3215</v>
      </c>
      <c r="C561" s="1" t="s">
        <v>1890</v>
      </c>
      <c r="D561" t="str">
        <f t="shared" si="75"/>
        <v>A0EE9C</v>
      </c>
      <c r="E561" t="str">
        <f t="shared" si="76"/>
        <v>160-238-156</v>
      </c>
      <c r="F561" t="str">
        <f t="shared" si="77"/>
        <v>160238156</v>
      </c>
      <c r="G561">
        <f t="shared" si="78"/>
        <v>160</v>
      </c>
      <c r="H561">
        <f t="shared" si="79"/>
        <v>238</v>
      </c>
      <c r="I561">
        <f t="shared" si="80"/>
        <v>156</v>
      </c>
      <c r="J561" t="str">
        <f t="shared" si="72"/>
        <v>EPd",</v>
      </c>
      <c r="K561" t="str">
        <f t="shared" si="72"/>
        <v>Endopiriform nucleus, dorsal part",</v>
      </c>
      <c r="L561" t="str">
        <f t="shared" si="73"/>
        <v>EPd</v>
      </c>
      <c r="M561" t="str">
        <f t="shared" si="73"/>
        <v>Endopiriform nucleus, dorsal part</v>
      </c>
      <c r="N561" t="s">
        <v>5580</v>
      </c>
      <c r="O561" t="s">
        <v>5581</v>
      </c>
      <c r="Q561" s="6">
        <v>834</v>
      </c>
      <c r="R561" s="6">
        <v>10</v>
      </c>
      <c r="S561" s="6" t="s">
        <v>6131</v>
      </c>
      <c r="T561" s="6" t="s">
        <v>6130</v>
      </c>
      <c r="U561" s="6">
        <v>294</v>
      </c>
      <c r="V561" s="6">
        <v>6</v>
      </c>
      <c r="W561" s="6" t="s">
        <v>7807</v>
      </c>
      <c r="Y561" t="s">
        <v>5580</v>
      </c>
      <c r="Z561" t="s">
        <v>5581</v>
      </c>
      <c r="AA561" s="6">
        <f t="shared" si="74"/>
        <v>952</v>
      </c>
      <c r="AB561">
        <v>160</v>
      </c>
      <c r="AC561">
        <v>238</v>
      </c>
      <c r="AD561">
        <v>156</v>
      </c>
    </row>
    <row r="562" spans="1:30" ht="17" x14ac:dyDescent="0.25">
      <c r="A562" s="1" t="s">
        <v>564</v>
      </c>
      <c r="B562" s="1" t="s">
        <v>3216</v>
      </c>
      <c r="C562" s="1" t="s">
        <v>1891</v>
      </c>
      <c r="D562" t="str">
        <f t="shared" si="75"/>
        <v>A0ED9D</v>
      </c>
      <c r="E562" t="str">
        <f t="shared" si="76"/>
        <v>160-237-157</v>
      </c>
      <c r="F562" t="str">
        <f t="shared" si="77"/>
        <v>160237157</v>
      </c>
      <c r="G562">
        <f t="shared" si="78"/>
        <v>160</v>
      </c>
      <c r="H562">
        <f t="shared" si="79"/>
        <v>237</v>
      </c>
      <c r="I562">
        <f t="shared" si="80"/>
        <v>157</v>
      </c>
      <c r="J562" t="str">
        <f t="shared" si="72"/>
        <v>EPv",</v>
      </c>
      <c r="K562" t="str">
        <f t="shared" si="72"/>
        <v>Endopiriform nucleus, ventral part",</v>
      </c>
      <c r="L562" t="str">
        <f t="shared" si="73"/>
        <v>EPv</v>
      </c>
      <c r="M562" t="str">
        <f t="shared" si="73"/>
        <v>Endopiriform nucleus, ventral part</v>
      </c>
      <c r="N562" t="s">
        <v>5582</v>
      </c>
      <c r="O562" t="s">
        <v>5583</v>
      </c>
      <c r="Q562" s="6">
        <v>838</v>
      </c>
      <c r="R562" s="6">
        <v>795</v>
      </c>
      <c r="S562" s="6" t="s">
        <v>6139</v>
      </c>
      <c r="T562" s="6" t="s">
        <v>6138</v>
      </c>
      <c r="U562" s="6">
        <v>323</v>
      </c>
      <c r="V562" s="6">
        <v>5</v>
      </c>
      <c r="W562" s="6" t="s">
        <v>7808</v>
      </c>
      <c r="Y562" t="s">
        <v>5582</v>
      </c>
      <c r="Z562" t="s">
        <v>5583</v>
      </c>
      <c r="AA562" s="6">
        <f t="shared" si="74"/>
        <v>966</v>
      </c>
      <c r="AB562">
        <v>160</v>
      </c>
      <c r="AC562">
        <v>237</v>
      </c>
      <c r="AD562">
        <v>157</v>
      </c>
    </row>
    <row r="563" spans="1:30" ht="17" x14ac:dyDescent="0.25">
      <c r="A563" s="1" t="s">
        <v>565</v>
      </c>
      <c r="B563" s="1" t="s">
        <v>3217</v>
      </c>
      <c r="C563" s="1" t="s">
        <v>1892</v>
      </c>
      <c r="D563" t="str">
        <f t="shared" si="75"/>
        <v>90EB8D</v>
      </c>
      <c r="E563" t="str">
        <f t="shared" si="76"/>
        <v>144-235-141</v>
      </c>
      <c r="F563" t="str">
        <f t="shared" si="77"/>
        <v>144235141</v>
      </c>
      <c r="G563">
        <f t="shared" si="78"/>
        <v>144</v>
      </c>
      <c r="H563">
        <f t="shared" si="79"/>
        <v>235</v>
      </c>
      <c r="I563">
        <f t="shared" si="80"/>
        <v>141</v>
      </c>
      <c r="J563" t="str">
        <f t="shared" si="72"/>
        <v>LA",</v>
      </c>
      <c r="K563" t="str">
        <f t="shared" si="72"/>
        <v>Lateral amygdalar nucleus",</v>
      </c>
      <c r="L563" t="str">
        <f t="shared" si="73"/>
        <v>LA</v>
      </c>
      <c r="M563" t="str">
        <f t="shared" si="73"/>
        <v>Lateral amygdalar nucleus</v>
      </c>
      <c r="N563" t="s">
        <v>5584</v>
      </c>
      <c r="O563" t="s">
        <v>5585</v>
      </c>
      <c r="Q563" s="6">
        <v>839</v>
      </c>
      <c r="R563" s="6">
        <v>50</v>
      </c>
      <c r="S563" s="6" t="s">
        <v>6141</v>
      </c>
      <c r="T563" s="6" t="s">
        <v>6140</v>
      </c>
      <c r="U563" s="6">
        <v>795</v>
      </c>
      <c r="V563" s="6">
        <v>6</v>
      </c>
      <c r="W563" s="6" t="s">
        <v>7809</v>
      </c>
      <c r="Y563" t="s">
        <v>5584</v>
      </c>
      <c r="Z563" t="s">
        <v>5585</v>
      </c>
      <c r="AA563" s="6">
        <f t="shared" si="74"/>
        <v>131</v>
      </c>
      <c r="AB563">
        <v>144</v>
      </c>
      <c r="AC563">
        <v>235</v>
      </c>
      <c r="AD563">
        <v>141</v>
      </c>
    </row>
    <row r="564" spans="1:30" ht="17" x14ac:dyDescent="0.25">
      <c r="A564" s="1" t="s">
        <v>566</v>
      </c>
      <c r="B564" s="1" t="s">
        <v>3218</v>
      </c>
      <c r="C564" s="1" t="s">
        <v>1893</v>
      </c>
      <c r="D564" t="str">
        <f t="shared" si="75"/>
        <v>9DE79C</v>
      </c>
      <c r="E564" t="str">
        <f t="shared" si="76"/>
        <v>157-231-156</v>
      </c>
      <c r="F564" t="str">
        <f t="shared" si="77"/>
        <v>157231156</v>
      </c>
      <c r="G564">
        <f t="shared" si="78"/>
        <v>157</v>
      </c>
      <c r="H564">
        <f t="shared" si="79"/>
        <v>231</v>
      </c>
      <c r="I564">
        <f t="shared" si="80"/>
        <v>156</v>
      </c>
      <c r="J564" t="str">
        <f t="shared" si="72"/>
        <v>BLA",</v>
      </c>
      <c r="K564" t="str">
        <f t="shared" si="72"/>
        <v>Basolateral amygdalar nucleus",</v>
      </c>
      <c r="L564" t="str">
        <f t="shared" si="73"/>
        <v>BLA</v>
      </c>
      <c r="M564" t="str">
        <f t="shared" si="73"/>
        <v>Basolateral amygdalar nucleus</v>
      </c>
      <c r="N564" t="s">
        <v>5586</v>
      </c>
      <c r="O564" t="s">
        <v>5587</v>
      </c>
      <c r="Q564" s="6">
        <v>840</v>
      </c>
      <c r="R564" s="6">
        <v>67</v>
      </c>
      <c r="S564" s="6" t="s">
        <v>6143</v>
      </c>
      <c r="T564" s="6" t="s">
        <v>6142</v>
      </c>
      <c r="U564" s="6">
        <v>795</v>
      </c>
      <c r="V564" s="6">
        <v>6</v>
      </c>
      <c r="W564" s="6" t="s">
        <v>7810</v>
      </c>
      <c r="Y564" t="s">
        <v>5586</v>
      </c>
      <c r="Z564" t="s">
        <v>5587</v>
      </c>
      <c r="AA564" s="6">
        <f t="shared" si="74"/>
        <v>295</v>
      </c>
      <c r="AB564">
        <v>157</v>
      </c>
      <c r="AC564">
        <v>231</v>
      </c>
      <c r="AD564">
        <v>156</v>
      </c>
    </row>
    <row r="565" spans="1:30" ht="17" x14ac:dyDescent="0.25">
      <c r="A565" s="1" t="s">
        <v>567</v>
      </c>
      <c r="B565" s="1" t="s">
        <v>3219</v>
      </c>
      <c r="C565" s="1" t="s">
        <v>1894</v>
      </c>
      <c r="D565" t="str">
        <f t="shared" si="75"/>
        <v>9DE79B</v>
      </c>
      <c r="E565" t="str">
        <f t="shared" si="76"/>
        <v>157-231-155</v>
      </c>
      <c r="F565" t="str">
        <f t="shared" si="77"/>
        <v>157231155</v>
      </c>
      <c r="G565">
        <f t="shared" si="78"/>
        <v>157</v>
      </c>
      <c r="H565">
        <f t="shared" si="79"/>
        <v>231</v>
      </c>
      <c r="I565">
        <f t="shared" si="80"/>
        <v>155</v>
      </c>
      <c r="J565" t="str">
        <f t="shared" si="72"/>
        <v>BLAa",</v>
      </c>
      <c r="K565" t="str">
        <f t="shared" si="72"/>
        <v>Basolateral amygdalar nucleus, anterior part",</v>
      </c>
      <c r="L565" t="str">
        <f t="shared" si="73"/>
        <v>BLAa</v>
      </c>
      <c r="M565" t="str">
        <f t="shared" si="73"/>
        <v>Basolateral amygdalar nucleus, anterior part</v>
      </c>
      <c r="N565" t="s">
        <v>5588</v>
      </c>
      <c r="O565" t="s">
        <v>5589</v>
      </c>
      <c r="Q565" s="6">
        <v>841</v>
      </c>
      <c r="R565" s="6">
        <v>587</v>
      </c>
      <c r="S565" s="6" t="s">
        <v>6145</v>
      </c>
      <c r="T565" s="6" t="s">
        <v>6144</v>
      </c>
      <c r="U565" s="6">
        <v>795</v>
      </c>
      <c r="V565" s="6">
        <v>6</v>
      </c>
      <c r="W565" s="6" t="s">
        <v>7811</v>
      </c>
      <c r="Y565" t="s">
        <v>5588</v>
      </c>
      <c r="Z565" t="s">
        <v>5589</v>
      </c>
      <c r="AA565" s="6">
        <f t="shared" si="74"/>
        <v>303</v>
      </c>
      <c r="AB565">
        <v>157</v>
      </c>
      <c r="AC565">
        <v>231</v>
      </c>
      <c r="AD565">
        <v>155</v>
      </c>
    </row>
    <row r="566" spans="1:30" ht="17" x14ac:dyDescent="0.25">
      <c r="A566" s="1" t="s">
        <v>568</v>
      </c>
      <c r="B566" s="1" t="s">
        <v>3220</v>
      </c>
      <c r="C566" s="1" t="s">
        <v>1895</v>
      </c>
      <c r="D566" t="str">
        <f t="shared" si="75"/>
        <v>9DE69C</v>
      </c>
      <c r="E566" t="str">
        <f t="shared" si="76"/>
        <v>157-230-156</v>
      </c>
      <c r="F566" t="str">
        <f t="shared" si="77"/>
        <v>157230156</v>
      </c>
      <c r="G566">
        <f t="shared" si="78"/>
        <v>157</v>
      </c>
      <c r="H566">
        <f t="shared" si="79"/>
        <v>230</v>
      </c>
      <c r="I566">
        <f t="shared" si="80"/>
        <v>156</v>
      </c>
      <c r="J566" t="str">
        <f t="shared" si="72"/>
        <v>BLAp",</v>
      </c>
      <c r="K566" t="str">
        <f t="shared" si="72"/>
        <v>Basolateral amygdalar nucleus, posterior part",</v>
      </c>
      <c r="L566" t="str">
        <f t="shared" si="73"/>
        <v>BLAp</v>
      </c>
      <c r="M566" t="str">
        <f t="shared" si="73"/>
        <v>Basolateral amygdalar nucleus, posterior part</v>
      </c>
      <c r="N566" t="s">
        <v>5590</v>
      </c>
      <c r="O566" t="s">
        <v>5591</v>
      </c>
      <c r="Q566" s="6">
        <v>842</v>
      </c>
      <c r="R566" s="6">
        <v>614454277</v>
      </c>
      <c r="S566" s="6" t="s">
        <v>6147</v>
      </c>
      <c r="T566" s="6" t="s">
        <v>6146</v>
      </c>
      <c r="U566" s="6">
        <v>795</v>
      </c>
      <c r="V566" s="6">
        <v>6</v>
      </c>
      <c r="W566" s="6" t="s">
        <v>7812</v>
      </c>
      <c r="Y566" t="s">
        <v>5590</v>
      </c>
      <c r="Z566" t="s">
        <v>5591</v>
      </c>
      <c r="AA566" s="6">
        <f t="shared" si="74"/>
        <v>311</v>
      </c>
      <c r="AB566">
        <v>157</v>
      </c>
      <c r="AC566">
        <v>230</v>
      </c>
      <c r="AD566">
        <v>156</v>
      </c>
    </row>
    <row r="567" spans="1:30" ht="17" x14ac:dyDescent="0.25">
      <c r="A567" s="1" t="s">
        <v>569</v>
      </c>
      <c r="B567" s="1" t="s">
        <v>3221</v>
      </c>
      <c r="C567" s="1" t="s">
        <v>1896</v>
      </c>
      <c r="D567" t="str">
        <f t="shared" si="75"/>
        <v>9CE79C</v>
      </c>
      <c r="E567" t="str">
        <f t="shared" si="76"/>
        <v>156-231-156</v>
      </c>
      <c r="F567" t="str">
        <f t="shared" si="77"/>
        <v>156231156</v>
      </c>
      <c r="G567">
        <f t="shared" si="78"/>
        <v>156</v>
      </c>
      <c r="H567">
        <f t="shared" si="79"/>
        <v>231</v>
      </c>
      <c r="I567">
        <f t="shared" si="80"/>
        <v>156</v>
      </c>
      <c r="J567" t="str">
        <f t="shared" si="72"/>
        <v>BLAv",</v>
      </c>
      <c r="K567" t="str">
        <f t="shared" si="72"/>
        <v>Basolateral amygdalar nucleus, ventral part",</v>
      </c>
      <c r="L567" t="str">
        <f t="shared" si="73"/>
        <v>BLAv</v>
      </c>
      <c r="M567" t="str">
        <f t="shared" si="73"/>
        <v>Basolateral amygdalar nucleus, ventral part</v>
      </c>
      <c r="N567" t="s">
        <v>5592</v>
      </c>
      <c r="O567" t="s">
        <v>5593</v>
      </c>
      <c r="Q567" s="6">
        <v>843</v>
      </c>
      <c r="R567" s="6">
        <v>1100</v>
      </c>
      <c r="S567" s="6" t="s">
        <v>6149</v>
      </c>
      <c r="T567" s="6" t="s">
        <v>6148</v>
      </c>
      <c r="U567" s="6">
        <v>323</v>
      </c>
      <c r="V567" s="6">
        <v>5</v>
      </c>
      <c r="W567" s="6" t="s">
        <v>7813</v>
      </c>
      <c r="Y567" t="s">
        <v>5592</v>
      </c>
      <c r="Z567" t="s">
        <v>5593</v>
      </c>
      <c r="AA567" s="6">
        <f t="shared" si="74"/>
        <v>451</v>
      </c>
      <c r="AB567">
        <v>156</v>
      </c>
      <c r="AC567">
        <v>231</v>
      </c>
      <c r="AD567">
        <v>156</v>
      </c>
    </row>
    <row r="568" spans="1:30" ht="17" x14ac:dyDescent="0.25">
      <c r="A568" s="1" t="s">
        <v>570</v>
      </c>
      <c r="B568" s="1" t="s">
        <v>3222</v>
      </c>
      <c r="C568" s="1" t="s">
        <v>1897</v>
      </c>
      <c r="D568" t="str">
        <f t="shared" si="75"/>
        <v>84EA81</v>
      </c>
      <c r="E568" t="str">
        <f t="shared" si="76"/>
        <v>132-234-129</v>
      </c>
      <c r="F568" t="str">
        <f t="shared" si="77"/>
        <v>132234129</v>
      </c>
      <c r="G568">
        <f t="shared" si="78"/>
        <v>132</v>
      </c>
      <c r="H568">
        <f t="shared" si="79"/>
        <v>234</v>
      </c>
      <c r="I568">
        <f t="shared" si="80"/>
        <v>129</v>
      </c>
      <c r="J568" t="str">
        <f t="shared" si="72"/>
        <v>BMA",</v>
      </c>
      <c r="K568" t="str">
        <f t="shared" si="72"/>
        <v>Basomedial amygdalar nucleus",</v>
      </c>
      <c r="L568" t="str">
        <f t="shared" si="73"/>
        <v>BMA</v>
      </c>
      <c r="M568" t="str">
        <f t="shared" si="73"/>
        <v>Basomedial amygdalar nucleus</v>
      </c>
      <c r="N568" t="s">
        <v>5594</v>
      </c>
      <c r="O568" t="s">
        <v>5595</v>
      </c>
      <c r="Q568" s="6">
        <v>844</v>
      </c>
      <c r="R568" s="6">
        <v>215</v>
      </c>
      <c r="S568" s="6" t="s">
        <v>6151</v>
      </c>
      <c r="T568" s="6" t="s">
        <v>6150</v>
      </c>
      <c r="U568" s="6">
        <v>1100</v>
      </c>
      <c r="V568" s="6">
        <v>6</v>
      </c>
      <c r="W568" s="6" t="s">
        <v>7814</v>
      </c>
      <c r="Y568" t="s">
        <v>5594</v>
      </c>
      <c r="Z568" t="s">
        <v>5595</v>
      </c>
      <c r="AA568" s="6">
        <f t="shared" si="74"/>
        <v>319</v>
      </c>
      <c r="AB568">
        <v>132</v>
      </c>
      <c r="AC568">
        <v>234</v>
      </c>
      <c r="AD568">
        <v>129</v>
      </c>
    </row>
    <row r="569" spans="1:30" ht="17" x14ac:dyDescent="0.25">
      <c r="A569" s="1" t="s">
        <v>571</v>
      </c>
      <c r="B569" s="1" t="s">
        <v>3223</v>
      </c>
      <c r="C569" s="1" t="s">
        <v>1898</v>
      </c>
      <c r="D569" t="str">
        <f t="shared" si="75"/>
        <v>84EA80</v>
      </c>
      <c r="E569" t="str">
        <f t="shared" si="76"/>
        <v>132-234-128</v>
      </c>
      <c r="F569" t="str">
        <f t="shared" si="77"/>
        <v>132234128</v>
      </c>
      <c r="G569">
        <f t="shared" si="78"/>
        <v>132</v>
      </c>
      <c r="H569">
        <f t="shared" si="79"/>
        <v>234</v>
      </c>
      <c r="I569">
        <f t="shared" si="80"/>
        <v>128</v>
      </c>
      <c r="J569" t="str">
        <f t="shared" si="72"/>
        <v>BMAa",</v>
      </c>
      <c r="K569" t="str">
        <f t="shared" si="72"/>
        <v>Basomedial amygdalar nucleus, anterior part",</v>
      </c>
      <c r="L569" t="str">
        <f t="shared" si="73"/>
        <v>BMAa</v>
      </c>
      <c r="M569" t="str">
        <f t="shared" si="73"/>
        <v>Basomedial amygdalar nucleus, anterior part</v>
      </c>
      <c r="N569" t="s">
        <v>5596</v>
      </c>
      <c r="O569" t="s">
        <v>5597</v>
      </c>
      <c r="Q569" s="6">
        <v>845</v>
      </c>
      <c r="R569" s="6">
        <v>531</v>
      </c>
      <c r="S569" s="6" t="s">
        <v>6153</v>
      </c>
      <c r="T569" s="6" t="s">
        <v>6152</v>
      </c>
      <c r="U569" s="6">
        <v>1100</v>
      </c>
      <c r="V569" s="6">
        <v>6</v>
      </c>
      <c r="W569" s="6" t="s">
        <v>7815</v>
      </c>
      <c r="Y569" t="s">
        <v>5596</v>
      </c>
      <c r="Z569" t="s">
        <v>5597</v>
      </c>
      <c r="AA569" s="6">
        <f t="shared" si="74"/>
        <v>327</v>
      </c>
      <c r="AB569">
        <v>132</v>
      </c>
      <c r="AC569">
        <v>234</v>
      </c>
      <c r="AD569">
        <v>128</v>
      </c>
    </row>
    <row r="570" spans="1:30" ht="17" x14ac:dyDescent="0.25">
      <c r="A570" s="1" t="s">
        <v>572</v>
      </c>
      <c r="B570" s="1" t="s">
        <v>3224</v>
      </c>
      <c r="C570" s="1" t="s">
        <v>1899</v>
      </c>
      <c r="D570" t="str">
        <f t="shared" si="75"/>
        <v>84E981</v>
      </c>
      <c r="E570" t="str">
        <f t="shared" si="76"/>
        <v>132-233-129</v>
      </c>
      <c r="F570" t="str">
        <f t="shared" si="77"/>
        <v>132233129</v>
      </c>
      <c r="G570">
        <f t="shared" si="78"/>
        <v>132</v>
      </c>
      <c r="H570">
        <f t="shared" si="79"/>
        <v>233</v>
      </c>
      <c r="I570">
        <f t="shared" si="80"/>
        <v>129</v>
      </c>
      <c r="J570" t="str">
        <f t="shared" si="72"/>
        <v>BMAp",</v>
      </c>
      <c r="K570" t="str">
        <f t="shared" si="72"/>
        <v>Basomedial amygdalar nucleus, posterior part",</v>
      </c>
      <c r="L570" t="str">
        <f t="shared" si="73"/>
        <v>BMAp</v>
      </c>
      <c r="M570" t="str">
        <f t="shared" si="73"/>
        <v>Basomedial amygdalar nucleus, posterior part</v>
      </c>
      <c r="N570" t="s">
        <v>5598</v>
      </c>
      <c r="O570" t="s">
        <v>5599</v>
      </c>
      <c r="Q570" s="6">
        <v>846</v>
      </c>
      <c r="R570" s="6">
        <v>628</v>
      </c>
      <c r="S570" s="6" t="s">
        <v>6155</v>
      </c>
      <c r="T570" s="6" t="s">
        <v>6154</v>
      </c>
      <c r="U570" s="6">
        <v>1100</v>
      </c>
      <c r="V570" s="6">
        <v>6</v>
      </c>
      <c r="W570" s="6" t="s">
        <v>7816</v>
      </c>
      <c r="Y570" t="s">
        <v>5598</v>
      </c>
      <c r="Z570" t="s">
        <v>5599</v>
      </c>
      <c r="AA570" s="6">
        <f t="shared" si="74"/>
        <v>334</v>
      </c>
      <c r="AB570">
        <v>132</v>
      </c>
      <c r="AC570">
        <v>233</v>
      </c>
      <c r="AD570">
        <v>129</v>
      </c>
    </row>
    <row r="571" spans="1:30" ht="17" x14ac:dyDescent="0.25">
      <c r="A571" s="1" t="s">
        <v>573</v>
      </c>
      <c r="B571" s="1" t="s">
        <v>3225</v>
      </c>
      <c r="C571" s="1" t="s">
        <v>1900</v>
      </c>
      <c r="D571" t="str">
        <f t="shared" si="75"/>
        <v>97EC93</v>
      </c>
      <c r="E571" t="str">
        <f t="shared" si="76"/>
        <v>151-236-147</v>
      </c>
      <c r="F571" t="str">
        <f t="shared" si="77"/>
        <v>151236147</v>
      </c>
      <c r="G571">
        <f t="shared" si="78"/>
        <v>151</v>
      </c>
      <c r="H571">
        <f t="shared" si="79"/>
        <v>236</v>
      </c>
      <c r="I571">
        <f t="shared" si="80"/>
        <v>147</v>
      </c>
      <c r="J571" t="str">
        <f t="shared" si="72"/>
        <v>PA",</v>
      </c>
      <c r="K571" t="str">
        <f t="shared" si="72"/>
        <v>Posterior amygdalar nucleus",</v>
      </c>
      <c r="L571" t="str">
        <f t="shared" si="73"/>
        <v>PA</v>
      </c>
      <c r="M571" t="str">
        <f t="shared" si="73"/>
        <v>Posterior amygdalar nucleus</v>
      </c>
      <c r="N571" t="s">
        <v>5600</v>
      </c>
      <c r="O571" t="s">
        <v>5601</v>
      </c>
      <c r="Q571" s="6">
        <v>847</v>
      </c>
      <c r="R571" s="6">
        <v>634</v>
      </c>
      <c r="S571" s="6" t="s">
        <v>6157</v>
      </c>
      <c r="T571" s="6" t="s">
        <v>6156</v>
      </c>
      <c r="U571" s="6">
        <v>1100</v>
      </c>
      <c r="V571" s="6">
        <v>6</v>
      </c>
      <c r="W571" s="6" t="s">
        <v>7817</v>
      </c>
      <c r="Y571" t="s">
        <v>5600</v>
      </c>
      <c r="Z571" t="s">
        <v>5601</v>
      </c>
      <c r="AA571" s="6">
        <f t="shared" si="74"/>
        <v>780</v>
      </c>
      <c r="AB571">
        <v>151</v>
      </c>
      <c r="AC571">
        <v>236</v>
      </c>
      <c r="AD571">
        <v>147</v>
      </c>
    </row>
    <row r="572" spans="1:30" ht="17" x14ac:dyDescent="0.25">
      <c r="A572" s="1" t="s">
        <v>574</v>
      </c>
      <c r="B572" s="1" t="s">
        <v>3226</v>
      </c>
      <c r="C572" s="1" t="s">
        <v>1901</v>
      </c>
      <c r="D572" t="str">
        <f t="shared" si="75"/>
        <v>98D6F8</v>
      </c>
      <c r="E572" t="str">
        <f t="shared" si="76"/>
        <v>152-214-248</v>
      </c>
      <c r="F572" t="str">
        <f t="shared" si="77"/>
        <v>152214248</v>
      </c>
      <c r="G572">
        <f t="shared" si="78"/>
        <v>152</v>
      </c>
      <c r="H572">
        <f t="shared" si="79"/>
        <v>214</v>
      </c>
      <c r="I572">
        <f t="shared" si="80"/>
        <v>248</v>
      </c>
      <c r="J572" t="str">
        <f t="shared" si="72"/>
        <v>CNU",</v>
      </c>
      <c r="K572" t="str">
        <f t="shared" si="72"/>
        <v>Cerebral nuclei",</v>
      </c>
      <c r="L572" t="str">
        <f t="shared" si="73"/>
        <v>CNU</v>
      </c>
      <c r="M572" t="str">
        <f t="shared" si="73"/>
        <v>Cerebral nuclei</v>
      </c>
      <c r="N572" t="s">
        <v>5602</v>
      </c>
      <c r="O572" t="s">
        <v>5603</v>
      </c>
      <c r="Q572" s="6">
        <v>848</v>
      </c>
      <c r="R572" s="6">
        <v>706</v>
      </c>
      <c r="S572" s="6" t="s">
        <v>6159</v>
      </c>
      <c r="T572" s="6" t="s">
        <v>6158</v>
      </c>
      <c r="U572" s="6">
        <v>1100</v>
      </c>
      <c r="V572" s="6">
        <v>6</v>
      </c>
      <c r="W572" s="6" t="s">
        <v>7818</v>
      </c>
      <c r="Y572" t="s">
        <v>5602</v>
      </c>
      <c r="Z572" t="s">
        <v>5603</v>
      </c>
      <c r="AA572" s="6">
        <f t="shared" si="74"/>
        <v>623</v>
      </c>
      <c r="AB572">
        <v>152</v>
      </c>
      <c r="AC572">
        <v>214</v>
      </c>
      <c r="AD572">
        <v>248</v>
      </c>
    </row>
    <row r="573" spans="1:30" ht="17" x14ac:dyDescent="0.25">
      <c r="A573" s="1" t="s">
        <v>575</v>
      </c>
      <c r="B573" s="1" t="s">
        <v>3227</v>
      </c>
      <c r="C573" s="1" t="s">
        <v>1902</v>
      </c>
      <c r="D573" t="str">
        <f t="shared" si="75"/>
        <v>97D6F9</v>
      </c>
      <c r="E573" t="str">
        <f t="shared" si="76"/>
        <v>151-214-249</v>
      </c>
      <c r="F573" t="str">
        <f t="shared" si="77"/>
        <v>151214249</v>
      </c>
      <c r="G573">
        <f t="shared" si="78"/>
        <v>151</v>
      </c>
      <c r="H573">
        <f t="shared" si="79"/>
        <v>214</v>
      </c>
      <c r="I573">
        <f t="shared" si="80"/>
        <v>249</v>
      </c>
      <c r="J573" t="str">
        <f t="shared" si="72"/>
        <v>STR",</v>
      </c>
      <c r="K573" t="str">
        <f t="shared" si="72"/>
        <v>Striatum",</v>
      </c>
      <c r="L573" t="str">
        <f t="shared" si="73"/>
        <v>STR</v>
      </c>
      <c r="M573" t="str">
        <f t="shared" si="73"/>
        <v>Striatum</v>
      </c>
      <c r="N573" t="s">
        <v>5604</v>
      </c>
      <c r="O573" t="s">
        <v>5605</v>
      </c>
      <c r="Q573" s="6">
        <v>849</v>
      </c>
      <c r="R573" s="6">
        <v>1061</v>
      </c>
      <c r="S573" s="6" t="s">
        <v>6161</v>
      </c>
      <c r="T573" s="6" t="s">
        <v>6160</v>
      </c>
      <c r="U573" s="6">
        <v>1100</v>
      </c>
      <c r="V573" s="6">
        <v>6</v>
      </c>
      <c r="W573" s="6" t="s">
        <v>7819</v>
      </c>
      <c r="Y573" t="s">
        <v>5604</v>
      </c>
      <c r="Z573" t="s">
        <v>5605</v>
      </c>
      <c r="AA573" s="6">
        <f t="shared" si="74"/>
        <v>477</v>
      </c>
      <c r="AB573">
        <v>151</v>
      </c>
      <c r="AC573">
        <v>214</v>
      </c>
      <c r="AD573">
        <v>249</v>
      </c>
    </row>
    <row r="574" spans="1:30" ht="17" x14ac:dyDescent="0.25">
      <c r="A574" s="1" t="s">
        <v>576</v>
      </c>
      <c r="B574" s="1" t="s">
        <v>3228</v>
      </c>
      <c r="C574" s="1" t="s">
        <v>1903</v>
      </c>
      <c r="D574" t="str">
        <f t="shared" si="75"/>
        <v>98D6F9</v>
      </c>
      <c r="E574" t="str">
        <f t="shared" si="76"/>
        <v>152-214-249</v>
      </c>
      <c r="F574" t="str">
        <f t="shared" si="77"/>
        <v>152214249</v>
      </c>
      <c r="G574">
        <f t="shared" si="78"/>
        <v>152</v>
      </c>
      <c r="H574">
        <f t="shared" si="79"/>
        <v>214</v>
      </c>
      <c r="I574">
        <f t="shared" si="80"/>
        <v>249</v>
      </c>
      <c r="J574" t="str">
        <f t="shared" si="72"/>
        <v>STRd",</v>
      </c>
      <c r="K574" t="str">
        <f t="shared" si="72"/>
        <v>Striatum dorsal region",</v>
      </c>
      <c r="L574" t="str">
        <f t="shared" si="73"/>
        <v>STRd</v>
      </c>
      <c r="M574" t="str">
        <f t="shared" si="73"/>
        <v>Striatum dorsal region</v>
      </c>
      <c r="N574" t="s">
        <v>5606</v>
      </c>
      <c r="O574" t="s">
        <v>5607</v>
      </c>
      <c r="Q574" s="6">
        <v>850</v>
      </c>
      <c r="R574" s="6">
        <v>549009203</v>
      </c>
      <c r="S574" s="6" t="s">
        <v>6163</v>
      </c>
      <c r="T574" s="6" t="s">
        <v>6162</v>
      </c>
      <c r="U574" s="6">
        <v>1100</v>
      </c>
      <c r="V574" s="6">
        <v>6</v>
      </c>
      <c r="W574" s="6" t="s">
        <v>7820</v>
      </c>
      <c r="Y574" t="s">
        <v>5606</v>
      </c>
      <c r="Z574" t="s">
        <v>5607</v>
      </c>
      <c r="AA574" s="6">
        <f t="shared" si="74"/>
        <v>485</v>
      </c>
      <c r="AB574">
        <v>152</v>
      </c>
      <c r="AC574">
        <v>214</v>
      </c>
      <c r="AD574">
        <v>249</v>
      </c>
    </row>
    <row r="575" spans="1:30" ht="17" x14ac:dyDescent="0.25">
      <c r="A575" s="1" t="s">
        <v>577</v>
      </c>
      <c r="B575" s="1" t="s">
        <v>3229</v>
      </c>
      <c r="C575" s="1" t="s">
        <v>1904</v>
      </c>
      <c r="D575" t="str">
        <f t="shared" si="75"/>
        <v>98D5F9</v>
      </c>
      <c r="E575" t="str">
        <f t="shared" si="76"/>
        <v>152-213-249</v>
      </c>
      <c r="F575" t="str">
        <f t="shared" si="77"/>
        <v>152213249</v>
      </c>
      <c r="G575">
        <f t="shared" si="78"/>
        <v>152</v>
      </c>
      <c r="H575">
        <f t="shared" si="79"/>
        <v>213</v>
      </c>
      <c r="I575">
        <f t="shared" si="80"/>
        <v>249</v>
      </c>
      <c r="J575" t="str">
        <f t="shared" si="72"/>
        <v>CP",</v>
      </c>
      <c r="K575" t="str">
        <f t="shared" si="72"/>
        <v>Caudoputamen",</v>
      </c>
      <c r="L575" t="str">
        <f t="shared" si="73"/>
        <v>CP</v>
      </c>
      <c r="M575" t="str">
        <f t="shared" si="73"/>
        <v>Caudoputamen</v>
      </c>
      <c r="N575" t="s">
        <v>5608</v>
      </c>
      <c r="O575" t="s">
        <v>5609</v>
      </c>
      <c r="Q575" s="6">
        <v>852</v>
      </c>
      <c r="R575" s="6">
        <v>616</v>
      </c>
      <c r="S575" s="6" t="s">
        <v>6167</v>
      </c>
      <c r="T575" s="6" t="s">
        <v>6166</v>
      </c>
      <c r="U575" s="6">
        <v>323</v>
      </c>
      <c r="V575" s="6">
        <v>5</v>
      </c>
      <c r="W575" s="6" t="s">
        <v>7821</v>
      </c>
      <c r="Y575" t="s">
        <v>5608</v>
      </c>
      <c r="Z575" t="s">
        <v>5609</v>
      </c>
      <c r="AA575" s="6">
        <f t="shared" si="74"/>
        <v>672</v>
      </c>
      <c r="AB575">
        <v>152</v>
      </c>
      <c r="AC575">
        <v>213</v>
      </c>
      <c r="AD575">
        <v>249</v>
      </c>
    </row>
    <row r="576" spans="1:30" ht="17" x14ac:dyDescent="0.25">
      <c r="A576" s="1" t="s">
        <v>578</v>
      </c>
      <c r="B576" s="1" t="s">
        <v>3230</v>
      </c>
      <c r="C576" s="1" t="s">
        <v>1905</v>
      </c>
      <c r="D576" t="str">
        <f t="shared" si="75"/>
        <v>7FCDF7</v>
      </c>
      <c r="E576" t="str">
        <f t="shared" si="76"/>
        <v>127-205-247</v>
      </c>
      <c r="F576" t="str">
        <f t="shared" si="77"/>
        <v>127205247</v>
      </c>
      <c r="G576">
        <f t="shared" si="78"/>
        <v>127</v>
      </c>
      <c r="H576">
        <f t="shared" si="79"/>
        <v>205</v>
      </c>
      <c r="I576">
        <f t="shared" si="80"/>
        <v>247</v>
      </c>
      <c r="J576" t="str">
        <f t="shared" si="72"/>
        <v>STRv",</v>
      </c>
      <c r="K576" t="str">
        <f t="shared" si="72"/>
        <v>Striatum ventral region",</v>
      </c>
      <c r="L576" t="str">
        <f t="shared" si="73"/>
        <v>STRv</v>
      </c>
      <c r="M576" t="str">
        <f t="shared" si="73"/>
        <v>Striatum ventral region</v>
      </c>
      <c r="N576" t="s">
        <v>5610</v>
      </c>
      <c r="O576" t="s">
        <v>5611</v>
      </c>
      <c r="Q576" s="6">
        <v>853</v>
      </c>
      <c r="R576" s="6">
        <v>214</v>
      </c>
      <c r="S576" s="6" t="s">
        <v>6169</v>
      </c>
      <c r="T576" s="6" t="s">
        <v>6168</v>
      </c>
      <c r="U576" s="6">
        <v>323</v>
      </c>
      <c r="V576" s="6">
        <v>5</v>
      </c>
      <c r="W576" s="6" t="s">
        <v>7822</v>
      </c>
      <c r="Y576" t="s">
        <v>5610</v>
      </c>
      <c r="Z576" t="s">
        <v>5611</v>
      </c>
      <c r="AA576" s="6">
        <f t="shared" si="74"/>
        <v>493</v>
      </c>
      <c r="AB576">
        <v>127</v>
      </c>
      <c r="AC576">
        <v>205</v>
      </c>
      <c r="AD576">
        <v>247</v>
      </c>
    </row>
    <row r="577" spans="1:30" ht="17" x14ac:dyDescent="0.25">
      <c r="A577" s="1" t="s">
        <v>579</v>
      </c>
      <c r="B577" s="1" t="s">
        <v>3231</v>
      </c>
      <c r="C577" s="1" t="s">
        <v>1906</v>
      </c>
      <c r="D577" t="str">
        <f t="shared" si="75"/>
        <v>80CDF8</v>
      </c>
      <c r="E577" t="str">
        <f t="shared" si="76"/>
        <v>128-205-248</v>
      </c>
      <c r="F577" t="str">
        <f t="shared" si="77"/>
        <v>128205248</v>
      </c>
      <c r="G577">
        <f t="shared" si="78"/>
        <v>128</v>
      </c>
      <c r="H577">
        <f t="shared" si="79"/>
        <v>205</v>
      </c>
      <c r="I577">
        <f t="shared" si="80"/>
        <v>248</v>
      </c>
      <c r="J577" t="str">
        <f t="shared" si="72"/>
        <v>ACB",</v>
      </c>
      <c r="K577" t="str">
        <f t="shared" si="72"/>
        <v>Nucleus accumbens",</v>
      </c>
      <c r="L577" t="str">
        <f t="shared" si="73"/>
        <v>ACB</v>
      </c>
      <c r="M577" t="str">
        <f t="shared" si="73"/>
        <v>Nucleus accumbens</v>
      </c>
      <c r="N577" t="s">
        <v>5612</v>
      </c>
      <c r="O577" t="s">
        <v>5613</v>
      </c>
      <c r="Q577" s="6">
        <v>854</v>
      </c>
      <c r="R577" s="6">
        <v>35</v>
      </c>
      <c r="S577" s="6" t="s">
        <v>6171</v>
      </c>
      <c r="T577" s="6" t="s">
        <v>6170</v>
      </c>
      <c r="U577" s="6">
        <v>323</v>
      </c>
      <c r="V577" s="6">
        <v>5</v>
      </c>
      <c r="W577" s="6" t="s">
        <v>7823</v>
      </c>
      <c r="Y577" t="s">
        <v>5612</v>
      </c>
      <c r="Z577" t="s">
        <v>5613</v>
      </c>
      <c r="AA577" s="6">
        <f t="shared" si="74"/>
        <v>56</v>
      </c>
      <c r="AB577">
        <v>128</v>
      </c>
      <c r="AC577">
        <v>205</v>
      </c>
      <c r="AD577">
        <v>248</v>
      </c>
    </row>
    <row r="578" spans="1:30" ht="17" x14ac:dyDescent="0.25">
      <c r="A578" s="1" t="s">
        <v>580</v>
      </c>
      <c r="B578" s="1" t="s">
        <v>3232</v>
      </c>
      <c r="C578" s="1" t="s">
        <v>1907</v>
      </c>
      <c r="D578" t="str">
        <f t="shared" si="75"/>
        <v>7ECDF8</v>
      </c>
      <c r="E578" t="str">
        <f t="shared" si="76"/>
        <v>126-205-248</v>
      </c>
      <c r="F578" t="str">
        <f t="shared" si="77"/>
        <v>126205248</v>
      </c>
      <c r="G578">
        <f t="shared" si="78"/>
        <v>126</v>
      </c>
      <c r="H578">
        <f t="shared" si="79"/>
        <v>205</v>
      </c>
      <c r="I578">
        <f t="shared" si="80"/>
        <v>248</v>
      </c>
      <c r="J578" t="str">
        <f t="shared" si="72"/>
        <v>FS",</v>
      </c>
      <c r="K578" t="str">
        <f t="shared" si="72"/>
        <v>Fundus of striatum",</v>
      </c>
      <c r="L578" t="str">
        <f t="shared" si="73"/>
        <v>FS</v>
      </c>
      <c r="M578" t="str">
        <f t="shared" si="73"/>
        <v>Fundus of striatum</v>
      </c>
      <c r="N578" t="s">
        <v>5614</v>
      </c>
      <c r="O578" t="s">
        <v>5615</v>
      </c>
      <c r="Q578" s="6">
        <v>855</v>
      </c>
      <c r="R578" s="6">
        <v>549009211</v>
      </c>
      <c r="S578" s="6" t="s">
        <v>6173</v>
      </c>
      <c r="T578" s="6" t="s">
        <v>6172</v>
      </c>
      <c r="U578" s="6">
        <v>323</v>
      </c>
      <c r="V578" s="6">
        <v>5</v>
      </c>
      <c r="W578" s="6" t="s">
        <v>7824</v>
      </c>
      <c r="Y578" t="s">
        <v>5614</v>
      </c>
      <c r="Z578" t="s">
        <v>5615</v>
      </c>
      <c r="AA578" s="6">
        <f t="shared" si="74"/>
        <v>998</v>
      </c>
      <c r="AB578">
        <v>126</v>
      </c>
      <c r="AC578">
        <v>205</v>
      </c>
      <c r="AD578">
        <v>248</v>
      </c>
    </row>
    <row r="579" spans="1:30" ht="17" x14ac:dyDescent="0.25">
      <c r="A579" s="1" t="s">
        <v>581</v>
      </c>
      <c r="B579" s="1" t="s">
        <v>3233</v>
      </c>
      <c r="C579" s="1" t="s">
        <v>1908</v>
      </c>
      <c r="D579" t="str">
        <f t="shared" si="75"/>
        <v>7FCCF7</v>
      </c>
      <c r="E579" t="str">
        <f t="shared" si="76"/>
        <v>127-204-247</v>
      </c>
      <c r="F579" t="str">
        <f t="shared" si="77"/>
        <v>127204247</v>
      </c>
      <c r="G579">
        <f t="shared" si="78"/>
        <v>127</v>
      </c>
      <c r="H579">
        <f t="shared" si="79"/>
        <v>204</v>
      </c>
      <c r="I579">
        <f t="shared" si="80"/>
        <v>247</v>
      </c>
      <c r="J579" t="str">
        <f t="shared" ref="J579:K642" si="81">RIGHT(A579,LEN(A579)-3)</f>
        <v>OT",</v>
      </c>
      <c r="K579" t="str">
        <f t="shared" si="81"/>
        <v>Olfactory tubercle",</v>
      </c>
      <c r="L579" t="str">
        <f t="shared" ref="L579:M642" si="82">LEFT(J579,LEN(J579)-2)</f>
        <v>OT</v>
      </c>
      <c r="M579" t="str">
        <f t="shared" si="82"/>
        <v>Olfactory tubercle</v>
      </c>
      <c r="N579" t="s">
        <v>5616</v>
      </c>
      <c r="O579" t="s">
        <v>5617</v>
      </c>
      <c r="Q579" s="6">
        <v>856</v>
      </c>
      <c r="R579" s="6">
        <v>975</v>
      </c>
      <c r="S579" s="6" t="s">
        <v>6175</v>
      </c>
      <c r="T579" s="6" t="s">
        <v>6174</v>
      </c>
      <c r="U579" s="6">
        <v>323</v>
      </c>
      <c r="V579" s="6">
        <v>5</v>
      </c>
      <c r="W579" s="6" t="s">
        <v>7825</v>
      </c>
      <c r="Y579" t="s">
        <v>5616</v>
      </c>
      <c r="Z579" t="s">
        <v>5617</v>
      </c>
      <c r="AA579" s="6">
        <f t="shared" ref="AA579:AA642" si="83">IFERROR(INDEX(R:R,MATCH($Z579,S:S,0)),"")</f>
        <v>754</v>
      </c>
      <c r="AB579">
        <v>127</v>
      </c>
      <c r="AC579">
        <v>204</v>
      </c>
      <c r="AD579">
        <v>247</v>
      </c>
    </row>
    <row r="580" spans="1:30" ht="17" x14ac:dyDescent="0.25">
      <c r="A580" s="1" t="s">
        <v>582</v>
      </c>
      <c r="B580" s="1" t="s">
        <v>3234</v>
      </c>
      <c r="C580" s="1" t="s">
        <v>1909</v>
      </c>
      <c r="D580" t="str">
        <f t="shared" ref="D580:D643" si="84">RIGHT(LEFT(C580,9),6)</f>
        <v>80CCF7</v>
      </c>
      <c r="E580" t="str">
        <f t="shared" ref="E580:E643" si="85">HEX2DEC(LEFT(D580,2))&amp;"-"&amp;HEX2DEC(MID(D580,3,2))&amp;"-"&amp;HEX2DEC(RIGHT(D580,2))</f>
        <v>128-204-247</v>
      </c>
      <c r="F580" t="str">
        <f t="shared" ref="F580:F643" si="86">HEX2DEC(LEFT(D580,2))&amp;HEX2DEC(MID(D580,3,2))&amp;HEX2DEC(RIGHT(D580,2))</f>
        <v>128204247</v>
      </c>
      <c r="G580">
        <f t="shared" ref="G580:G643" si="87">HEX2DEC(LEFT(D580,2))</f>
        <v>128</v>
      </c>
      <c r="H580">
        <f t="shared" ref="H580:H643" si="88">HEX2DEC(MID(D580,3,2))</f>
        <v>204</v>
      </c>
      <c r="I580">
        <f t="shared" ref="I580:I643" si="89">HEX2DEC(RIGHT(D580,2))</f>
        <v>247</v>
      </c>
      <c r="J580" t="str">
        <f t="shared" si="81"/>
        <v>isl",</v>
      </c>
      <c r="K580" t="str">
        <f t="shared" si="81"/>
        <v>Islands of Calleja",</v>
      </c>
      <c r="L580" t="str">
        <f t="shared" si="82"/>
        <v>isl</v>
      </c>
      <c r="M580" t="str">
        <f t="shared" si="82"/>
        <v>Islands of Calleja</v>
      </c>
      <c r="N580" t="s">
        <v>5618</v>
      </c>
      <c r="O580" t="s">
        <v>5619</v>
      </c>
      <c r="Q580" s="6">
        <v>857</v>
      </c>
      <c r="R580" s="6">
        <v>115</v>
      </c>
      <c r="S580" s="6" t="s">
        <v>6177</v>
      </c>
      <c r="T580" s="6" t="s">
        <v>6176</v>
      </c>
      <c r="U580" s="6">
        <v>323</v>
      </c>
      <c r="V580" s="6">
        <v>5</v>
      </c>
      <c r="W580" s="6" t="s">
        <v>7826</v>
      </c>
      <c r="Y580" t="s">
        <v>5618</v>
      </c>
      <c r="Z580" t="s">
        <v>5619</v>
      </c>
      <c r="AA580" s="6" t="str">
        <f t="shared" si="83"/>
        <v/>
      </c>
      <c r="AB580">
        <v>128</v>
      </c>
      <c r="AC580">
        <v>204</v>
      </c>
      <c r="AD580">
        <v>247</v>
      </c>
    </row>
    <row r="581" spans="1:30" ht="17" x14ac:dyDescent="0.25">
      <c r="A581" s="1" t="s">
        <v>583</v>
      </c>
      <c r="B581" s="1" t="s">
        <v>3235</v>
      </c>
      <c r="C581" s="1" t="s">
        <v>1910</v>
      </c>
      <c r="D581" t="str">
        <f t="shared" si="84"/>
        <v>80CDF6</v>
      </c>
      <c r="E581" t="str">
        <f t="shared" si="85"/>
        <v>128-205-246</v>
      </c>
      <c r="F581" t="str">
        <f t="shared" si="86"/>
        <v>128205246</v>
      </c>
      <c r="G581">
        <f t="shared" si="87"/>
        <v>128</v>
      </c>
      <c r="H581">
        <f t="shared" si="88"/>
        <v>205</v>
      </c>
      <c r="I581">
        <f t="shared" si="89"/>
        <v>246</v>
      </c>
      <c r="J581" t="str">
        <f t="shared" si="81"/>
        <v>islm",</v>
      </c>
      <c r="K581" t="str">
        <f t="shared" si="81"/>
        <v>Major island of Calleja",</v>
      </c>
      <c r="L581" t="str">
        <f t="shared" si="82"/>
        <v>islm</v>
      </c>
      <c r="M581" t="str">
        <f t="shared" si="82"/>
        <v>Major island of Calleja</v>
      </c>
      <c r="N581" t="s">
        <v>5620</v>
      </c>
      <c r="O581" t="s">
        <v>5621</v>
      </c>
      <c r="Q581" s="6">
        <v>858</v>
      </c>
      <c r="R581" s="6">
        <v>606826663</v>
      </c>
      <c r="S581" s="6" t="s">
        <v>6179</v>
      </c>
      <c r="T581" s="6" t="s">
        <v>6178</v>
      </c>
      <c r="U581" s="6">
        <v>323</v>
      </c>
      <c r="V581" s="6">
        <v>5</v>
      </c>
      <c r="W581" s="6" t="s">
        <v>7827</v>
      </c>
      <c r="Y581" t="s">
        <v>5620</v>
      </c>
      <c r="Z581" t="s">
        <v>5621</v>
      </c>
      <c r="AA581" s="6" t="str">
        <f t="shared" si="83"/>
        <v/>
      </c>
      <c r="AB581">
        <v>128</v>
      </c>
      <c r="AC581">
        <v>205</v>
      </c>
      <c r="AD581">
        <v>246</v>
      </c>
    </row>
    <row r="582" spans="1:30" ht="17" x14ac:dyDescent="0.25">
      <c r="A582" s="1" t="s">
        <v>584</v>
      </c>
      <c r="B582" s="1" t="s">
        <v>3236</v>
      </c>
      <c r="C582" s="1" t="s">
        <v>1911</v>
      </c>
      <c r="D582" t="str">
        <f t="shared" si="84"/>
        <v>80CDF7</v>
      </c>
      <c r="E582" t="str">
        <f t="shared" si="85"/>
        <v>128-205-247</v>
      </c>
      <c r="F582" t="str">
        <f t="shared" si="86"/>
        <v>128205247</v>
      </c>
      <c r="G582">
        <f t="shared" si="87"/>
        <v>128</v>
      </c>
      <c r="H582">
        <f t="shared" si="88"/>
        <v>205</v>
      </c>
      <c r="I582">
        <f t="shared" si="89"/>
        <v>247</v>
      </c>
      <c r="J582" t="str">
        <f t="shared" si="81"/>
        <v>OT1-3",</v>
      </c>
      <c r="K582" t="str">
        <f t="shared" si="81"/>
        <v>Olfactory tubercle, layers 1-3",</v>
      </c>
      <c r="L582" t="str">
        <f t="shared" si="82"/>
        <v>OT1-3</v>
      </c>
      <c r="M582" t="str">
        <f t="shared" si="82"/>
        <v>Olfactory tubercle, layers 1-3</v>
      </c>
      <c r="N582" t="s">
        <v>5622</v>
      </c>
      <c r="O582" t="s">
        <v>5623</v>
      </c>
      <c r="Q582" s="6">
        <v>859</v>
      </c>
      <c r="R582" s="6">
        <v>757</v>
      </c>
      <c r="S582" s="6" t="s">
        <v>6181</v>
      </c>
      <c r="T582" s="6" t="s">
        <v>6180</v>
      </c>
      <c r="U582" s="6">
        <v>323</v>
      </c>
      <c r="V582" s="6">
        <v>5</v>
      </c>
      <c r="W582" s="6" t="s">
        <v>7828</v>
      </c>
      <c r="Y582" t="s">
        <v>5622</v>
      </c>
      <c r="Z582" t="s">
        <v>5623</v>
      </c>
      <c r="AA582" s="6" t="str">
        <f t="shared" si="83"/>
        <v/>
      </c>
      <c r="AB582">
        <v>128</v>
      </c>
      <c r="AC582">
        <v>205</v>
      </c>
      <c r="AD582">
        <v>247</v>
      </c>
    </row>
    <row r="583" spans="1:30" ht="17" x14ac:dyDescent="0.25">
      <c r="A583" s="1" t="s">
        <v>585</v>
      </c>
      <c r="B583" s="1" t="s">
        <v>3237</v>
      </c>
      <c r="C583" s="1" t="s">
        <v>1912</v>
      </c>
      <c r="D583" t="str">
        <f t="shared" si="84"/>
        <v>7FCCF8</v>
      </c>
      <c r="E583" t="str">
        <f t="shared" si="85"/>
        <v>127-204-248</v>
      </c>
      <c r="F583" t="str">
        <f t="shared" si="86"/>
        <v>127204248</v>
      </c>
      <c r="G583">
        <f t="shared" si="87"/>
        <v>127</v>
      </c>
      <c r="H583">
        <f t="shared" si="88"/>
        <v>204</v>
      </c>
      <c r="I583">
        <f t="shared" si="89"/>
        <v>248</v>
      </c>
      <c r="J583" t="str">
        <f t="shared" si="81"/>
        <v>OT1",</v>
      </c>
      <c r="K583" t="str">
        <f t="shared" si="81"/>
        <v>Olfactory tubercle, molecular layer",</v>
      </c>
      <c r="L583" t="str">
        <f t="shared" si="82"/>
        <v>OT1</v>
      </c>
      <c r="M583" t="str">
        <f t="shared" si="82"/>
        <v>Olfactory tubercle, molecular layer</v>
      </c>
      <c r="N583" t="s">
        <v>5624</v>
      </c>
      <c r="O583" t="s">
        <v>5625</v>
      </c>
      <c r="Q583" s="6">
        <v>860</v>
      </c>
      <c r="R583" s="6">
        <v>231</v>
      </c>
      <c r="S583" s="6" t="s">
        <v>6183</v>
      </c>
      <c r="T583" s="6" t="s">
        <v>6182</v>
      </c>
      <c r="U583" s="6">
        <v>323</v>
      </c>
      <c r="V583" s="6">
        <v>5</v>
      </c>
      <c r="W583" s="6" t="s">
        <v>7829</v>
      </c>
      <c r="Y583" t="s">
        <v>5624</v>
      </c>
      <c r="Z583" t="s">
        <v>5625</v>
      </c>
      <c r="AA583" s="6" t="str">
        <f t="shared" si="83"/>
        <v/>
      </c>
      <c r="AB583">
        <v>127</v>
      </c>
      <c r="AC583">
        <v>204</v>
      </c>
      <c r="AD583">
        <v>248</v>
      </c>
    </row>
    <row r="584" spans="1:30" ht="17" x14ac:dyDescent="0.25">
      <c r="A584" s="1" t="s">
        <v>586</v>
      </c>
      <c r="B584" s="1" t="s">
        <v>3238</v>
      </c>
      <c r="C584" s="1" t="s">
        <v>1913</v>
      </c>
      <c r="D584" t="str">
        <f t="shared" si="84"/>
        <v>80CCF8</v>
      </c>
      <c r="E584" t="str">
        <f t="shared" si="85"/>
        <v>128-204-248</v>
      </c>
      <c r="F584" t="str">
        <f t="shared" si="86"/>
        <v>128204248</v>
      </c>
      <c r="G584">
        <f t="shared" si="87"/>
        <v>128</v>
      </c>
      <c r="H584">
        <f t="shared" si="88"/>
        <v>204</v>
      </c>
      <c r="I584">
        <f t="shared" si="89"/>
        <v>248</v>
      </c>
      <c r="J584" t="str">
        <f t="shared" si="81"/>
        <v>OT2",</v>
      </c>
      <c r="K584" t="str">
        <f t="shared" si="81"/>
        <v>Olfactory tubercle, pyramidal layer",</v>
      </c>
      <c r="L584" t="str">
        <f t="shared" si="82"/>
        <v>OT2</v>
      </c>
      <c r="M584" t="str">
        <f t="shared" si="82"/>
        <v>Olfactory tubercle, pyramidal layer</v>
      </c>
      <c r="N584" t="s">
        <v>5626</v>
      </c>
      <c r="O584" t="s">
        <v>5627</v>
      </c>
      <c r="Q584" s="6">
        <v>861</v>
      </c>
      <c r="R584" s="6">
        <v>66</v>
      </c>
      <c r="S584" s="6" t="s">
        <v>6185</v>
      </c>
      <c r="T584" s="6" t="s">
        <v>6184</v>
      </c>
      <c r="U584" s="6">
        <v>323</v>
      </c>
      <c r="V584" s="6">
        <v>5</v>
      </c>
      <c r="W584" s="6" t="s">
        <v>7830</v>
      </c>
      <c r="Y584" t="s">
        <v>5626</v>
      </c>
      <c r="Z584" t="s">
        <v>5627</v>
      </c>
      <c r="AA584" s="6" t="str">
        <f t="shared" si="83"/>
        <v/>
      </c>
      <c r="AB584">
        <v>128</v>
      </c>
      <c r="AC584">
        <v>204</v>
      </c>
      <c r="AD584">
        <v>248</v>
      </c>
    </row>
    <row r="585" spans="1:30" ht="17" x14ac:dyDescent="0.25">
      <c r="A585" s="1" t="s">
        <v>587</v>
      </c>
      <c r="B585" s="1" t="s">
        <v>3239</v>
      </c>
      <c r="C585" s="1" t="s">
        <v>1914</v>
      </c>
      <c r="D585" t="str">
        <f t="shared" si="84"/>
        <v>7FCDF8</v>
      </c>
      <c r="E585" t="str">
        <f t="shared" si="85"/>
        <v>127-205-248</v>
      </c>
      <c r="F585" t="str">
        <f t="shared" si="86"/>
        <v>127205248</v>
      </c>
      <c r="G585">
        <f t="shared" si="87"/>
        <v>127</v>
      </c>
      <c r="H585">
        <f t="shared" si="88"/>
        <v>205</v>
      </c>
      <c r="I585">
        <f t="shared" si="89"/>
        <v>248</v>
      </c>
      <c r="J585" t="str">
        <f t="shared" si="81"/>
        <v>OT3",</v>
      </c>
      <c r="K585" t="str">
        <f t="shared" si="81"/>
        <v>Olfactory tubercle, polymorph layer",</v>
      </c>
      <c r="L585" t="str">
        <f t="shared" si="82"/>
        <v>OT3</v>
      </c>
      <c r="M585" t="str">
        <f t="shared" si="82"/>
        <v>Olfactory tubercle, polymorph layer</v>
      </c>
      <c r="N585" t="s">
        <v>5628</v>
      </c>
      <c r="O585" t="s">
        <v>5629</v>
      </c>
      <c r="Q585" s="6">
        <v>862</v>
      </c>
      <c r="R585" s="6">
        <v>75</v>
      </c>
      <c r="S585" s="6" t="s">
        <v>6187</v>
      </c>
      <c r="T585" s="6" t="s">
        <v>6186</v>
      </c>
      <c r="U585" s="6">
        <v>323</v>
      </c>
      <c r="V585" s="6">
        <v>5</v>
      </c>
      <c r="W585" s="6" t="s">
        <v>7831</v>
      </c>
      <c r="Y585" t="s">
        <v>5628</v>
      </c>
      <c r="Z585" t="s">
        <v>5629</v>
      </c>
      <c r="AA585" s="6" t="str">
        <f t="shared" si="83"/>
        <v/>
      </c>
      <c r="AB585">
        <v>127</v>
      </c>
      <c r="AC585">
        <v>205</v>
      </c>
      <c r="AD585">
        <v>248</v>
      </c>
    </row>
    <row r="586" spans="1:30" ht="17" x14ac:dyDescent="0.25">
      <c r="A586" s="1" t="s">
        <v>588</v>
      </c>
      <c r="B586" s="1" t="s">
        <v>3240</v>
      </c>
      <c r="C586" s="1" t="s">
        <v>1915</v>
      </c>
      <c r="D586" t="str">
        <f t="shared" si="84"/>
        <v>80CBF8</v>
      </c>
      <c r="E586" t="str">
        <f t="shared" si="85"/>
        <v>128-203-248</v>
      </c>
      <c r="F586" t="str">
        <f t="shared" si="86"/>
        <v>128203248</v>
      </c>
      <c r="G586">
        <f t="shared" si="87"/>
        <v>128</v>
      </c>
      <c r="H586">
        <f t="shared" si="88"/>
        <v>203</v>
      </c>
      <c r="I586">
        <f t="shared" si="89"/>
        <v>248</v>
      </c>
      <c r="J586" t="str">
        <f t="shared" si="81"/>
        <v>LSS",</v>
      </c>
      <c r="K586" t="str">
        <f t="shared" si="81"/>
        <v>Lateral strip of striatum",</v>
      </c>
      <c r="L586" t="str">
        <f t="shared" si="82"/>
        <v>LSS</v>
      </c>
      <c r="M586" t="str">
        <f t="shared" si="82"/>
        <v>Lateral strip of striatum</v>
      </c>
      <c r="N586" t="s">
        <v>5630</v>
      </c>
      <c r="O586" t="s">
        <v>5631</v>
      </c>
      <c r="Q586" s="6">
        <v>863</v>
      </c>
      <c r="R586" s="6">
        <v>58</v>
      </c>
      <c r="S586" s="6" t="s">
        <v>6189</v>
      </c>
      <c r="T586" s="6" t="s">
        <v>6188</v>
      </c>
      <c r="U586" s="6">
        <v>323</v>
      </c>
      <c r="V586" s="6">
        <v>5</v>
      </c>
      <c r="W586" s="6" t="s">
        <v>7832</v>
      </c>
      <c r="Y586" t="s">
        <v>5630</v>
      </c>
      <c r="Z586" t="s">
        <v>5631</v>
      </c>
      <c r="AA586" s="6" t="str">
        <f t="shared" si="83"/>
        <v/>
      </c>
      <c r="AB586">
        <v>128</v>
      </c>
      <c r="AC586">
        <v>203</v>
      </c>
      <c r="AD586">
        <v>248</v>
      </c>
    </row>
    <row r="587" spans="1:30" ht="17" x14ac:dyDescent="0.25">
      <c r="A587" s="1" t="s">
        <v>589</v>
      </c>
      <c r="B587" s="1" t="s">
        <v>3241</v>
      </c>
      <c r="C587" s="1" t="s">
        <v>1916</v>
      </c>
      <c r="D587" t="str">
        <f t="shared" si="84"/>
        <v>90CAEC</v>
      </c>
      <c r="E587" t="str">
        <f t="shared" si="85"/>
        <v>144-202-236</v>
      </c>
      <c r="F587" t="str">
        <f t="shared" si="86"/>
        <v>144202236</v>
      </c>
      <c r="G587">
        <f t="shared" si="87"/>
        <v>144</v>
      </c>
      <c r="H587">
        <f t="shared" si="88"/>
        <v>202</v>
      </c>
      <c r="I587">
        <f t="shared" si="89"/>
        <v>236</v>
      </c>
      <c r="J587" t="str">
        <f t="shared" si="81"/>
        <v>LSX",</v>
      </c>
      <c r="K587" t="str">
        <f t="shared" si="81"/>
        <v>Lateral septal complex",</v>
      </c>
      <c r="L587" t="str">
        <f t="shared" si="82"/>
        <v>LSX</v>
      </c>
      <c r="M587" t="str">
        <f t="shared" si="82"/>
        <v>Lateral septal complex</v>
      </c>
      <c r="N587" t="s">
        <v>5632</v>
      </c>
      <c r="O587" t="s">
        <v>5633</v>
      </c>
      <c r="Q587" s="6">
        <v>865</v>
      </c>
      <c r="R587" s="6">
        <v>348</v>
      </c>
      <c r="S587" s="6" t="s">
        <v>6193</v>
      </c>
      <c r="T587" s="6" t="s">
        <v>6192</v>
      </c>
      <c r="U587" s="6">
        <v>313</v>
      </c>
      <c r="V587" s="6">
        <v>4</v>
      </c>
      <c r="W587" s="6" t="s">
        <v>7833</v>
      </c>
      <c r="Y587" t="s">
        <v>5632</v>
      </c>
      <c r="Z587" t="s">
        <v>5633</v>
      </c>
      <c r="AA587" s="6">
        <f t="shared" si="83"/>
        <v>275</v>
      </c>
      <c r="AB587">
        <v>144</v>
      </c>
      <c r="AC587">
        <v>202</v>
      </c>
      <c r="AD587">
        <v>236</v>
      </c>
    </row>
    <row r="588" spans="1:30" ht="17" x14ac:dyDescent="0.25">
      <c r="A588" s="1" t="s">
        <v>590</v>
      </c>
      <c r="B588" s="1" t="s">
        <v>3242</v>
      </c>
      <c r="C588" s="1" t="s">
        <v>1917</v>
      </c>
      <c r="D588" t="str">
        <f t="shared" si="84"/>
        <v>90CBED</v>
      </c>
      <c r="E588" t="str">
        <f t="shared" si="85"/>
        <v>144-203-237</v>
      </c>
      <c r="F588" t="str">
        <f t="shared" si="86"/>
        <v>144203237</v>
      </c>
      <c r="G588">
        <f t="shared" si="87"/>
        <v>144</v>
      </c>
      <c r="H588">
        <f t="shared" si="88"/>
        <v>203</v>
      </c>
      <c r="I588">
        <f t="shared" si="89"/>
        <v>237</v>
      </c>
      <c r="J588" t="str">
        <f t="shared" si="81"/>
        <v>LS",</v>
      </c>
      <c r="K588" t="str">
        <f t="shared" si="81"/>
        <v>Lateral septal nucleus",</v>
      </c>
      <c r="L588" t="str">
        <f t="shared" si="82"/>
        <v>LS</v>
      </c>
      <c r="M588" t="str">
        <f t="shared" si="82"/>
        <v>Lateral septal nucleus</v>
      </c>
      <c r="N588" t="s">
        <v>5634</v>
      </c>
      <c r="O588" t="s">
        <v>5635</v>
      </c>
      <c r="Q588" s="6">
        <v>866</v>
      </c>
      <c r="R588" s="6">
        <v>374</v>
      </c>
      <c r="S588" s="6" t="s">
        <v>6195</v>
      </c>
      <c r="T588" s="6" t="s">
        <v>6194</v>
      </c>
      <c r="U588" s="6">
        <v>348</v>
      </c>
      <c r="V588" s="6">
        <v>5</v>
      </c>
      <c r="W588" s="6" t="s">
        <v>7834</v>
      </c>
      <c r="Y588" t="s">
        <v>5634</v>
      </c>
      <c r="Z588" t="s">
        <v>5635</v>
      </c>
      <c r="AA588" s="6">
        <f t="shared" si="83"/>
        <v>242</v>
      </c>
      <c r="AB588">
        <v>144</v>
      </c>
      <c r="AC588">
        <v>203</v>
      </c>
      <c r="AD588">
        <v>237</v>
      </c>
    </row>
    <row r="589" spans="1:30" ht="17" x14ac:dyDescent="0.25">
      <c r="A589" s="1" t="s">
        <v>591</v>
      </c>
      <c r="B589" s="1" t="s">
        <v>3243</v>
      </c>
      <c r="C589" s="1" t="s">
        <v>1918</v>
      </c>
      <c r="D589" t="str">
        <f t="shared" si="84"/>
        <v>90CBEC</v>
      </c>
      <c r="E589" t="str">
        <f t="shared" si="85"/>
        <v>144-203-236</v>
      </c>
      <c r="F589" t="str">
        <f t="shared" si="86"/>
        <v>144203236</v>
      </c>
      <c r="G589">
        <f t="shared" si="87"/>
        <v>144</v>
      </c>
      <c r="H589">
        <f t="shared" si="88"/>
        <v>203</v>
      </c>
      <c r="I589">
        <f t="shared" si="89"/>
        <v>236</v>
      </c>
      <c r="J589" t="str">
        <f t="shared" si="81"/>
        <v>LSc",</v>
      </c>
      <c r="K589" t="str">
        <f t="shared" si="81"/>
        <v>Lateral septal nucleus, caudal (caudodorsal) part",</v>
      </c>
      <c r="L589" t="str">
        <f t="shared" si="82"/>
        <v>LSc</v>
      </c>
      <c r="M589" t="str">
        <f t="shared" si="82"/>
        <v>Lateral septal nucleus, caudal (caudodorsal) part</v>
      </c>
      <c r="N589" t="s">
        <v>5636</v>
      </c>
      <c r="O589" t="s">
        <v>5637</v>
      </c>
      <c r="Q589" s="6">
        <v>867</v>
      </c>
      <c r="R589" s="6">
        <v>1052</v>
      </c>
      <c r="S589" s="6" t="s">
        <v>6197</v>
      </c>
      <c r="T589" s="6" t="s">
        <v>6196</v>
      </c>
      <c r="U589" s="6">
        <v>348</v>
      </c>
      <c r="V589" s="6">
        <v>5</v>
      </c>
      <c r="W589" s="6" t="s">
        <v>7835</v>
      </c>
      <c r="Y589" t="s">
        <v>5636</v>
      </c>
      <c r="Z589" t="s">
        <v>5637</v>
      </c>
      <c r="AA589" s="6">
        <f t="shared" si="83"/>
        <v>250</v>
      </c>
      <c r="AB589">
        <v>144</v>
      </c>
      <c r="AC589">
        <v>203</v>
      </c>
      <c r="AD589">
        <v>236</v>
      </c>
    </row>
    <row r="590" spans="1:30" ht="17" x14ac:dyDescent="0.25">
      <c r="A590" s="1" t="s">
        <v>592</v>
      </c>
      <c r="B590" s="1" t="s">
        <v>3244</v>
      </c>
      <c r="C590" s="1" t="s">
        <v>1919</v>
      </c>
      <c r="D590" t="str">
        <f t="shared" si="84"/>
        <v>90CAED</v>
      </c>
      <c r="E590" t="str">
        <f t="shared" si="85"/>
        <v>144-202-237</v>
      </c>
      <c r="F590" t="str">
        <f t="shared" si="86"/>
        <v>144202237</v>
      </c>
      <c r="G590">
        <f t="shared" si="87"/>
        <v>144</v>
      </c>
      <c r="H590">
        <f t="shared" si="88"/>
        <v>202</v>
      </c>
      <c r="I590">
        <f t="shared" si="89"/>
        <v>237</v>
      </c>
      <c r="J590" t="str">
        <f t="shared" si="81"/>
        <v>LSr",</v>
      </c>
      <c r="K590" t="str">
        <f t="shared" si="81"/>
        <v>Lateral septal nucleus, rostral (rostroventral) part",</v>
      </c>
      <c r="L590" t="str">
        <f t="shared" si="82"/>
        <v>LSr</v>
      </c>
      <c r="M590" t="str">
        <f t="shared" si="82"/>
        <v>Lateral septal nucleus, rostral (rostroventral) part</v>
      </c>
      <c r="N590" t="s">
        <v>5638</v>
      </c>
      <c r="O590" t="s">
        <v>5639</v>
      </c>
      <c r="Q590" s="6">
        <v>868</v>
      </c>
      <c r="R590" s="6">
        <v>165</v>
      </c>
      <c r="S590" s="6" t="s">
        <v>6199</v>
      </c>
      <c r="T590" s="6" t="s">
        <v>6198</v>
      </c>
      <c r="U590" s="6">
        <v>348</v>
      </c>
      <c r="V590" s="6">
        <v>5</v>
      </c>
      <c r="W590" s="6" t="s">
        <v>7836</v>
      </c>
      <c r="Y590" t="s">
        <v>5638</v>
      </c>
      <c r="Z590" t="s">
        <v>5639</v>
      </c>
      <c r="AA590" s="6">
        <f t="shared" si="83"/>
        <v>258</v>
      </c>
      <c r="AB590">
        <v>144</v>
      </c>
      <c r="AC590">
        <v>202</v>
      </c>
      <c r="AD590">
        <v>237</v>
      </c>
    </row>
    <row r="591" spans="1:30" ht="17" x14ac:dyDescent="0.25">
      <c r="A591" s="1" t="s">
        <v>593</v>
      </c>
      <c r="B591" s="1" t="s">
        <v>3245</v>
      </c>
      <c r="C591" s="1" t="s">
        <v>1920</v>
      </c>
      <c r="D591" t="str">
        <f t="shared" si="84"/>
        <v>8FCBED</v>
      </c>
      <c r="E591" t="str">
        <f t="shared" si="85"/>
        <v>143-203-237</v>
      </c>
      <c r="F591" t="str">
        <f t="shared" si="86"/>
        <v>143203237</v>
      </c>
      <c r="G591">
        <f t="shared" si="87"/>
        <v>143</v>
      </c>
      <c r="H591">
        <f t="shared" si="88"/>
        <v>203</v>
      </c>
      <c r="I591">
        <f t="shared" si="89"/>
        <v>237</v>
      </c>
      <c r="J591" t="str">
        <f t="shared" si="81"/>
        <v>LSv",</v>
      </c>
      <c r="K591" t="str">
        <f t="shared" si="81"/>
        <v>Lateral septal nucleus, ventral part",</v>
      </c>
      <c r="L591" t="str">
        <f t="shared" si="82"/>
        <v>LSv</v>
      </c>
      <c r="M591" t="str">
        <f t="shared" si="82"/>
        <v>Lateral septal nucleus, ventral part</v>
      </c>
      <c r="N591" t="s">
        <v>5640</v>
      </c>
      <c r="O591" t="s">
        <v>5641</v>
      </c>
      <c r="Q591" s="6">
        <v>869</v>
      </c>
      <c r="R591" s="6">
        <v>12</v>
      </c>
      <c r="S591" s="6" t="s">
        <v>6201</v>
      </c>
      <c r="T591" s="6" t="s">
        <v>6200</v>
      </c>
      <c r="U591" s="6">
        <v>165</v>
      </c>
      <c r="V591" s="6">
        <v>6</v>
      </c>
      <c r="W591" s="6" t="s">
        <v>7837</v>
      </c>
      <c r="Y591" t="s">
        <v>5640</v>
      </c>
      <c r="Z591" t="s">
        <v>5641</v>
      </c>
      <c r="AA591" s="6">
        <f t="shared" si="83"/>
        <v>266</v>
      </c>
      <c r="AB591">
        <v>143</v>
      </c>
      <c r="AC591">
        <v>203</v>
      </c>
      <c r="AD591">
        <v>237</v>
      </c>
    </row>
    <row r="592" spans="1:30" ht="17" x14ac:dyDescent="0.25">
      <c r="A592" s="1" t="s">
        <v>594</v>
      </c>
      <c r="B592" s="1" t="s">
        <v>3246</v>
      </c>
      <c r="C592" s="1" t="s">
        <v>1921</v>
      </c>
      <c r="D592" t="str">
        <f t="shared" si="84"/>
        <v>8FCBEC</v>
      </c>
      <c r="E592" t="str">
        <f t="shared" si="85"/>
        <v>143-203-236</v>
      </c>
      <c r="F592" t="str">
        <f t="shared" si="86"/>
        <v>143203236</v>
      </c>
      <c r="G592">
        <f t="shared" si="87"/>
        <v>143</v>
      </c>
      <c r="H592">
        <f t="shared" si="88"/>
        <v>203</v>
      </c>
      <c r="I592">
        <f t="shared" si="89"/>
        <v>236</v>
      </c>
      <c r="J592" t="str">
        <f t="shared" si="81"/>
        <v>SF",</v>
      </c>
      <c r="K592" t="str">
        <f t="shared" si="81"/>
        <v>Septofimbrial nucleus",</v>
      </c>
      <c r="L592" t="str">
        <f t="shared" si="82"/>
        <v>SF</v>
      </c>
      <c r="M592" t="str">
        <f t="shared" si="82"/>
        <v>Septofimbrial nucleus</v>
      </c>
      <c r="N592" t="s">
        <v>5642</v>
      </c>
      <c r="O592" t="s">
        <v>5643</v>
      </c>
      <c r="Q592" s="6">
        <v>870</v>
      </c>
      <c r="R592" s="6">
        <v>100</v>
      </c>
      <c r="S592" s="6" t="s">
        <v>6203</v>
      </c>
      <c r="T592" s="6" t="s">
        <v>6202</v>
      </c>
      <c r="U592" s="6">
        <v>165</v>
      </c>
      <c r="V592" s="6">
        <v>6</v>
      </c>
      <c r="W592" s="6" t="s">
        <v>7838</v>
      </c>
      <c r="Y592" t="s">
        <v>5642</v>
      </c>
      <c r="Z592" t="s">
        <v>5643</v>
      </c>
      <c r="AA592" s="6">
        <f t="shared" si="83"/>
        <v>310</v>
      </c>
      <c r="AB592">
        <v>143</v>
      </c>
      <c r="AC592">
        <v>203</v>
      </c>
      <c r="AD592">
        <v>236</v>
      </c>
    </row>
    <row r="593" spans="1:30" ht="17" x14ac:dyDescent="0.25">
      <c r="A593" s="1" t="s">
        <v>595</v>
      </c>
      <c r="B593" s="1" t="s">
        <v>3247</v>
      </c>
      <c r="C593" s="1" t="s">
        <v>1922</v>
      </c>
      <c r="D593" t="str">
        <f t="shared" si="84"/>
        <v>8FCAED</v>
      </c>
      <c r="E593" t="str">
        <f t="shared" si="85"/>
        <v>143-202-237</v>
      </c>
      <c r="F593" t="str">
        <f t="shared" si="86"/>
        <v>143202237</v>
      </c>
      <c r="G593">
        <f t="shared" si="87"/>
        <v>143</v>
      </c>
      <c r="H593">
        <f t="shared" si="88"/>
        <v>202</v>
      </c>
      <c r="I593">
        <f t="shared" si="89"/>
        <v>237</v>
      </c>
      <c r="J593" t="str">
        <f t="shared" si="81"/>
        <v>SH",</v>
      </c>
      <c r="K593" t="str">
        <f t="shared" si="81"/>
        <v>Septohippocampal nucleus",</v>
      </c>
      <c r="L593" t="str">
        <f t="shared" si="82"/>
        <v>SH</v>
      </c>
      <c r="M593" t="str">
        <f t="shared" si="82"/>
        <v>Septohippocampal nucleus</v>
      </c>
      <c r="N593" t="s">
        <v>5644</v>
      </c>
      <c r="O593" t="s">
        <v>5645</v>
      </c>
      <c r="Q593" s="6">
        <v>871</v>
      </c>
      <c r="R593" s="6">
        <v>607344834</v>
      </c>
      <c r="S593" s="6" t="s">
        <v>6205</v>
      </c>
      <c r="T593" s="6" t="s">
        <v>6204</v>
      </c>
      <c r="U593" s="6">
        <v>100</v>
      </c>
      <c r="V593" s="6">
        <v>7</v>
      </c>
      <c r="W593" s="6" t="s">
        <v>7839</v>
      </c>
      <c r="Y593" t="s">
        <v>5644</v>
      </c>
      <c r="Z593" t="s">
        <v>5645</v>
      </c>
      <c r="AA593" s="6">
        <f t="shared" si="83"/>
        <v>333</v>
      </c>
      <c r="AB593">
        <v>143</v>
      </c>
      <c r="AC593">
        <v>202</v>
      </c>
      <c r="AD593">
        <v>237</v>
      </c>
    </row>
    <row r="594" spans="1:30" ht="17" x14ac:dyDescent="0.25">
      <c r="A594" s="1" t="s">
        <v>596</v>
      </c>
      <c r="B594" s="1" t="s">
        <v>3248</v>
      </c>
      <c r="C594" s="1" t="s">
        <v>1923</v>
      </c>
      <c r="D594" t="str">
        <f t="shared" si="84"/>
        <v>80C0E1</v>
      </c>
      <c r="E594" t="str">
        <f t="shared" si="85"/>
        <v>128-192-225</v>
      </c>
      <c r="F594" t="str">
        <f t="shared" si="86"/>
        <v>128192225</v>
      </c>
      <c r="G594">
        <f t="shared" si="87"/>
        <v>128</v>
      </c>
      <c r="H594">
        <f t="shared" si="88"/>
        <v>192</v>
      </c>
      <c r="I594">
        <f t="shared" si="89"/>
        <v>225</v>
      </c>
      <c r="J594" t="str">
        <f t="shared" si="81"/>
        <v>sAMY",</v>
      </c>
      <c r="K594" t="str">
        <f t="shared" si="81"/>
        <v>Striatum-like amygdalar nuclei",</v>
      </c>
      <c r="L594" t="str">
        <f t="shared" si="82"/>
        <v>sAMY</v>
      </c>
      <c r="M594" t="str">
        <f t="shared" si="82"/>
        <v>Striatum-like amygdalar nuclei</v>
      </c>
      <c r="N594" t="s">
        <v>5646</v>
      </c>
      <c r="O594" t="s">
        <v>5647</v>
      </c>
      <c r="Q594" s="6">
        <v>872</v>
      </c>
      <c r="R594" s="6">
        <v>607344838</v>
      </c>
      <c r="S594" s="6" t="s">
        <v>6207</v>
      </c>
      <c r="T594" s="6" t="s">
        <v>6206</v>
      </c>
      <c r="U594" s="6">
        <v>100</v>
      </c>
      <c r="V594" s="6">
        <v>7</v>
      </c>
      <c r="W594" s="6" t="s">
        <v>7840</v>
      </c>
      <c r="Y594" t="s">
        <v>5646</v>
      </c>
      <c r="Z594" t="s">
        <v>5647</v>
      </c>
      <c r="AA594" s="6">
        <f t="shared" si="83"/>
        <v>278</v>
      </c>
      <c r="AB594">
        <v>128</v>
      </c>
      <c r="AC594">
        <v>192</v>
      </c>
      <c r="AD594">
        <v>225</v>
      </c>
    </row>
    <row r="595" spans="1:30" ht="17" x14ac:dyDescent="0.25">
      <c r="A595" s="1" t="s">
        <v>597</v>
      </c>
      <c r="B595" s="1" t="s">
        <v>3249</v>
      </c>
      <c r="C595" s="1" t="s">
        <v>1924</v>
      </c>
      <c r="D595" t="str">
        <f t="shared" si="84"/>
        <v>80C0E2</v>
      </c>
      <c r="E595" t="str">
        <f t="shared" si="85"/>
        <v>128-192-226</v>
      </c>
      <c r="F595" t="str">
        <f t="shared" si="86"/>
        <v>128192226</v>
      </c>
      <c r="G595">
        <f t="shared" si="87"/>
        <v>128</v>
      </c>
      <c r="H595">
        <f t="shared" si="88"/>
        <v>192</v>
      </c>
      <c r="I595">
        <f t="shared" si="89"/>
        <v>226</v>
      </c>
      <c r="J595" t="str">
        <f t="shared" si="81"/>
        <v>AAA",</v>
      </c>
      <c r="K595" t="str">
        <f t="shared" si="81"/>
        <v>Anterior amygdalar area",</v>
      </c>
      <c r="L595" t="str">
        <f t="shared" si="82"/>
        <v>AAA</v>
      </c>
      <c r="M595" t="str">
        <f t="shared" si="82"/>
        <v>Anterior amygdalar area</v>
      </c>
      <c r="N595" t="s">
        <v>5648</v>
      </c>
      <c r="O595" t="s">
        <v>5649</v>
      </c>
      <c r="Q595" s="6">
        <v>873</v>
      </c>
      <c r="R595" s="6">
        <v>607344842</v>
      </c>
      <c r="S595" s="6" t="s">
        <v>6209</v>
      </c>
      <c r="T595" s="6" t="s">
        <v>6208</v>
      </c>
      <c r="U595" s="6">
        <v>100</v>
      </c>
      <c r="V595" s="6">
        <v>7</v>
      </c>
      <c r="W595" s="6" t="s">
        <v>7841</v>
      </c>
      <c r="Y595" t="s">
        <v>5648</v>
      </c>
      <c r="Z595" t="s">
        <v>5649</v>
      </c>
      <c r="AA595" s="6">
        <f t="shared" si="83"/>
        <v>23</v>
      </c>
      <c r="AB595">
        <v>128</v>
      </c>
      <c r="AC595">
        <v>192</v>
      </c>
      <c r="AD595">
        <v>226</v>
      </c>
    </row>
    <row r="596" spans="1:30" ht="17" x14ac:dyDescent="0.25">
      <c r="A596" s="1" t="s">
        <v>598</v>
      </c>
      <c r="B596" s="1" t="s">
        <v>3250</v>
      </c>
      <c r="C596" s="1" t="s">
        <v>1925</v>
      </c>
      <c r="D596" t="str">
        <f t="shared" si="84"/>
        <v>80BFE2</v>
      </c>
      <c r="E596" t="str">
        <f t="shared" si="85"/>
        <v>128-191-226</v>
      </c>
      <c r="F596" t="str">
        <f t="shared" si="86"/>
        <v>128191226</v>
      </c>
      <c r="G596">
        <f t="shared" si="87"/>
        <v>128</v>
      </c>
      <c r="H596">
        <f t="shared" si="88"/>
        <v>191</v>
      </c>
      <c r="I596">
        <f t="shared" si="89"/>
        <v>226</v>
      </c>
      <c r="J596" t="str">
        <f t="shared" si="81"/>
        <v>BA",</v>
      </c>
      <c r="K596" t="str">
        <f t="shared" si="81"/>
        <v>Bed nucleus of the accessory olfactory tract",</v>
      </c>
      <c r="L596" t="str">
        <f t="shared" si="82"/>
        <v>BA</v>
      </c>
      <c r="M596" t="str">
        <f t="shared" si="82"/>
        <v>Bed nucleus of the accessory olfactory tract</v>
      </c>
      <c r="N596" t="s">
        <v>5650</v>
      </c>
      <c r="O596" t="s">
        <v>5651</v>
      </c>
      <c r="Q596" s="6">
        <v>874</v>
      </c>
      <c r="R596" s="6">
        <v>607344846</v>
      </c>
      <c r="S596" s="6" t="s">
        <v>6211</v>
      </c>
      <c r="T596" s="6" t="s">
        <v>6210</v>
      </c>
      <c r="U596" s="6">
        <v>100</v>
      </c>
      <c r="V596" s="6">
        <v>7</v>
      </c>
      <c r="W596" s="6" t="s">
        <v>7842</v>
      </c>
      <c r="Y596" t="s">
        <v>5650</v>
      </c>
      <c r="Z596" t="s">
        <v>5651</v>
      </c>
      <c r="AA596" s="6">
        <f t="shared" si="83"/>
        <v>292</v>
      </c>
      <c r="AB596">
        <v>128</v>
      </c>
      <c r="AC596">
        <v>191</v>
      </c>
      <c r="AD596">
        <v>226</v>
      </c>
    </row>
    <row r="597" spans="1:30" ht="17" x14ac:dyDescent="0.25">
      <c r="A597" s="1" t="s">
        <v>599</v>
      </c>
      <c r="B597" s="1" t="s">
        <v>3251</v>
      </c>
      <c r="C597" s="1" t="s">
        <v>1926</v>
      </c>
      <c r="D597" t="str">
        <f t="shared" si="84"/>
        <v>7EC0E2</v>
      </c>
      <c r="E597" t="str">
        <f t="shared" si="85"/>
        <v>126-192-226</v>
      </c>
      <c r="F597" t="str">
        <f t="shared" si="86"/>
        <v>126192226</v>
      </c>
      <c r="G597">
        <f t="shared" si="87"/>
        <v>126</v>
      </c>
      <c r="H597">
        <f t="shared" si="88"/>
        <v>192</v>
      </c>
      <c r="I597">
        <f t="shared" si="89"/>
        <v>226</v>
      </c>
      <c r="J597" t="str">
        <f t="shared" si="81"/>
        <v>CEA",</v>
      </c>
      <c r="K597" t="str">
        <f t="shared" si="81"/>
        <v>Central amygdalar nucleus",</v>
      </c>
      <c r="L597" t="str">
        <f t="shared" si="82"/>
        <v>CEA</v>
      </c>
      <c r="M597" t="str">
        <f t="shared" si="82"/>
        <v>Central amygdalar nucleus</v>
      </c>
      <c r="N597" t="s">
        <v>5652</v>
      </c>
      <c r="O597" t="s">
        <v>5653</v>
      </c>
      <c r="Q597" s="6">
        <v>875</v>
      </c>
      <c r="R597" s="6">
        <v>607344850</v>
      </c>
      <c r="S597" s="6" t="s">
        <v>6213</v>
      </c>
      <c r="T597" s="6" t="s">
        <v>6212</v>
      </c>
      <c r="U597" s="6">
        <v>100</v>
      </c>
      <c r="V597" s="6">
        <v>7</v>
      </c>
      <c r="W597" s="6" t="s">
        <v>7843</v>
      </c>
      <c r="Y597" t="s">
        <v>5652</v>
      </c>
      <c r="Z597" t="s">
        <v>5653</v>
      </c>
      <c r="AA597" s="6">
        <f t="shared" si="83"/>
        <v>536</v>
      </c>
      <c r="AB597">
        <v>126</v>
      </c>
      <c r="AC597">
        <v>192</v>
      </c>
      <c r="AD597">
        <v>226</v>
      </c>
    </row>
    <row r="598" spans="1:30" ht="17" x14ac:dyDescent="0.25">
      <c r="A598" s="1" t="s">
        <v>600</v>
      </c>
      <c r="B598" s="1" t="s">
        <v>3252</v>
      </c>
      <c r="C598" s="1" t="s">
        <v>1927</v>
      </c>
      <c r="D598" t="str">
        <f t="shared" si="84"/>
        <v>80BFE0</v>
      </c>
      <c r="E598" t="str">
        <f t="shared" si="85"/>
        <v>128-191-224</v>
      </c>
      <c r="F598" t="str">
        <f t="shared" si="86"/>
        <v>128191224</v>
      </c>
      <c r="G598">
        <f t="shared" si="87"/>
        <v>128</v>
      </c>
      <c r="H598">
        <f t="shared" si="88"/>
        <v>191</v>
      </c>
      <c r="I598">
        <f t="shared" si="89"/>
        <v>224</v>
      </c>
      <c r="J598" t="str">
        <f t="shared" si="81"/>
        <v>CEAc",</v>
      </c>
      <c r="K598" t="str">
        <f t="shared" si="81"/>
        <v>Central amygdalar nucleus, capsular part",</v>
      </c>
      <c r="L598" t="str">
        <f t="shared" si="82"/>
        <v>CEAc</v>
      </c>
      <c r="M598" t="str">
        <f t="shared" si="82"/>
        <v>Central amygdalar nucleus, capsular part</v>
      </c>
      <c r="N598" t="s">
        <v>5654</v>
      </c>
      <c r="O598" t="s">
        <v>5655</v>
      </c>
      <c r="Q598" s="6">
        <v>876</v>
      </c>
      <c r="R598" s="6">
        <v>607344854</v>
      </c>
      <c r="S598" s="6" t="s">
        <v>6215</v>
      </c>
      <c r="T598" s="6" t="s">
        <v>6214</v>
      </c>
      <c r="U598" s="6">
        <v>100</v>
      </c>
      <c r="V598" s="6">
        <v>7</v>
      </c>
      <c r="W598" s="6" t="s">
        <v>7844</v>
      </c>
      <c r="Y598" t="s">
        <v>5654</v>
      </c>
      <c r="Z598" t="s">
        <v>5655</v>
      </c>
      <c r="AA598" s="6">
        <f t="shared" si="83"/>
        <v>544</v>
      </c>
      <c r="AB598">
        <v>128</v>
      </c>
      <c r="AC598">
        <v>191</v>
      </c>
      <c r="AD598">
        <v>224</v>
      </c>
    </row>
    <row r="599" spans="1:30" ht="17" x14ac:dyDescent="0.25">
      <c r="A599" s="1" t="s">
        <v>601</v>
      </c>
      <c r="B599" s="1" t="s">
        <v>3253</v>
      </c>
      <c r="C599" s="1" t="s">
        <v>1928</v>
      </c>
      <c r="D599" t="str">
        <f t="shared" si="84"/>
        <v>80BEE1</v>
      </c>
      <c r="E599" t="str">
        <f t="shared" si="85"/>
        <v>128-190-225</v>
      </c>
      <c r="F599" t="str">
        <f t="shared" si="86"/>
        <v>128190225</v>
      </c>
      <c r="G599">
        <f t="shared" si="87"/>
        <v>128</v>
      </c>
      <c r="H599">
        <f t="shared" si="88"/>
        <v>190</v>
      </c>
      <c r="I599">
        <f t="shared" si="89"/>
        <v>225</v>
      </c>
      <c r="J599" t="str">
        <f t="shared" si="81"/>
        <v>CEAl",</v>
      </c>
      <c r="K599" t="str">
        <f t="shared" si="81"/>
        <v>Central amygdalar nucleus, lateral part",</v>
      </c>
      <c r="L599" t="str">
        <f t="shared" si="82"/>
        <v>CEAl</v>
      </c>
      <c r="M599" t="str">
        <f t="shared" si="82"/>
        <v>Central amygdalar nucleus, lateral part</v>
      </c>
      <c r="N599" t="s">
        <v>5656</v>
      </c>
      <c r="O599" t="s">
        <v>5657</v>
      </c>
      <c r="Q599" s="6">
        <v>877</v>
      </c>
      <c r="R599" s="6">
        <v>607344858</v>
      </c>
      <c r="S599" s="6" t="s">
        <v>6217</v>
      </c>
      <c r="T599" s="6" t="s">
        <v>6216</v>
      </c>
      <c r="U599" s="6">
        <v>100</v>
      </c>
      <c r="V599" s="6">
        <v>7</v>
      </c>
      <c r="W599" s="6" t="s">
        <v>7845</v>
      </c>
      <c r="Y599" t="s">
        <v>5656</v>
      </c>
      <c r="Z599" t="s">
        <v>5657</v>
      </c>
      <c r="AA599" s="6">
        <f t="shared" si="83"/>
        <v>551</v>
      </c>
      <c r="AB599">
        <v>128</v>
      </c>
      <c r="AC599">
        <v>190</v>
      </c>
      <c r="AD599">
        <v>225</v>
      </c>
    </row>
    <row r="600" spans="1:30" ht="17" x14ac:dyDescent="0.25">
      <c r="A600" s="1" t="s">
        <v>602</v>
      </c>
      <c r="B600" s="1" t="s">
        <v>3254</v>
      </c>
      <c r="C600" s="1" t="s">
        <v>1929</v>
      </c>
      <c r="D600" t="str">
        <f t="shared" si="84"/>
        <v>7FC0E0</v>
      </c>
      <c r="E600" t="str">
        <f t="shared" si="85"/>
        <v>127-192-224</v>
      </c>
      <c r="F600" t="str">
        <f t="shared" si="86"/>
        <v>127192224</v>
      </c>
      <c r="G600">
        <f t="shared" si="87"/>
        <v>127</v>
      </c>
      <c r="H600">
        <f t="shared" si="88"/>
        <v>192</v>
      </c>
      <c r="I600">
        <f t="shared" si="89"/>
        <v>224</v>
      </c>
      <c r="J600" t="str">
        <f t="shared" si="81"/>
        <v>CEAm",</v>
      </c>
      <c r="K600" t="str">
        <f t="shared" si="81"/>
        <v>Central amygdalar nucleus, medial part",</v>
      </c>
      <c r="L600" t="str">
        <f t="shared" si="82"/>
        <v>CEAm</v>
      </c>
      <c r="M600" t="str">
        <f t="shared" si="82"/>
        <v>Central amygdalar nucleus, medial part</v>
      </c>
      <c r="N600" t="s">
        <v>5658</v>
      </c>
      <c r="O600" t="s">
        <v>5659</v>
      </c>
      <c r="Q600" s="6">
        <v>878</v>
      </c>
      <c r="R600" s="6">
        <v>607344862</v>
      </c>
      <c r="S600" s="6" t="s">
        <v>6219</v>
      </c>
      <c r="T600" s="6" t="s">
        <v>6218</v>
      </c>
      <c r="U600" s="6">
        <v>100</v>
      </c>
      <c r="V600" s="6">
        <v>7</v>
      </c>
      <c r="W600" s="6" t="s">
        <v>7846</v>
      </c>
      <c r="Y600" t="s">
        <v>5658</v>
      </c>
      <c r="Z600" t="s">
        <v>5659</v>
      </c>
      <c r="AA600" s="6">
        <f t="shared" si="83"/>
        <v>559</v>
      </c>
      <c r="AB600">
        <v>127</v>
      </c>
      <c r="AC600">
        <v>192</v>
      </c>
      <c r="AD600">
        <v>224</v>
      </c>
    </row>
    <row r="601" spans="1:30" ht="17" x14ac:dyDescent="0.25">
      <c r="A601" s="1" t="s">
        <v>603</v>
      </c>
      <c r="B601" s="1" t="s">
        <v>3255</v>
      </c>
      <c r="C601" s="1" t="s">
        <v>1930</v>
      </c>
      <c r="D601" t="str">
        <f t="shared" si="84"/>
        <v>80BEE2</v>
      </c>
      <c r="E601" t="str">
        <f t="shared" si="85"/>
        <v>128-190-226</v>
      </c>
      <c r="F601" t="str">
        <f t="shared" si="86"/>
        <v>128190226</v>
      </c>
      <c r="G601">
        <f t="shared" si="87"/>
        <v>128</v>
      </c>
      <c r="H601">
        <f t="shared" si="88"/>
        <v>190</v>
      </c>
      <c r="I601">
        <f t="shared" si="89"/>
        <v>226</v>
      </c>
      <c r="J601" t="str">
        <f t="shared" si="81"/>
        <v>IA",</v>
      </c>
      <c r="K601" t="str">
        <f t="shared" si="81"/>
        <v>Intercalated amygdalar nucleus",</v>
      </c>
      <c r="L601" t="str">
        <f t="shared" si="82"/>
        <v>IA</v>
      </c>
      <c r="M601" t="str">
        <f t="shared" si="82"/>
        <v>Intercalated amygdalar nucleus</v>
      </c>
      <c r="N601" t="s">
        <v>5660</v>
      </c>
      <c r="O601" t="s">
        <v>5661</v>
      </c>
      <c r="Q601" s="6">
        <v>879</v>
      </c>
      <c r="R601" s="6">
        <v>197</v>
      </c>
      <c r="S601" s="6" t="s">
        <v>6221</v>
      </c>
      <c r="T601" s="6" t="s">
        <v>6220</v>
      </c>
      <c r="U601" s="6">
        <v>165</v>
      </c>
      <c r="V601" s="6">
        <v>6</v>
      </c>
      <c r="W601" s="6" t="s">
        <v>7847</v>
      </c>
      <c r="Y601" t="s">
        <v>5660</v>
      </c>
      <c r="Z601" t="s">
        <v>5661</v>
      </c>
      <c r="AA601" s="6">
        <f t="shared" si="83"/>
        <v>1105</v>
      </c>
      <c r="AB601">
        <v>128</v>
      </c>
      <c r="AC601">
        <v>190</v>
      </c>
      <c r="AD601">
        <v>226</v>
      </c>
    </row>
    <row r="602" spans="1:30" ht="17" x14ac:dyDescent="0.25">
      <c r="A602" s="1" t="s">
        <v>604</v>
      </c>
      <c r="B602" s="1" t="s">
        <v>3256</v>
      </c>
      <c r="C602" s="1" t="s">
        <v>1931</v>
      </c>
      <c r="D602" t="str">
        <f t="shared" si="84"/>
        <v>80BFE1</v>
      </c>
      <c r="E602" t="str">
        <f t="shared" si="85"/>
        <v>128-191-225</v>
      </c>
      <c r="F602" t="str">
        <f t="shared" si="86"/>
        <v>128191225</v>
      </c>
      <c r="G602">
        <f t="shared" si="87"/>
        <v>128</v>
      </c>
      <c r="H602">
        <f t="shared" si="88"/>
        <v>191</v>
      </c>
      <c r="I602">
        <f t="shared" si="89"/>
        <v>225</v>
      </c>
      <c r="J602" t="str">
        <f t="shared" si="81"/>
        <v>MEA",</v>
      </c>
      <c r="K602" t="str">
        <f t="shared" si="81"/>
        <v>Medial amygdalar nucleus",</v>
      </c>
      <c r="L602" t="str">
        <f t="shared" si="82"/>
        <v>MEA</v>
      </c>
      <c r="M602" t="str">
        <f t="shared" si="82"/>
        <v>Medial amygdalar nucleus</v>
      </c>
      <c r="N602" t="s">
        <v>5662</v>
      </c>
      <c r="O602" t="s">
        <v>5663</v>
      </c>
      <c r="Q602" s="6">
        <v>880</v>
      </c>
      <c r="R602" s="6">
        <v>591</v>
      </c>
      <c r="S602" s="6" t="s">
        <v>6223</v>
      </c>
      <c r="T602" s="6" t="s">
        <v>6222</v>
      </c>
      <c r="U602" s="6">
        <v>165</v>
      </c>
      <c r="V602" s="6">
        <v>6</v>
      </c>
      <c r="W602" s="6" t="s">
        <v>7848</v>
      </c>
      <c r="Y602" t="s">
        <v>5662</v>
      </c>
      <c r="Z602" t="s">
        <v>5663</v>
      </c>
      <c r="AA602" s="6">
        <f t="shared" si="83"/>
        <v>403</v>
      </c>
      <c r="AB602">
        <v>128</v>
      </c>
      <c r="AC602">
        <v>191</v>
      </c>
      <c r="AD602">
        <v>225</v>
      </c>
    </row>
    <row r="603" spans="1:30" ht="17" x14ac:dyDescent="0.25">
      <c r="A603" s="1" t="s">
        <v>605</v>
      </c>
      <c r="B603" s="1" t="s">
        <v>3257</v>
      </c>
      <c r="C603" s="1" t="s">
        <v>1932</v>
      </c>
      <c r="D603" t="str">
        <f t="shared" si="84"/>
        <v>7FC0E2</v>
      </c>
      <c r="E603" t="str">
        <f t="shared" si="85"/>
        <v>127-192-226</v>
      </c>
      <c r="F603" t="str">
        <f t="shared" si="86"/>
        <v>127192226</v>
      </c>
      <c r="G603">
        <f t="shared" si="87"/>
        <v>127</v>
      </c>
      <c r="H603">
        <f t="shared" si="88"/>
        <v>192</v>
      </c>
      <c r="I603">
        <f t="shared" si="89"/>
        <v>226</v>
      </c>
      <c r="J603" t="str">
        <f t="shared" si="81"/>
        <v>MEAad",</v>
      </c>
      <c r="K603" t="str">
        <f t="shared" si="81"/>
        <v>Medial amygdalar nucleus, anterodorsal part",</v>
      </c>
      <c r="L603" t="str">
        <f t="shared" si="82"/>
        <v>MEAad</v>
      </c>
      <c r="M603" t="str">
        <f t="shared" si="82"/>
        <v>Medial amygdalar nucleus, anterodorsal part</v>
      </c>
      <c r="N603" t="s">
        <v>5664</v>
      </c>
      <c r="O603" t="s">
        <v>5665</v>
      </c>
      <c r="Q603" s="6">
        <v>881</v>
      </c>
      <c r="R603" s="6">
        <v>872</v>
      </c>
      <c r="S603" s="6" t="s">
        <v>6225</v>
      </c>
      <c r="T603" s="6" t="s">
        <v>6224</v>
      </c>
      <c r="U603" s="6">
        <v>165</v>
      </c>
      <c r="V603" s="6">
        <v>6</v>
      </c>
      <c r="W603" s="6" t="s">
        <v>7849</v>
      </c>
      <c r="Y603" t="s">
        <v>5664</v>
      </c>
      <c r="Z603" t="s">
        <v>5665</v>
      </c>
      <c r="AA603" s="6" t="str">
        <f t="shared" si="83"/>
        <v/>
      </c>
      <c r="AB603">
        <v>127</v>
      </c>
      <c r="AC603">
        <v>192</v>
      </c>
      <c r="AD603">
        <v>226</v>
      </c>
    </row>
    <row r="604" spans="1:30" ht="17" x14ac:dyDescent="0.25">
      <c r="A604" s="1" t="s">
        <v>606</v>
      </c>
      <c r="B604" s="1" t="s">
        <v>3258</v>
      </c>
      <c r="C604" s="1" t="s">
        <v>1933</v>
      </c>
      <c r="D604" t="str">
        <f t="shared" si="84"/>
        <v>7FC0E1</v>
      </c>
      <c r="E604" t="str">
        <f t="shared" si="85"/>
        <v>127-192-225</v>
      </c>
      <c r="F604" t="str">
        <f t="shared" si="86"/>
        <v>127192225</v>
      </c>
      <c r="G604">
        <f t="shared" si="87"/>
        <v>127</v>
      </c>
      <c r="H604">
        <f t="shared" si="88"/>
        <v>192</v>
      </c>
      <c r="I604">
        <f t="shared" si="89"/>
        <v>225</v>
      </c>
      <c r="J604" t="str">
        <f t="shared" si="81"/>
        <v>MEAav",</v>
      </c>
      <c r="K604" t="str">
        <f t="shared" si="81"/>
        <v>Medial amygdalar nucleus, anteroventral part",</v>
      </c>
      <c r="L604" t="str">
        <f t="shared" si="82"/>
        <v>MEAav</v>
      </c>
      <c r="M604" t="str">
        <f t="shared" si="82"/>
        <v>Medial amygdalar nucleus, anteroventral part</v>
      </c>
      <c r="N604" t="s">
        <v>5666</v>
      </c>
      <c r="O604" t="s">
        <v>5667</v>
      </c>
      <c r="Q604" s="6">
        <v>882</v>
      </c>
      <c r="R604" s="6">
        <v>1065</v>
      </c>
      <c r="S604" s="6" t="s">
        <v>6227</v>
      </c>
      <c r="T604" s="6" t="s">
        <v>6226</v>
      </c>
      <c r="U604" s="6">
        <v>343</v>
      </c>
      <c r="V604" s="6">
        <v>3</v>
      </c>
      <c r="W604" s="6" t="s">
        <v>7850</v>
      </c>
      <c r="Y604" t="s">
        <v>5666</v>
      </c>
      <c r="Z604" t="s">
        <v>5667</v>
      </c>
      <c r="AA604" s="6" t="str">
        <f t="shared" si="83"/>
        <v/>
      </c>
      <c r="AB604">
        <v>127</v>
      </c>
      <c r="AC604">
        <v>192</v>
      </c>
      <c r="AD604">
        <v>225</v>
      </c>
    </row>
    <row r="605" spans="1:30" ht="17" x14ac:dyDescent="0.25">
      <c r="A605" s="1" t="s">
        <v>607</v>
      </c>
      <c r="B605" s="1" t="s">
        <v>3259</v>
      </c>
      <c r="C605" s="1" t="s">
        <v>1934</v>
      </c>
      <c r="D605" t="str">
        <f t="shared" si="84"/>
        <v>7FBFE2</v>
      </c>
      <c r="E605" t="str">
        <f t="shared" si="85"/>
        <v>127-191-226</v>
      </c>
      <c r="F605" t="str">
        <f t="shared" si="86"/>
        <v>127191226</v>
      </c>
      <c r="G605">
        <f t="shared" si="87"/>
        <v>127</v>
      </c>
      <c r="H605">
        <f t="shared" si="88"/>
        <v>191</v>
      </c>
      <c r="I605">
        <f t="shared" si="89"/>
        <v>226</v>
      </c>
      <c r="J605" t="str">
        <f t="shared" si="81"/>
        <v>MEApd",</v>
      </c>
      <c r="K605" t="str">
        <f t="shared" si="81"/>
        <v>Medial amygdalar nucleus, posterodorsal part",</v>
      </c>
      <c r="L605" t="str">
        <f t="shared" si="82"/>
        <v>MEApd</v>
      </c>
      <c r="M605" t="str">
        <f t="shared" si="82"/>
        <v>Medial amygdalar nucleus, posterodorsal part</v>
      </c>
      <c r="N605" t="s">
        <v>5668</v>
      </c>
      <c r="O605" t="s">
        <v>5669</v>
      </c>
      <c r="Q605" s="6">
        <v>883</v>
      </c>
      <c r="R605" s="6">
        <v>771</v>
      </c>
      <c r="S605" s="6" t="s">
        <v>6229</v>
      </c>
      <c r="T605" s="6" t="s">
        <v>6228</v>
      </c>
      <c r="U605" s="6">
        <v>1065</v>
      </c>
      <c r="V605" s="6">
        <v>4</v>
      </c>
      <c r="W605" s="6" t="s">
        <v>7851</v>
      </c>
      <c r="Y605" t="s">
        <v>5668</v>
      </c>
      <c r="Z605" t="s">
        <v>5669</v>
      </c>
      <c r="AA605" s="6" t="str">
        <f t="shared" si="83"/>
        <v/>
      </c>
      <c r="AB605">
        <v>127</v>
      </c>
      <c r="AC605">
        <v>191</v>
      </c>
      <c r="AD605">
        <v>226</v>
      </c>
    </row>
    <row r="606" spans="1:30" ht="17" x14ac:dyDescent="0.25">
      <c r="A606" s="1" t="s">
        <v>608</v>
      </c>
      <c r="B606" s="1" t="s">
        <v>3260</v>
      </c>
      <c r="C606" s="1" t="s">
        <v>1935</v>
      </c>
      <c r="D606" t="str">
        <f t="shared" si="84"/>
        <v>7FBFE1</v>
      </c>
      <c r="E606" t="str">
        <f t="shared" si="85"/>
        <v>127-191-225</v>
      </c>
      <c r="F606" t="str">
        <f t="shared" si="86"/>
        <v>127191225</v>
      </c>
      <c r="G606">
        <f t="shared" si="87"/>
        <v>127</v>
      </c>
      <c r="H606">
        <f t="shared" si="88"/>
        <v>191</v>
      </c>
      <c r="I606">
        <f t="shared" si="89"/>
        <v>225</v>
      </c>
      <c r="J606" t="str">
        <f t="shared" si="81"/>
        <v>MEApd-a",</v>
      </c>
      <c r="K606" t="str">
        <f t="shared" si="81"/>
        <v>Medial amygdalar nucleus, posterodorsal part, sublayer a",</v>
      </c>
      <c r="L606" t="str">
        <f t="shared" si="82"/>
        <v>MEApd-a</v>
      </c>
      <c r="M606" t="str">
        <f t="shared" si="82"/>
        <v>Medial amygdalar nucleus, posterodorsal part, sublayer a</v>
      </c>
      <c r="N606" t="s">
        <v>5670</v>
      </c>
      <c r="O606" t="s">
        <v>5671</v>
      </c>
      <c r="Q606" s="6">
        <v>884</v>
      </c>
      <c r="R606" s="6">
        <v>1132</v>
      </c>
      <c r="S606" s="6" t="s">
        <v>6231</v>
      </c>
      <c r="T606" s="6" t="s">
        <v>6230</v>
      </c>
      <c r="U606" s="6">
        <v>771</v>
      </c>
      <c r="V606" s="6">
        <v>5</v>
      </c>
      <c r="W606" s="6" t="s">
        <v>7852</v>
      </c>
      <c r="Y606" t="s">
        <v>5670</v>
      </c>
      <c r="Z606" t="s">
        <v>5671</v>
      </c>
      <c r="AA606" s="6" t="str">
        <f t="shared" si="83"/>
        <v/>
      </c>
      <c r="AB606">
        <v>127</v>
      </c>
      <c r="AC606">
        <v>191</v>
      </c>
      <c r="AD606">
        <v>225</v>
      </c>
    </row>
    <row r="607" spans="1:30" ht="17" x14ac:dyDescent="0.25">
      <c r="A607" s="1" t="s">
        <v>609</v>
      </c>
      <c r="B607" s="1" t="s">
        <v>3261</v>
      </c>
      <c r="C607" s="1" t="s">
        <v>1936</v>
      </c>
      <c r="D607" t="str">
        <f t="shared" si="84"/>
        <v>80C0E0</v>
      </c>
      <c r="E607" t="str">
        <f t="shared" si="85"/>
        <v>128-192-224</v>
      </c>
      <c r="F607" t="str">
        <f t="shared" si="86"/>
        <v>128192224</v>
      </c>
      <c r="G607">
        <f t="shared" si="87"/>
        <v>128</v>
      </c>
      <c r="H607">
        <f t="shared" si="88"/>
        <v>192</v>
      </c>
      <c r="I607">
        <f t="shared" si="89"/>
        <v>224</v>
      </c>
      <c r="J607" t="str">
        <f t="shared" si="81"/>
        <v>MEApd-b",</v>
      </c>
      <c r="K607" t="str">
        <f t="shared" si="81"/>
        <v>Medial amygdalar nucleus, posterodorsal part, sublayer b",</v>
      </c>
      <c r="L607" t="str">
        <f t="shared" si="82"/>
        <v>MEApd-b</v>
      </c>
      <c r="M607" t="str">
        <f t="shared" si="82"/>
        <v>Medial amygdalar nucleus, posterodorsal part, sublayer b</v>
      </c>
      <c r="N607" t="s">
        <v>5672</v>
      </c>
      <c r="O607" t="s">
        <v>5673</v>
      </c>
      <c r="Q607" s="6">
        <v>885</v>
      </c>
      <c r="R607" s="6">
        <v>612</v>
      </c>
      <c r="S607" s="6" t="s">
        <v>6233</v>
      </c>
      <c r="T607" s="6" t="s">
        <v>6232</v>
      </c>
      <c r="U607" s="6">
        <v>1132</v>
      </c>
      <c r="V607" s="6">
        <v>6</v>
      </c>
      <c r="W607" s="6" t="s">
        <v>7853</v>
      </c>
      <c r="Y607" t="s">
        <v>5672</v>
      </c>
      <c r="Z607" t="s">
        <v>5673</v>
      </c>
      <c r="AA607" s="6" t="str">
        <f t="shared" si="83"/>
        <v/>
      </c>
      <c r="AB607">
        <v>128</v>
      </c>
      <c r="AC607">
        <v>192</v>
      </c>
      <c r="AD607">
        <v>224</v>
      </c>
    </row>
    <row r="608" spans="1:30" ht="17" x14ac:dyDescent="0.25">
      <c r="A608" s="1" t="s">
        <v>610</v>
      </c>
      <c r="B608" s="1" t="s">
        <v>3262</v>
      </c>
      <c r="C608" s="1" t="s">
        <v>1937</v>
      </c>
      <c r="D608" t="str">
        <f t="shared" si="84"/>
        <v>7EC0E1</v>
      </c>
      <c r="E608" t="str">
        <f t="shared" si="85"/>
        <v>126-192-225</v>
      </c>
      <c r="F608" t="str">
        <f t="shared" si="86"/>
        <v>126192225</v>
      </c>
      <c r="G608">
        <f t="shared" si="87"/>
        <v>126</v>
      </c>
      <c r="H608">
        <f t="shared" si="88"/>
        <v>192</v>
      </c>
      <c r="I608">
        <f t="shared" si="89"/>
        <v>225</v>
      </c>
      <c r="J608" t="str">
        <f t="shared" si="81"/>
        <v>MEApd-c",</v>
      </c>
      <c r="K608" t="str">
        <f t="shared" si="81"/>
        <v>Medial amygdalar nucleus, posterodorsal part, sublayer c",</v>
      </c>
      <c r="L608" t="str">
        <f t="shared" si="82"/>
        <v>MEApd-c</v>
      </c>
      <c r="M608" t="str">
        <f t="shared" si="82"/>
        <v>Medial amygdalar nucleus, posterodorsal part, sublayer c</v>
      </c>
      <c r="N608" t="s">
        <v>5674</v>
      </c>
      <c r="O608" t="s">
        <v>5675</v>
      </c>
      <c r="Q608" s="6">
        <v>889</v>
      </c>
      <c r="R608" s="6">
        <v>7</v>
      </c>
      <c r="S608" s="6" t="s">
        <v>6241</v>
      </c>
      <c r="T608" s="6" t="s">
        <v>6240</v>
      </c>
      <c r="U608" s="6">
        <v>1132</v>
      </c>
      <c r="V608" s="6">
        <v>6</v>
      </c>
      <c r="W608" s="6" t="s">
        <v>7854</v>
      </c>
      <c r="Y608" t="s">
        <v>5674</v>
      </c>
      <c r="Z608" t="s">
        <v>5675</v>
      </c>
      <c r="AA608" s="6" t="str">
        <f t="shared" si="83"/>
        <v/>
      </c>
      <c r="AB608">
        <v>126</v>
      </c>
      <c r="AC608">
        <v>192</v>
      </c>
      <c r="AD608">
        <v>225</v>
      </c>
    </row>
    <row r="609" spans="1:30" ht="17" x14ac:dyDescent="0.25">
      <c r="A609" s="1" t="s">
        <v>611</v>
      </c>
      <c r="B609" s="1" t="s">
        <v>3263</v>
      </c>
      <c r="C609" s="1" t="s">
        <v>1938</v>
      </c>
      <c r="D609" t="str">
        <f t="shared" si="84"/>
        <v>7FBEE2</v>
      </c>
      <c r="E609" t="str">
        <f t="shared" si="85"/>
        <v>127-190-226</v>
      </c>
      <c r="F609" t="str">
        <f t="shared" si="86"/>
        <v>127190226</v>
      </c>
      <c r="G609">
        <f t="shared" si="87"/>
        <v>127</v>
      </c>
      <c r="H609">
        <f t="shared" si="88"/>
        <v>190</v>
      </c>
      <c r="I609">
        <f t="shared" si="89"/>
        <v>226</v>
      </c>
      <c r="J609" t="str">
        <f t="shared" si="81"/>
        <v>MEApv",</v>
      </c>
      <c r="K609" t="str">
        <f t="shared" si="81"/>
        <v>Medial amygdalar nucleus, posteroventral part",</v>
      </c>
      <c r="L609" t="str">
        <f t="shared" si="82"/>
        <v>MEApv</v>
      </c>
      <c r="M609" t="str">
        <f t="shared" si="82"/>
        <v>Medial amygdalar nucleus, posteroventral part</v>
      </c>
      <c r="N609" t="s">
        <v>5676</v>
      </c>
      <c r="O609" t="s">
        <v>5677</v>
      </c>
      <c r="Q609" s="6">
        <v>890</v>
      </c>
      <c r="R609" s="6">
        <v>867</v>
      </c>
      <c r="S609" s="6" t="s">
        <v>6243</v>
      </c>
      <c r="T609" s="6" t="s">
        <v>6242</v>
      </c>
      <c r="U609" s="6">
        <v>1132</v>
      </c>
      <c r="V609" s="6">
        <v>6</v>
      </c>
      <c r="W609" s="6" t="s">
        <v>7855</v>
      </c>
      <c r="Y609" t="s">
        <v>5676</v>
      </c>
      <c r="Z609" t="s">
        <v>5677</v>
      </c>
      <c r="AA609" s="6" t="str">
        <f t="shared" si="83"/>
        <v/>
      </c>
      <c r="AB609">
        <v>127</v>
      </c>
      <c r="AC609">
        <v>190</v>
      </c>
      <c r="AD609">
        <v>226</v>
      </c>
    </row>
    <row r="610" spans="1:30" ht="17" x14ac:dyDescent="0.25">
      <c r="A610" s="1" t="s">
        <v>612</v>
      </c>
      <c r="B610" s="1" t="s">
        <v>3264</v>
      </c>
      <c r="C610" s="1" t="s">
        <v>1939</v>
      </c>
      <c r="D610" t="str">
        <f t="shared" si="84"/>
        <v>8599CC</v>
      </c>
      <c r="E610" t="str">
        <f t="shared" si="85"/>
        <v>133-153-204</v>
      </c>
      <c r="F610" t="str">
        <f t="shared" si="86"/>
        <v>133153204</v>
      </c>
      <c r="G610">
        <f t="shared" si="87"/>
        <v>133</v>
      </c>
      <c r="H610">
        <f t="shared" si="88"/>
        <v>153</v>
      </c>
      <c r="I610">
        <f t="shared" si="89"/>
        <v>204</v>
      </c>
      <c r="J610" t="str">
        <f t="shared" si="81"/>
        <v>PAL",</v>
      </c>
      <c r="K610" t="str">
        <f t="shared" si="81"/>
        <v>Pallidum",</v>
      </c>
      <c r="L610" t="str">
        <f t="shared" si="82"/>
        <v>PAL</v>
      </c>
      <c r="M610" t="str">
        <f t="shared" si="82"/>
        <v>Pallidum</v>
      </c>
      <c r="N610" t="s">
        <v>5678</v>
      </c>
      <c r="O610" t="s">
        <v>5679</v>
      </c>
      <c r="Q610" s="6">
        <v>891</v>
      </c>
      <c r="R610" s="6">
        <v>123</v>
      </c>
      <c r="S610" s="6" t="s">
        <v>6245</v>
      </c>
      <c r="T610" s="6" t="s">
        <v>6244</v>
      </c>
      <c r="U610" s="6">
        <v>867</v>
      </c>
      <c r="V610" s="6">
        <v>7</v>
      </c>
      <c r="W610" s="6" t="s">
        <v>7856</v>
      </c>
      <c r="Y610" t="s">
        <v>5678</v>
      </c>
      <c r="Z610" t="s">
        <v>5679</v>
      </c>
      <c r="AA610" s="6">
        <f t="shared" si="83"/>
        <v>803</v>
      </c>
      <c r="AB610">
        <v>133</v>
      </c>
      <c r="AC610">
        <v>153</v>
      </c>
      <c r="AD610">
        <v>204</v>
      </c>
    </row>
    <row r="611" spans="1:30" ht="17" x14ac:dyDescent="0.25">
      <c r="A611" s="1" t="s">
        <v>613</v>
      </c>
      <c r="B611" s="1" t="s">
        <v>3265</v>
      </c>
      <c r="C611" s="1" t="s">
        <v>1940</v>
      </c>
      <c r="D611" t="str">
        <f t="shared" si="84"/>
        <v>8599CB</v>
      </c>
      <c r="E611" t="str">
        <f t="shared" si="85"/>
        <v>133-153-203</v>
      </c>
      <c r="F611" t="str">
        <f t="shared" si="86"/>
        <v>133153203</v>
      </c>
      <c r="G611">
        <f t="shared" si="87"/>
        <v>133</v>
      </c>
      <c r="H611">
        <f t="shared" si="88"/>
        <v>153</v>
      </c>
      <c r="I611">
        <f t="shared" si="89"/>
        <v>203</v>
      </c>
      <c r="J611" t="str">
        <f t="shared" si="81"/>
        <v>PALd",</v>
      </c>
      <c r="K611" t="str">
        <f t="shared" si="81"/>
        <v>Pallidum, dorsal region",</v>
      </c>
      <c r="L611" t="str">
        <f t="shared" si="82"/>
        <v>PALd</v>
      </c>
      <c r="M611" t="str">
        <f t="shared" si="82"/>
        <v>Pallidum, dorsal region</v>
      </c>
      <c r="N611" t="s">
        <v>5680</v>
      </c>
      <c r="O611" t="s">
        <v>5681</v>
      </c>
      <c r="Q611" s="6">
        <v>902</v>
      </c>
      <c r="R611" s="6">
        <v>398</v>
      </c>
      <c r="S611" s="6" t="s">
        <v>6267</v>
      </c>
      <c r="T611" s="6" t="s">
        <v>6266</v>
      </c>
      <c r="U611" s="6">
        <v>1132</v>
      </c>
      <c r="V611" s="6">
        <v>6</v>
      </c>
      <c r="W611" s="6" t="s">
        <v>7857</v>
      </c>
      <c r="Y611" t="s">
        <v>5680</v>
      </c>
      <c r="Z611" t="s">
        <v>5681</v>
      </c>
      <c r="AA611" s="6">
        <f t="shared" si="83"/>
        <v>818</v>
      </c>
      <c r="AB611">
        <v>133</v>
      </c>
      <c r="AC611">
        <v>153</v>
      </c>
      <c r="AD611">
        <v>203</v>
      </c>
    </row>
    <row r="612" spans="1:30" ht="17" x14ac:dyDescent="0.25">
      <c r="A612" s="1" t="s">
        <v>614</v>
      </c>
      <c r="B612" s="1" t="s">
        <v>3266</v>
      </c>
      <c r="C612" s="1" t="s">
        <v>1941</v>
      </c>
      <c r="D612" t="str">
        <f t="shared" si="84"/>
        <v>8598CC</v>
      </c>
      <c r="E612" t="str">
        <f t="shared" si="85"/>
        <v>133-152-204</v>
      </c>
      <c r="F612" t="str">
        <f t="shared" si="86"/>
        <v>133152204</v>
      </c>
      <c r="G612">
        <f t="shared" si="87"/>
        <v>133</v>
      </c>
      <c r="H612">
        <f t="shared" si="88"/>
        <v>152</v>
      </c>
      <c r="I612">
        <f t="shared" si="89"/>
        <v>204</v>
      </c>
      <c r="J612" t="str">
        <f t="shared" si="81"/>
        <v>GPe",</v>
      </c>
      <c r="K612" t="str">
        <f t="shared" si="81"/>
        <v>Globus pallidus, external segment",</v>
      </c>
      <c r="L612" t="str">
        <f t="shared" si="82"/>
        <v>GPe</v>
      </c>
      <c r="M612" t="str">
        <f t="shared" si="82"/>
        <v>Globus pallidus, external segment</v>
      </c>
      <c r="N612" t="s">
        <v>5682</v>
      </c>
      <c r="O612" t="s">
        <v>5683</v>
      </c>
      <c r="Q612" s="6">
        <v>903</v>
      </c>
      <c r="R612" s="6">
        <v>122</v>
      </c>
      <c r="S612" s="6" t="s">
        <v>6269</v>
      </c>
      <c r="T612" s="6" t="s">
        <v>6268</v>
      </c>
      <c r="U612" s="6">
        <v>398</v>
      </c>
      <c r="V612" s="6">
        <v>7</v>
      </c>
      <c r="W612" s="6" t="s">
        <v>7858</v>
      </c>
      <c r="Y612" t="s">
        <v>5682</v>
      </c>
      <c r="Z612" t="s">
        <v>5683</v>
      </c>
      <c r="AA612" s="6">
        <f t="shared" si="83"/>
        <v>1022</v>
      </c>
      <c r="AB612">
        <v>133</v>
      </c>
      <c r="AC612">
        <v>152</v>
      </c>
      <c r="AD612">
        <v>204</v>
      </c>
    </row>
    <row r="613" spans="1:30" ht="17" x14ac:dyDescent="0.25">
      <c r="A613" s="1" t="s">
        <v>615</v>
      </c>
      <c r="B613" s="1" t="s">
        <v>3267</v>
      </c>
      <c r="C613" s="1" t="s">
        <v>1942</v>
      </c>
      <c r="D613" t="str">
        <f t="shared" si="84"/>
        <v>8499CC</v>
      </c>
      <c r="E613" t="str">
        <f t="shared" si="85"/>
        <v>132-153-204</v>
      </c>
      <c r="F613" t="str">
        <f t="shared" si="86"/>
        <v>132153204</v>
      </c>
      <c r="G613">
        <f t="shared" si="87"/>
        <v>132</v>
      </c>
      <c r="H613">
        <f t="shared" si="88"/>
        <v>153</v>
      </c>
      <c r="I613">
        <f t="shared" si="89"/>
        <v>204</v>
      </c>
      <c r="J613" t="str">
        <f t="shared" si="81"/>
        <v>GPi",</v>
      </c>
      <c r="K613" t="str">
        <f t="shared" si="81"/>
        <v>Globus pallidus, internal segment",</v>
      </c>
      <c r="L613" t="str">
        <f t="shared" si="82"/>
        <v>GPi</v>
      </c>
      <c r="M613" t="str">
        <f t="shared" si="82"/>
        <v>Globus pallidus, internal segment</v>
      </c>
      <c r="N613" t="s">
        <v>5684</v>
      </c>
      <c r="O613" t="s">
        <v>5685</v>
      </c>
      <c r="Q613" s="6">
        <v>904</v>
      </c>
      <c r="R613" s="6">
        <v>105</v>
      </c>
      <c r="S613" s="6" t="s">
        <v>6271</v>
      </c>
      <c r="T613" s="6" t="s">
        <v>6270</v>
      </c>
      <c r="U613" s="6">
        <v>398</v>
      </c>
      <c r="V613" s="6">
        <v>7</v>
      </c>
      <c r="W613" s="6" t="s">
        <v>7859</v>
      </c>
      <c r="Y613" t="s">
        <v>5684</v>
      </c>
      <c r="Z613" t="s">
        <v>5685</v>
      </c>
      <c r="AA613" s="6">
        <f t="shared" si="83"/>
        <v>1031</v>
      </c>
      <c r="AB613">
        <v>132</v>
      </c>
      <c r="AC613">
        <v>153</v>
      </c>
      <c r="AD613">
        <v>204</v>
      </c>
    </row>
    <row r="614" spans="1:30" ht="17" x14ac:dyDescent="0.25">
      <c r="A614" s="1" t="s">
        <v>616</v>
      </c>
      <c r="B614" s="1" t="s">
        <v>3268</v>
      </c>
      <c r="C614" s="1" t="s">
        <v>1943</v>
      </c>
      <c r="D614" t="str">
        <f t="shared" si="84"/>
        <v>A2B0D8</v>
      </c>
      <c r="E614" t="str">
        <f t="shared" si="85"/>
        <v>162-176-216</v>
      </c>
      <c r="F614" t="str">
        <f t="shared" si="86"/>
        <v>162176216</v>
      </c>
      <c r="G614">
        <f t="shared" si="87"/>
        <v>162</v>
      </c>
      <c r="H614">
        <f t="shared" si="88"/>
        <v>176</v>
      </c>
      <c r="I614">
        <f t="shared" si="89"/>
        <v>216</v>
      </c>
      <c r="J614" t="str">
        <f t="shared" si="81"/>
        <v>PALv",</v>
      </c>
      <c r="K614" t="str">
        <f t="shared" si="81"/>
        <v>Pallidum, ventral region",</v>
      </c>
      <c r="L614" t="str">
        <f t="shared" si="82"/>
        <v>PALv</v>
      </c>
      <c r="M614" t="str">
        <f t="shared" si="82"/>
        <v>Pallidum, ventral region</v>
      </c>
      <c r="N614" t="s">
        <v>5686</v>
      </c>
      <c r="O614" t="s">
        <v>5687</v>
      </c>
      <c r="Q614" s="6">
        <v>905</v>
      </c>
      <c r="R614" s="6">
        <v>114</v>
      </c>
      <c r="S614" s="6" t="s">
        <v>6273</v>
      </c>
      <c r="T614" s="6" t="s">
        <v>6272</v>
      </c>
      <c r="U614" s="6">
        <v>398</v>
      </c>
      <c r="V614" s="6">
        <v>7</v>
      </c>
      <c r="W614" s="6" t="s">
        <v>7860</v>
      </c>
      <c r="Y614" t="s">
        <v>5686</v>
      </c>
      <c r="Z614" t="s">
        <v>5687</v>
      </c>
      <c r="AA614" s="6">
        <f t="shared" si="83"/>
        <v>835</v>
      </c>
      <c r="AB614">
        <v>162</v>
      </c>
      <c r="AC614">
        <v>176</v>
      </c>
      <c r="AD614">
        <v>216</v>
      </c>
    </row>
    <row r="615" spans="1:30" ht="17" x14ac:dyDescent="0.25">
      <c r="A615" s="1" t="s">
        <v>617</v>
      </c>
      <c r="B615" s="1" t="s">
        <v>3269</v>
      </c>
      <c r="C615" s="1" t="s">
        <v>1944</v>
      </c>
      <c r="D615" t="str">
        <f t="shared" si="84"/>
        <v>A2B1D7</v>
      </c>
      <c r="E615" t="str">
        <f t="shared" si="85"/>
        <v>162-177-215</v>
      </c>
      <c r="F615" t="str">
        <f t="shared" si="86"/>
        <v>162177215</v>
      </c>
      <c r="G615">
        <f t="shared" si="87"/>
        <v>162</v>
      </c>
      <c r="H615">
        <f t="shared" si="88"/>
        <v>177</v>
      </c>
      <c r="I615">
        <f t="shared" si="89"/>
        <v>215</v>
      </c>
      <c r="J615" t="str">
        <f t="shared" si="81"/>
        <v>SI",</v>
      </c>
      <c r="K615" t="str">
        <f t="shared" si="81"/>
        <v>Substantia innominata",</v>
      </c>
      <c r="L615" t="str">
        <f t="shared" si="82"/>
        <v>SI</v>
      </c>
      <c r="M615" t="str">
        <f t="shared" si="82"/>
        <v>Substantia innominata</v>
      </c>
      <c r="N615" t="s">
        <v>5688</v>
      </c>
      <c r="O615" t="s">
        <v>5689</v>
      </c>
      <c r="Q615" s="6">
        <v>906</v>
      </c>
      <c r="R615" s="6">
        <v>987</v>
      </c>
      <c r="S615" s="6" t="s">
        <v>6275</v>
      </c>
      <c r="T615" s="6" t="s">
        <v>6274</v>
      </c>
      <c r="U615" s="6">
        <v>771</v>
      </c>
      <c r="V615" s="6">
        <v>5</v>
      </c>
      <c r="W615" s="6" t="s">
        <v>7861</v>
      </c>
      <c r="Y615" t="s">
        <v>5688</v>
      </c>
      <c r="Z615" t="s">
        <v>5689</v>
      </c>
      <c r="AA615" s="6">
        <f t="shared" si="83"/>
        <v>342</v>
      </c>
      <c r="AB615">
        <v>162</v>
      </c>
      <c r="AC615">
        <v>177</v>
      </c>
      <c r="AD615">
        <v>215</v>
      </c>
    </row>
    <row r="616" spans="1:30" ht="17" x14ac:dyDescent="0.25">
      <c r="A616" s="1" t="s">
        <v>618</v>
      </c>
      <c r="B616" s="1" t="s">
        <v>3270</v>
      </c>
      <c r="C616" s="1" t="s">
        <v>1945</v>
      </c>
      <c r="D616" t="str">
        <f t="shared" si="84"/>
        <v>A2B1D8</v>
      </c>
      <c r="E616" t="str">
        <f t="shared" si="85"/>
        <v>162-177-216</v>
      </c>
      <c r="F616" t="str">
        <f t="shared" si="86"/>
        <v>162177216</v>
      </c>
      <c r="G616">
        <f t="shared" si="87"/>
        <v>162</v>
      </c>
      <c r="H616">
        <f t="shared" si="88"/>
        <v>177</v>
      </c>
      <c r="I616">
        <f t="shared" si="89"/>
        <v>216</v>
      </c>
      <c r="J616" t="str">
        <f t="shared" si="81"/>
        <v>MA",</v>
      </c>
      <c r="K616" t="str">
        <f t="shared" si="81"/>
        <v>Magnocellular nucleus",</v>
      </c>
      <c r="L616" t="str">
        <f t="shared" si="82"/>
        <v>MA</v>
      </c>
      <c r="M616" t="str">
        <f t="shared" si="82"/>
        <v>Magnocellular nucleus</v>
      </c>
      <c r="N616" t="s">
        <v>5690</v>
      </c>
      <c r="O616" t="s">
        <v>5691</v>
      </c>
      <c r="Q616" s="6">
        <v>907</v>
      </c>
      <c r="R616" s="6">
        <v>280</v>
      </c>
      <c r="S616" s="6" t="s">
        <v>6276</v>
      </c>
      <c r="T616" s="6" t="s">
        <v>3985</v>
      </c>
      <c r="U616" s="6">
        <v>987</v>
      </c>
      <c r="V616" s="6">
        <v>6</v>
      </c>
      <c r="W616" s="6" t="s">
        <v>7862</v>
      </c>
      <c r="Y616" t="s">
        <v>5690</v>
      </c>
      <c r="Z616" t="s">
        <v>5691</v>
      </c>
      <c r="AA616" s="6">
        <f t="shared" si="83"/>
        <v>298</v>
      </c>
      <c r="AB616">
        <v>162</v>
      </c>
      <c r="AC616">
        <v>177</v>
      </c>
      <c r="AD616">
        <v>216</v>
      </c>
    </row>
    <row r="617" spans="1:30" ht="17" x14ac:dyDescent="0.25">
      <c r="A617" s="1" t="s">
        <v>619</v>
      </c>
      <c r="B617" s="1" t="s">
        <v>3271</v>
      </c>
      <c r="C617" s="1" t="s">
        <v>1946</v>
      </c>
      <c r="D617" t="str">
        <f t="shared" si="84"/>
        <v>95A7D3</v>
      </c>
      <c r="E617" t="str">
        <f t="shared" si="85"/>
        <v>149-167-211</v>
      </c>
      <c r="F617" t="str">
        <f t="shared" si="86"/>
        <v>149167211</v>
      </c>
      <c r="G617">
        <f t="shared" si="87"/>
        <v>149</v>
      </c>
      <c r="H617">
        <f t="shared" si="88"/>
        <v>167</v>
      </c>
      <c r="I617">
        <f t="shared" si="89"/>
        <v>211</v>
      </c>
      <c r="J617" t="str">
        <f t="shared" si="81"/>
        <v>PALm",</v>
      </c>
      <c r="K617" t="str">
        <f t="shared" si="81"/>
        <v>Pallidum, medial region",</v>
      </c>
      <c r="L617" t="str">
        <f t="shared" si="82"/>
        <v>PALm</v>
      </c>
      <c r="M617" t="str">
        <f t="shared" si="82"/>
        <v>Pallidum, medial region</v>
      </c>
      <c r="N617" t="s">
        <v>5692</v>
      </c>
      <c r="O617" t="s">
        <v>5693</v>
      </c>
      <c r="Q617" s="6">
        <v>908</v>
      </c>
      <c r="R617" s="6">
        <v>880</v>
      </c>
      <c r="S617" s="6" t="s">
        <v>6278</v>
      </c>
      <c r="T617" s="6" t="s">
        <v>6277</v>
      </c>
      <c r="U617" s="6">
        <v>987</v>
      </c>
      <c r="V617" s="6">
        <v>6</v>
      </c>
      <c r="W617" s="6" t="s">
        <v>7863</v>
      </c>
      <c r="Y617" t="s">
        <v>5692</v>
      </c>
      <c r="Z617" t="s">
        <v>5693</v>
      </c>
      <c r="AA617" s="6">
        <f t="shared" si="83"/>
        <v>826</v>
      </c>
      <c r="AB617">
        <v>149</v>
      </c>
      <c r="AC617">
        <v>167</v>
      </c>
      <c r="AD617">
        <v>211</v>
      </c>
    </row>
    <row r="618" spans="1:30" ht="17" x14ac:dyDescent="0.25">
      <c r="A618" s="1" t="s">
        <v>620</v>
      </c>
      <c r="B618" s="1" t="s">
        <v>3272</v>
      </c>
      <c r="C618" s="1" t="s">
        <v>1947</v>
      </c>
      <c r="D618" t="str">
        <f t="shared" si="84"/>
        <v>96A6D2</v>
      </c>
      <c r="E618" t="str">
        <f t="shared" si="85"/>
        <v>150-166-210</v>
      </c>
      <c r="F618" t="str">
        <f t="shared" si="86"/>
        <v>150166210</v>
      </c>
      <c r="G618">
        <f t="shared" si="87"/>
        <v>150</v>
      </c>
      <c r="H618">
        <f t="shared" si="88"/>
        <v>166</v>
      </c>
      <c r="I618">
        <f t="shared" si="89"/>
        <v>210</v>
      </c>
      <c r="J618" t="str">
        <f t="shared" si="81"/>
        <v>MSC",</v>
      </c>
      <c r="K618" t="str">
        <f t="shared" si="81"/>
        <v>Medial septal complex",</v>
      </c>
      <c r="L618" t="str">
        <f t="shared" si="82"/>
        <v>MSC</v>
      </c>
      <c r="M618" t="str">
        <f t="shared" si="82"/>
        <v>Medial septal complex</v>
      </c>
      <c r="N618" t="s">
        <v>5694</v>
      </c>
      <c r="O618" t="s">
        <v>5695</v>
      </c>
      <c r="Q618" s="6">
        <v>910</v>
      </c>
      <c r="R618" s="6">
        <v>599626927</v>
      </c>
      <c r="S618" s="6" t="s">
        <v>6282</v>
      </c>
      <c r="T618" s="6" t="s">
        <v>6281</v>
      </c>
      <c r="U618" s="6">
        <v>987</v>
      </c>
      <c r="V618" s="6">
        <v>6</v>
      </c>
      <c r="W618" s="6" t="s">
        <v>7864</v>
      </c>
      <c r="Y618" t="s">
        <v>5694</v>
      </c>
      <c r="Z618" t="s">
        <v>5695</v>
      </c>
      <c r="AA618" s="6">
        <f t="shared" si="83"/>
        <v>904</v>
      </c>
      <c r="AB618">
        <v>150</v>
      </c>
      <c r="AC618">
        <v>166</v>
      </c>
      <c r="AD618">
        <v>210</v>
      </c>
    </row>
    <row r="619" spans="1:30" ht="17" x14ac:dyDescent="0.25">
      <c r="A619" s="1" t="s">
        <v>621</v>
      </c>
      <c r="B619" s="1" t="s">
        <v>3273</v>
      </c>
      <c r="C619" s="1" t="s">
        <v>1948</v>
      </c>
      <c r="D619" t="str">
        <f t="shared" si="84"/>
        <v>96A7D3</v>
      </c>
      <c r="E619" t="str">
        <f t="shared" si="85"/>
        <v>150-167-211</v>
      </c>
      <c r="F619" t="str">
        <f t="shared" si="86"/>
        <v>150167211</v>
      </c>
      <c r="G619">
        <f t="shared" si="87"/>
        <v>150</v>
      </c>
      <c r="H619">
        <f t="shared" si="88"/>
        <v>167</v>
      </c>
      <c r="I619">
        <f t="shared" si="89"/>
        <v>211</v>
      </c>
      <c r="J619" t="str">
        <f t="shared" si="81"/>
        <v>MS",</v>
      </c>
      <c r="K619" t="str">
        <f t="shared" si="81"/>
        <v>Medial septal nucleus",</v>
      </c>
      <c r="L619" t="str">
        <f t="shared" si="82"/>
        <v>MS</v>
      </c>
      <c r="M619" t="str">
        <f t="shared" si="82"/>
        <v>Medial septal nucleus</v>
      </c>
      <c r="N619" t="s">
        <v>5696</v>
      </c>
      <c r="O619" t="s">
        <v>5697</v>
      </c>
      <c r="Q619" s="6">
        <v>911</v>
      </c>
      <c r="R619" s="6">
        <v>898</v>
      </c>
      <c r="S619" s="6" t="s">
        <v>6284</v>
      </c>
      <c r="T619" s="6" t="s">
        <v>6283</v>
      </c>
      <c r="U619" s="6">
        <v>987</v>
      </c>
      <c r="V619" s="6">
        <v>6</v>
      </c>
      <c r="W619" s="6" t="s">
        <v>7865</v>
      </c>
      <c r="Y619" t="s">
        <v>5696</v>
      </c>
      <c r="Z619" t="s">
        <v>5697</v>
      </c>
      <c r="AA619" s="6">
        <f t="shared" si="83"/>
        <v>564</v>
      </c>
      <c r="AB619">
        <v>150</v>
      </c>
      <c r="AC619">
        <v>167</v>
      </c>
      <c r="AD619">
        <v>211</v>
      </c>
    </row>
    <row r="620" spans="1:30" ht="17" x14ac:dyDescent="0.25">
      <c r="A620" s="1" t="s">
        <v>622</v>
      </c>
      <c r="B620" s="1" t="s">
        <v>3274</v>
      </c>
      <c r="C620" s="1" t="s">
        <v>1949</v>
      </c>
      <c r="D620" t="str">
        <f t="shared" si="84"/>
        <v>96A6D3</v>
      </c>
      <c r="E620" t="str">
        <f t="shared" si="85"/>
        <v>150-166-211</v>
      </c>
      <c r="F620" t="str">
        <f t="shared" si="86"/>
        <v>150166211</v>
      </c>
      <c r="G620">
        <f t="shared" si="87"/>
        <v>150</v>
      </c>
      <c r="H620">
        <f t="shared" si="88"/>
        <v>166</v>
      </c>
      <c r="I620">
        <f t="shared" si="89"/>
        <v>211</v>
      </c>
      <c r="J620" t="str">
        <f t="shared" si="81"/>
        <v>NDB",</v>
      </c>
      <c r="K620" t="str">
        <f t="shared" si="81"/>
        <v>Diagonal band nucleus",</v>
      </c>
      <c r="L620" t="str">
        <f t="shared" si="82"/>
        <v>NDB</v>
      </c>
      <c r="M620" t="str">
        <f t="shared" si="82"/>
        <v>Diagonal band nucleus</v>
      </c>
      <c r="N620" t="s">
        <v>5698</v>
      </c>
      <c r="O620" t="s">
        <v>5699</v>
      </c>
      <c r="Q620" s="6">
        <v>912</v>
      </c>
      <c r="R620" s="6">
        <v>931</v>
      </c>
      <c r="S620" s="6" t="s">
        <v>6286</v>
      </c>
      <c r="T620" s="6" t="s">
        <v>6285</v>
      </c>
      <c r="U620" s="6">
        <v>987</v>
      </c>
      <c r="V620" s="6">
        <v>6</v>
      </c>
      <c r="W620" s="6" t="s">
        <v>7866</v>
      </c>
      <c r="Y620" t="s">
        <v>5698</v>
      </c>
      <c r="Z620" t="s">
        <v>5699</v>
      </c>
      <c r="AA620" s="6">
        <f t="shared" si="83"/>
        <v>596</v>
      </c>
      <c r="AB620">
        <v>150</v>
      </c>
      <c r="AC620">
        <v>166</v>
      </c>
      <c r="AD620">
        <v>211</v>
      </c>
    </row>
    <row r="621" spans="1:30" ht="17" x14ac:dyDescent="0.25">
      <c r="A621" s="1" t="s">
        <v>623</v>
      </c>
      <c r="B621" s="1" t="s">
        <v>3275</v>
      </c>
      <c r="C621" s="1" t="s">
        <v>1950</v>
      </c>
      <c r="D621" t="str">
        <f t="shared" si="84"/>
        <v>96A7D2</v>
      </c>
      <c r="E621" t="str">
        <f t="shared" si="85"/>
        <v>150-167-210</v>
      </c>
      <c r="F621" t="str">
        <f t="shared" si="86"/>
        <v>150167210</v>
      </c>
      <c r="G621">
        <f t="shared" si="87"/>
        <v>150</v>
      </c>
      <c r="H621">
        <f t="shared" si="88"/>
        <v>167</v>
      </c>
      <c r="I621">
        <f t="shared" si="89"/>
        <v>210</v>
      </c>
      <c r="J621" t="str">
        <f t="shared" si="81"/>
        <v>TRS",</v>
      </c>
      <c r="K621" t="str">
        <f t="shared" si="81"/>
        <v>Triangular nucleus of septum",</v>
      </c>
      <c r="L621" t="str">
        <f t="shared" si="82"/>
        <v>TRS</v>
      </c>
      <c r="M621" t="str">
        <f t="shared" si="82"/>
        <v>Triangular nucleus of septum</v>
      </c>
      <c r="N621" t="s">
        <v>5700</v>
      </c>
      <c r="O621" t="s">
        <v>5701</v>
      </c>
      <c r="Q621" s="6">
        <v>913</v>
      </c>
      <c r="R621" s="6">
        <v>1093</v>
      </c>
      <c r="S621" s="6" t="s">
        <v>6288</v>
      </c>
      <c r="T621" s="6" t="s">
        <v>6287</v>
      </c>
      <c r="U621" s="6">
        <v>987</v>
      </c>
      <c r="V621" s="6">
        <v>6</v>
      </c>
      <c r="W621" s="6" t="s">
        <v>7867</v>
      </c>
      <c r="Y621" t="s">
        <v>5700</v>
      </c>
      <c r="Z621" t="s">
        <v>5701</v>
      </c>
      <c r="AA621" s="6">
        <f t="shared" si="83"/>
        <v>581</v>
      </c>
      <c r="AB621">
        <v>150</v>
      </c>
      <c r="AC621">
        <v>167</v>
      </c>
      <c r="AD621">
        <v>210</v>
      </c>
    </row>
    <row r="622" spans="1:30" ht="17" x14ac:dyDescent="0.25">
      <c r="A622" s="1" t="s">
        <v>624</v>
      </c>
      <c r="B622" s="1" t="s">
        <v>3276</v>
      </c>
      <c r="C622" s="1" t="s">
        <v>1951</v>
      </c>
      <c r="D622" t="str">
        <f t="shared" si="84"/>
        <v>B1BFDF</v>
      </c>
      <c r="E622" t="str">
        <f t="shared" si="85"/>
        <v>177-191-223</v>
      </c>
      <c r="F622" t="str">
        <f t="shared" si="86"/>
        <v>177191223</v>
      </c>
      <c r="G622">
        <f t="shared" si="87"/>
        <v>177</v>
      </c>
      <c r="H622">
        <f t="shared" si="88"/>
        <v>191</v>
      </c>
      <c r="I622">
        <f t="shared" si="89"/>
        <v>223</v>
      </c>
      <c r="J622" t="str">
        <f t="shared" si="81"/>
        <v>PALc",</v>
      </c>
      <c r="K622" t="str">
        <f t="shared" si="81"/>
        <v>Pallidum, caudal region",</v>
      </c>
      <c r="L622" t="str">
        <f t="shared" si="82"/>
        <v>PALc</v>
      </c>
      <c r="M622" t="str">
        <f t="shared" si="82"/>
        <v>Pallidum, caudal region</v>
      </c>
      <c r="N622" t="s">
        <v>5702</v>
      </c>
      <c r="O622" t="s">
        <v>5703</v>
      </c>
      <c r="Q622" s="6">
        <v>915</v>
      </c>
      <c r="R622" s="6">
        <v>318</v>
      </c>
      <c r="S622" s="6" t="s">
        <v>6292</v>
      </c>
      <c r="T622" s="6" t="s">
        <v>6291</v>
      </c>
      <c r="U622" s="6">
        <v>987</v>
      </c>
      <c r="V622" s="6">
        <v>6</v>
      </c>
      <c r="W622" s="6" t="s">
        <v>7868</v>
      </c>
      <c r="Y622" t="s">
        <v>5702</v>
      </c>
      <c r="Z622" t="s">
        <v>5703</v>
      </c>
      <c r="AA622" s="6">
        <f t="shared" si="83"/>
        <v>809</v>
      </c>
      <c r="AB622">
        <v>177</v>
      </c>
      <c r="AC622">
        <v>191</v>
      </c>
      <c r="AD622">
        <v>223</v>
      </c>
    </row>
    <row r="623" spans="1:30" ht="17" x14ac:dyDescent="0.25">
      <c r="A623" s="1" t="s">
        <v>625</v>
      </c>
      <c r="B623" s="1" t="s">
        <v>3277</v>
      </c>
      <c r="C623" s="1" t="s">
        <v>1952</v>
      </c>
      <c r="D623" t="str">
        <f t="shared" si="84"/>
        <v>B3C0DE</v>
      </c>
      <c r="E623" t="str">
        <f t="shared" si="85"/>
        <v>179-192-222</v>
      </c>
      <c r="F623" t="str">
        <f t="shared" si="86"/>
        <v>179192222</v>
      </c>
      <c r="G623">
        <f t="shared" si="87"/>
        <v>179</v>
      </c>
      <c r="H623">
        <f t="shared" si="88"/>
        <v>192</v>
      </c>
      <c r="I623">
        <f t="shared" si="89"/>
        <v>222</v>
      </c>
      <c r="J623" t="str">
        <f t="shared" si="81"/>
        <v>BST",</v>
      </c>
      <c r="K623" t="str">
        <f t="shared" si="81"/>
        <v>Bed nuclei of the stria terminalis",</v>
      </c>
      <c r="L623" t="str">
        <f t="shared" si="82"/>
        <v>BST</v>
      </c>
      <c r="M623" t="str">
        <f t="shared" si="82"/>
        <v>Bed nuclei of the stria terminalis</v>
      </c>
      <c r="N623" t="s">
        <v>5704</v>
      </c>
      <c r="O623" t="s">
        <v>5705</v>
      </c>
      <c r="Q623" s="6">
        <v>917</v>
      </c>
      <c r="R623" s="6">
        <v>534</v>
      </c>
      <c r="S623" s="6" t="s">
        <v>6296</v>
      </c>
      <c r="T623" s="6" t="s">
        <v>6295</v>
      </c>
      <c r="U623" s="6">
        <v>987</v>
      </c>
      <c r="V623" s="6">
        <v>6</v>
      </c>
      <c r="W623" s="6" t="s">
        <v>7869</v>
      </c>
      <c r="Y623" t="s">
        <v>5704</v>
      </c>
      <c r="Z623" t="s">
        <v>5705</v>
      </c>
      <c r="AA623" s="6">
        <f t="shared" si="83"/>
        <v>351</v>
      </c>
      <c r="AB623">
        <v>179</v>
      </c>
      <c r="AC623">
        <v>192</v>
      </c>
      <c r="AD623">
        <v>222</v>
      </c>
    </row>
    <row r="624" spans="1:30" ht="17" x14ac:dyDescent="0.25">
      <c r="A624" s="1" t="s">
        <v>626</v>
      </c>
      <c r="B624" s="1" t="s">
        <v>3278</v>
      </c>
      <c r="C624" s="1" t="s">
        <v>1953</v>
      </c>
      <c r="D624" t="str">
        <f t="shared" si="84"/>
        <v>B3BFDF</v>
      </c>
      <c r="E624" t="str">
        <f t="shared" si="85"/>
        <v>179-191-223</v>
      </c>
      <c r="F624" t="str">
        <f t="shared" si="86"/>
        <v>179191223</v>
      </c>
      <c r="G624">
        <f t="shared" si="87"/>
        <v>179</v>
      </c>
      <c r="H624">
        <f t="shared" si="88"/>
        <v>191</v>
      </c>
      <c r="I624">
        <f t="shared" si="89"/>
        <v>223</v>
      </c>
      <c r="J624" t="str">
        <f t="shared" si="81"/>
        <v>BSTa",</v>
      </c>
      <c r="K624" t="str">
        <f t="shared" si="81"/>
        <v>Bed nuclei of the stria terminalis, anterior division",</v>
      </c>
      <c r="L624" t="str">
        <f t="shared" si="82"/>
        <v>BSTa</v>
      </c>
      <c r="M624" t="str">
        <f t="shared" si="82"/>
        <v>Bed nuclei of the stria terminalis, anterior division</v>
      </c>
      <c r="N624" t="s">
        <v>5706</v>
      </c>
      <c r="O624" t="s">
        <v>5707</v>
      </c>
      <c r="Q624" s="6">
        <v>918</v>
      </c>
      <c r="R624" s="6">
        <v>574</v>
      </c>
      <c r="S624" s="6" t="s">
        <v>6298</v>
      </c>
      <c r="T624" s="6" t="s">
        <v>6297</v>
      </c>
      <c r="U624" s="6">
        <v>987</v>
      </c>
      <c r="V624" s="6">
        <v>6</v>
      </c>
      <c r="W624" s="6" t="s">
        <v>7870</v>
      </c>
      <c r="Y624" t="s">
        <v>5706</v>
      </c>
      <c r="Z624" t="s">
        <v>5707</v>
      </c>
      <c r="AA624" s="6" t="str">
        <f t="shared" si="83"/>
        <v/>
      </c>
      <c r="AB624">
        <v>179</v>
      </c>
      <c r="AC624">
        <v>191</v>
      </c>
      <c r="AD624">
        <v>223</v>
      </c>
    </row>
    <row r="625" spans="1:30" ht="17" x14ac:dyDescent="0.25">
      <c r="A625" s="1" t="s">
        <v>627</v>
      </c>
      <c r="B625" s="1" t="s">
        <v>3279</v>
      </c>
      <c r="C625" s="1" t="s">
        <v>1954</v>
      </c>
      <c r="D625" t="str">
        <f t="shared" si="84"/>
        <v>B2BFDD</v>
      </c>
      <c r="E625" t="str">
        <f t="shared" si="85"/>
        <v>178-191-221</v>
      </c>
      <c r="F625" t="str">
        <f t="shared" si="86"/>
        <v>178191221</v>
      </c>
      <c r="G625">
        <f t="shared" si="87"/>
        <v>178</v>
      </c>
      <c r="H625">
        <f t="shared" si="88"/>
        <v>191</v>
      </c>
      <c r="I625">
        <f t="shared" si="89"/>
        <v>221</v>
      </c>
      <c r="J625" t="str">
        <f t="shared" si="81"/>
        <v>BSTal",</v>
      </c>
      <c r="K625" t="str">
        <f t="shared" si="81"/>
        <v>Bed nuclei of the stria terminalis, anterior division, anterolateral area",</v>
      </c>
      <c r="L625" t="str">
        <f t="shared" si="82"/>
        <v>BSTal</v>
      </c>
      <c r="M625" t="str">
        <f t="shared" si="82"/>
        <v>Bed nuclei of the stria terminalis, anterior division, anterolateral area</v>
      </c>
      <c r="N625" t="s">
        <v>5708</v>
      </c>
      <c r="O625" t="s">
        <v>5709</v>
      </c>
      <c r="Q625" s="6">
        <v>919</v>
      </c>
      <c r="R625" s="6">
        <v>621</v>
      </c>
      <c r="S625" s="6" t="s">
        <v>6300</v>
      </c>
      <c r="T625" s="6" t="s">
        <v>6299</v>
      </c>
      <c r="U625" s="6">
        <v>987</v>
      </c>
      <c r="V625" s="6">
        <v>6</v>
      </c>
      <c r="W625" s="6" t="s">
        <v>7871</v>
      </c>
      <c r="Y625" t="s">
        <v>5708</v>
      </c>
      <c r="Z625" t="s">
        <v>5709</v>
      </c>
      <c r="AA625" s="6" t="str">
        <f t="shared" si="83"/>
        <v/>
      </c>
      <c r="AB625">
        <v>178</v>
      </c>
      <c r="AC625">
        <v>191</v>
      </c>
      <c r="AD625">
        <v>221</v>
      </c>
    </row>
    <row r="626" spans="1:30" ht="17" x14ac:dyDescent="0.25">
      <c r="A626" s="1" t="s">
        <v>628</v>
      </c>
      <c r="B626" s="1" t="s">
        <v>3280</v>
      </c>
      <c r="C626" s="1" t="s">
        <v>1955</v>
      </c>
      <c r="D626" t="str">
        <f t="shared" si="84"/>
        <v>B3BFDE</v>
      </c>
      <c r="E626" t="str">
        <f t="shared" si="85"/>
        <v>179-191-222</v>
      </c>
      <c r="F626" t="str">
        <f t="shared" si="86"/>
        <v>179191222</v>
      </c>
      <c r="G626">
        <f t="shared" si="87"/>
        <v>179</v>
      </c>
      <c r="H626">
        <f t="shared" si="88"/>
        <v>191</v>
      </c>
      <c r="I626">
        <f t="shared" si="89"/>
        <v>222</v>
      </c>
      <c r="J626" t="str">
        <f t="shared" si="81"/>
        <v>BSTam",</v>
      </c>
      <c r="K626" t="str">
        <f t="shared" si="81"/>
        <v>Bed nuclei of the stria terminalis, anterior division, anteromedial area",</v>
      </c>
      <c r="L626" t="str">
        <f t="shared" si="82"/>
        <v>BSTam</v>
      </c>
      <c r="M626" t="str">
        <f t="shared" si="82"/>
        <v>Bed nuclei of the stria terminalis, anterior division, anteromedial area</v>
      </c>
      <c r="N626" t="s">
        <v>5710</v>
      </c>
      <c r="O626" t="s">
        <v>5711</v>
      </c>
      <c r="Q626" s="6">
        <v>920</v>
      </c>
      <c r="R626" s="6">
        <v>549009215</v>
      </c>
      <c r="S626" s="6" t="s">
        <v>6302</v>
      </c>
      <c r="T626" s="6" t="s">
        <v>6301</v>
      </c>
      <c r="U626" s="6">
        <v>987</v>
      </c>
      <c r="V626" s="6">
        <v>6</v>
      </c>
      <c r="W626" s="6" t="s">
        <v>7872</v>
      </c>
      <c r="Y626" t="s">
        <v>5710</v>
      </c>
      <c r="Z626" t="s">
        <v>5711</v>
      </c>
      <c r="AA626" s="6" t="str">
        <f t="shared" si="83"/>
        <v/>
      </c>
      <c r="AB626">
        <v>179</v>
      </c>
      <c r="AC626">
        <v>191</v>
      </c>
      <c r="AD626">
        <v>222</v>
      </c>
    </row>
    <row r="627" spans="1:30" ht="17" x14ac:dyDescent="0.25">
      <c r="A627" s="1" t="s">
        <v>629</v>
      </c>
      <c r="B627" s="1" t="s">
        <v>3281</v>
      </c>
      <c r="C627" s="1" t="s">
        <v>1956</v>
      </c>
      <c r="D627" t="str">
        <f t="shared" si="84"/>
        <v>B2C0DE</v>
      </c>
      <c r="E627" t="str">
        <f t="shared" si="85"/>
        <v>178-192-222</v>
      </c>
      <c r="F627" t="str">
        <f t="shared" si="86"/>
        <v>178192222</v>
      </c>
      <c r="G627">
        <f t="shared" si="87"/>
        <v>178</v>
      </c>
      <c r="H627">
        <f t="shared" si="88"/>
        <v>192</v>
      </c>
      <c r="I627">
        <f t="shared" si="89"/>
        <v>222</v>
      </c>
      <c r="J627" t="str">
        <f t="shared" si="81"/>
        <v>BSTdm",</v>
      </c>
      <c r="K627" t="str">
        <f t="shared" si="81"/>
        <v>Bed nuclei of the stria terminalis, anterior division, dorsomedial nucleus",</v>
      </c>
      <c r="L627" t="str">
        <f t="shared" si="82"/>
        <v>BSTdm</v>
      </c>
      <c r="M627" t="str">
        <f t="shared" si="82"/>
        <v>Bed nuclei of the stria terminalis, anterior division, dorsomedial nucleus</v>
      </c>
      <c r="N627" t="s">
        <v>5712</v>
      </c>
      <c r="O627" t="s">
        <v>5713</v>
      </c>
      <c r="Q627" s="6">
        <v>921</v>
      </c>
      <c r="R627" s="6">
        <v>549009219</v>
      </c>
      <c r="S627" s="6" t="s">
        <v>6304</v>
      </c>
      <c r="T627" s="6" t="s">
        <v>6303</v>
      </c>
      <c r="U627" s="6">
        <v>987</v>
      </c>
      <c r="V627" s="6">
        <v>6</v>
      </c>
      <c r="W627" s="6" t="s">
        <v>7873</v>
      </c>
      <c r="Y627" t="s">
        <v>5712</v>
      </c>
      <c r="Z627" t="s">
        <v>5713</v>
      </c>
      <c r="AA627" s="6" t="str">
        <f t="shared" si="83"/>
        <v/>
      </c>
      <c r="AB627">
        <v>178</v>
      </c>
      <c r="AC627">
        <v>192</v>
      </c>
      <c r="AD627">
        <v>222</v>
      </c>
    </row>
    <row r="628" spans="1:30" ht="17" x14ac:dyDescent="0.25">
      <c r="A628" s="1" t="s">
        <v>630</v>
      </c>
      <c r="B628" s="1" t="s">
        <v>3282</v>
      </c>
      <c r="C628" s="1" t="s">
        <v>1957</v>
      </c>
      <c r="D628" t="str">
        <f t="shared" si="84"/>
        <v>B2BFDF</v>
      </c>
      <c r="E628" t="str">
        <f t="shared" si="85"/>
        <v>178-191-223</v>
      </c>
      <c r="F628" t="str">
        <f t="shared" si="86"/>
        <v>178191223</v>
      </c>
      <c r="G628">
        <f t="shared" si="87"/>
        <v>178</v>
      </c>
      <c r="H628">
        <f t="shared" si="88"/>
        <v>191</v>
      </c>
      <c r="I628">
        <f t="shared" si="89"/>
        <v>223</v>
      </c>
      <c r="J628" t="str">
        <f t="shared" si="81"/>
        <v>BSTfu",</v>
      </c>
      <c r="K628" t="str">
        <f t="shared" si="81"/>
        <v>Bed nuclei of the stria terminalis, anterior division, fusiform nucleus",</v>
      </c>
      <c r="L628" t="str">
        <f t="shared" si="82"/>
        <v>BSTfu</v>
      </c>
      <c r="M628" t="str">
        <f t="shared" si="82"/>
        <v>Bed nuclei of the stria terminalis, anterior division, fusiform nucleus</v>
      </c>
      <c r="N628" t="s">
        <v>5714</v>
      </c>
      <c r="O628" t="s">
        <v>5715</v>
      </c>
      <c r="Q628" s="6">
        <v>922</v>
      </c>
      <c r="R628" s="6">
        <v>549009223</v>
      </c>
      <c r="S628" s="6" t="s">
        <v>6306</v>
      </c>
      <c r="T628" s="6" t="s">
        <v>6305</v>
      </c>
      <c r="U628" s="6">
        <v>987</v>
      </c>
      <c r="V628" s="6">
        <v>6</v>
      </c>
      <c r="W628" s="6" t="s">
        <v>7874</v>
      </c>
      <c r="Y628" t="s">
        <v>5714</v>
      </c>
      <c r="Z628" t="s">
        <v>5715</v>
      </c>
      <c r="AA628" s="6" t="str">
        <f t="shared" si="83"/>
        <v/>
      </c>
      <c r="AB628">
        <v>178</v>
      </c>
      <c r="AC628">
        <v>191</v>
      </c>
      <c r="AD628">
        <v>223</v>
      </c>
    </row>
    <row r="629" spans="1:30" ht="17" x14ac:dyDescent="0.25">
      <c r="A629" s="1" t="s">
        <v>631</v>
      </c>
      <c r="B629" s="1" t="s">
        <v>3283</v>
      </c>
      <c r="C629" s="1" t="s">
        <v>1958</v>
      </c>
      <c r="D629" t="str">
        <f t="shared" si="84"/>
        <v>B3BEDF</v>
      </c>
      <c r="E629" t="str">
        <f t="shared" si="85"/>
        <v>179-190-223</v>
      </c>
      <c r="F629" t="str">
        <f t="shared" si="86"/>
        <v>179190223</v>
      </c>
      <c r="G629">
        <f t="shared" si="87"/>
        <v>179</v>
      </c>
      <c r="H629">
        <f t="shared" si="88"/>
        <v>190</v>
      </c>
      <c r="I629">
        <f t="shared" si="89"/>
        <v>223</v>
      </c>
      <c r="J629" t="str">
        <f t="shared" si="81"/>
        <v>BSTju",</v>
      </c>
      <c r="K629" t="str">
        <f t="shared" si="81"/>
        <v>Bed nuclei of the stria terminalis, anterior division, juxtacapsular nucleus",</v>
      </c>
      <c r="L629" t="str">
        <f t="shared" si="82"/>
        <v>BSTju</v>
      </c>
      <c r="M629" t="str">
        <f t="shared" si="82"/>
        <v>Bed nuclei of the stria terminalis, anterior division, juxtacapsular nucleus</v>
      </c>
      <c r="N629" t="s">
        <v>5716</v>
      </c>
      <c r="O629" t="s">
        <v>5717</v>
      </c>
      <c r="Q629" s="6">
        <v>923</v>
      </c>
      <c r="R629" s="6">
        <v>549009227</v>
      </c>
      <c r="S629" s="6" t="s">
        <v>6308</v>
      </c>
      <c r="T629" s="6" t="s">
        <v>6307</v>
      </c>
      <c r="U629" s="6">
        <v>987</v>
      </c>
      <c r="V629" s="6">
        <v>6</v>
      </c>
      <c r="W629" s="6" t="s">
        <v>7875</v>
      </c>
      <c r="Y629" t="s">
        <v>5716</v>
      </c>
      <c r="Z629" t="s">
        <v>5717</v>
      </c>
      <c r="AA629" s="6" t="str">
        <f t="shared" si="83"/>
        <v/>
      </c>
      <c r="AB629">
        <v>179</v>
      </c>
      <c r="AC629">
        <v>190</v>
      </c>
      <c r="AD629">
        <v>223</v>
      </c>
    </row>
    <row r="630" spans="1:30" ht="17" x14ac:dyDescent="0.25">
      <c r="A630" s="1" t="s">
        <v>632</v>
      </c>
      <c r="B630" s="1" t="s">
        <v>3284</v>
      </c>
      <c r="C630" s="1" t="s">
        <v>1959</v>
      </c>
      <c r="D630" t="str">
        <f t="shared" si="84"/>
        <v>B2BFDE</v>
      </c>
      <c r="E630" t="str">
        <f t="shared" si="85"/>
        <v>178-191-222</v>
      </c>
      <c r="F630" t="str">
        <f t="shared" si="86"/>
        <v>178191222</v>
      </c>
      <c r="G630">
        <f t="shared" si="87"/>
        <v>178</v>
      </c>
      <c r="H630">
        <f t="shared" si="88"/>
        <v>191</v>
      </c>
      <c r="I630">
        <f t="shared" si="89"/>
        <v>222</v>
      </c>
      <c r="J630" t="str">
        <f t="shared" si="81"/>
        <v>BSTmg",</v>
      </c>
      <c r="K630" t="str">
        <f t="shared" si="81"/>
        <v>Bed nuclei of the stria terminalis, anterior division, magnocellular nucleus",</v>
      </c>
      <c r="L630" t="str">
        <f t="shared" si="82"/>
        <v>BSTmg</v>
      </c>
      <c r="M630" t="str">
        <f t="shared" si="82"/>
        <v>Bed nuclei of the stria terminalis, anterior division, magnocellular nucleus</v>
      </c>
      <c r="N630" t="s">
        <v>5718</v>
      </c>
      <c r="O630" t="s">
        <v>5719</v>
      </c>
      <c r="Q630" s="6">
        <v>924</v>
      </c>
      <c r="R630" s="6">
        <v>1117</v>
      </c>
      <c r="S630" s="6" t="s">
        <v>6310</v>
      </c>
      <c r="T630" s="6" t="s">
        <v>6309</v>
      </c>
      <c r="U630" s="6">
        <v>771</v>
      </c>
      <c r="V630" s="6">
        <v>5</v>
      </c>
      <c r="W630" s="6" t="s">
        <v>7876</v>
      </c>
      <c r="Y630" t="s">
        <v>5718</v>
      </c>
      <c r="Z630" t="s">
        <v>5719</v>
      </c>
      <c r="AA630" s="6" t="str">
        <f t="shared" si="83"/>
        <v/>
      </c>
      <c r="AB630">
        <v>178</v>
      </c>
      <c r="AC630">
        <v>191</v>
      </c>
      <c r="AD630">
        <v>222</v>
      </c>
    </row>
    <row r="631" spans="1:30" ht="17" x14ac:dyDescent="0.25">
      <c r="A631" s="1" t="s">
        <v>633</v>
      </c>
      <c r="B631" s="1" t="s">
        <v>3285</v>
      </c>
      <c r="C631" s="1" t="s">
        <v>1960</v>
      </c>
      <c r="D631" t="str">
        <f t="shared" si="84"/>
        <v>B1C0DF</v>
      </c>
      <c r="E631" t="str">
        <f t="shared" si="85"/>
        <v>177-192-223</v>
      </c>
      <c r="F631" t="str">
        <f t="shared" si="86"/>
        <v>177192223</v>
      </c>
      <c r="G631">
        <f t="shared" si="87"/>
        <v>177</v>
      </c>
      <c r="H631">
        <f t="shared" si="88"/>
        <v>192</v>
      </c>
      <c r="I631">
        <f t="shared" si="89"/>
        <v>223</v>
      </c>
      <c r="J631" t="str">
        <f t="shared" si="81"/>
        <v>BSTov",</v>
      </c>
      <c r="K631" t="str">
        <f t="shared" si="81"/>
        <v>Bed nuclei of the stria terminalis, anterior division, oval nucleus",</v>
      </c>
      <c r="L631" t="str">
        <f t="shared" si="82"/>
        <v>BSTov</v>
      </c>
      <c r="M631" t="str">
        <f t="shared" si="82"/>
        <v>Bed nuclei of the stria terminalis, anterior division, oval nucleus</v>
      </c>
      <c r="N631" t="s">
        <v>5720</v>
      </c>
      <c r="O631" t="s">
        <v>5721</v>
      </c>
      <c r="Q631" s="6">
        <v>925</v>
      </c>
      <c r="R631" s="6">
        <v>679</v>
      </c>
      <c r="S631" s="6" t="s">
        <v>6312</v>
      </c>
      <c r="T631" s="6" t="s">
        <v>6311</v>
      </c>
      <c r="U631" s="6">
        <v>1117</v>
      </c>
      <c r="V631" s="6">
        <v>6</v>
      </c>
      <c r="W631" s="6" t="s">
        <v>7877</v>
      </c>
      <c r="Y631" t="s">
        <v>5720</v>
      </c>
      <c r="Z631" t="s">
        <v>5721</v>
      </c>
      <c r="AA631" s="6" t="str">
        <f t="shared" si="83"/>
        <v/>
      </c>
      <c r="AB631">
        <v>177</v>
      </c>
      <c r="AC631">
        <v>192</v>
      </c>
      <c r="AD631">
        <v>223</v>
      </c>
    </row>
    <row r="632" spans="1:30" ht="17" x14ac:dyDescent="0.25">
      <c r="A632" s="1" t="s">
        <v>634</v>
      </c>
      <c r="B632" s="1" t="s">
        <v>3286</v>
      </c>
      <c r="C632" s="1" t="s">
        <v>1961</v>
      </c>
      <c r="D632" t="str">
        <f t="shared" si="84"/>
        <v>B3BFDD</v>
      </c>
      <c r="E632" t="str">
        <f t="shared" si="85"/>
        <v>179-191-221</v>
      </c>
      <c r="F632" t="str">
        <f t="shared" si="86"/>
        <v>179191221</v>
      </c>
      <c r="G632">
        <f t="shared" si="87"/>
        <v>179</v>
      </c>
      <c r="H632">
        <f t="shared" si="88"/>
        <v>191</v>
      </c>
      <c r="I632">
        <f t="shared" si="89"/>
        <v>221</v>
      </c>
      <c r="J632" t="str">
        <f t="shared" si="81"/>
        <v>BSTrh",</v>
      </c>
      <c r="K632" t="str">
        <f t="shared" si="81"/>
        <v>Bed nuclei of the stria terminalis, anterior division, rhomboid nucleus",</v>
      </c>
      <c r="L632" t="str">
        <f t="shared" si="82"/>
        <v>BSTrh</v>
      </c>
      <c r="M632" t="str">
        <f t="shared" si="82"/>
        <v>Bed nuclei of the stria terminalis, anterior division, rhomboid nucleus</v>
      </c>
      <c r="N632" t="s">
        <v>5722</v>
      </c>
      <c r="O632" t="s">
        <v>5723</v>
      </c>
      <c r="Q632" s="6">
        <v>928</v>
      </c>
      <c r="R632" s="6">
        <v>147</v>
      </c>
      <c r="S632" s="6" t="s">
        <v>6318</v>
      </c>
      <c r="T632" s="6" t="s">
        <v>6317</v>
      </c>
      <c r="U632" s="6">
        <v>1117</v>
      </c>
      <c r="V632" s="6">
        <v>6</v>
      </c>
      <c r="W632" s="6" t="s">
        <v>7878</v>
      </c>
      <c r="Y632" t="s">
        <v>5722</v>
      </c>
      <c r="Z632" t="s">
        <v>5723</v>
      </c>
      <c r="AA632" s="6" t="str">
        <f t="shared" si="83"/>
        <v/>
      </c>
      <c r="AB632">
        <v>179</v>
      </c>
      <c r="AC632">
        <v>191</v>
      </c>
      <c r="AD632">
        <v>221</v>
      </c>
    </row>
    <row r="633" spans="1:30" ht="17" x14ac:dyDescent="0.25">
      <c r="A633" s="1" t="s">
        <v>635</v>
      </c>
      <c r="B633" s="1" t="s">
        <v>3287</v>
      </c>
      <c r="C633" s="1" t="s">
        <v>1962</v>
      </c>
      <c r="D633" t="str">
        <f t="shared" si="84"/>
        <v>B3C0DD</v>
      </c>
      <c r="E633" t="str">
        <f t="shared" si="85"/>
        <v>179-192-221</v>
      </c>
      <c r="F633" t="str">
        <f t="shared" si="86"/>
        <v>179192221</v>
      </c>
      <c r="G633">
        <f t="shared" si="87"/>
        <v>179</v>
      </c>
      <c r="H633">
        <f t="shared" si="88"/>
        <v>192</v>
      </c>
      <c r="I633">
        <f t="shared" si="89"/>
        <v>221</v>
      </c>
      <c r="J633" t="str">
        <f t="shared" si="81"/>
        <v>BSTv",</v>
      </c>
      <c r="K633" t="str">
        <f t="shared" si="81"/>
        <v>Bed nuclei of the stria terminalis, anterior division, ventral nucleus",</v>
      </c>
      <c r="L633" t="str">
        <f t="shared" si="82"/>
        <v>BSTv</v>
      </c>
      <c r="M633" t="str">
        <f t="shared" si="82"/>
        <v>Bed nuclei of the stria terminalis, anterior division, ventral nucleus</v>
      </c>
      <c r="N633" t="s">
        <v>5724</v>
      </c>
      <c r="O633" t="s">
        <v>5725</v>
      </c>
      <c r="Q633" s="6">
        <v>929</v>
      </c>
      <c r="R633" s="6">
        <v>162</v>
      </c>
      <c r="S633" s="6" t="s">
        <v>6320</v>
      </c>
      <c r="T633" s="6" t="s">
        <v>6319</v>
      </c>
      <c r="U633" s="6">
        <v>1117</v>
      </c>
      <c r="V633" s="6">
        <v>6</v>
      </c>
      <c r="W633" s="6" t="s">
        <v>7879</v>
      </c>
      <c r="Y633" t="s">
        <v>5724</v>
      </c>
      <c r="Z633" t="s">
        <v>5725</v>
      </c>
      <c r="AA633" s="6" t="str">
        <f t="shared" si="83"/>
        <v/>
      </c>
      <c r="AB633">
        <v>179</v>
      </c>
      <c r="AC633">
        <v>192</v>
      </c>
      <c r="AD633">
        <v>221</v>
      </c>
    </row>
    <row r="634" spans="1:30" ht="17" x14ac:dyDescent="0.25">
      <c r="A634" s="1" t="s">
        <v>636</v>
      </c>
      <c r="B634" s="1" t="s">
        <v>3288</v>
      </c>
      <c r="C634" s="1" t="s">
        <v>1963</v>
      </c>
      <c r="D634" t="str">
        <f t="shared" si="84"/>
        <v>B2C0DF</v>
      </c>
      <c r="E634" t="str">
        <f t="shared" si="85"/>
        <v>178-192-223</v>
      </c>
      <c r="F634" t="str">
        <f t="shared" si="86"/>
        <v>178192223</v>
      </c>
      <c r="G634">
        <f t="shared" si="87"/>
        <v>178</v>
      </c>
      <c r="H634">
        <f t="shared" si="88"/>
        <v>192</v>
      </c>
      <c r="I634">
        <f t="shared" si="89"/>
        <v>223</v>
      </c>
      <c r="J634" t="str">
        <f t="shared" si="81"/>
        <v>BSTp",</v>
      </c>
      <c r="K634" t="str">
        <f t="shared" si="81"/>
        <v>Bed nuclei of the stria terminalis, posterior division",</v>
      </c>
      <c r="L634" t="str">
        <f t="shared" si="82"/>
        <v>BSTp</v>
      </c>
      <c r="M634" t="str">
        <f t="shared" si="82"/>
        <v>Bed nuclei of the stria terminalis, posterior division</v>
      </c>
      <c r="N634" t="s">
        <v>5726</v>
      </c>
      <c r="O634" t="s">
        <v>5727</v>
      </c>
      <c r="Q634" s="6">
        <v>930</v>
      </c>
      <c r="R634" s="6">
        <v>604</v>
      </c>
      <c r="S634" s="6" t="s">
        <v>6322</v>
      </c>
      <c r="T634" s="6" t="s">
        <v>6321</v>
      </c>
      <c r="U634" s="6">
        <v>1117</v>
      </c>
      <c r="V634" s="6">
        <v>6</v>
      </c>
      <c r="W634" s="6" t="s">
        <v>7880</v>
      </c>
      <c r="Y634" t="s">
        <v>5726</v>
      </c>
      <c r="Z634" t="s">
        <v>5727</v>
      </c>
      <c r="AA634" s="6" t="str">
        <f t="shared" si="83"/>
        <v/>
      </c>
      <c r="AB634">
        <v>178</v>
      </c>
      <c r="AC634">
        <v>192</v>
      </c>
      <c r="AD634">
        <v>223</v>
      </c>
    </row>
    <row r="635" spans="1:30" ht="17" x14ac:dyDescent="0.25">
      <c r="A635" s="1" t="s">
        <v>637</v>
      </c>
      <c r="B635" s="1" t="s">
        <v>3289</v>
      </c>
      <c r="C635" s="1" t="s">
        <v>1964</v>
      </c>
      <c r="D635" t="str">
        <f t="shared" si="84"/>
        <v>B3BEDE</v>
      </c>
      <c r="E635" t="str">
        <f t="shared" si="85"/>
        <v>179-190-222</v>
      </c>
      <c r="F635" t="str">
        <f t="shared" si="86"/>
        <v>179190222</v>
      </c>
      <c r="G635">
        <f t="shared" si="87"/>
        <v>179</v>
      </c>
      <c r="H635">
        <f t="shared" si="88"/>
        <v>190</v>
      </c>
      <c r="I635">
        <f t="shared" si="89"/>
        <v>222</v>
      </c>
      <c r="J635" t="str">
        <f t="shared" si="81"/>
        <v>BSTd",</v>
      </c>
      <c r="K635" t="str">
        <f t="shared" si="81"/>
        <v>Bed nuclei of the stria terminalis, posterior division, dorsal nucleus",</v>
      </c>
      <c r="L635" t="str">
        <f t="shared" si="82"/>
        <v>BSTd</v>
      </c>
      <c r="M635" t="str">
        <f t="shared" si="82"/>
        <v>Bed nuclei of the stria terminalis, posterior division, dorsal nucleus</v>
      </c>
      <c r="N635" t="s">
        <v>5728</v>
      </c>
      <c r="O635" t="s">
        <v>5729</v>
      </c>
      <c r="Q635" s="6">
        <v>931</v>
      </c>
      <c r="R635" s="6">
        <v>146</v>
      </c>
      <c r="S635" s="6" t="s">
        <v>6324</v>
      </c>
      <c r="T635" s="6" t="s">
        <v>6323</v>
      </c>
      <c r="U635" s="6">
        <v>1117</v>
      </c>
      <c r="V635" s="6">
        <v>6</v>
      </c>
      <c r="W635" s="6" t="s">
        <v>7881</v>
      </c>
      <c r="Y635" t="s">
        <v>5728</v>
      </c>
      <c r="Z635" t="s">
        <v>5729</v>
      </c>
      <c r="AA635" s="6" t="str">
        <f t="shared" si="83"/>
        <v/>
      </c>
      <c r="AB635">
        <v>179</v>
      </c>
      <c r="AC635">
        <v>190</v>
      </c>
      <c r="AD635">
        <v>222</v>
      </c>
    </row>
    <row r="636" spans="1:30" ht="17" x14ac:dyDescent="0.25">
      <c r="A636" s="1" t="s">
        <v>638</v>
      </c>
      <c r="B636" s="1" t="s">
        <v>3290</v>
      </c>
      <c r="C636" s="1" t="s">
        <v>1965</v>
      </c>
      <c r="D636" t="str">
        <f t="shared" si="84"/>
        <v>B2C0DD</v>
      </c>
      <c r="E636" t="str">
        <f t="shared" si="85"/>
        <v>178-192-221</v>
      </c>
      <c r="F636" t="str">
        <f t="shared" si="86"/>
        <v>178192221</v>
      </c>
      <c r="G636">
        <f t="shared" si="87"/>
        <v>178</v>
      </c>
      <c r="H636">
        <f t="shared" si="88"/>
        <v>192</v>
      </c>
      <c r="I636">
        <f t="shared" si="89"/>
        <v>221</v>
      </c>
      <c r="J636" t="str">
        <f t="shared" si="81"/>
        <v>BSTpr",</v>
      </c>
      <c r="K636" t="str">
        <f t="shared" si="81"/>
        <v>Bed nuclei of the stria terminalis, posterior division, principal nucleus",</v>
      </c>
      <c r="L636" t="str">
        <f t="shared" si="82"/>
        <v>BSTpr</v>
      </c>
      <c r="M636" t="str">
        <f t="shared" si="82"/>
        <v>Bed nuclei of the stria terminalis, posterior division, principal nucleus</v>
      </c>
      <c r="N636" t="s">
        <v>5730</v>
      </c>
      <c r="O636" t="s">
        <v>5731</v>
      </c>
      <c r="Q636" s="6">
        <v>932</v>
      </c>
      <c r="R636" s="6">
        <v>238</v>
      </c>
      <c r="S636" s="6" t="s">
        <v>6326</v>
      </c>
      <c r="T636" s="6" t="s">
        <v>6325</v>
      </c>
      <c r="U636" s="6">
        <v>1117</v>
      </c>
      <c r="V636" s="6">
        <v>6</v>
      </c>
      <c r="W636" s="6" t="s">
        <v>7882</v>
      </c>
      <c r="Y636" t="s">
        <v>5730</v>
      </c>
      <c r="Z636" t="s">
        <v>5731</v>
      </c>
      <c r="AA636" s="6" t="str">
        <f t="shared" si="83"/>
        <v/>
      </c>
      <c r="AB636">
        <v>178</v>
      </c>
      <c r="AC636">
        <v>192</v>
      </c>
      <c r="AD636">
        <v>221</v>
      </c>
    </row>
    <row r="637" spans="1:30" ht="17" x14ac:dyDescent="0.25">
      <c r="A637" s="1" t="s">
        <v>639</v>
      </c>
      <c r="B637" s="1" t="s">
        <v>3291</v>
      </c>
      <c r="C637" s="1" t="s">
        <v>1966</v>
      </c>
      <c r="D637" t="str">
        <f t="shared" si="84"/>
        <v>B2BEDE</v>
      </c>
      <c r="E637" t="str">
        <f t="shared" si="85"/>
        <v>178-190-222</v>
      </c>
      <c r="F637" t="str">
        <f t="shared" si="86"/>
        <v>178190222</v>
      </c>
      <c r="G637">
        <f t="shared" si="87"/>
        <v>178</v>
      </c>
      <c r="H637">
        <f t="shared" si="88"/>
        <v>190</v>
      </c>
      <c r="I637">
        <f t="shared" si="89"/>
        <v>222</v>
      </c>
      <c r="J637" t="str">
        <f t="shared" si="81"/>
        <v>BSTif",</v>
      </c>
      <c r="K637" t="str">
        <f t="shared" si="81"/>
        <v>Bed nuclei of the stria terminalis, posterior division, interfascicular nucleus",</v>
      </c>
      <c r="L637" t="str">
        <f t="shared" si="82"/>
        <v>BSTif</v>
      </c>
      <c r="M637" t="str">
        <f t="shared" si="82"/>
        <v>Bed nuclei of the stria terminalis, posterior division, interfascicular nucleus</v>
      </c>
      <c r="N637" t="s">
        <v>5732</v>
      </c>
      <c r="O637" t="s">
        <v>5733</v>
      </c>
      <c r="Q637" s="6">
        <v>933</v>
      </c>
      <c r="R637" s="6">
        <v>350</v>
      </c>
      <c r="S637" s="6" t="s">
        <v>6328</v>
      </c>
      <c r="T637" s="6" t="s">
        <v>6327</v>
      </c>
      <c r="U637" s="6">
        <v>1117</v>
      </c>
      <c r="V637" s="6">
        <v>6</v>
      </c>
      <c r="W637" s="6" t="s">
        <v>7883</v>
      </c>
      <c r="Y637" t="s">
        <v>5732</v>
      </c>
      <c r="Z637" t="s">
        <v>5733</v>
      </c>
      <c r="AA637" s="6" t="str">
        <f t="shared" si="83"/>
        <v/>
      </c>
      <c r="AB637">
        <v>178</v>
      </c>
      <c r="AC637">
        <v>190</v>
      </c>
      <c r="AD637">
        <v>222</v>
      </c>
    </row>
    <row r="638" spans="1:30" ht="17" x14ac:dyDescent="0.25">
      <c r="A638" s="1" t="s">
        <v>640</v>
      </c>
      <c r="B638" s="1" t="s">
        <v>3292</v>
      </c>
      <c r="C638" s="1" t="s">
        <v>1967</v>
      </c>
      <c r="D638" t="str">
        <f t="shared" si="84"/>
        <v>B2BEDF</v>
      </c>
      <c r="E638" t="str">
        <f t="shared" si="85"/>
        <v>178-190-223</v>
      </c>
      <c r="F638" t="str">
        <f t="shared" si="86"/>
        <v>178190223</v>
      </c>
      <c r="G638">
        <f t="shared" si="87"/>
        <v>178</v>
      </c>
      <c r="H638">
        <f t="shared" si="88"/>
        <v>190</v>
      </c>
      <c r="I638">
        <f t="shared" si="89"/>
        <v>223</v>
      </c>
      <c r="J638" t="str">
        <f t="shared" si="81"/>
        <v>BSTtr",</v>
      </c>
      <c r="K638" t="str">
        <f t="shared" si="81"/>
        <v>Bed nuclei of the stria terminalis, posterior division, transverse nucleus",</v>
      </c>
      <c r="L638" t="str">
        <f t="shared" si="82"/>
        <v>BSTtr</v>
      </c>
      <c r="M638" t="str">
        <f t="shared" si="82"/>
        <v>Bed nuclei of the stria terminalis, posterior division, transverse nucleus</v>
      </c>
      <c r="N638" t="s">
        <v>5734</v>
      </c>
      <c r="O638" t="s">
        <v>5735</v>
      </c>
      <c r="Q638" s="6">
        <v>934</v>
      </c>
      <c r="R638" s="6">
        <v>358</v>
      </c>
      <c r="S638" s="6" t="s">
        <v>6330</v>
      </c>
      <c r="T638" s="6" t="s">
        <v>6329</v>
      </c>
      <c r="U638" s="6">
        <v>1117</v>
      </c>
      <c r="V638" s="6">
        <v>6</v>
      </c>
      <c r="W638" s="6" t="s">
        <v>7884</v>
      </c>
      <c r="Y638" t="s">
        <v>5734</v>
      </c>
      <c r="Z638" t="s">
        <v>5735</v>
      </c>
      <c r="AA638" s="6" t="str">
        <f t="shared" si="83"/>
        <v/>
      </c>
      <c r="AB638">
        <v>178</v>
      </c>
      <c r="AC638">
        <v>190</v>
      </c>
      <c r="AD638">
        <v>223</v>
      </c>
    </row>
    <row r="639" spans="1:30" ht="17" x14ac:dyDescent="0.25">
      <c r="A639" s="1" t="s">
        <v>641</v>
      </c>
      <c r="B639" s="1" t="s">
        <v>3293</v>
      </c>
      <c r="C639" s="1" t="s">
        <v>1968</v>
      </c>
      <c r="D639" t="str">
        <f t="shared" si="84"/>
        <v>B1C0DE</v>
      </c>
      <c r="E639" t="str">
        <f t="shared" si="85"/>
        <v>177-192-222</v>
      </c>
      <c r="F639" t="str">
        <f t="shared" si="86"/>
        <v>177192222</v>
      </c>
      <c r="G639">
        <f t="shared" si="87"/>
        <v>177</v>
      </c>
      <c r="H639">
        <f t="shared" si="88"/>
        <v>192</v>
      </c>
      <c r="I639">
        <f t="shared" si="89"/>
        <v>222</v>
      </c>
      <c r="J639" t="str">
        <f t="shared" si="81"/>
        <v>BSTse",</v>
      </c>
      <c r="K639" t="str">
        <f t="shared" si="81"/>
        <v>Bed nuclei of the stria terminalis, posterior division, strial extension",</v>
      </c>
      <c r="L639" t="str">
        <f t="shared" si="82"/>
        <v>BSTse</v>
      </c>
      <c r="M639" t="str">
        <f t="shared" si="82"/>
        <v>Bed nuclei of the stria terminalis, posterior division, strial extension</v>
      </c>
      <c r="N639" t="s">
        <v>5736</v>
      </c>
      <c r="O639" t="s">
        <v>5737</v>
      </c>
      <c r="Q639" s="6">
        <v>935</v>
      </c>
      <c r="R639" s="6">
        <v>354</v>
      </c>
      <c r="S639" s="6" t="s">
        <v>6332</v>
      </c>
      <c r="T639" s="6" t="s">
        <v>6331</v>
      </c>
      <c r="U639" s="6">
        <v>1065</v>
      </c>
      <c r="V639" s="6">
        <v>4</v>
      </c>
      <c r="W639" s="6" t="s">
        <v>7885</v>
      </c>
      <c r="Y639" t="s">
        <v>5736</v>
      </c>
      <c r="Z639" t="s">
        <v>5737</v>
      </c>
      <c r="AA639" s="6" t="str">
        <f t="shared" si="83"/>
        <v/>
      </c>
      <c r="AB639">
        <v>177</v>
      </c>
      <c r="AC639">
        <v>192</v>
      </c>
      <c r="AD639">
        <v>222</v>
      </c>
    </row>
    <row r="640" spans="1:30" ht="17" x14ac:dyDescent="0.25">
      <c r="A640" s="1" t="s">
        <v>642</v>
      </c>
      <c r="B640" s="1" t="s">
        <v>3294</v>
      </c>
      <c r="C640" s="1" t="s">
        <v>1969</v>
      </c>
      <c r="D640" t="str">
        <f t="shared" si="84"/>
        <v>B3C0DF</v>
      </c>
      <c r="E640" t="str">
        <f t="shared" si="85"/>
        <v>179-192-223</v>
      </c>
      <c r="F640" t="str">
        <f t="shared" si="86"/>
        <v>179192223</v>
      </c>
      <c r="G640">
        <f t="shared" si="87"/>
        <v>179</v>
      </c>
      <c r="H640">
        <f t="shared" si="88"/>
        <v>192</v>
      </c>
      <c r="I640">
        <f t="shared" si="89"/>
        <v>223</v>
      </c>
      <c r="J640" t="str">
        <f t="shared" si="81"/>
        <v>BAC",</v>
      </c>
      <c r="K640" t="str">
        <f t="shared" si="81"/>
        <v>Bed nucleus of the anterior commissure",</v>
      </c>
      <c r="L640" t="str">
        <f t="shared" si="82"/>
        <v>BAC</v>
      </c>
      <c r="M640" t="str">
        <f t="shared" si="82"/>
        <v>Bed nucleus of the anterior commissure</v>
      </c>
      <c r="N640" t="s">
        <v>5738</v>
      </c>
      <c r="O640" t="s">
        <v>5739</v>
      </c>
      <c r="Q640" s="6">
        <v>936</v>
      </c>
      <c r="R640" s="6">
        <v>386</v>
      </c>
      <c r="S640" s="6" t="s">
        <v>6334</v>
      </c>
      <c r="T640" s="6" t="s">
        <v>6333</v>
      </c>
      <c r="U640" s="6">
        <v>354</v>
      </c>
      <c r="V640" s="6">
        <v>5</v>
      </c>
      <c r="W640" s="6" t="s">
        <v>7886</v>
      </c>
      <c r="Y640" t="s">
        <v>5738</v>
      </c>
      <c r="Z640" t="s">
        <v>5739</v>
      </c>
      <c r="AA640" s="6">
        <f t="shared" si="83"/>
        <v>287</v>
      </c>
      <c r="AB640">
        <v>179</v>
      </c>
      <c r="AC640">
        <v>192</v>
      </c>
      <c r="AD640">
        <v>223</v>
      </c>
    </row>
    <row r="641" spans="1:30" ht="17" x14ac:dyDescent="0.25">
      <c r="A641" s="1" t="s">
        <v>643</v>
      </c>
      <c r="B641" s="1" t="s">
        <v>3295</v>
      </c>
      <c r="C641" s="1" t="s">
        <v>1970</v>
      </c>
      <c r="D641" t="str">
        <f t="shared" si="84"/>
        <v>FF7080</v>
      </c>
      <c r="E641" t="str">
        <f t="shared" si="85"/>
        <v>255-112-128</v>
      </c>
      <c r="F641" t="str">
        <f t="shared" si="86"/>
        <v>255112128</v>
      </c>
      <c r="G641">
        <f t="shared" si="87"/>
        <v>255</v>
      </c>
      <c r="H641">
        <f t="shared" si="88"/>
        <v>112</v>
      </c>
      <c r="I641">
        <f t="shared" si="89"/>
        <v>128</v>
      </c>
      <c r="J641" t="str">
        <f t="shared" si="81"/>
        <v>BS",</v>
      </c>
      <c r="K641" t="str">
        <f t="shared" si="81"/>
        <v>Brain stem",</v>
      </c>
      <c r="L641" t="str">
        <f t="shared" si="82"/>
        <v>BS</v>
      </c>
      <c r="M641" t="str">
        <f t="shared" si="82"/>
        <v>Brain stem</v>
      </c>
      <c r="N641" t="s">
        <v>5740</v>
      </c>
      <c r="O641" t="s">
        <v>5741</v>
      </c>
      <c r="Q641" s="6">
        <v>937</v>
      </c>
      <c r="R641" s="6">
        <v>207</v>
      </c>
      <c r="S641" s="6" t="s">
        <v>6336</v>
      </c>
      <c r="T641" s="6" t="s">
        <v>6335</v>
      </c>
      <c r="U641" s="6">
        <v>386</v>
      </c>
      <c r="V641" s="6">
        <v>6</v>
      </c>
      <c r="W641" s="6" t="s">
        <v>7887</v>
      </c>
      <c r="Y641" t="s">
        <v>5740</v>
      </c>
      <c r="Z641" t="s">
        <v>5741</v>
      </c>
      <c r="AA641" s="6">
        <f t="shared" si="83"/>
        <v>343</v>
      </c>
      <c r="AB641">
        <v>255</v>
      </c>
      <c r="AC641">
        <v>112</v>
      </c>
      <c r="AD641">
        <v>128</v>
      </c>
    </row>
    <row r="642" spans="1:30" ht="17" x14ac:dyDescent="0.25">
      <c r="A642" s="1" t="s">
        <v>644</v>
      </c>
      <c r="B642" s="1" t="s">
        <v>3296</v>
      </c>
      <c r="C642" s="1" t="s">
        <v>1971</v>
      </c>
      <c r="D642" t="str">
        <f t="shared" si="84"/>
        <v>FF707F</v>
      </c>
      <c r="E642" t="str">
        <f t="shared" si="85"/>
        <v>255-112-127</v>
      </c>
      <c r="F642" t="str">
        <f t="shared" si="86"/>
        <v>255112127</v>
      </c>
      <c r="G642">
        <f t="shared" si="87"/>
        <v>255</v>
      </c>
      <c r="H642">
        <f t="shared" si="88"/>
        <v>112</v>
      </c>
      <c r="I642">
        <f t="shared" si="89"/>
        <v>127</v>
      </c>
      <c r="J642" t="str">
        <f t="shared" si="81"/>
        <v>IB",</v>
      </c>
      <c r="K642" t="str">
        <f t="shared" si="81"/>
        <v>Interbrain",</v>
      </c>
      <c r="L642" t="str">
        <f t="shared" si="82"/>
        <v>IB</v>
      </c>
      <c r="M642" t="str">
        <f t="shared" si="82"/>
        <v>Interbrain</v>
      </c>
      <c r="N642" t="s">
        <v>5742</v>
      </c>
      <c r="O642" t="s">
        <v>5743</v>
      </c>
      <c r="Q642" s="6">
        <v>938</v>
      </c>
      <c r="R642" s="6">
        <v>607</v>
      </c>
      <c r="S642" s="6" t="s">
        <v>6338</v>
      </c>
      <c r="T642" s="6" t="s">
        <v>6337</v>
      </c>
      <c r="U642" s="6">
        <v>386</v>
      </c>
      <c r="V642" s="6">
        <v>6</v>
      </c>
      <c r="W642" s="6" t="s">
        <v>7888</v>
      </c>
      <c r="Y642" t="s">
        <v>5742</v>
      </c>
      <c r="Z642" t="s">
        <v>5743</v>
      </c>
      <c r="AA642" s="6">
        <f t="shared" si="83"/>
        <v>1129</v>
      </c>
      <c r="AB642">
        <v>255</v>
      </c>
      <c r="AC642">
        <v>112</v>
      </c>
      <c r="AD642">
        <v>127</v>
      </c>
    </row>
    <row r="643" spans="1:30" ht="17" x14ac:dyDescent="0.25">
      <c r="A643" s="1" t="s">
        <v>645</v>
      </c>
      <c r="B643" s="1" t="s">
        <v>3297</v>
      </c>
      <c r="C643" s="1" t="s">
        <v>1972</v>
      </c>
      <c r="D643" t="str">
        <f t="shared" si="84"/>
        <v>FF6F80</v>
      </c>
      <c r="E643" t="str">
        <f t="shared" si="85"/>
        <v>255-111-128</v>
      </c>
      <c r="F643" t="str">
        <f t="shared" si="86"/>
        <v>255111128</v>
      </c>
      <c r="G643">
        <f t="shared" si="87"/>
        <v>255</v>
      </c>
      <c r="H643">
        <f t="shared" si="88"/>
        <v>111</v>
      </c>
      <c r="I643">
        <f t="shared" si="89"/>
        <v>128</v>
      </c>
      <c r="J643" t="str">
        <f t="shared" ref="J643:K706" si="90">RIGHT(A643,LEN(A643)-3)</f>
        <v>TH",</v>
      </c>
      <c r="K643" t="str">
        <f t="shared" si="90"/>
        <v>Thalamus",</v>
      </c>
      <c r="L643" t="str">
        <f t="shared" ref="L643:M706" si="91">LEFT(J643,LEN(J643)-2)</f>
        <v>TH</v>
      </c>
      <c r="M643" t="str">
        <f t="shared" si="91"/>
        <v>Thalamus</v>
      </c>
      <c r="N643" t="s">
        <v>5744</v>
      </c>
      <c r="O643" t="s">
        <v>5745</v>
      </c>
      <c r="Q643" s="6">
        <v>941</v>
      </c>
      <c r="R643" s="6">
        <v>96</v>
      </c>
      <c r="S643" s="6" t="s">
        <v>6344</v>
      </c>
      <c r="T643" s="6" t="s">
        <v>6343</v>
      </c>
      <c r="U643" s="6">
        <v>607</v>
      </c>
      <c r="V643" s="6">
        <v>7</v>
      </c>
      <c r="W643" s="6" t="s">
        <v>7889</v>
      </c>
      <c r="Y643" t="s">
        <v>5744</v>
      </c>
      <c r="Z643" t="s">
        <v>5745</v>
      </c>
      <c r="AA643" s="6">
        <f t="shared" ref="AA643:AA706" si="92">IFERROR(INDEX(R:R,MATCH($Z643,S:S,0)),"")</f>
        <v>549</v>
      </c>
      <c r="AB643">
        <v>255</v>
      </c>
      <c r="AC643">
        <v>111</v>
      </c>
      <c r="AD643">
        <v>128</v>
      </c>
    </row>
    <row r="644" spans="1:30" ht="17" x14ac:dyDescent="0.25">
      <c r="A644" s="1" t="s">
        <v>646</v>
      </c>
      <c r="B644" s="1" t="s">
        <v>3298</v>
      </c>
      <c r="C644" s="1" t="s">
        <v>1973</v>
      </c>
      <c r="D644" t="str">
        <f t="shared" ref="D644:D707" si="93">RIGHT(LEFT(C644,9),6)</f>
        <v>FE7E84</v>
      </c>
      <c r="E644" t="str">
        <f t="shared" ref="E644:E707" si="94">HEX2DEC(LEFT(D644,2))&amp;"-"&amp;HEX2DEC(MID(D644,3,2))&amp;"-"&amp;HEX2DEC(RIGHT(D644,2))</f>
        <v>254-126-132</v>
      </c>
      <c r="F644" t="str">
        <f t="shared" ref="F644:F707" si="95">HEX2DEC(LEFT(D644,2))&amp;HEX2DEC(MID(D644,3,2))&amp;HEX2DEC(RIGHT(D644,2))</f>
        <v>254126132</v>
      </c>
      <c r="G644">
        <f t="shared" ref="G644:G707" si="96">HEX2DEC(LEFT(D644,2))</f>
        <v>254</v>
      </c>
      <c r="H644">
        <f t="shared" ref="H644:H707" si="97">HEX2DEC(MID(D644,3,2))</f>
        <v>126</v>
      </c>
      <c r="I644">
        <f t="shared" ref="I644:I707" si="98">HEX2DEC(RIGHT(D644,2))</f>
        <v>132</v>
      </c>
      <c r="J644" t="str">
        <f t="shared" si="90"/>
        <v>DORsm",</v>
      </c>
      <c r="K644" t="str">
        <f t="shared" si="90"/>
        <v>Thalamus, sensory-motor cortex related",</v>
      </c>
      <c r="L644" t="str">
        <f t="shared" si="91"/>
        <v>DORsm</v>
      </c>
      <c r="M644" t="str">
        <f t="shared" si="91"/>
        <v>Thalamus, sensory-motor cortex related</v>
      </c>
      <c r="N644" t="s">
        <v>5746</v>
      </c>
      <c r="O644" t="s">
        <v>5747</v>
      </c>
      <c r="Q644" s="6">
        <v>942</v>
      </c>
      <c r="R644" s="6">
        <v>101</v>
      </c>
      <c r="S644" s="6" t="s">
        <v>6346</v>
      </c>
      <c r="T644" s="6" t="s">
        <v>6345</v>
      </c>
      <c r="U644" s="6">
        <v>607</v>
      </c>
      <c r="V644" s="6">
        <v>7</v>
      </c>
      <c r="W644" s="6" t="s">
        <v>7890</v>
      </c>
      <c r="Y644" t="s">
        <v>5746</v>
      </c>
      <c r="Z644" t="s">
        <v>5747</v>
      </c>
      <c r="AA644" s="6">
        <f t="shared" si="92"/>
        <v>864</v>
      </c>
      <c r="AB644">
        <v>254</v>
      </c>
      <c r="AC644">
        <v>126</v>
      </c>
      <c r="AD644">
        <v>132</v>
      </c>
    </row>
    <row r="645" spans="1:30" ht="17" x14ac:dyDescent="0.25">
      <c r="A645" s="1" t="s">
        <v>647</v>
      </c>
      <c r="B645" s="1" t="s">
        <v>3299</v>
      </c>
      <c r="C645" s="1" t="s">
        <v>1974</v>
      </c>
      <c r="D645" t="str">
        <f t="shared" si="93"/>
        <v>FF8082</v>
      </c>
      <c r="E645" t="str">
        <f t="shared" si="94"/>
        <v>255-128-130</v>
      </c>
      <c r="F645" t="str">
        <f t="shared" si="95"/>
        <v>255128130</v>
      </c>
      <c r="G645">
        <f t="shared" si="96"/>
        <v>255</v>
      </c>
      <c r="H645">
        <f t="shared" si="97"/>
        <v>128</v>
      </c>
      <c r="I645">
        <f t="shared" si="98"/>
        <v>130</v>
      </c>
      <c r="J645" t="str">
        <f t="shared" si="90"/>
        <v>VENT",</v>
      </c>
      <c r="K645" t="str">
        <f t="shared" si="90"/>
        <v>Ventral group of the dorsal thalamus",</v>
      </c>
      <c r="L645" t="str">
        <f t="shared" si="91"/>
        <v>VENT</v>
      </c>
      <c r="M645" t="str">
        <f t="shared" si="91"/>
        <v>Ventral group of the dorsal thalamus</v>
      </c>
      <c r="N645" t="s">
        <v>5748</v>
      </c>
      <c r="O645" t="s">
        <v>5749</v>
      </c>
      <c r="Q645" s="6">
        <v>943</v>
      </c>
      <c r="R645" s="6">
        <v>720</v>
      </c>
      <c r="S645" s="6" t="s">
        <v>6348</v>
      </c>
      <c r="T645" s="6" t="s">
        <v>6347</v>
      </c>
      <c r="U645" s="6">
        <v>386</v>
      </c>
      <c r="V645" s="6">
        <v>6</v>
      </c>
      <c r="W645" s="6" t="s">
        <v>7891</v>
      </c>
      <c r="Y645" t="s">
        <v>5748</v>
      </c>
      <c r="Z645" t="s">
        <v>5749</v>
      </c>
      <c r="AA645" s="6">
        <f t="shared" si="92"/>
        <v>637</v>
      </c>
      <c r="AB645">
        <v>255</v>
      </c>
      <c r="AC645">
        <v>128</v>
      </c>
      <c r="AD645">
        <v>130</v>
      </c>
    </row>
    <row r="646" spans="1:30" ht="17" x14ac:dyDescent="0.25">
      <c r="A646" s="1" t="s">
        <v>648</v>
      </c>
      <c r="B646" s="1" t="s">
        <v>3300</v>
      </c>
      <c r="C646" s="1" t="s">
        <v>1975</v>
      </c>
      <c r="D646" t="str">
        <f t="shared" si="93"/>
        <v>FD7E84</v>
      </c>
      <c r="E646" t="str">
        <f t="shared" si="94"/>
        <v>253-126-132</v>
      </c>
      <c r="F646" t="str">
        <f t="shared" si="95"/>
        <v>253126132</v>
      </c>
      <c r="G646">
        <f t="shared" si="96"/>
        <v>253</v>
      </c>
      <c r="H646">
        <f t="shared" si="97"/>
        <v>126</v>
      </c>
      <c r="I646">
        <f t="shared" si="98"/>
        <v>132</v>
      </c>
      <c r="J646" t="str">
        <f t="shared" si="90"/>
        <v>VAL",</v>
      </c>
      <c r="K646" t="str">
        <f t="shared" si="90"/>
        <v>Ventral anterior-lateral complex of the thalamus",</v>
      </c>
      <c r="L646" t="str">
        <f t="shared" si="91"/>
        <v>VAL</v>
      </c>
      <c r="M646" t="str">
        <f t="shared" si="91"/>
        <v>Ventral anterior-lateral complex of the thalamus</v>
      </c>
      <c r="N646" t="s">
        <v>5750</v>
      </c>
      <c r="O646" t="s">
        <v>5751</v>
      </c>
      <c r="Q646" s="6">
        <v>944</v>
      </c>
      <c r="R646" s="6">
        <v>711</v>
      </c>
      <c r="S646" s="6" t="s">
        <v>6350</v>
      </c>
      <c r="T646" s="6" t="s">
        <v>6349</v>
      </c>
      <c r="U646" s="6">
        <v>720</v>
      </c>
      <c r="V646" s="6">
        <v>7</v>
      </c>
      <c r="W646" s="6" t="s">
        <v>7892</v>
      </c>
      <c r="Y646" t="s">
        <v>5750</v>
      </c>
      <c r="Z646" t="s">
        <v>5751</v>
      </c>
      <c r="AA646" s="6">
        <f t="shared" si="92"/>
        <v>629</v>
      </c>
      <c r="AB646">
        <v>253</v>
      </c>
      <c r="AC646">
        <v>126</v>
      </c>
      <c r="AD646">
        <v>132</v>
      </c>
    </row>
    <row r="647" spans="1:30" ht="17" x14ac:dyDescent="0.25">
      <c r="A647" s="1" t="s">
        <v>649</v>
      </c>
      <c r="B647" s="1" t="s">
        <v>3301</v>
      </c>
      <c r="C647" s="1" t="s">
        <v>1976</v>
      </c>
      <c r="D647" t="str">
        <f t="shared" si="93"/>
        <v>FF7E84</v>
      </c>
      <c r="E647" t="str">
        <f t="shared" si="94"/>
        <v>255-126-132</v>
      </c>
      <c r="F647" t="str">
        <f t="shared" si="95"/>
        <v>255126132</v>
      </c>
      <c r="G647">
        <f t="shared" si="96"/>
        <v>255</v>
      </c>
      <c r="H647">
        <f t="shared" si="97"/>
        <v>126</v>
      </c>
      <c r="I647">
        <f t="shared" si="98"/>
        <v>132</v>
      </c>
      <c r="J647" t="str">
        <f t="shared" si="90"/>
        <v>VM",</v>
      </c>
      <c r="K647" t="str">
        <f t="shared" si="90"/>
        <v>Ventral medial nucleus of the thalamus",</v>
      </c>
      <c r="L647" t="str">
        <f t="shared" si="91"/>
        <v>VM</v>
      </c>
      <c r="M647" t="str">
        <f t="shared" si="91"/>
        <v>Ventral medial nucleus of the thalamus</v>
      </c>
      <c r="N647" t="s">
        <v>5752</v>
      </c>
      <c r="O647" t="s">
        <v>5753</v>
      </c>
      <c r="Q647" s="6">
        <v>945</v>
      </c>
      <c r="R647" s="6">
        <v>1039</v>
      </c>
      <c r="S647" s="6" t="s">
        <v>6352</v>
      </c>
      <c r="T647" s="6" t="s">
        <v>6351</v>
      </c>
      <c r="U647" s="6">
        <v>720</v>
      </c>
      <c r="V647" s="6">
        <v>7</v>
      </c>
      <c r="W647" s="6" t="s">
        <v>7893</v>
      </c>
      <c r="Y647" t="s">
        <v>5752</v>
      </c>
      <c r="Z647" t="s">
        <v>5753</v>
      </c>
      <c r="AA647" s="6">
        <f t="shared" si="92"/>
        <v>685</v>
      </c>
      <c r="AB647">
        <v>255</v>
      </c>
      <c r="AC647">
        <v>126</v>
      </c>
      <c r="AD647">
        <v>132</v>
      </c>
    </row>
    <row r="648" spans="1:30" ht="17" x14ac:dyDescent="0.25">
      <c r="A648" s="1" t="s">
        <v>650</v>
      </c>
      <c r="B648" s="1" t="s">
        <v>3302</v>
      </c>
      <c r="C648" s="1" t="s">
        <v>1977</v>
      </c>
      <c r="D648" t="str">
        <f t="shared" si="93"/>
        <v>FF8081</v>
      </c>
      <c r="E648" t="str">
        <f t="shared" si="94"/>
        <v>255-128-129</v>
      </c>
      <c r="F648" t="str">
        <f t="shared" si="95"/>
        <v>255128129</v>
      </c>
      <c r="G648">
        <f t="shared" si="96"/>
        <v>255</v>
      </c>
      <c r="H648">
        <f t="shared" si="97"/>
        <v>128</v>
      </c>
      <c r="I648">
        <f t="shared" si="98"/>
        <v>129</v>
      </c>
      <c r="J648" t="str">
        <f t="shared" si="90"/>
        <v>VP",</v>
      </c>
      <c r="K648" t="str">
        <f t="shared" si="90"/>
        <v>Ventral posterior complex of the thalamus",</v>
      </c>
      <c r="L648" t="str">
        <f t="shared" si="91"/>
        <v>VP</v>
      </c>
      <c r="M648" t="str">
        <f t="shared" si="91"/>
        <v>Ventral posterior complex of the thalamus</v>
      </c>
      <c r="N648" t="s">
        <v>5754</v>
      </c>
      <c r="O648" t="s">
        <v>5755</v>
      </c>
      <c r="Q648" s="6">
        <v>946</v>
      </c>
      <c r="R648" s="6">
        <v>903</v>
      </c>
      <c r="S648" s="6" t="s">
        <v>6354</v>
      </c>
      <c r="T648" s="6" t="s">
        <v>6353</v>
      </c>
      <c r="U648" s="6">
        <v>386</v>
      </c>
      <c r="V648" s="6">
        <v>6</v>
      </c>
      <c r="W648" s="6" t="s">
        <v>7894</v>
      </c>
      <c r="Y648" t="s">
        <v>5754</v>
      </c>
      <c r="Z648" t="s">
        <v>5755</v>
      </c>
      <c r="AA648" s="6">
        <f t="shared" si="92"/>
        <v>709</v>
      </c>
      <c r="AB648">
        <v>255</v>
      </c>
      <c r="AC648">
        <v>128</v>
      </c>
      <c r="AD648">
        <v>129</v>
      </c>
    </row>
    <row r="649" spans="1:30" ht="17" x14ac:dyDescent="0.25">
      <c r="A649" s="1" t="s">
        <v>651</v>
      </c>
      <c r="B649" s="1" t="s">
        <v>3303</v>
      </c>
      <c r="C649" s="1" t="s">
        <v>1978</v>
      </c>
      <c r="D649" t="str">
        <f t="shared" si="93"/>
        <v>FD8084</v>
      </c>
      <c r="E649" t="str">
        <f t="shared" si="94"/>
        <v>253-128-132</v>
      </c>
      <c r="F649" t="str">
        <f t="shared" si="95"/>
        <v>253128132</v>
      </c>
      <c r="G649">
        <f t="shared" si="96"/>
        <v>253</v>
      </c>
      <c r="H649">
        <f t="shared" si="97"/>
        <v>128</v>
      </c>
      <c r="I649">
        <f t="shared" si="98"/>
        <v>132</v>
      </c>
      <c r="J649" t="str">
        <f t="shared" si="90"/>
        <v>VPL",</v>
      </c>
      <c r="K649" t="str">
        <f t="shared" si="90"/>
        <v>Ventral posterolateral nucleus of the thalamus",</v>
      </c>
      <c r="L649" t="str">
        <f t="shared" si="91"/>
        <v>VPL</v>
      </c>
      <c r="M649" t="str">
        <f t="shared" si="91"/>
        <v>Ventral posterolateral nucleus of the thalamus</v>
      </c>
      <c r="N649" t="s">
        <v>5756</v>
      </c>
      <c r="O649" t="s">
        <v>5757</v>
      </c>
      <c r="Q649" s="6">
        <v>947</v>
      </c>
      <c r="R649" s="6">
        <v>642</v>
      </c>
      <c r="S649" s="6" t="s">
        <v>6356</v>
      </c>
      <c r="T649" s="6" t="s">
        <v>6355</v>
      </c>
      <c r="U649" s="6">
        <v>386</v>
      </c>
      <c r="V649" s="6">
        <v>6</v>
      </c>
      <c r="W649" s="6" t="s">
        <v>7895</v>
      </c>
      <c r="Y649" t="s">
        <v>5756</v>
      </c>
      <c r="Z649" t="s">
        <v>5757</v>
      </c>
      <c r="AA649" s="6">
        <f t="shared" si="92"/>
        <v>718</v>
      </c>
      <c r="AB649">
        <v>253</v>
      </c>
      <c r="AC649">
        <v>128</v>
      </c>
      <c r="AD649">
        <v>132</v>
      </c>
    </row>
    <row r="650" spans="1:30" ht="17" x14ac:dyDescent="0.25">
      <c r="A650" s="1" t="s">
        <v>652</v>
      </c>
      <c r="B650" s="1" t="s">
        <v>3304</v>
      </c>
      <c r="C650" s="1" t="s">
        <v>1979</v>
      </c>
      <c r="D650" t="str">
        <f t="shared" si="93"/>
        <v>FF7F82</v>
      </c>
      <c r="E650" t="str">
        <f t="shared" si="94"/>
        <v>255-127-130</v>
      </c>
      <c r="F650" t="str">
        <f t="shared" si="95"/>
        <v>255127130</v>
      </c>
      <c r="G650">
        <f t="shared" si="96"/>
        <v>255</v>
      </c>
      <c r="H650">
        <f t="shared" si="97"/>
        <v>127</v>
      </c>
      <c r="I650">
        <f t="shared" si="98"/>
        <v>130</v>
      </c>
      <c r="J650" t="str">
        <f t="shared" si="90"/>
        <v>VPLpc",</v>
      </c>
      <c r="K650" t="str">
        <f t="shared" si="90"/>
        <v>Ventral posterolateral nucleus of the thalamus, parvicellular part",</v>
      </c>
      <c r="L650" t="str">
        <f t="shared" si="91"/>
        <v>VPLpc</v>
      </c>
      <c r="M650" t="str">
        <f t="shared" si="91"/>
        <v>Ventral posterolateral nucleus of the thalamus, parvicellular part</v>
      </c>
      <c r="N650" t="s">
        <v>5758</v>
      </c>
      <c r="O650" t="s">
        <v>5759</v>
      </c>
      <c r="Q650" s="6">
        <v>948</v>
      </c>
      <c r="R650" s="6">
        <v>651</v>
      </c>
      <c r="S650" s="6" t="s">
        <v>6358</v>
      </c>
      <c r="T650" s="6" t="s">
        <v>6357</v>
      </c>
      <c r="U650" s="6">
        <v>386</v>
      </c>
      <c r="V650" s="6">
        <v>6</v>
      </c>
      <c r="W650" s="6" t="s">
        <v>7896</v>
      </c>
      <c r="Y650" t="s">
        <v>5758</v>
      </c>
      <c r="Z650" t="s">
        <v>5759</v>
      </c>
      <c r="AA650" s="6">
        <f t="shared" si="92"/>
        <v>725</v>
      </c>
      <c r="AB650">
        <v>255</v>
      </c>
      <c r="AC650">
        <v>127</v>
      </c>
      <c r="AD650">
        <v>130</v>
      </c>
    </row>
    <row r="651" spans="1:30" ht="17" x14ac:dyDescent="0.25">
      <c r="A651" s="1" t="s">
        <v>653</v>
      </c>
      <c r="B651" s="1" t="s">
        <v>3305</v>
      </c>
      <c r="C651" s="1" t="s">
        <v>1980</v>
      </c>
      <c r="D651" t="str">
        <f t="shared" si="93"/>
        <v>FF7E83</v>
      </c>
      <c r="E651" t="str">
        <f t="shared" si="94"/>
        <v>255-126-131</v>
      </c>
      <c r="F651" t="str">
        <f t="shared" si="95"/>
        <v>255126131</v>
      </c>
      <c r="G651">
        <f t="shared" si="96"/>
        <v>255</v>
      </c>
      <c r="H651">
        <f t="shared" si="97"/>
        <v>126</v>
      </c>
      <c r="I651">
        <f t="shared" si="98"/>
        <v>131</v>
      </c>
      <c r="J651" t="str">
        <f t="shared" si="90"/>
        <v>VPM",</v>
      </c>
      <c r="K651" t="str">
        <f t="shared" si="90"/>
        <v>Ventral posteromedial nucleus of the thalamus",</v>
      </c>
      <c r="L651" t="str">
        <f t="shared" si="91"/>
        <v>VPM</v>
      </c>
      <c r="M651" t="str">
        <f t="shared" si="91"/>
        <v>Ventral posteromedial nucleus of the thalamus</v>
      </c>
      <c r="N651" t="s">
        <v>5760</v>
      </c>
      <c r="O651" t="s">
        <v>5761</v>
      </c>
      <c r="Q651" s="6">
        <v>954</v>
      </c>
      <c r="R651" s="6">
        <v>429</v>
      </c>
      <c r="S651" s="6" t="s">
        <v>6370</v>
      </c>
      <c r="T651" s="6" t="s">
        <v>6369</v>
      </c>
      <c r="U651" s="6">
        <v>386</v>
      </c>
      <c r="V651" s="6">
        <v>6</v>
      </c>
      <c r="W651" s="6" t="s">
        <v>7897</v>
      </c>
      <c r="Y651" t="s">
        <v>5760</v>
      </c>
      <c r="Z651" t="s">
        <v>5761</v>
      </c>
      <c r="AA651" s="6">
        <f t="shared" si="92"/>
        <v>733</v>
      </c>
      <c r="AB651">
        <v>255</v>
      </c>
      <c r="AC651">
        <v>126</v>
      </c>
      <c r="AD651">
        <v>131</v>
      </c>
    </row>
    <row r="652" spans="1:30" ht="17" x14ac:dyDescent="0.25">
      <c r="A652" s="1" t="s">
        <v>654</v>
      </c>
      <c r="B652" s="1" t="s">
        <v>3306</v>
      </c>
      <c r="C652" s="1" t="s">
        <v>1981</v>
      </c>
      <c r="D652" t="str">
        <f t="shared" si="93"/>
        <v>FE8082</v>
      </c>
      <c r="E652" t="str">
        <f t="shared" si="94"/>
        <v>254-128-130</v>
      </c>
      <c r="F652" t="str">
        <f t="shared" si="95"/>
        <v>254128130</v>
      </c>
      <c r="G652">
        <f t="shared" si="96"/>
        <v>254</v>
      </c>
      <c r="H652">
        <f t="shared" si="97"/>
        <v>128</v>
      </c>
      <c r="I652">
        <f t="shared" si="98"/>
        <v>130</v>
      </c>
      <c r="J652" t="str">
        <f t="shared" si="90"/>
        <v>VPMpc",</v>
      </c>
      <c r="K652" t="str">
        <f t="shared" si="90"/>
        <v>Ventral posteromedial nucleus of the thalamus, parvicellular part",</v>
      </c>
      <c r="L652" t="str">
        <f t="shared" si="91"/>
        <v>VPMpc</v>
      </c>
      <c r="M652" t="str">
        <f t="shared" si="91"/>
        <v>Ventral posteromedial nucleus of the thalamus, parvicellular part</v>
      </c>
      <c r="N652" t="s">
        <v>5762</v>
      </c>
      <c r="O652" t="s">
        <v>5763</v>
      </c>
      <c r="Q652" s="6">
        <v>955</v>
      </c>
      <c r="R652" s="6">
        <v>437</v>
      </c>
      <c r="S652" s="6" t="s">
        <v>6372</v>
      </c>
      <c r="T652" s="6" t="s">
        <v>6371</v>
      </c>
      <c r="U652" s="6">
        <v>386</v>
      </c>
      <c r="V652" s="6">
        <v>6</v>
      </c>
      <c r="W652" s="6" t="s">
        <v>7898</v>
      </c>
      <c r="Y652" t="s">
        <v>5762</v>
      </c>
      <c r="Z652" t="s">
        <v>5763</v>
      </c>
      <c r="AA652" s="6">
        <f t="shared" si="92"/>
        <v>741</v>
      </c>
      <c r="AB652">
        <v>254</v>
      </c>
      <c r="AC652">
        <v>128</v>
      </c>
      <c r="AD652">
        <v>130</v>
      </c>
    </row>
    <row r="653" spans="1:30" ht="17" x14ac:dyDescent="0.25">
      <c r="A653" s="1" t="s">
        <v>655</v>
      </c>
      <c r="B653" s="1" t="s">
        <v>3307</v>
      </c>
      <c r="C653" s="1" t="s">
        <v>1982</v>
      </c>
      <c r="D653" t="str">
        <f t="shared" si="93"/>
        <v>FF7E82</v>
      </c>
      <c r="E653" t="str">
        <f t="shared" si="94"/>
        <v>255-126-130</v>
      </c>
      <c r="F653" t="str">
        <f t="shared" si="95"/>
        <v>255126130</v>
      </c>
      <c r="G653">
        <f t="shared" si="96"/>
        <v>255</v>
      </c>
      <c r="H653">
        <f t="shared" si="97"/>
        <v>126</v>
      </c>
      <c r="I653">
        <f t="shared" si="98"/>
        <v>130</v>
      </c>
      <c r="J653" t="str">
        <f t="shared" si="90"/>
        <v>PoT",</v>
      </c>
      <c r="K653" t="str">
        <f t="shared" si="90"/>
        <v>Posterior triangular thalamic nucleus",</v>
      </c>
      <c r="L653" t="str">
        <f t="shared" si="91"/>
        <v>PoT</v>
      </c>
      <c r="M653" t="str">
        <f t="shared" si="91"/>
        <v>Posterior triangular thalamic nucleus</v>
      </c>
      <c r="N653" t="s">
        <v>5764</v>
      </c>
      <c r="O653" t="s">
        <v>5765</v>
      </c>
      <c r="Q653" s="6">
        <v>956</v>
      </c>
      <c r="R653" s="6">
        <v>445</v>
      </c>
      <c r="S653" s="6" t="s">
        <v>6374</v>
      </c>
      <c r="T653" s="6" t="s">
        <v>6373</v>
      </c>
      <c r="U653" s="6">
        <v>386</v>
      </c>
      <c r="V653" s="6">
        <v>6</v>
      </c>
      <c r="W653" s="6" t="s">
        <v>7899</v>
      </c>
      <c r="Y653" t="s">
        <v>5764</v>
      </c>
      <c r="Z653" t="s">
        <v>5765</v>
      </c>
      <c r="AA653" s="6">
        <f t="shared" si="92"/>
        <v>563807435</v>
      </c>
      <c r="AB653">
        <v>255</v>
      </c>
      <c r="AC653">
        <v>126</v>
      </c>
      <c r="AD653">
        <v>130</v>
      </c>
    </row>
    <row r="654" spans="1:30" ht="17" x14ac:dyDescent="0.25">
      <c r="A654" s="1" t="s">
        <v>656</v>
      </c>
      <c r="B654" s="1" t="s">
        <v>3308</v>
      </c>
      <c r="C654" s="1" t="s">
        <v>1983</v>
      </c>
      <c r="D654" t="str">
        <f t="shared" si="93"/>
        <v>FF8083</v>
      </c>
      <c r="E654" t="str">
        <f t="shared" si="94"/>
        <v>255-128-131</v>
      </c>
      <c r="F654" t="str">
        <f t="shared" si="95"/>
        <v>255128131</v>
      </c>
      <c r="G654">
        <f t="shared" si="96"/>
        <v>255</v>
      </c>
      <c r="H654">
        <f t="shared" si="97"/>
        <v>128</v>
      </c>
      <c r="I654">
        <f t="shared" si="98"/>
        <v>131</v>
      </c>
      <c r="J654" t="str">
        <f t="shared" si="90"/>
        <v>SPF",</v>
      </c>
      <c r="K654" t="str">
        <f t="shared" si="90"/>
        <v>Subparafascicular nucleus",</v>
      </c>
      <c r="L654" t="str">
        <f t="shared" si="91"/>
        <v>SPF</v>
      </c>
      <c r="M654" t="str">
        <f t="shared" si="91"/>
        <v>Subparafascicular nucleus</v>
      </c>
      <c r="N654" t="s">
        <v>5766</v>
      </c>
      <c r="O654" t="s">
        <v>5767</v>
      </c>
      <c r="Q654" s="6">
        <v>962</v>
      </c>
      <c r="R654" s="6">
        <v>589508451</v>
      </c>
      <c r="S654" s="6" t="s">
        <v>6386</v>
      </c>
      <c r="T654" s="6" t="s">
        <v>6385</v>
      </c>
      <c r="U654" s="6">
        <v>386</v>
      </c>
      <c r="V654" s="6">
        <v>6</v>
      </c>
      <c r="W654" s="6" t="s">
        <v>7900</v>
      </c>
      <c r="Y654" t="s">
        <v>5766</v>
      </c>
      <c r="Z654" t="s">
        <v>5767</v>
      </c>
      <c r="AA654" s="6">
        <f t="shared" si="92"/>
        <v>406</v>
      </c>
      <c r="AB654">
        <v>255</v>
      </c>
      <c r="AC654">
        <v>128</v>
      </c>
      <c r="AD654">
        <v>131</v>
      </c>
    </row>
    <row r="655" spans="1:30" ht="17" x14ac:dyDescent="0.25">
      <c r="A655" s="1" t="s">
        <v>657</v>
      </c>
      <c r="B655" s="1" t="s">
        <v>3309</v>
      </c>
      <c r="C655" s="1" t="s">
        <v>1984</v>
      </c>
      <c r="D655" t="str">
        <f t="shared" si="93"/>
        <v>FF7F84</v>
      </c>
      <c r="E655" t="str">
        <f t="shared" si="94"/>
        <v>255-127-132</v>
      </c>
      <c r="F655" t="str">
        <f t="shared" si="95"/>
        <v>255127132</v>
      </c>
      <c r="G655">
        <f t="shared" si="96"/>
        <v>255</v>
      </c>
      <c r="H655">
        <f t="shared" si="97"/>
        <v>127</v>
      </c>
      <c r="I655">
        <f t="shared" si="98"/>
        <v>132</v>
      </c>
      <c r="J655" t="str">
        <f t="shared" si="90"/>
        <v>SPFm",</v>
      </c>
      <c r="K655" t="str">
        <f t="shared" si="90"/>
        <v>Subparafascicular nucleus, magnocellular part",</v>
      </c>
      <c r="L655" t="str">
        <f t="shared" si="91"/>
        <v>SPFm</v>
      </c>
      <c r="M655" t="str">
        <f t="shared" si="91"/>
        <v>Subparafascicular nucleus, magnocellular part</v>
      </c>
      <c r="N655" t="s">
        <v>5768</v>
      </c>
      <c r="O655" t="s">
        <v>5769</v>
      </c>
      <c r="Q655" s="6">
        <v>964</v>
      </c>
      <c r="R655" s="6">
        <v>370</v>
      </c>
      <c r="S655" s="6" t="s">
        <v>6390</v>
      </c>
      <c r="T655" s="6" t="s">
        <v>6389</v>
      </c>
      <c r="U655" s="6">
        <v>354</v>
      </c>
      <c r="V655" s="6">
        <v>5</v>
      </c>
      <c r="W655" s="6" t="s">
        <v>7901</v>
      </c>
      <c r="Y655" t="s">
        <v>5768</v>
      </c>
      <c r="Z655" t="s">
        <v>5769</v>
      </c>
      <c r="AA655" s="6">
        <f t="shared" si="92"/>
        <v>414</v>
      </c>
      <c r="AB655">
        <v>255</v>
      </c>
      <c r="AC655">
        <v>127</v>
      </c>
      <c r="AD655">
        <v>132</v>
      </c>
    </row>
    <row r="656" spans="1:30" ht="17" x14ac:dyDescent="0.25">
      <c r="A656" s="1" t="s">
        <v>658</v>
      </c>
      <c r="B656" s="1" t="s">
        <v>3310</v>
      </c>
      <c r="C656" s="1" t="s">
        <v>1985</v>
      </c>
      <c r="D656" t="str">
        <f t="shared" si="93"/>
        <v>FE8084</v>
      </c>
      <c r="E656" t="str">
        <f t="shared" si="94"/>
        <v>254-128-132</v>
      </c>
      <c r="F656" t="str">
        <f t="shared" si="95"/>
        <v>254128132</v>
      </c>
      <c r="G656">
        <f t="shared" si="96"/>
        <v>254</v>
      </c>
      <c r="H656">
        <f t="shared" si="97"/>
        <v>128</v>
      </c>
      <c r="I656">
        <f t="shared" si="98"/>
        <v>132</v>
      </c>
      <c r="J656" t="str">
        <f t="shared" si="90"/>
        <v>SPFp",</v>
      </c>
      <c r="K656" t="str">
        <f t="shared" si="90"/>
        <v>Subparafascicular nucleus, parvicellular part",</v>
      </c>
      <c r="L656" t="str">
        <f t="shared" si="91"/>
        <v>SPFp</v>
      </c>
      <c r="M656" t="str">
        <f t="shared" si="91"/>
        <v>Subparafascicular nucleus, parvicellular part</v>
      </c>
      <c r="N656" t="s">
        <v>5770</v>
      </c>
      <c r="O656" t="s">
        <v>5771</v>
      </c>
      <c r="Q656" s="6">
        <v>965</v>
      </c>
      <c r="R656" s="6">
        <v>653</v>
      </c>
      <c r="S656" s="6" t="s">
        <v>6392</v>
      </c>
      <c r="T656" s="6" t="s">
        <v>6391</v>
      </c>
      <c r="U656" s="6">
        <v>370</v>
      </c>
      <c r="V656" s="6">
        <v>6</v>
      </c>
      <c r="W656" s="6" t="s">
        <v>7902</v>
      </c>
      <c r="Y656" t="s">
        <v>5770</v>
      </c>
      <c r="Z656" t="s">
        <v>5771</v>
      </c>
      <c r="AA656" s="6">
        <f t="shared" si="92"/>
        <v>422</v>
      </c>
      <c r="AB656">
        <v>254</v>
      </c>
      <c r="AC656">
        <v>128</v>
      </c>
      <c r="AD656">
        <v>132</v>
      </c>
    </row>
    <row r="657" spans="1:30" ht="17" x14ac:dyDescent="0.25">
      <c r="A657" s="1" t="s">
        <v>659</v>
      </c>
      <c r="B657" s="1" t="s">
        <v>3311</v>
      </c>
      <c r="C657" s="1" t="s">
        <v>1986</v>
      </c>
      <c r="D657" t="str">
        <f t="shared" si="93"/>
        <v>FE7F83</v>
      </c>
      <c r="E657" t="str">
        <f t="shared" si="94"/>
        <v>254-127-131</v>
      </c>
      <c r="F657" t="str">
        <f t="shared" si="95"/>
        <v>254127131</v>
      </c>
      <c r="G657">
        <f t="shared" si="96"/>
        <v>254</v>
      </c>
      <c r="H657">
        <f t="shared" si="97"/>
        <v>127</v>
      </c>
      <c r="I657">
        <f t="shared" si="98"/>
        <v>131</v>
      </c>
      <c r="J657" t="str">
        <f t="shared" si="90"/>
        <v>SPA",</v>
      </c>
      <c r="K657" t="str">
        <f t="shared" si="90"/>
        <v>Subparafascicular area",</v>
      </c>
      <c r="L657" t="str">
        <f t="shared" si="91"/>
        <v>SPA</v>
      </c>
      <c r="M657" t="str">
        <f t="shared" si="91"/>
        <v>Subparafascicular area</v>
      </c>
      <c r="N657" t="s">
        <v>5772</v>
      </c>
      <c r="O657" t="s">
        <v>5773</v>
      </c>
      <c r="Q657" s="6">
        <v>967</v>
      </c>
      <c r="R657" s="6">
        <v>661</v>
      </c>
      <c r="S657" s="6" t="s">
        <v>6396</v>
      </c>
      <c r="T657" s="6" t="s">
        <v>6395</v>
      </c>
      <c r="U657" s="6">
        <v>370</v>
      </c>
      <c r="V657" s="6">
        <v>6</v>
      </c>
      <c r="W657" s="6" t="s">
        <v>7903</v>
      </c>
      <c r="Y657" t="s">
        <v>5772</v>
      </c>
      <c r="Z657" t="s">
        <v>5773</v>
      </c>
      <c r="AA657" s="6">
        <f t="shared" si="92"/>
        <v>609</v>
      </c>
      <c r="AB657">
        <v>254</v>
      </c>
      <c r="AC657">
        <v>127</v>
      </c>
      <c r="AD657">
        <v>131</v>
      </c>
    </row>
    <row r="658" spans="1:30" ht="17" x14ac:dyDescent="0.25">
      <c r="A658" s="1" t="s">
        <v>660</v>
      </c>
      <c r="B658" s="1" t="s">
        <v>3312</v>
      </c>
      <c r="C658" s="1" t="s">
        <v>1987</v>
      </c>
      <c r="D658" t="str">
        <f t="shared" si="93"/>
        <v>FD7F84</v>
      </c>
      <c r="E658" t="str">
        <f t="shared" si="94"/>
        <v>253-127-132</v>
      </c>
      <c r="F658" t="str">
        <f t="shared" si="95"/>
        <v>253127132</v>
      </c>
      <c r="G658">
        <f t="shared" si="96"/>
        <v>253</v>
      </c>
      <c r="H658">
        <f t="shared" si="97"/>
        <v>127</v>
      </c>
      <c r="I658">
        <f t="shared" si="98"/>
        <v>132</v>
      </c>
      <c r="J658" t="str">
        <f t="shared" si="90"/>
        <v>PP",</v>
      </c>
      <c r="K658" t="str">
        <f t="shared" si="90"/>
        <v>Peripeduncular nucleus",</v>
      </c>
      <c r="L658" t="str">
        <f t="shared" si="91"/>
        <v>PP</v>
      </c>
      <c r="M658" t="str">
        <f t="shared" si="91"/>
        <v>Peripeduncular nucleus</v>
      </c>
      <c r="N658" t="s">
        <v>5774</v>
      </c>
      <c r="O658" t="s">
        <v>5775</v>
      </c>
      <c r="Q658" s="6">
        <v>968</v>
      </c>
      <c r="R658" s="6">
        <v>576</v>
      </c>
      <c r="S658" s="6" t="s">
        <v>6398</v>
      </c>
      <c r="T658" s="6" t="s">
        <v>6397</v>
      </c>
      <c r="U658" s="6">
        <v>370</v>
      </c>
      <c r="V658" s="6">
        <v>6</v>
      </c>
      <c r="W658" s="6" t="s">
        <v>7904</v>
      </c>
      <c r="Y658" t="s">
        <v>5774</v>
      </c>
      <c r="Z658" t="s">
        <v>5775</v>
      </c>
      <c r="AA658" s="6">
        <f t="shared" si="92"/>
        <v>1044</v>
      </c>
      <c r="AB658">
        <v>253</v>
      </c>
      <c r="AC658">
        <v>127</v>
      </c>
      <c r="AD658">
        <v>132</v>
      </c>
    </row>
    <row r="659" spans="1:30" ht="17" x14ac:dyDescent="0.25">
      <c r="A659" s="1" t="s">
        <v>661</v>
      </c>
      <c r="B659" s="1" t="s">
        <v>3313</v>
      </c>
      <c r="C659" s="1" t="s">
        <v>1988</v>
      </c>
      <c r="D659" t="str">
        <f t="shared" si="93"/>
        <v>FD8083</v>
      </c>
      <c r="E659" t="str">
        <f t="shared" si="94"/>
        <v>253-128-131</v>
      </c>
      <c r="F659" t="str">
        <f t="shared" si="95"/>
        <v>253128131</v>
      </c>
      <c r="G659">
        <f t="shared" si="96"/>
        <v>253</v>
      </c>
      <c r="H659">
        <f t="shared" si="97"/>
        <v>128</v>
      </c>
      <c r="I659">
        <f t="shared" si="98"/>
        <v>131</v>
      </c>
      <c r="J659" t="str">
        <f t="shared" si="90"/>
        <v>GENd",</v>
      </c>
      <c r="K659" t="str">
        <f t="shared" si="90"/>
        <v>Geniculate group, dorsal thalamus",</v>
      </c>
      <c r="L659" t="str">
        <f t="shared" si="91"/>
        <v>GENd</v>
      </c>
      <c r="M659" t="str">
        <f t="shared" si="91"/>
        <v>Geniculate group, dorsal thalamus</v>
      </c>
      <c r="N659" t="s">
        <v>5776</v>
      </c>
      <c r="O659" t="s">
        <v>5777</v>
      </c>
      <c r="Q659" s="6">
        <v>970</v>
      </c>
      <c r="R659" s="6">
        <v>135</v>
      </c>
      <c r="S659" s="6" t="s">
        <v>6402</v>
      </c>
      <c r="T659" s="6" t="s">
        <v>6401</v>
      </c>
      <c r="U659" s="6">
        <v>370</v>
      </c>
      <c r="V659" s="6">
        <v>6</v>
      </c>
      <c r="W659" s="6" t="s">
        <v>7905</v>
      </c>
      <c r="Y659" t="s">
        <v>5776</v>
      </c>
      <c r="Z659" t="s">
        <v>5777</v>
      </c>
      <c r="AA659" s="6">
        <f t="shared" si="92"/>
        <v>1008</v>
      </c>
      <c r="AB659">
        <v>253</v>
      </c>
      <c r="AC659">
        <v>128</v>
      </c>
      <c r="AD659">
        <v>131</v>
      </c>
    </row>
    <row r="660" spans="1:30" ht="17" x14ac:dyDescent="0.25">
      <c r="A660" s="1" t="s">
        <v>662</v>
      </c>
      <c r="B660" s="1" t="s">
        <v>3314</v>
      </c>
      <c r="C660" s="1" t="s">
        <v>1989</v>
      </c>
      <c r="D660" t="str">
        <f t="shared" si="93"/>
        <v>FF7F83</v>
      </c>
      <c r="E660" t="str">
        <f t="shared" si="94"/>
        <v>255-127-131</v>
      </c>
      <c r="F660" t="str">
        <f t="shared" si="95"/>
        <v>255127131</v>
      </c>
      <c r="G660">
        <f t="shared" si="96"/>
        <v>255</v>
      </c>
      <c r="H660">
        <f t="shared" si="97"/>
        <v>127</v>
      </c>
      <c r="I660">
        <f t="shared" si="98"/>
        <v>131</v>
      </c>
      <c r="J660" t="str">
        <f t="shared" si="90"/>
        <v>MG",</v>
      </c>
      <c r="K660" t="str">
        <f t="shared" si="90"/>
        <v>Medial geniculate complex",</v>
      </c>
      <c r="L660" t="str">
        <f t="shared" si="91"/>
        <v>MG</v>
      </c>
      <c r="M660" t="str">
        <f t="shared" si="91"/>
        <v>Medial geniculate complex</v>
      </c>
      <c r="N660" t="s">
        <v>5778</v>
      </c>
      <c r="O660" t="s">
        <v>5779</v>
      </c>
      <c r="Q660" s="6">
        <v>971</v>
      </c>
      <c r="R660" s="6">
        <v>939</v>
      </c>
      <c r="S660" s="6" t="s">
        <v>6404</v>
      </c>
      <c r="T660" s="6" t="s">
        <v>6403</v>
      </c>
      <c r="U660" s="6">
        <v>135</v>
      </c>
      <c r="V660" s="6">
        <v>7</v>
      </c>
      <c r="W660" s="6" t="s">
        <v>7906</v>
      </c>
      <c r="Y660" t="s">
        <v>5778</v>
      </c>
      <c r="Z660" t="s">
        <v>5779</v>
      </c>
      <c r="AA660" s="6">
        <f t="shared" si="92"/>
        <v>475</v>
      </c>
      <c r="AB660">
        <v>255</v>
      </c>
      <c r="AC660">
        <v>127</v>
      </c>
      <c r="AD660">
        <v>131</v>
      </c>
    </row>
    <row r="661" spans="1:30" ht="17" x14ac:dyDescent="0.25">
      <c r="A661" s="1" t="s">
        <v>663</v>
      </c>
      <c r="B661" s="1" t="s">
        <v>3315</v>
      </c>
      <c r="C661" s="1" t="s">
        <v>1990</v>
      </c>
      <c r="D661" t="str">
        <f t="shared" si="93"/>
        <v>FE7F82</v>
      </c>
      <c r="E661" t="str">
        <f t="shared" si="94"/>
        <v>254-127-130</v>
      </c>
      <c r="F661" t="str">
        <f t="shared" si="95"/>
        <v>254127130</v>
      </c>
      <c r="G661">
        <f t="shared" si="96"/>
        <v>254</v>
      </c>
      <c r="H661">
        <f t="shared" si="97"/>
        <v>127</v>
      </c>
      <c r="I661">
        <f t="shared" si="98"/>
        <v>130</v>
      </c>
      <c r="J661" t="str">
        <f t="shared" si="90"/>
        <v>MGd",</v>
      </c>
      <c r="K661" t="str">
        <f t="shared" si="90"/>
        <v>Medial geniculate complex, dorsal part",</v>
      </c>
      <c r="L661" t="str">
        <f t="shared" si="91"/>
        <v>MGd</v>
      </c>
      <c r="M661" t="str">
        <f t="shared" si="91"/>
        <v>Medial geniculate complex, dorsal part</v>
      </c>
      <c r="N661" t="s">
        <v>5780</v>
      </c>
      <c r="O661" t="s">
        <v>5781</v>
      </c>
      <c r="Q661" s="6">
        <v>972</v>
      </c>
      <c r="R661" s="6">
        <v>143</v>
      </c>
      <c r="S661" s="6" t="s">
        <v>6406</v>
      </c>
      <c r="T661" s="6" t="s">
        <v>6405</v>
      </c>
      <c r="U661" s="6">
        <v>135</v>
      </c>
      <c r="V661" s="6">
        <v>7</v>
      </c>
      <c r="W661" s="6" t="s">
        <v>7907</v>
      </c>
      <c r="Y661" t="s">
        <v>5780</v>
      </c>
      <c r="Z661" t="s">
        <v>5781</v>
      </c>
      <c r="AA661" s="6">
        <f t="shared" si="92"/>
        <v>1072</v>
      </c>
      <c r="AB661">
        <v>254</v>
      </c>
      <c r="AC661">
        <v>127</v>
      </c>
      <c r="AD661">
        <v>130</v>
      </c>
    </row>
    <row r="662" spans="1:30" ht="17" x14ac:dyDescent="0.25">
      <c r="A662" s="1" t="s">
        <v>664</v>
      </c>
      <c r="B662" s="1" t="s">
        <v>3316</v>
      </c>
      <c r="C662" s="1" t="s">
        <v>1991</v>
      </c>
      <c r="D662" t="str">
        <f t="shared" si="93"/>
        <v>FE7E83</v>
      </c>
      <c r="E662" t="str">
        <f t="shared" si="94"/>
        <v>254-126-131</v>
      </c>
      <c r="F662" t="str">
        <f t="shared" si="95"/>
        <v>254126131</v>
      </c>
      <c r="G662">
        <f t="shared" si="96"/>
        <v>254</v>
      </c>
      <c r="H662">
        <f t="shared" si="97"/>
        <v>126</v>
      </c>
      <c r="I662">
        <f t="shared" si="98"/>
        <v>131</v>
      </c>
      <c r="J662" t="str">
        <f t="shared" si="90"/>
        <v>MGv",</v>
      </c>
      <c r="K662" t="str">
        <f t="shared" si="90"/>
        <v>Medial geniculate complex, ventral part",</v>
      </c>
      <c r="L662" t="str">
        <f t="shared" si="91"/>
        <v>MGv</v>
      </c>
      <c r="M662" t="str">
        <f t="shared" si="91"/>
        <v>Medial geniculate complex, ventral part</v>
      </c>
      <c r="N662" t="s">
        <v>5782</v>
      </c>
      <c r="O662" t="s">
        <v>5783</v>
      </c>
      <c r="Q662" s="6">
        <v>973</v>
      </c>
      <c r="R662" s="6">
        <v>839</v>
      </c>
      <c r="S662" s="6" t="s">
        <v>6408</v>
      </c>
      <c r="T662" s="6" t="s">
        <v>6407</v>
      </c>
      <c r="U662" s="6">
        <v>370</v>
      </c>
      <c r="V662" s="6">
        <v>6</v>
      </c>
      <c r="W662" s="6" t="s">
        <v>7908</v>
      </c>
      <c r="Y662" t="s">
        <v>5782</v>
      </c>
      <c r="Z662" t="s">
        <v>5783</v>
      </c>
      <c r="AA662" s="6">
        <f t="shared" si="92"/>
        <v>1079</v>
      </c>
      <c r="AB662">
        <v>254</v>
      </c>
      <c r="AC662">
        <v>126</v>
      </c>
      <c r="AD662">
        <v>131</v>
      </c>
    </row>
    <row r="663" spans="1:30" ht="17" x14ac:dyDescent="0.25">
      <c r="A663" s="1" t="s">
        <v>665</v>
      </c>
      <c r="B663" s="1" t="s">
        <v>3317</v>
      </c>
      <c r="C663" s="1" t="s">
        <v>1992</v>
      </c>
      <c r="D663" t="str">
        <f t="shared" si="93"/>
        <v>FD7F83</v>
      </c>
      <c r="E663" t="str">
        <f t="shared" si="94"/>
        <v>253-127-131</v>
      </c>
      <c r="F663" t="str">
        <f t="shared" si="95"/>
        <v>253127131</v>
      </c>
      <c r="G663">
        <f t="shared" si="96"/>
        <v>253</v>
      </c>
      <c r="H663">
        <f t="shared" si="97"/>
        <v>127</v>
      </c>
      <c r="I663">
        <f t="shared" si="98"/>
        <v>131</v>
      </c>
      <c r="J663" t="str">
        <f t="shared" si="90"/>
        <v>MGm",</v>
      </c>
      <c r="K663" t="str">
        <f t="shared" si="90"/>
        <v>Medial geniculate complex, medial part",</v>
      </c>
      <c r="L663" t="str">
        <f t="shared" si="91"/>
        <v>MGm</v>
      </c>
      <c r="M663" t="str">
        <f t="shared" si="91"/>
        <v>Medial geniculate complex, medial part</v>
      </c>
      <c r="N663" t="s">
        <v>5784</v>
      </c>
      <c r="O663" t="s">
        <v>5785</v>
      </c>
      <c r="Q663" s="6">
        <v>975</v>
      </c>
      <c r="R663" s="6">
        <v>1048</v>
      </c>
      <c r="S663" s="6" t="s">
        <v>6412</v>
      </c>
      <c r="T663" s="6" t="s">
        <v>6411</v>
      </c>
      <c r="U663" s="6">
        <v>370</v>
      </c>
      <c r="V663" s="6">
        <v>6</v>
      </c>
      <c r="W663" s="6" t="s">
        <v>7909</v>
      </c>
      <c r="Y663" t="s">
        <v>5784</v>
      </c>
      <c r="Z663" t="s">
        <v>5785</v>
      </c>
      <c r="AA663" s="6">
        <f t="shared" si="92"/>
        <v>1088</v>
      </c>
      <c r="AB663">
        <v>253</v>
      </c>
      <c r="AC663">
        <v>127</v>
      </c>
      <c r="AD663">
        <v>131</v>
      </c>
    </row>
    <row r="664" spans="1:30" ht="17" x14ac:dyDescent="0.25">
      <c r="A664" s="1" t="s">
        <v>666</v>
      </c>
      <c r="B664" s="1" t="s">
        <v>3318</v>
      </c>
      <c r="C664" s="1" t="s">
        <v>1993</v>
      </c>
      <c r="D664" t="str">
        <f t="shared" si="93"/>
        <v>FF8084</v>
      </c>
      <c r="E664" t="str">
        <f t="shared" si="94"/>
        <v>255-128-132</v>
      </c>
      <c r="F664" t="str">
        <f t="shared" si="95"/>
        <v>255128132</v>
      </c>
      <c r="G664">
        <f t="shared" si="96"/>
        <v>255</v>
      </c>
      <c r="H664">
        <f t="shared" si="97"/>
        <v>128</v>
      </c>
      <c r="I664">
        <f t="shared" si="98"/>
        <v>132</v>
      </c>
      <c r="J664" t="str">
        <f t="shared" si="90"/>
        <v>LGd",</v>
      </c>
      <c r="K664" t="str">
        <f t="shared" si="90"/>
        <v>Dorsal part of the lateral geniculate complex",</v>
      </c>
      <c r="L664" t="str">
        <f t="shared" si="91"/>
        <v>LGd</v>
      </c>
      <c r="M664" t="str">
        <f t="shared" si="91"/>
        <v>Dorsal part of the lateral geniculate complex</v>
      </c>
      <c r="N664" t="s">
        <v>5786</v>
      </c>
      <c r="O664" t="s">
        <v>5787</v>
      </c>
      <c r="Q664" s="6">
        <v>976</v>
      </c>
      <c r="R664" s="6">
        <v>372</v>
      </c>
      <c r="S664" s="6" t="s">
        <v>6414</v>
      </c>
      <c r="T664" s="6" t="s">
        <v>6413</v>
      </c>
      <c r="U664" s="6">
        <v>370</v>
      </c>
      <c r="V664" s="6">
        <v>6</v>
      </c>
      <c r="W664" s="6" t="s">
        <v>7910</v>
      </c>
      <c r="Y664" t="s">
        <v>5786</v>
      </c>
      <c r="Z664" t="s">
        <v>5787</v>
      </c>
      <c r="AA664" s="6">
        <f t="shared" si="92"/>
        <v>170</v>
      </c>
      <c r="AB664">
        <v>255</v>
      </c>
      <c r="AC664">
        <v>128</v>
      </c>
      <c r="AD664">
        <v>132</v>
      </c>
    </row>
    <row r="665" spans="1:30" ht="17" x14ac:dyDescent="0.25">
      <c r="A665" s="1" t="s">
        <v>667</v>
      </c>
      <c r="B665" s="1" t="s">
        <v>3319</v>
      </c>
      <c r="C665" s="1" t="s">
        <v>1994</v>
      </c>
      <c r="D665" t="str">
        <f t="shared" si="93"/>
        <v>FE8083</v>
      </c>
      <c r="E665" t="str">
        <f t="shared" si="94"/>
        <v>254-128-131</v>
      </c>
      <c r="F665" t="str">
        <f t="shared" si="95"/>
        <v>254128131</v>
      </c>
      <c r="G665">
        <f t="shared" si="96"/>
        <v>254</v>
      </c>
      <c r="H665">
        <f t="shared" si="97"/>
        <v>128</v>
      </c>
      <c r="I665">
        <f t="shared" si="98"/>
        <v>131</v>
      </c>
      <c r="J665" t="str">
        <f t="shared" si="90"/>
        <v>LGd-sh",</v>
      </c>
      <c r="K665" t="str">
        <f t="shared" si="90"/>
        <v>Dorsal part of the lateral geniculate complex, shell",</v>
      </c>
      <c r="L665" t="str">
        <f t="shared" si="91"/>
        <v>LGd-sh</v>
      </c>
      <c r="M665" t="str">
        <f t="shared" si="91"/>
        <v>Dorsal part of the lateral geniculate complex, shell</v>
      </c>
      <c r="N665" t="s">
        <v>5788</v>
      </c>
      <c r="O665" t="s">
        <v>5789</v>
      </c>
      <c r="Q665" s="6">
        <v>977</v>
      </c>
      <c r="R665" s="6">
        <v>83</v>
      </c>
      <c r="S665" s="6" t="s">
        <v>6416</v>
      </c>
      <c r="T665" s="6" t="s">
        <v>6415</v>
      </c>
      <c r="U665" s="6">
        <v>370</v>
      </c>
      <c r="V665" s="6">
        <v>6</v>
      </c>
      <c r="W665" s="6" t="s">
        <v>7911</v>
      </c>
      <c r="Y665" t="s">
        <v>5788</v>
      </c>
      <c r="Z665" t="s">
        <v>5789</v>
      </c>
      <c r="AA665" s="6">
        <f t="shared" si="92"/>
        <v>549</v>
      </c>
      <c r="AB665">
        <v>254</v>
      </c>
      <c r="AC665">
        <v>128</v>
      </c>
      <c r="AD665">
        <v>131</v>
      </c>
    </row>
    <row r="666" spans="1:30" ht="17" x14ac:dyDescent="0.25">
      <c r="A666" s="1" t="s">
        <v>668</v>
      </c>
      <c r="B666" s="1" t="s">
        <v>3320</v>
      </c>
      <c r="C666" s="1" t="s">
        <v>1995</v>
      </c>
      <c r="D666" t="str">
        <f t="shared" si="93"/>
        <v>FE7F84</v>
      </c>
      <c r="E666" t="str">
        <f t="shared" si="94"/>
        <v>254-127-132</v>
      </c>
      <c r="F666" t="str">
        <f t="shared" si="95"/>
        <v>254127132</v>
      </c>
      <c r="G666">
        <f t="shared" si="96"/>
        <v>254</v>
      </c>
      <c r="H666">
        <f t="shared" si="97"/>
        <v>127</v>
      </c>
      <c r="I666">
        <f t="shared" si="98"/>
        <v>132</v>
      </c>
      <c r="J666" t="str">
        <f t="shared" si="90"/>
        <v>LGd-co",</v>
      </c>
      <c r="K666" t="str">
        <f t="shared" si="90"/>
        <v>Dorsal part of the lateral geniculate complex, core",</v>
      </c>
      <c r="L666" t="str">
        <f t="shared" si="91"/>
        <v>LGd-co</v>
      </c>
      <c r="M666" t="str">
        <f t="shared" si="91"/>
        <v>Dorsal part of the lateral geniculate complex, core</v>
      </c>
      <c r="N666" t="s">
        <v>5790</v>
      </c>
      <c r="O666" t="s">
        <v>5791</v>
      </c>
      <c r="Q666" s="6">
        <v>978</v>
      </c>
      <c r="R666" s="6">
        <v>136</v>
      </c>
      <c r="S666" s="6" t="s">
        <v>6418</v>
      </c>
      <c r="T666" s="6" t="s">
        <v>6417</v>
      </c>
      <c r="U666" s="6">
        <v>370</v>
      </c>
      <c r="V666" s="6">
        <v>6</v>
      </c>
      <c r="W666" s="6" t="s">
        <v>7912</v>
      </c>
      <c r="Y666" t="s">
        <v>5790</v>
      </c>
      <c r="Z666" t="s">
        <v>5791</v>
      </c>
      <c r="AA666" s="6">
        <f t="shared" si="92"/>
        <v>496345668</v>
      </c>
      <c r="AB666">
        <v>254</v>
      </c>
      <c r="AC666">
        <v>127</v>
      </c>
      <c r="AD666">
        <v>132</v>
      </c>
    </row>
    <row r="667" spans="1:30" ht="17" x14ac:dyDescent="0.25">
      <c r="A667" s="1" t="s">
        <v>669</v>
      </c>
      <c r="B667" s="1" t="s">
        <v>3321</v>
      </c>
      <c r="C667" s="1" t="s">
        <v>1996</v>
      </c>
      <c r="D667" t="str">
        <f t="shared" si="93"/>
        <v>FD8082</v>
      </c>
      <c r="E667" t="str">
        <f t="shared" si="94"/>
        <v>253-128-130</v>
      </c>
      <c r="F667" t="str">
        <f t="shared" si="95"/>
        <v>253128130</v>
      </c>
      <c r="G667">
        <f t="shared" si="96"/>
        <v>253</v>
      </c>
      <c r="H667">
        <f t="shared" si="97"/>
        <v>128</v>
      </c>
      <c r="I667">
        <f t="shared" si="98"/>
        <v>130</v>
      </c>
      <c r="J667" t="str">
        <f t="shared" si="90"/>
        <v>LGd-ip",</v>
      </c>
      <c r="K667" t="str">
        <f t="shared" si="90"/>
        <v>Dorsal part of the lateral geniculate complex, ipsilateral zone",</v>
      </c>
      <c r="L667" t="str">
        <f t="shared" si="91"/>
        <v>LGd-ip</v>
      </c>
      <c r="M667" t="str">
        <f t="shared" si="91"/>
        <v>Dorsal part of the lateral geniculate complex, ipsilateral zone</v>
      </c>
      <c r="N667" t="s">
        <v>5792</v>
      </c>
      <c r="O667" t="s">
        <v>5793</v>
      </c>
      <c r="Q667" s="6">
        <v>979</v>
      </c>
      <c r="R667" s="6">
        <v>106</v>
      </c>
      <c r="S667" s="6" t="s">
        <v>6420</v>
      </c>
      <c r="T667" s="6" t="s">
        <v>6419</v>
      </c>
      <c r="U667" s="6">
        <v>370</v>
      </c>
      <c r="V667" s="6">
        <v>6</v>
      </c>
      <c r="W667" s="6" t="s">
        <v>7913</v>
      </c>
      <c r="Y667" t="s">
        <v>5792</v>
      </c>
      <c r="Z667" t="s">
        <v>5793</v>
      </c>
      <c r="AA667" s="6">
        <f t="shared" si="92"/>
        <v>496345672</v>
      </c>
      <c r="AB667">
        <v>253</v>
      </c>
      <c r="AC667">
        <v>128</v>
      </c>
      <c r="AD667">
        <v>130</v>
      </c>
    </row>
    <row r="668" spans="1:30" ht="17" x14ac:dyDescent="0.25">
      <c r="A668" s="1" t="s">
        <v>670</v>
      </c>
      <c r="B668" s="1" t="s">
        <v>3322</v>
      </c>
      <c r="C668" s="1" t="s">
        <v>1997</v>
      </c>
      <c r="D668" t="str">
        <f t="shared" si="93"/>
        <v>FE909C</v>
      </c>
      <c r="E668" t="str">
        <f t="shared" si="94"/>
        <v>254-144-156</v>
      </c>
      <c r="F668" t="str">
        <f t="shared" si="95"/>
        <v>254144156</v>
      </c>
      <c r="G668">
        <f t="shared" si="96"/>
        <v>254</v>
      </c>
      <c r="H668">
        <f t="shared" si="97"/>
        <v>144</v>
      </c>
      <c r="I668">
        <f t="shared" si="98"/>
        <v>156</v>
      </c>
      <c r="J668" t="str">
        <f t="shared" si="90"/>
        <v>DORpm",</v>
      </c>
      <c r="K668" t="str">
        <f t="shared" si="90"/>
        <v>Thalamus, polymodal association cortex related",</v>
      </c>
      <c r="L668" t="str">
        <f t="shared" si="91"/>
        <v>DORpm</v>
      </c>
      <c r="M668" t="str">
        <f t="shared" si="91"/>
        <v>Thalamus, polymodal association cortex related</v>
      </c>
      <c r="N668" t="s">
        <v>5794</v>
      </c>
      <c r="O668" t="s">
        <v>5795</v>
      </c>
      <c r="Q668" s="6">
        <v>980</v>
      </c>
      <c r="R668" s="6">
        <v>203</v>
      </c>
      <c r="S668" s="6" t="s">
        <v>6422</v>
      </c>
      <c r="T668" s="6" t="s">
        <v>6421</v>
      </c>
      <c r="U668" s="6">
        <v>370</v>
      </c>
      <c r="V668" s="6">
        <v>6</v>
      </c>
      <c r="W668" s="6" t="s">
        <v>7914</v>
      </c>
      <c r="Y668" t="s">
        <v>5794</v>
      </c>
      <c r="Z668" t="s">
        <v>5795</v>
      </c>
      <c r="AA668" s="6">
        <f t="shared" si="92"/>
        <v>856</v>
      </c>
      <c r="AB668">
        <v>254</v>
      </c>
      <c r="AC668">
        <v>144</v>
      </c>
      <c r="AD668">
        <v>156</v>
      </c>
    </row>
    <row r="669" spans="1:30" ht="17" x14ac:dyDescent="0.25">
      <c r="A669" s="1" t="s">
        <v>671</v>
      </c>
      <c r="B669" s="1" t="s">
        <v>3323</v>
      </c>
      <c r="C669" s="1" t="s">
        <v>1998</v>
      </c>
      <c r="D669" t="str">
        <f t="shared" si="93"/>
        <v>FE8F9F</v>
      </c>
      <c r="E669" t="str">
        <f t="shared" si="94"/>
        <v>254-143-159</v>
      </c>
      <c r="F669" t="str">
        <f t="shared" si="95"/>
        <v>254143159</v>
      </c>
      <c r="G669">
        <f t="shared" si="96"/>
        <v>254</v>
      </c>
      <c r="H669">
        <f t="shared" si="97"/>
        <v>143</v>
      </c>
      <c r="I669">
        <f t="shared" si="98"/>
        <v>159</v>
      </c>
      <c r="J669" t="str">
        <f t="shared" si="90"/>
        <v>LAT",</v>
      </c>
      <c r="K669" t="str">
        <f t="shared" si="90"/>
        <v>Lateral group of the dorsal thalamus",</v>
      </c>
      <c r="L669" t="str">
        <f t="shared" si="91"/>
        <v>LAT</v>
      </c>
      <c r="M669" t="str">
        <f t="shared" si="91"/>
        <v>Lateral group of the dorsal thalamus</v>
      </c>
      <c r="N669" t="s">
        <v>5796</v>
      </c>
      <c r="O669" t="s">
        <v>5797</v>
      </c>
      <c r="Q669" s="6">
        <v>981</v>
      </c>
      <c r="R669" s="6">
        <v>235</v>
      </c>
      <c r="S669" s="6" t="s">
        <v>6424</v>
      </c>
      <c r="T669" s="6" t="s">
        <v>6423</v>
      </c>
      <c r="U669" s="6">
        <v>370</v>
      </c>
      <c r="V669" s="6">
        <v>6</v>
      </c>
      <c r="W669" s="6" t="s">
        <v>7915</v>
      </c>
      <c r="Y669" t="s">
        <v>5796</v>
      </c>
      <c r="Z669" t="s">
        <v>5797</v>
      </c>
      <c r="AA669" s="6">
        <f t="shared" si="92"/>
        <v>138</v>
      </c>
      <c r="AB669">
        <v>254</v>
      </c>
      <c r="AC669">
        <v>143</v>
      </c>
      <c r="AD669">
        <v>159</v>
      </c>
    </row>
    <row r="670" spans="1:30" ht="17" x14ac:dyDescent="0.25">
      <c r="A670" s="1" t="s">
        <v>672</v>
      </c>
      <c r="B670" s="1" t="s">
        <v>3324</v>
      </c>
      <c r="C670" s="1" t="s">
        <v>1999</v>
      </c>
      <c r="D670" t="str">
        <f t="shared" si="93"/>
        <v>FE909D</v>
      </c>
      <c r="E670" t="str">
        <f t="shared" si="94"/>
        <v>254-144-157</v>
      </c>
      <c r="F670" t="str">
        <f t="shared" si="95"/>
        <v>254144157</v>
      </c>
      <c r="G670">
        <f t="shared" si="96"/>
        <v>254</v>
      </c>
      <c r="H670">
        <f t="shared" si="97"/>
        <v>144</v>
      </c>
      <c r="I670">
        <f t="shared" si="98"/>
        <v>157</v>
      </c>
      <c r="J670" t="str">
        <f t="shared" si="90"/>
        <v>LP",</v>
      </c>
      <c r="K670" t="str">
        <f t="shared" si="90"/>
        <v>Lateral posterior nucleus of the thalamus",</v>
      </c>
      <c r="L670" t="str">
        <f t="shared" si="91"/>
        <v>LP</v>
      </c>
      <c r="M670" t="str">
        <f t="shared" si="91"/>
        <v>Lateral posterior nucleus of the thalamus</v>
      </c>
      <c r="N670" t="s">
        <v>5798</v>
      </c>
      <c r="O670" t="s">
        <v>5799</v>
      </c>
      <c r="Q670" s="6">
        <v>982</v>
      </c>
      <c r="R670" s="6">
        <v>955</v>
      </c>
      <c r="S670" s="6" t="s">
        <v>6426</v>
      </c>
      <c r="T670" s="6" t="s">
        <v>6425</v>
      </c>
      <c r="U670" s="6">
        <v>235</v>
      </c>
      <c r="V670" s="6">
        <v>7</v>
      </c>
      <c r="W670" s="6" t="s">
        <v>7916</v>
      </c>
      <c r="Y670" t="s">
        <v>5798</v>
      </c>
      <c r="Z670" t="s">
        <v>5799</v>
      </c>
      <c r="AA670" s="6">
        <f t="shared" si="92"/>
        <v>218</v>
      </c>
      <c r="AB670">
        <v>254</v>
      </c>
      <c r="AC670">
        <v>144</v>
      </c>
      <c r="AD670">
        <v>157</v>
      </c>
    </row>
    <row r="671" spans="1:30" ht="17" x14ac:dyDescent="0.25">
      <c r="A671" s="1" t="s">
        <v>673</v>
      </c>
      <c r="B671" s="1" t="s">
        <v>3325</v>
      </c>
      <c r="C671" s="1" t="s">
        <v>2000</v>
      </c>
      <c r="D671" t="str">
        <f t="shared" si="93"/>
        <v>FF8E9C</v>
      </c>
      <c r="E671" t="str">
        <f t="shared" si="94"/>
        <v>255-142-156</v>
      </c>
      <c r="F671" t="str">
        <f t="shared" si="95"/>
        <v>255142156</v>
      </c>
      <c r="G671">
        <f t="shared" si="96"/>
        <v>255</v>
      </c>
      <c r="H671">
        <f t="shared" si="97"/>
        <v>142</v>
      </c>
      <c r="I671">
        <f t="shared" si="98"/>
        <v>156</v>
      </c>
      <c r="J671" t="str">
        <f t="shared" si="90"/>
        <v>PO",</v>
      </c>
      <c r="K671" t="str">
        <f t="shared" si="90"/>
        <v>Posterior complex of the thalamus",</v>
      </c>
      <c r="L671" t="str">
        <f t="shared" si="91"/>
        <v>PO</v>
      </c>
      <c r="M671" t="str">
        <f t="shared" si="91"/>
        <v>Posterior complex of the thalamus</v>
      </c>
      <c r="N671" t="s">
        <v>5800</v>
      </c>
      <c r="O671" t="s">
        <v>5801</v>
      </c>
      <c r="Q671" s="6">
        <v>983</v>
      </c>
      <c r="R671" s="6">
        <v>963</v>
      </c>
      <c r="S671" s="6" t="s">
        <v>6428</v>
      </c>
      <c r="T671" s="6" t="s">
        <v>6427</v>
      </c>
      <c r="U671" s="6">
        <v>235</v>
      </c>
      <c r="V671" s="6">
        <v>7</v>
      </c>
      <c r="W671" s="6" t="s">
        <v>7917</v>
      </c>
      <c r="Y671" t="s">
        <v>5800</v>
      </c>
      <c r="Z671" t="s">
        <v>5801</v>
      </c>
      <c r="AA671" s="6">
        <f t="shared" si="92"/>
        <v>1020</v>
      </c>
      <c r="AB671">
        <v>255</v>
      </c>
      <c r="AC671">
        <v>142</v>
      </c>
      <c r="AD671">
        <v>156</v>
      </c>
    </row>
    <row r="672" spans="1:30" ht="17" x14ac:dyDescent="0.25">
      <c r="A672" s="1" t="s">
        <v>674</v>
      </c>
      <c r="B672" s="1" t="s">
        <v>3326</v>
      </c>
      <c r="C672" s="1" t="s">
        <v>2001</v>
      </c>
      <c r="D672" t="str">
        <f t="shared" si="93"/>
        <v>FF8D9D</v>
      </c>
      <c r="E672" t="str">
        <f t="shared" si="94"/>
        <v>255-141-157</v>
      </c>
      <c r="F672" t="str">
        <f t="shared" si="95"/>
        <v>255141157</v>
      </c>
      <c r="G672">
        <f t="shared" si="96"/>
        <v>255</v>
      </c>
      <c r="H672">
        <f t="shared" si="97"/>
        <v>141</v>
      </c>
      <c r="I672">
        <f t="shared" si="98"/>
        <v>157</v>
      </c>
      <c r="J672" t="str">
        <f t="shared" si="90"/>
        <v>POL",</v>
      </c>
      <c r="K672" t="str">
        <f t="shared" si="90"/>
        <v>Posterior limiting nucleus of the thalamus",</v>
      </c>
      <c r="L672" t="str">
        <f t="shared" si="91"/>
        <v>POL</v>
      </c>
      <c r="M672" t="str">
        <f t="shared" si="91"/>
        <v>Posterior limiting nucleus of the thalamus</v>
      </c>
      <c r="N672" t="s">
        <v>5802</v>
      </c>
      <c r="O672" t="s">
        <v>5803</v>
      </c>
      <c r="Q672" s="6">
        <v>984</v>
      </c>
      <c r="R672" s="6">
        <v>307</v>
      </c>
      <c r="S672" s="6" t="s">
        <v>6430</v>
      </c>
      <c r="T672" s="6" t="s">
        <v>6429</v>
      </c>
      <c r="U672" s="6">
        <v>370</v>
      </c>
      <c r="V672" s="6">
        <v>6</v>
      </c>
      <c r="W672" s="6" t="s">
        <v>7918</v>
      </c>
      <c r="Y672" t="s">
        <v>5802</v>
      </c>
      <c r="Z672" t="s">
        <v>5803</v>
      </c>
      <c r="AA672" s="6">
        <f t="shared" si="92"/>
        <v>1029</v>
      </c>
      <c r="AB672">
        <v>255</v>
      </c>
      <c r="AC672">
        <v>141</v>
      </c>
      <c r="AD672">
        <v>157</v>
      </c>
    </row>
    <row r="673" spans="1:30" ht="17" x14ac:dyDescent="0.25">
      <c r="A673" s="1" t="s">
        <v>675</v>
      </c>
      <c r="B673" s="1" t="s">
        <v>3327</v>
      </c>
      <c r="C673" s="1" t="s">
        <v>2002</v>
      </c>
      <c r="D673" t="str">
        <f t="shared" si="93"/>
        <v>FF8E9D</v>
      </c>
      <c r="E673" t="str">
        <f t="shared" si="94"/>
        <v>255-142-157</v>
      </c>
      <c r="F673" t="str">
        <f t="shared" si="95"/>
        <v>255142157</v>
      </c>
      <c r="G673">
        <f t="shared" si="96"/>
        <v>255</v>
      </c>
      <c r="H673">
        <f t="shared" si="97"/>
        <v>142</v>
      </c>
      <c r="I673">
        <f t="shared" si="98"/>
        <v>157</v>
      </c>
      <c r="J673" t="str">
        <f t="shared" si="90"/>
        <v>SGN",</v>
      </c>
      <c r="K673" t="str">
        <f t="shared" si="90"/>
        <v>Suprageniculate nucleus",</v>
      </c>
      <c r="L673" t="str">
        <f t="shared" si="91"/>
        <v>SGN</v>
      </c>
      <c r="M673" t="str">
        <f t="shared" si="91"/>
        <v>Suprageniculate nucleus</v>
      </c>
      <c r="N673" t="s">
        <v>5804</v>
      </c>
      <c r="O673" t="s">
        <v>5805</v>
      </c>
      <c r="Q673" s="6">
        <v>985</v>
      </c>
      <c r="R673" s="6">
        <v>395</v>
      </c>
      <c r="S673" s="6" t="s">
        <v>6432</v>
      </c>
      <c r="T673" s="6" t="s">
        <v>6431</v>
      </c>
      <c r="U673" s="6">
        <v>370</v>
      </c>
      <c r="V673" s="6">
        <v>6</v>
      </c>
      <c r="W673" s="6" t="s">
        <v>7919</v>
      </c>
      <c r="Y673" t="s">
        <v>5804</v>
      </c>
      <c r="Z673" t="s">
        <v>5805</v>
      </c>
      <c r="AA673" s="6">
        <f t="shared" si="92"/>
        <v>325</v>
      </c>
      <c r="AB673">
        <v>255</v>
      </c>
      <c r="AC673">
        <v>142</v>
      </c>
      <c r="AD673">
        <v>157</v>
      </c>
    </row>
    <row r="674" spans="1:30" ht="17" x14ac:dyDescent="0.25">
      <c r="A674" s="1" t="s">
        <v>676</v>
      </c>
      <c r="B674" s="1" t="s">
        <v>3328</v>
      </c>
      <c r="C674" s="1" t="s">
        <v>2003</v>
      </c>
      <c r="D674" t="str">
        <f t="shared" si="93"/>
        <v>FD8F9C</v>
      </c>
      <c r="E674" t="str">
        <f t="shared" si="94"/>
        <v>253-143-156</v>
      </c>
      <c r="F674" t="str">
        <f t="shared" si="95"/>
        <v>253143156</v>
      </c>
      <c r="G674">
        <f t="shared" si="96"/>
        <v>253</v>
      </c>
      <c r="H674">
        <f t="shared" si="97"/>
        <v>143</v>
      </c>
      <c r="I674">
        <f t="shared" si="98"/>
        <v>156</v>
      </c>
      <c r="J674" t="str">
        <f t="shared" si="90"/>
        <v>Eth",</v>
      </c>
      <c r="K674" t="str">
        <f t="shared" si="90"/>
        <v>Ethmoid nucleus of the thalamus",</v>
      </c>
      <c r="L674" t="str">
        <f t="shared" si="91"/>
        <v>Eth</v>
      </c>
      <c r="M674" t="str">
        <f t="shared" si="91"/>
        <v>Ethmoid nucleus of the thalamus</v>
      </c>
      <c r="N674" t="s">
        <v>5806</v>
      </c>
      <c r="O674" t="s">
        <v>5807</v>
      </c>
      <c r="Q674" s="6">
        <v>986</v>
      </c>
      <c r="R674" s="6">
        <v>1098</v>
      </c>
      <c r="S674" s="6" t="s">
        <v>6434</v>
      </c>
      <c r="T674" s="6" t="s">
        <v>6433</v>
      </c>
      <c r="U674" s="6">
        <v>395</v>
      </c>
      <c r="V674" s="6">
        <v>7</v>
      </c>
      <c r="W674" s="6" t="s">
        <v>7920</v>
      </c>
      <c r="Y674" t="s">
        <v>5806</v>
      </c>
      <c r="Z674" t="s">
        <v>5807</v>
      </c>
      <c r="AA674" s="6">
        <f t="shared" si="92"/>
        <v>560581551</v>
      </c>
      <c r="AB674">
        <v>253</v>
      </c>
      <c r="AC674">
        <v>143</v>
      </c>
      <c r="AD674">
        <v>156</v>
      </c>
    </row>
    <row r="675" spans="1:30" ht="17" x14ac:dyDescent="0.25">
      <c r="A675" s="1" t="s">
        <v>677</v>
      </c>
      <c r="B675" s="1" t="s">
        <v>3329</v>
      </c>
      <c r="C675" s="1" t="s">
        <v>2004</v>
      </c>
      <c r="D675" t="str">
        <f t="shared" si="93"/>
        <v>FD8D9E</v>
      </c>
      <c r="E675" t="str">
        <f t="shared" si="94"/>
        <v>253-141-158</v>
      </c>
      <c r="F675" t="str">
        <f t="shared" si="95"/>
        <v>253141158</v>
      </c>
      <c r="G675">
        <f t="shared" si="96"/>
        <v>253</v>
      </c>
      <c r="H675">
        <f t="shared" si="97"/>
        <v>141</v>
      </c>
      <c r="I675">
        <f t="shared" si="98"/>
        <v>158</v>
      </c>
      <c r="J675" t="str">
        <f t="shared" si="90"/>
        <v>REth",</v>
      </c>
      <c r="K675" t="str">
        <f t="shared" si="90"/>
        <v>Retroethmoid nucleus",</v>
      </c>
      <c r="L675" t="str">
        <f t="shared" si="91"/>
        <v>REth</v>
      </c>
      <c r="M675" t="str">
        <f t="shared" si="91"/>
        <v>Retroethmoid nucleus</v>
      </c>
      <c r="N675" t="s">
        <v>5808</v>
      </c>
      <c r="O675" t="s">
        <v>5809</v>
      </c>
      <c r="Q675" s="6">
        <v>987</v>
      </c>
      <c r="R675" s="6">
        <v>1107</v>
      </c>
      <c r="S675" s="6" t="s">
        <v>6436</v>
      </c>
      <c r="T675" s="6" t="s">
        <v>6435</v>
      </c>
      <c r="U675" s="6">
        <v>395</v>
      </c>
      <c r="V675" s="6">
        <v>7</v>
      </c>
      <c r="W675" s="6" t="s">
        <v>7921</v>
      </c>
      <c r="Y675" t="s">
        <v>5808</v>
      </c>
      <c r="Z675" t="s">
        <v>5809</v>
      </c>
      <c r="AA675" s="6" t="str">
        <f t="shared" si="92"/>
        <v/>
      </c>
      <c r="AB675">
        <v>253</v>
      </c>
      <c r="AC675">
        <v>141</v>
      </c>
      <c r="AD675">
        <v>158</v>
      </c>
    </row>
    <row r="676" spans="1:30" ht="17" x14ac:dyDescent="0.25">
      <c r="A676" s="1" t="s">
        <v>678</v>
      </c>
      <c r="B676" s="1" t="s">
        <v>3330</v>
      </c>
      <c r="C676" s="1" t="s">
        <v>2005</v>
      </c>
      <c r="D676" t="str">
        <f t="shared" si="93"/>
        <v>FE8E9F</v>
      </c>
      <c r="E676" t="str">
        <f t="shared" si="94"/>
        <v>254-142-159</v>
      </c>
      <c r="F676" t="str">
        <f t="shared" si="95"/>
        <v>254142159</v>
      </c>
      <c r="G676">
        <f t="shared" si="96"/>
        <v>254</v>
      </c>
      <c r="H676">
        <f t="shared" si="97"/>
        <v>142</v>
      </c>
      <c r="I676">
        <f t="shared" si="98"/>
        <v>159</v>
      </c>
      <c r="J676" t="str">
        <f t="shared" si="90"/>
        <v>ATN",</v>
      </c>
      <c r="K676" t="str">
        <f t="shared" si="90"/>
        <v>Anterior group of the dorsal thalamus",</v>
      </c>
      <c r="L676" t="str">
        <f t="shared" si="91"/>
        <v>ATN</v>
      </c>
      <c r="M676" t="str">
        <f t="shared" si="91"/>
        <v>Anterior group of the dorsal thalamus</v>
      </c>
      <c r="N676" t="s">
        <v>5810</v>
      </c>
      <c r="O676" t="s">
        <v>5811</v>
      </c>
      <c r="Q676" s="6">
        <v>988</v>
      </c>
      <c r="R676" s="6">
        <v>852</v>
      </c>
      <c r="S676" s="6" t="s">
        <v>6438</v>
      </c>
      <c r="T676" s="6" t="s">
        <v>6437</v>
      </c>
      <c r="U676" s="6">
        <v>370</v>
      </c>
      <c r="V676" s="6">
        <v>6</v>
      </c>
      <c r="W676" s="6" t="s">
        <v>7922</v>
      </c>
      <c r="Y676" t="s">
        <v>5810</v>
      </c>
      <c r="Z676" t="s">
        <v>5811</v>
      </c>
      <c r="AA676" s="6">
        <f t="shared" si="92"/>
        <v>239</v>
      </c>
      <c r="AB676">
        <v>254</v>
      </c>
      <c r="AC676">
        <v>142</v>
      </c>
      <c r="AD676">
        <v>159</v>
      </c>
    </row>
    <row r="677" spans="1:30" ht="17" x14ac:dyDescent="0.25">
      <c r="A677" s="1" t="s">
        <v>679</v>
      </c>
      <c r="B677" s="1" t="s">
        <v>3331</v>
      </c>
      <c r="C677" s="1" t="s">
        <v>2006</v>
      </c>
      <c r="D677" t="str">
        <f t="shared" si="93"/>
        <v>FD909E</v>
      </c>
      <c r="E677" t="str">
        <f t="shared" si="94"/>
        <v>253-144-158</v>
      </c>
      <c r="F677" t="str">
        <f t="shared" si="95"/>
        <v>253144158</v>
      </c>
      <c r="G677">
        <f t="shared" si="96"/>
        <v>253</v>
      </c>
      <c r="H677">
        <f t="shared" si="97"/>
        <v>144</v>
      </c>
      <c r="I677">
        <f t="shared" si="98"/>
        <v>158</v>
      </c>
      <c r="J677" t="str">
        <f t="shared" si="90"/>
        <v>AV",</v>
      </c>
      <c r="K677" t="str">
        <f t="shared" si="90"/>
        <v>Anteroventral nucleus of thalamus",</v>
      </c>
      <c r="L677" t="str">
        <f t="shared" si="91"/>
        <v>AV</v>
      </c>
      <c r="M677" t="str">
        <f t="shared" si="91"/>
        <v>Anteroventral nucleus of thalamus</v>
      </c>
      <c r="N677" t="s">
        <v>5812</v>
      </c>
      <c r="O677" t="s">
        <v>5813</v>
      </c>
      <c r="Q677" s="6">
        <v>989</v>
      </c>
      <c r="R677" s="6">
        <v>859</v>
      </c>
      <c r="S677" s="6" t="s">
        <v>6440</v>
      </c>
      <c r="T677" s="6" t="s">
        <v>6439</v>
      </c>
      <c r="U677" s="6">
        <v>370</v>
      </c>
      <c r="V677" s="6">
        <v>6</v>
      </c>
      <c r="W677" s="6" t="s">
        <v>7923</v>
      </c>
      <c r="Y677" t="s">
        <v>5812</v>
      </c>
      <c r="Z677" t="s">
        <v>5813</v>
      </c>
      <c r="AA677" s="6">
        <f t="shared" si="92"/>
        <v>255</v>
      </c>
      <c r="AB677">
        <v>253</v>
      </c>
      <c r="AC677">
        <v>144</v>
      </c>
      <c r="AD677">
        <v>158</v>
      </c>
    </row>
    <row r="678" spans="1:30" ht="17" x14ac:dyDescent="0.25">
      <c r="A678" s="1" t="s">
        <v>680</v>
      </c>
      <c r="B678" s="1" t="s">
        <v>3332</v>
      </c>
      <c r="C678" s="1" t="s">
        <v>2007</v>
      </c>
      <c r="D678" t="str">
        <f t="shared" si="93"/>
        <v>FE909E</v>
      </c>
      <c r="E678" t="str">
        <f t="shared" si="94"/>
        <v>254-144-158</v>
      </c>
      <c r="F678" t="str">
        <f t="shared" si="95"/>
        <v>254144158</v>
      </c>
      <c r="G678">
        <f t="shared" si="96"/>
        <v>254</v>
      </c>
      <c r="H678">
        <f t="shared" si="97"/>
        <v>144</v>
      </c>
      <c r="I678">
        <f t="shared" si="98"/>
        <v>158</v>
      </c>
      <c r="J678" t="str">
        <f t="shared" si="90"/>
        <v>AM",</v>
      </c>
      <c r="K678" t="str">
        <f t="shared" si="90"/>
        <v>Anteromedial nucleus",</v>
      </c>
      <c r="L678" t="str">
        <f t="shared" si="91"/>
        <v>AM</v>
      </c>
      <c r="M678" t="str">
        <f t="shared" si="91"/>
        <v>Anteromedial nucleus</v>
      </c>
      <c r="N678" t="s">
        <v>5814</v>
      </c>
      <c r="O678" t="s">
        <v>5815</v>
      </c>
      <c r="Q678" s="6">
        <v>990</v>
      </c>
      <c r="R678" s="6">
        <v>938</v>
      </c>
      <c r="S678" s="6" t="s">
        <v>6442</v>
      </c>
      <c r="T678" s="6" t="s">
        <v>6441</v>
      </c>
      <c r="U678" s="6">
        <v>370</v>
      </c>
      <c r="V678" s="6">
        <v>6</v>
      </c>
      <c r="W678" s="6" t="s">
        <v>7924</v>
      </c>
      <c r="Y678" t="s">
        <v>5814</v>
      </c>
      <c r="Z678" t="s">
        <v>5815</v>
      </c>
      <c r="AA678" s="6">
        <f t="shared" si="92"/>
        <v>127</v>
      </c>
      <c r="AB678">
        <v>254</v>
      </c>
      <c r="AC678">
        <v>144</v>
      </c>
      <c r="AD678">
        <v>158</v>
      </c>
    </row>
    <row r="679" spans="1:30" ht="17" x14ac:dyDescent="0.25">
      <c r="A679" s="1" t="s">
        <v>681</v>
      </c>
      <c r="B679" s="1" t="s">
        <v>3333</v>
      </c>
      <c r="C679" s="1" t="s">
        <v>2008</v>
      </c>
      <c r="D679" t="str">
        <f t="shared" si="93"/>
        <v>FD8D9F</v>
      </c>
      <c r="E679" t="str">
        <f t="shared" si="94"/>
        <v>253-141-159</v>
      </c>
      <c r="F679" t="str">
        <f t="shared" si="95"/>
        <v>253141159</v>
      </c>
      <c r="G679">
        <f t="shared" si="96"/>
        <v>253</v>
      </c>
      <c r="H679">
        <f t="shared" si="97"/>
        <v>141</v>
      </c>
      <c r="I679">
        <f t="shared" si="98"/>
        <v>159</v>
      </c>
      <c r="J679" t="str">
        <f t="shared" si="90"/>
        <v>AMd",</v>
      </c>
      <c r="K679" t="str">
        <f t="shared" si="90"/>
        <v>Anteromedial nucleus, dorsal part",</v>
      </c>
      <c r="L679" t="str">
        <f t="shared" si="91"/>
        <v>AMd</v>
      </c>
      <c r="M679" t="str">
        <f t="shared" si="91"/>
        <v>Anteromedial nucleus, dorsal part</v>
      </c>
      <c r="N679" t="s">
        <v>5816</v>
      </c>
      <c r="O679" t="s">
        <v>5817</v>
      </c>
      <c r="Q679" s="6">
        <v>991</v>
      </c>
      <c r="R679" s="6">
        <v>970</v>
      </c>
      <c r="S679" s="6" t="s">
        <v>6444</v>
      </c>
      <c r="T679" s="6" t="s">
        <v>6443</v>
      </c>
      <c r="U679" s="6">
        <v>938</v>
      </c>
      <c r="V679" s="6">
        <v>7</v>
      </c>
      <c r="W679" s="6" t="s">
        <v>7925</v>
      </c>
      <c r="Y679" t="s">
        <v>5816</v>
      </c>
      <c r="Z679" t="s">
        <v>5817</v>
      </c>
      <c r="AA679" s="6">
        <f t="shared" si="92"/>
        <v>1096</v>
      </c>
      <c r="AB679">
        <v>253</v>
      </c>
      <c r="AC679">
        <v>141</v>
      </c>
      <c r="AD679">
        <v>159</v>
      </c>
    </row>
    <row r="680" spans="1:30" ht="17" x14ac:dyDescent="0.25">
      <c r="A680" s="1" t="s">
        <v>682</v>
      </c>
      <c r="B680" s="1" t="s">
        <v>3334</v>
      </c>
      <c r="C680" s="1" t="s">
        <v>2009</v>
      </c>
      <c r="D680" t="str">
        <f t="shared" si="93"/>
        <v>FC909D</v>
      </c>
      <c r="E680" t="str">
        <f t="shared" si="94"/>
        <v>252-144-157</v>
      </c>
      <c r="F680" t="str">
        <f t="shared" si="95"/>
        <v>252144157</v>
      </c>
      <c r="G680">
        <f t="shared" si="96"/>
        <v>252</v>
      </c>
      <c r="H680">
        <f t="shared" si="97"/>
        <v>144</v>
      </c>
      <c r="I680">
        <f t="shared" si="98"/>
        <v>157</v>
      </c>
      <c r="J680" t="str">
        <f t="shared" si="90"/>
        <v>AMv",</v>
      </c>
      <c r="K680" t="str">
        <f t="shared" si="90"/>
        <v>Anteromedial nucleus, ventral part",</v>
      </c>
      <c r="L680" t="str">
        <f t="shared" si="91"/>
        <v>AMv</v>
      </c>
      <c r="M680" t="str">
        <f t="shared" si="91"/>
        <v>Anteromedial nucleus, ventral part</v>
      </c>
      <c r="N680" t="s">
        <v>5818</v>
      </c>
      <c r="O680" t="s">
        <v>5819</v>
      </c>
      <c r="Q680" s="6">
        <v>992</v>
      </c>
      <c r="R680" s="6">
        <v>978</v>
      </c>
      <c r="S680" s="6" t="s">
        <v>6446</v>
      </c>
      <c r="T680" s="6" t="s">
        <v>6445</v>
      </c>
      <c r="U680" s="6">
        <v>938</v>
      </c>
      <c r="V680" s="6">
        <v>7</v>
      </c>
      <c r="W680" s="6" t="s">
        <v>7926</v>
      </c>
      <c r="Y680" t="s">
        <v>5818</v>
      </c>
      <c r="Z680" t="s">
        <v>5819</v>
      </c>
      <c r="AA680" s="6">
        <f t="shared" si="92"/>
        <v>1104</v>
      </c>
      <c r="AB680">
        <v>252</v>
      </c>
      <c r="AC680">
        <v>144</v>
      </c>
      <c r="AD680">
        <v>157</v>
      </c>
    </row>
    <row r="681" spans="1:30" ht="17" x14ac:dyDescent="0.25">
      <c r="A681" s="1" t="s">
        <v>683</v>
      </c>
      <c r="B681" s="1" t="s">
        <v>3335</v>
      </c>
      <c r="C681" s="1" t="s">
        <v>2010</v>
      </c>
      <c r="D681" t="str">
        <f t="shared" si="93"/>
        <v>FF8F9E</v>
      </c>
      <c r="E681" t="str">
        <f t="shared" si="94"/>
        <v>255-143-158</v>
      </c>
      <c r="F681" t="str">
        <f t="shared" si="95"/>
        <v>255143158</v>
      </c>
      <c r="G681">
        <f t="shared" si="96"/>
        <v>255</v>
      </c>
      <c r="H681">
        <f t="shared" si="97"/>
        <v>143</v>
      </c>
      <c r="I681">
        <f t="shared" si="98"/>
        <v>158</v>
      </c>
      <c r="J681" t="str">
        <f t="shared" si="90"/>
        <v>AD",</v>
      </c>
      <c r="K681" t="str">
        <f t="shared" si="90"/>
        <v>Anterodorsal nucleus",</v>
      </c>
      <c r="L681" t="str">
        <f t="shared" si="91"/>
        <v>AD</v>
      </c>
      <c r="M681" t="str">
        <f t="shared" si="91"/>
        <v>Anterodorsal nucleus</v>
      </c>
      <c r="N681" t="s">
        <v>5820</v>
      </c>
      <c r="O681" t="s">
        <v>5821</v>
      </c>
      <c r="Q681" s="6">
        <v>993</v>
      </c>
      <c r="R681" s="6">
        <v>154</v>
      </c>
      <c r="S681" s="6" t="s">
        <v>6448</v>
      </c>
      <c r="T681" s="6" t="s">
        <v>6447</v>
      </c>
      <c r="U681" s="6">
        <v>370</v>
      </c>
      <c r="V681" s="6">
        <v>6</v>
      </c>
      <c r="W681" s="6" t="s">
        <v>7927</v>
      </c>
      <c r="Y681" t="s">
        <v>5820</v>
      </c>
      <c r="Z681" t="s">
        <v>5821</v>
      </c>
      <c r="AA681" s="6">
        <f t="shared" si="92"/>
        <v>64</v>
      </c>
      <c r="AB681">
        <v>255</v>
      </c>
      <c r="AC681">
        <v>143</v>
      </c>
      <c r="AD681">
        <v>158</v>
      </c>
    </row>
    <row r="682" spans="1:30" ht="17" x14ac:dyDescent="0.25">
      <c r="A682" s="1" t="s">
        <v>684</v>
      </c>
      <c r="B682" s="1" t="s">
        <v>3336</v>
      </c>
      <c r="C682" s="1" t="s">
        <v>2011</v>
      </c>
      <c r="D682" t="str">
        <f t="shared" si="93"/>
        <v>FE8E9C</v>
      </c>
      <c r="E682" t="str">
        <f t="shared" si="94"/>
        <v>254-142-156</v>
      </c>
      <c r="F682" t="str">
        <f t="shared" si="95"/>
        <v>254142156</v>
      </c>
      <c r="G682">
        <f t="shared" si="96"/>
        <v>254</v>
      </c>
      <c r="H682">
        <f t="shared" si="97"/>
        <v>142</v>
      </c>
      <c r="I682">
        <f t="shared" si="98"/>
        <v>156</v>
      </c>
      <c r="J682" t="str">
        <f t="shared" si="90"/>
        <v>IAM",</v>
      </c>
      <c r="K682" t="str">
        <f t="shared" si="90"/>
        <v>Interanteromedial nucleus of the thalamus",</v>
      </c>
      <c r="L682" t="str">
        <f t="shared" si="91"/>
        <v>IAM</v>
      </c>
      <c r="M682" t="str">
        <f t="shared" si="91"/>
        <v>Interanteromedial nucleus of the thalamus</v>
      </c>
      <c r="N682" t="s">
        <v>5822</v>
      </c>
      <c r="O682" t="s">
        <v>5823</v>
      </c>
      <c r="Q682" s="6">
        <v>995</v>
      </c>
      <c r="R682" s="6">
        <v>177</v>
      </c>
      <c r="S682" s="6" t="s">
        <v>6452</v>
      </c>
      <c r="T682" s="6" t="s">
        <v>6451</v>
      </c>
      <c r="U682" s="6">
        <v>154</v>
      </c>
      <c r="V682" s="6">
        <v>7</v>
      </c>
      <c r="W682" s="6" t="s">
        <v>7928</v>
      </c>
      <c r="Y682" t="s">
        <v>5822</v>
      </c>
      <c r="Z682" t="s">
        <v>5823</v>
      </c>
      <c r="AA682" s="6">
        <f t="shared" si="92"/>
        <v>1120</v>
      </c>
      <c r="AB682">
        <v>254</v>
      </c>
      <c r="AC682">
        <v>142</v>
      </c>
      <c r="AD682">
        <v>156</v>
      </c>
    </row>
    <row r="683" spans="1:30" ht="17" x14ac:dyDescent="0.25">
      <c r="A683" s="1" t="s">
        <v>685</v>
      </c>
      <c r="B683" s="1" t="s">
        <v>3337</v>
      </c>
      <c r="C683" s="1" t="s">
        <v>2012</v>
      </c>
      <c r="D683" t="str">
        <f t="shared" si="93"/>
        <v>FC8E9F</v>
      </c>
      <c r="E683" t="str">
        <f t="shared" si="94"/>
        <v>252-142-159</v>
      </c>
      <c r="F683" t="str">
        <f t="shared" si="95"/>
        <v>252142159</v>
      </c>
      <c r="G683">
        <f t="shared" si="96"/>
        <v>252</v>
      </c>
      <c r="H683">
        <f t="shared" si="97"/>
        <v>142</v>
      </c>
      <c r="I683">
        <f t="shared" si="98"/>
        <v>159</v>
      </c>
      <c r="J683" t="str">
        <f t="shared" si="90"/>
        <v>IAD",</v>
      </c>
      <c r="K683" t="str">
        <f t="shared" si="90"/>
        <v>Interanterodorsal nucleus of the thalamus",</v>
      </c>
      <c r="L683" t="str">
        <f t="shared" si="91"/>
        <v>IAD</v>
      </c>
      <c r="M683" t="str">
        <f t="shared" si="91"/>
        <v>Interanterodorsal nucleus of the thalamus</v>
      </c>
      <c r="N683" t="s">
        <v>5824</v>
      </c>
      <c r="O683" t="s">
        <v>5825</v>
      </c>
      <c r="Q683" s="6">
        <v>996</v>
      </c>
      <c r="R683" s="6">
        <v>169</v>
      </c>
      <c r="S683" s="6" t="s">
        <v>6454</v>
      </c>
      <c r="T683" s="6" t="s">
        <v>6453</v>
      </c>
      <c r="U683" s="6">
        <v>154</v>
      </c>
      <c r="V683" s="6">
        <v>7</v>
      </c>
      <c r="W683" s="6" t="s">
        <v>7929</v>
      </c>
      <c r="Y683" t="s">
        <v>5824</v>
      </c>
      <c r="Z683" t="s">
        <v>5825</v>
      </c>
      <c r="AA683" s="6">
        <f t="shared" si="92"/>
        <v>1113</v>
      </c>
      <c r="AB683">
        <v>252</v>
      </c>
      <c r="AC683">
        <v>142</v>
      </c>
      <c r="AD683">
        <v>159</v>
      </c>
    </row>
    <row r="684" spans="1:30" ht="17" x14ac:dyDescent="0.25">
      <c r="A684" s="1" t="s">
        <v>686</v>
      </c>
      <c r="B684" s="1" t="s">
        <v>3338</v>
      </c>
      <c r="C684" s="1" t="s">
        <v>2013</v>
      </c>
      <c r="D684" t="str">
        <f t="shared" si="93"/>
        <v>FF909D</v>
      </c>
      <c r="E684" t="str">
        <f t="shared" si="94"/>
        <v>255-144-157</v>
      </c>
      <c r="F684" t="str">
        <f t="shared" si="95"/>
        <v>255144157</v>
      </c>
      <c r="G684">
        <f t="shared" si="96"/>
        <v>255</v>
      </c>
      <c r="H684">
        <f t="shared" si="97"/>
        <v>144</v>
      </c>
      <c r="I684">
        <f t="shared" si="98"/>
        <v>157</v>
      </c>
      <c r="J684" t="str">
        <f t="shared" si="90"/>
        <v>LD",</v>
      </c>
      <c r="K684" t="str">
        <f t="shared" si="90"/>
        <v>Lateral dorsal nucleus of thalamus",</v>
      </c>
      <c r="L684" t="str">
        <f t="shared" si="91"/>
        <v>LD</v>
      </c>
      <c r="M684" t="str">
        <f t="shared" si="91"/>
        <v>Lateral dorsal nucleus of thalamus</v>
      </c>
      <c r="N684" t="s">
        <v>5826</v>
      </c>
      <c r="O684" t="s">
        <v>5827</v>
      </c>
      <c r="Q684" s="6">
        <v>998</v>
      </c>
      <c r="R684" s="6">
        <v>1069</v>
      </c>
      <c r="S684" s="6" t="s">
        <v>6458</v>
      </c>
      <c r="T684" s="6" t="s">
        <v>6457</v>
      </c>
      <c r="U684" s="6">
        <v>370</v>
      </c>
      <c r="V684" s="6">
        <v>6</v>
      </c>
      <c r="W684" s="6" t="s">
        <v>7930</v>
      </c>
      <c r="Y684" t="s">
        <v>5826</v>
      </c>
      <c r="Z684" t="s">
        <v>5827</v>
      </c>
      <c r="AA684" s="6">
        <f t="shared" si="92"/>
        <v>155</v>
      </c>
      <c r="AB684">
        <v>255</v>
      </c>
      <c r="AC684">
        <v>144</v>
      </c>
      <c r="AD684">
        <v>157</v>
      </c>
    </row>
    <row r="685" spans="1:30" ht="17" x14ac:dyDescent="0.25">
      <c r="A685" s="1" t="s">
        <v>687</v>
      </c>
      <c r="B685" s="1" t="s">
        <v>3339</v>
      </c>
      <c r="C685" s="1" t="s">
        <v>2014</v>
      </c>
      <c r="D685" t="str">
        <f t="shared" si="93"/>
        <v>FF909C</v>
      </c>
      <c r="E685" t="str">
        <f t="shared" si="94"/>
        <v>255-144-156</v>
      </c>
      <c r="F685" t="str">
        <f t="shared" si="95"/>
        <v>255144156</v>
      </c>
      <c r="G685">
        <f t="shared" si="96"/>
        <v>255</v>
      </c>
      <c r="H685">
        <f t="shared" si="97"/>
        <v>144</v>
      </c>
      <c r="I685">
        <f t="shared" si="98"/>
        <v>156</v>
      </c>
      <c r="J685" t="str">
        <f t="shared" si="90"/>
        <v>MED",</v>
      </c>
      <c r="K685" t="str">
        <f t="shared" si="90"/>
        <v>Medial group of the dorsal thalamus",</v>
      </c>
      <c r="L685" t="str">
        <f t="shared" si="91"/>
        <v>MED</v>
      </c>
      <c r="M685" t="str">
        <f t="shared" si="91"/>
        <v>Medial group of the dorsal thalamus</v>
      </c>
      <c r="N685" t="s">
        <v>5828</v>
      </c>
      <c r="O685" t="s">
        <v>5829</v>
      </c>
      <c r="Q685" s="6">
        <v>1001</v>
      </c>
      <c r="R685" s="6">
        <v>701</v>
      </c>
      <c r="S685" s="6" t="s">
        <v>6464</v>
      </c>
      <c r="T685" s="6" t="s">
        <v>6463</v>
      </c>
      <c r="U685" s="6">
        <v>370</v>
      </c>
      <c r="V685" s="6">
        <v>6</v>
      </c>
      <c r="W685" s="6" t="s">
        <v>7931</v>
      </c>
      <c r="Y685" t="s">
        <v>5828</v>
      </c>
      <c r="Z685" t="s">
        <v>5829</v>
      </c>
      <c r="AA685" s="6">
        <f t="shared" si="92"/>
        <v>444</v>
      </c>
      <c r="AB685">
        <v>255</v>
      </c>
      <c r="AC685">
        <v>144</v>
      </c>
      <c r="AD685">
        <v>156</v>
      </c>
    </row>
    <row r="686" spans="1:30" ht="17" x14ac:dyDescent="0.25">
      <c r="A686" s="1" t="s">
        <v>688</v>
      </c>
      <c r="B686" s="1" t="s">
        <v>3340</v>
      </c>
      <c r="C686" s="1" t="s">
        <v>2015</v>
      </c>
      <c r="D686" t="str">
        <f t="shared" si="93"/>
        <v>FE909F</v>
      </c>
      <c r="E686" t="str">
        <f t="shared" si="94"/>
        <v>254-144-159</v>
      </c>
      <c r="F686" t="str">
        <f t="shared" si="95"/>
        <v>254144159</v>
      </c>
      <c r="G686">
        <f t="shared" si="96"/>
        <v>254</v>
      </c>
      <c r="H686">
        <f t="shared" si="97"/>
        <v>144</v>
      </c>
      <c r="I686">
        <f t="shared" si="98"/>
        <v>159</v>
      </c>
      <c r="J686" t="str">
        <f t="shared" si="90"/>
        <v>IMD",</v>
      </c>
      <c r="K686" t="str">
        <f t="shared" si="90"/>
        <v>Intermediodorsal nucleus of the thalamus",</v>
      </c>
      <c r="L686" t="str">
        <f t="shared" si="91"/>
        <v>IMD</v>
      </c>
      <c r="M686" t="str">
        <f t="shared" si="91"/>
        <v>Intermediodorsal nucleus of the thalamus</v>
      </c>
      <c r="N686" t="s">
        <v>5830</v>
      </c>
      <c r="O686" t="s">
        <v>5831</v>
      </c>
      <c r="Q686" s="6">
        <v>1002</v>
      </c>
      <c r="R686" s="6">
        <v>209</v>
      </c>
      <c r="S686" s="6" t="s">
        <v>6466</v>
      </c>
      <c r="T686" s="6" t="s">
        <v>6465</v>
      </c>
      <c r="U686" s="6">
        <v>701</v>
      </c>
      <c r="V686" s="6">
        <v>7</v>
      </c>
      <c r="W686" s="6" t="s">
        <v>7932</v>
      </c>
      <c r="Y686" t="s">
        <v>5830</v>
      </c>
      <c r="Z686" t="s">
        <v>5831</v>
      </c>
      <c r="AA686" s="6">
        <f t="shared" si="92"/>
        <v>59</v>
      </c>
      <c r="AB686">
        <v>254</v>
      </c>
      <c r="AC686">
        <v>144</v>
      </c>
      <c r="AD686">
        <v>159</v>
      </c>
    </row>
    <row r="687" spans="1:30" ht="17" x14ac:dyDescent="0.25">
      <c r="A687" s="1" t="s">
        <v>689</v>
      </c>
      <c r="B687" s="1" t="s">
        <v>3341</v>
      </c>
      <c r="C687" s="1" t="s">
        <v>2016</v>
      </c>
      <c r="D687" t="str">
        <f t="shared" si="93"/>
        <v>FD909D</v>
      </c>
      <c r="E687" t="str">
        <f t="shared" si="94"/>
        <v>253-144-157</v>
      </c>
      <c r="F687" t="str">
        <f t="shared" si="95"/>
        <v>253144157</v>
      </c>
      <c r="G687">
        <f t="shared" si="96"/>
        <v>253</v>
      </c>
      <c r="H687">
        <f t="shared" si="97"/>
        <v>144</v>
      </c>
      <c r="I687">
        <f t="shared" si="98"/>
        <v>157</v>
      </c>
      <c r="J687" t="str">
        <f t="shared" si="90"/>
        <v>MD",</v>
      </c>
      <c r="K687" t="str">
        <f t="shared" si="90"/>
        <v>Mediodorsal nucleus of thalamus",</v>
      </c>
      <c r="L687" t="str">
        <f t="shared" si="91"/>
        <v>MD</v>
      </c>
      <c r="M687" t="str">
        <f t="shared" si="91"/>
        <v>Mediodorsal nucleus of thalamus</v>
      </c>
      <c r="N687" t="s">
        <v>5832</v>
      </c>
      <c r="O687" t="s">
        <v>5833</v>
      </c>
      <c r="Q687" s="6">
        <v>1003</v>
      </c>
      <c r="R687" s="6">
        <v>202</v>
      </c>
      <c r="S687" s="6" t="s">
        <v>6468</v>
      </c>
      <c r="T687" s="6" t="s">
        <v>6467</v>
      </c>
      <c r="U687" s="6">
        <v>701</v>
      </c>
      <c r="V687" s="6">
        <v>7</v>
      </c>
      <c r="W687" s="6" t="s">
        <v>7933</v>
      </c>
      <c r="Y687" t="s">
        <v>5832</v>
      </c>
      <c r="Z687" t="s">
        <v>5833</v>
      </c>
      <c r="AA687" s="6">
        <f t="shared" si="92"/>
        <v>362</v>
      </c>
      <c r="AB687">
        <v>253</v>
      </c>
      <c r="AC687">
        <v>144</v>
      </c>
      <c r="AD687">
        <v>157</v>
      </c>
    </row>
    <row r="688" spans="1:30" ht="17" x14ac:dyDescent="0.25">
      <c r="A688" s="1" t="s">
        <v>690</v>
      </c>
      <c r="B688" s="1" t="s">
        <v>3342</v>
      </c>
      <c r="C688" s="1" t="s">
        <v>2017</v>
      </c>
      <c r="D688" t="str">
        <f t="shared" si="93"/>
        <v>FC909F</v>
      </c>
      <c r="E688" t="str">
        <f t="shared" si="94"/>
        <v>252-144-159</v>
      </c>
      <c r="F688" t="str">
        <f t="shared" si="95"/>
        <v>252144159</v>
      </c>
      <c r="G688">
        <f t="shared" si="96"/>
        <v>252</v>
      </c>
      <c r="H688">
        <f t="shared" si="97"/>
        <v>144</v>
      </c>
      <c r="I688">
        <f t="shared" si="98"/>
        <v>159</v>
      </c>
      <c r="J688" t="str">
        <f t="shared" si="90"/>
        <v>MDc",</v>
      </c>
      <c r="K688" t="str">
        <f t="shared" si="90"/>
        <v>Mediodorsal nucleus of the thalamus, central part",</v>
      </c>
      <c r="L688" t="str">
        <f t="shared" si="91"/>
        <v>MDc</v>
      </c>
      <c r="M688" t="str">
        <f t="shared" si="91"/>
        <v>Mediodorsal nucleus of the thalamus, central part</v>
      </c>
      <c r="N688" t="s">
        <v>5834</v>
      </c>
      <c r="O688" t="s">
        <v>5835</v>
      </c>
      <c r="Q688" s="6">
        <v>1004</v>
      </c>
      <c r="R688" s="6">
        <v>225</v>
      </c>
      <c r="S688" s="6" t="s">
        <v>6470</v>
      </c>
      <c r="T688" s="6" t="s">
        <v>6469</v>
      </c>
      <c r="U688" s="6">
        <v>701</v>
      </c>
      <c r="V688" s="6">
        <v>7</v>
      </c>
      <c r="W688" s="6" t="s">
        <v>7934</v>
      </c>
      <c r="Y688" t="s">
        <v>5834</v>
      </c>
      <c r="Z688" t="s">
        <v>5835</v>
      </c>
      <c r="AA688" s="6" t="str">
        <f t="shared" si="92"/>
        <v/>
      </c>
      <c r="AB688">
        <v>252</v>
      </c>
      <c r="AC688">
        <v>144</v>
      </c>
      <c r="AD688">
        <v>159</v>
      </c>
    </row>
    <row r="689" spans="1:30" ht="17" x14ac:dyDescent="0.25">
      <c r="A689" s="1" t="s">
        <v>691</v>
      </c>
      <c r="B689" s="1" t="s">
        <v>3343</v>
      </c>
      <c r="C689" s="1" t="s">
        <v>2018</v>
      </c>
      <c r="D689" t="str">
        <f t="shared" si="93"/>
        <v>FF8F9C</v>
      </c>
      <c r="E689" t="str">
        <f t="shared" si="94"/>
        <v>255-143-156</v>
      </c>
      <c r="F689" t="str">
        <f t="shared" si="95"/>
        <v>255143156</v>
      </c>
      <c r="G689">
        <f t="shared" si="96"/>
        <v>255</v>
      </c>
      <c r="H689">
        <f t="shared" si="97"/>
        <v>143</v>
      </c>
      <c r="I689">
        <f t="shared" si="98"/>
        <v>156</v>
      </c>
      <c r="J689" t="str">
        <f t="shared" si="90"/>
        <v>MDl",</v>
      </c>
      <c r="K689" t="str">
        <f t="shared" si="90"/>
        <v>Mediodorsal nucleus of the thalamus, lateral part",</v>
      </c>
      <c r="L689" t="str">
        <f t="shared" si="91"/>
        <v>MDl</v>
      </c>
      <c r="M689" t="str">
        <f t="shared" si="91"/>
        <v>Mediodorsal nucleus of the thalamus, lateral part</v>
      </c>
      <c r="N689" t="s">
        <v>5836</v>
      </c>
      <c r="O689" t="s">
        <v>5837</v>
      </c>
      <c r="Q689" s="6">
        <v>1005</v>
      </c>
      <c r="R689" s="6">
        <v>217</v>
      </c>
      <c r="S689" s="6" t="s">
        <v>6472</v>
      </c>
      <c r="T689" s="6" t="s">
        <v>6471</v>
      </c>
      <c r="U689" s="6">
        <v>701</v>
      </c>
      <c r="V689" s="6">
        <v>7</v>
      </c>
      <c r="W689" s="6" t="s">
        <v>7935</v>
      </c>
      <c r="Y689" t="s">
        <v>5836</v>
      </c>
      <c r="Z689" t="s">
        <v>5837</v>
      </c>
      <c r="AA689" s="6" t="str">
        <f t="shared" si="92"/>
        <v/>
      </c>
      <c r="AB689">
        <v>255</v>
      </c>
      <c r="AC689">
        <v>143</v>
      </c>
      <c r="AD689">
        <v>156</v>
      </c>
    </row>
    <row r="690" spans="1:30" ht="17" x14ac:dyDescent="0.25">
      <c r="A690" s="1" t="s">
        <v>692</v>
      </c>
      <c r="B690" s="1" t="s">
        <v>3344</v>
      </c>
      <c r="C690" s="1" t="s">
        <v>2019</v>
      </c>
      <c r="D690" t="str">
        <f t="shared" si="93"/>
        <v>FF8D9E</v>
      </c>
      <c r="E690" t="str">
        <f t="shared" si="94"/>
        <v>255-141-158</v>
      </c>
      <c r="F690" t="str">
        <f t="shared" si="95"/>
        <v>255141158</v>
      </c>
      <c r="G690">
        <f t="shared" si="96"/>
        <v>255</v>
      </c>
      <c r="H690">
        <f t="shared" si="97"/>
        <v>141</v>
      </c>
      <c r="I690">
        <f t="shared" si="98"/>
        <v>158</v>
      </c>
      <c r="J690" t="str">
        <f t="shared" si="90"/>
        <v>MDm",</v>
      </c>
      <c r="K690" t="str">
        <f t="shared" si="90"/>
        <v>Mediodorsal nucleus of the thalamus, medial part",</v>
      </c>
      <c r="L690" t="str">
        <f t="shared" si="91"/>
        <v>MDm</v>
      </c>
      <c r="M690" t="str">
        <f t="shared" si="91"/>
        <v>Mediodorsal nucleus of the thalamus, medial part</v>
      </c>
      <c r="N690" t="s">
        <v>5838</v>
      </c>
      <c r="O690" t="s">
        <v>5839</v>
      </c>
      <c r="Q690" s="6">
        <v>1006</v>
      </c>
      <c r="R690" s="6">
        <v>765</v>
      </c>
      <c r="S690" s="6" t="s">
        <v>6474</v>
      </c>
      <c r="T690" s="6" t="s">
        <v>6473</v>
      </c>
      <c r="U690" s="6">
        <v>370</v>
      </c>
      <c r="V690" s="6">
        <v>6</v>
      </c>
      <c r="W690" s="6" t="s">
        <v>7936</v>
      </c>
      <c r="Y690" t="s">
        <v>5838</v>
      </c>
      <c r="Z690" t="s">
        <v>5839</v>
      </c>
      <c r="AA690" s="6" t="str">
        <f t="shared" si="92"/>
        <v/>
      </c>
      <c r="AB690">
        <v>255</v>
      </c>
      <c r="AC690">
        <v>141</v>
      </c>
      <c r="AD690">
        <v>158</v>
      </c>
    </row>
    <row r="691" spans="1:30" ht="17" x14ac:dyDescent="0.25">
      <c r="A691" s="1" t="s">
        <v>693</v>
      </c>
      <c r="B691" s="1" t="s">
        <v>3345</v>
      </c>
      <c r="C691" s="1" t="s">
        <v>2020</v>
      </c>
      <c r="D691" t="str">
        <f t="shared" si="93"/>
        <v>FD8E9F</v>
      </c>
      <c r="E691" t="str">
        <f t="shared" si="94"/>
        <v>253-142-159</v>
      </c>
      <c r="F691" t="str">
        <f t="shared" si="95"/>
        <v>253142159</v>
      </c>
      <c r="G691">
        <f t="shared" si="96"/>
        <v>253</v>
      </c>
      <c r="H691">
        <f t="shared" si="97"/>
        <v>142</v>
      </c>
      <c r="I691">
        <f t="shared" si="98"/>
        <v>159</v>
      </c>
      <c r="J691" t="str">
        <f t="shared" si="90"/>
        <v>SMT",</v>
      </c>
      <c r="K691" t="str">
        <f t="shared" si="90"/>
        <v>Submedial nucleus of the thalamus",</v>
      </c>
      <c r="L691" t="str">
        <f t="shared" si="91"/>
        <v>SMT</v>
      </c>
      <c r="M691" t="str">
        <f t="shared" si="91"/>
        <v>Submedial nucleus of the thalamus</v>
      </c>
      <c r="N691" t="s">
        <v>5840</v>
      </c>
      <c r="O691" t="s">
        <v>5841</v>
      </c>
      <c r="Q691" s="6">
        <v>1007</v>
      </c>
      <c r="R691" s="6">
        <v>773</v>
      </c>
      <c r="S691" s="6" t="s">
        <v>6476</v>
      </c>
      <c r="T691" s="6" t="s">
        <v>6475</v>
      </c>
      <c r="U691" s="6">
        <v>370</v>
      </c>
      <c r="V691" s="6">
        <v>6</v>
      </c>
      <c r="W691" s="6" t="s">
        <v>7937</v>
      </c>
      <c r="Y691" t="s">
        <v>5840</v>
      </c>
      <c r="Z691" t="s">
        <v>5841</v>
      </c>
      <c r="AA691" s="6">
        <f t="shared" si="92"/>
        <v>366</v>
      </c>
      <c r="AB691">
        <v>253</v>
      </c>
      <c r="AC691">
        <v>142</v>
      </c>
      <c r="AD691">
        <v>159</v>
      </c>
    </row>
    <row r="692" spans="1:30" ht="17" x14ac:dyDescent="0.25">
      <c r="A692" s="1" t="s">
        <v>694</v>
      </c>
      <c r="B692" s="1" t="s">
        <v>3346</v>
      </c>
      <c r="C692" s="1" t="s">
        <v>2021</v>
      </c>
      <c r="D692" t="str">
        <f t="shared" si="93"/>
        <v>FD909C</v>
      </c>
      <c r="E692" t="str">
        <f t="shared" si="94"/>
        <v>253-144-156</v>
      </c>
      <c r="F692" t="str">
        <f t="shared" si="95"/>
        <v>253144156</v>
      </c>
      <c r="G692">
        <f t="shared" si="96"/>
        <v>253</v>
      </c>
      <c r="H692">
        <f t="shared" si="97"/>
        <v>144</v>
      </c>
      <c r="I692">
        <f t="shared" si="98"/>
        <v>156</v>
      </c>
      <c r="J692" t="str">
        <f t="shared" si="90"/>
        <v>PR",</v>
      </c>
      <c r="K692" t="str">
        <f t="shared" si="90"/>
        <v>Perireunensis nucleus",</v>
      </c>
      <c r="L692" t="str">
        <f t="shared" si="91"/>
        <v>PR</v>
      </c>
      <c r="M692" t="str">
        <f t="shared" si="91"/>
        <v>Perireunensis nucleus</v>
      </c>
      <c r="N692" t="s">
        <v>5842</v>
      </c>
      <c r="O692" t="s">
        <v>5843</v>
      </c>
      <c r="Q692" s="6">
        <v>1008</v>
      </c>
      <c r="R692" s="6">
        <v>781</v>
      </c>
      <c r="S692" s="6" t="s">
        <v>6478</v>
      </c>
      <c r="T692" s="6" t="s">
        <v>6477</v>
      </c>
      <c r="U692" s="6">
        <v>370</v>
      </c>
      <c r="V692" s="6">
        <v>6</v>
      </c>
      <c r="W692" s="6" t="s">
        <v>7938</v>
      </c>
      <c r="Y692" t="s">
        <v>5842</v>
      </c>
      <c r="Z692" t="s">
        <v>5843</v>
      </c>
      <c r="AA692" s="6">
        <f t="shared" si="92"/>
        <v>1077</v>
      </c>
      <c r="AB692">
        <v>253</v>
      </c>
      <c r="AC692">
        <v>144</v>
      </c>
      <c r="AD692">
        <v>156</v>
      </c>
    </row>
    <row r="693" spans="1:30" ht="17" x14ac:dyDescent="0.25">
      <c r="A693" s="1" t="s">
        <v>695</v>
      </c>
      <c r="B693" s="1" t="s">
        <v>3347</v>
      </c>
      <c r="C693" s="1" t="s">
        <v>2022</v>
      </c>
      <c r="D693" t="str">
        <f t="shared" si="93"/>
        <v>FE8E9D</v>
      </c>
      <c r="E693" t="str">
        <f t="shared" si="94"/>
        <v>254-142-157</v>
      </c>
      <c r="F693" t="str">
        <f t="shared" si="95"/>
        <v>254142157</v>
      </c>
      <c r="G693">
        <f t="shared" si="96"/>
        <v>254</v>
      </c>
      <c r="H693">
        <f t="shared" si="97"/>
        <v>142</v>
      </c>
      <c r="I693">
        <f t="shared" si="98"/>
        <v>157</v>
      </c>
      <c r="J693" t="str">
        <f t="shared" si="90"/>
        <v>MTN",</v>
      </c>
      <c r="K693" t="str">
        <f t="shared" si="90"/>
        <v>Midline group of the dorsal thalamus",</v>
      </c>
      <c r="L693" t="str">
        <f t="shared" si="91"/>
        <v>MTN</v>
      </c>
      <c r="M693" t="str">
        <f t="shared" si="91"/>
        <v>Midline group of the dorsal thalamus</v>
      </c>
      <c r="N693" t="s">
        <v>5844</v>
      </c>
      <c r="O693" t="s">
        <v>5845</v>
      </c>
      <c r="Q693" s="6">
        <v>1010</v>
      </c>
      <c r="R693" s="6">
        <v>379</v>
      </c>
      <c r="S693" s="6" t="s">
        <v>6482</v>
      </c>
      <c r="T693" s="6" t="s">
        <v>6481</v>
      </c>
      <c r="U693" s="6">
        <v>354</v>
      </c>
      <c r="V693" s="6">
        <v>5</v>
      </c>
      <c r="W693" s="6" t="s">
        <v>7939</v>
      </c>
      <c r="Y693" t="s">
        <v>5844</v>
      </c>
      <c r="Z693" t="s">
        <v>5845</v>
      </c>
      <c r="AA693" s="6">
        <f t="shared" si="92"/>
        <v>571</v>
      </c>
      <c r="AB693">
        <v>254</v>
      </c>
      <c r="AC693">
        <v>142</v>
      </c>
      <c r="AD693">
        <v>157</v>
      </c>
    </row>
    <row r="694" spans="1:30" ht="17" x14ac:dyDescent="0.25">
      <c r="A694" s="1" t="s">
        <v>696</v>
      </c>
      <c r="B694" s="1" t="s">
        <v>3348</v>
      </c>
      <c r="C694" s="1" t="s">
        <v>2023</v>
      </c>
      <c r="D694" t="str">
        <f t="shared" si="93"/>
        <v>FE8F9E</v>
      </c>
      <c r="E694" t="str">
        <f t="shared" si="94"/>
        <v>254-143-158</v>
      </c>
      <c r="F694" t="str">
        <f t="shared" si="95"/>
        <v>254143158</v>
      </c>
      <c r="G694">
        <f t="shared" si="96"/>
        <v>254</v>
      </c>
      <c r="H694">
        <f t="shared" si="97"/>
        <v>143</v>
      </c>
      <c r="I694">
        <f t="shared" si="98"/>
        <v>158</v>
      </c>
      <c r="J694" t="str">
        <f t="shared" si="90"/>
        <v>PVT",</v>
      </c>
      <c r="K694" t="str">
        <f t="shared" si="90"/>
        <v>Paraventricular nucleus of the thalamus",</v>
      </c>
      <c r="L694" t="str">
        <f t="shared" si="91"/>
        <v>PVT</v>
      </c>
      <c r="M694" t="str">
        <f t="shared" si="91"/>
        <v>Paraventricular nucleus of the thalamus</v>
      </c>
      <c r="N694" t="s">
        <v>5846</v>
      </c>
      <c r="O694" t="s">
        <v>5847</v>
      </c>
      <c r="Q694" s="6">
        <v>1011</v>
      </c>
      <c r="R694" s="6">
        <v>206</v>
      </c>
      <c r="S694" s="6" t="s">
        <v>6484</v>
      </c>
      <c r="T694" s="6" t="s">
        <v>6483</v>
      </c>
      <c r="U694" s="6">
        <v>379</v>
      </c>
      <c r="V694" s="6">
        <v>6</v>
      </c>
      <c r="W694" s="6" t="s">
        <v>7940</v>
      </c>
      <c r="Y694" t="s">
        <v>5846</v>
      </c>
      <c r="Z694" t="s">
        <v>5847</v>
      </c>
      <c r="AA694" s="6">
        <f t="shared" si="92"/>
        <v>149</v>
      </c>
      <c r="AB694">
        <v>254</v>
      </c>
      <c r="AC694">
        <v>143</v>
      </c>
      <c r="AD694">
        <v>158</v>
      </c>
    </row>
    <row r="695" spans="1:30" ht="17" x14ac:dyDescent="0.25">
      <c r="A695" s="1" t="s">
        <v>697</v>
      </c>
      <c r="B695" s="1" t="s">
        <v>3349</v>
      </c>
      <c r="C695" s="1" t="s">
        <v>2024</v>
      </c>
      <c r="D695" t="str">
        <f t="shared" si="93"/>
        <v>FF909F</v>
      </c>
      <c r="E695" t="str">
        <f t="shared" si="94"/>
        <v>255-144-159</v>
      </c>
      <c r="F695" t="str">
        <f t="shared" si="95"/>
        <v>255144159</v>
      </c>
      <c r="G695">
        <f t="shared" si="96"/>
        <v>255</v>
      </c>
      <c r="H695">
        <f t="shared" si="97"/>
        <v>144</v>
      </c>
      <c r="I695">
        <f t="shared" si="98"/>
        <v>159</v>
      </c>
      <c r="J695" t="str">
        <f t="shared" si="90"/>
        <v>PT",</v>
      </c>
      <c r="K695" t="str">
        <f t="shared" si="90"/>
        <v>Parataenial nucleus",</v>
      </c>
      <c r="L695" t="str">
        <f t="shared" si="91"/>
        <v>PT</v>
      </c>
      <c r="M695" t="str">
        <f t="shared" si="91"/>
        <v>Parataenial nucleus</v>
      </c>
      <c r="N695" t="s">
        <v>5848</v>
      </c>
      <c r="O695" t="s">
        <v>5849</v>
      </c>
      <c r="Q695" s="6">
        <v>1012</v>
      </c>
      <c r="R695" s="6">
        <v>230</v>
      </c>
      <c r="S695" s="6" t="s">
        <v>6486</v>
      </c>
      <c r="T695" s="6" t="s">
        <v>6485</v>
      </c>
      <c r="U695" s="6">
        <v>379</v>
      </c>
      <c r="V695" s="6">
        <v>6</v>
      </c>
      <c r="W695" s="6" t="s">
        <v>7941</v>
      </c>
      <c r="Y695" t="s">
        <v>5848</v>
      </c>
      <c r="Z695" t="s">
        <v>5849</v>
      </c>
      <c r="AA695" s="6">
        <f t="shared" si="92"/>
        <v>15</v>
      </c>
      <c r="AB695">
        <v>255</v>
      </c>
      <c r="AC695">
        <v>144</v>
      </c>
      <c r="AD695">
        <v>159</v>
      </c>
    </row>
    <row r="696" spans="1:30" ht="17" x14ac:dyDescent="0.25">
      <c r="A696" s="1" t="s">
        <v>698</v>
      </c>
      <c r="B696" s="1" t="s">
        <v>3350</v>
      </c>
      <c r="C696" s="1" t="s">
        <v>2025</v>
      </c>
      <c r="D696" t="str">
        <f t="shared" si="93"/>
        <v>FD909F</v>
      </c>
      <c r="E696" t="str">
        <f t="shared" si="94"/>
        <v>253-144-159</v>
      </c>
      <c r="F696" t="str">
        <f t="shared" si="95"/>
        <v>253144159</v>
      </c>
      <c r="G696">
        <f t="shared" si="96"/>
        <v>253</v>
      </c>
      <c r="H696">
        <f t="shared" si="97"/>
        <v>144</v>
      </c>
      <c r="I696">
        <f t="shared" si="98"/>
        <v>159</v>
      </c>
      <c r="J696" t="str">
        <f t="shared" si="90"/>
        <v>RE",</v>
      </c>
      <c r="K696" t="str">
        <f t="shared" si="90"/>
        <v>Nucleus of reuniens",</v>
      </c>
      <c r="L696" t="str">
        <f t="shared" si="91"/>
        <v>RE</v>
      </c>
      <c r="M696" t="str">
        <f t="shared" si="91"/>
        <v>Nucleus of reuniens</v>
      </c>
      <c r="N696" t="s">
        <v>5850</v>
      </c>
      <c r="O696" t="s">
        <v>5851</v>
      </c>
      <c r="Q696" s="6">
        <v>1013</v>
      </c>
      <c r="R696" s="6">
        <v>222</v>
      </c>
      <c r="S696" s="6" t="s">
        <v>6488</v>
      </c>
      <c r="T696" s="6" t="s">
        <v>6487</v>
      </c>
      <c r="U696" s="6">
        <v>379</v>
      </c>
      <c r="V696" s="6">
        <v>6</v>
      </c>
      <c r="W696" s="6" t="s">
        <v>7942</v>
      </c>
      <c r="Y696" t="s">
        <v>5850</v>
      </c>
      <c r="Z696" t="s">
        <v>5851</v>
      </c>
      <c r="AA696" s="6">
        <f t="shared" si="92"/>
        <v>181</v>
      </c>
      <c r="AB696">
        <v>253</v>
      </c>
      <c r="AC696">
        <v>144</v>
      </c>
      <c r="AD696">
        <v>159</v>
      </c>
    </row>
    <row r="697" spans="1:30" ht="17" x14ac:dyDescent="0.25">
      <c r="A697" s="1" t="s">
        <v>699</v>
      </c>
      <c r="B697" s="1" t="s">
        <v>3351</v>
      </c>
      <c r="C697" s="1" t="s">
        <v>2026</v>
      </c>
      <c r="D697" t="str">
        <f t="shared" si="93"/>
        <v>FC8F9F</v>
      </c>
      <c r="E697" t="str">
        <f t="shared" si="94"/>
        <v>252-143-159</v>
      </c>
      <c r="F697" t="str">
        <f t="shared" si="95"/>
        <v>252143159</v>
      </c>
      <c r="G697">
        <f t="shared" si="96"/>
        <v>252</v>
      </c>
      <c r="H697">
        <f t="shared" si="97"/>
        <v>143</v>
      </c>
      <c r="I697">
        <f t="shared" si="98"/>
        <v>159</v>
      </c>
      <c r="J697" t="str">
        <f t="shared" si="90"/>
        <v>Xi",</v>
      </c>
      <c r="K697" t="str">
        <f t="shared" si="90"/>
        <v>Xiphoid thalamic nucleus",</v>
      </c>
      <c r="L697" t="str">
        <f t="shared" si="91"/>
        <v>Xi</v>
      </c>
      <c r="M697" t="str">
        <f t="shared" si="91"/>
        <v>Xiphoid thalamic nucleus</v>
      </c>
      <c r="N697" t="s">
        <v>5852</v>
      </c>
      <c r="O697" t="s">
        <v>5853</v>
      </c>
      <c r="Q697" s="6">
        <v>1014</v>
      </c>
      <c r="R697" s="6">
        <v>512</v>
      </c>
      <c r="S697" s="6" t="s">
        <v>6490</v>
      </c>
      <c r="T697" s="6" t="s">
        <v>6489</v>
      </c>
      <c r="U697" s="6">
        <v>8</v>
      </c>
      <c r="V697" s="6">
        <v>2</v>
      </c>
      <c r="W697" s="6" t="s">
        <v>7943</v>
      </c>
      <c r="Y697" t="s">
        <v>5852</v>
      </c>
      <c r="Z697" t="s">
        <v>5853</v>
      </c>
      <c r="AA697" s="6">
        <f t="shared" si="92"/>
        <v>560581559</v>
      </c>
      <c r="AB697">
        <v>252</v>
      </c>
      <c r="AC697">
        <v>143</v>
      </c>
      <c r="AD697">
        <v>159</v>
      </c>
    </row>
    <row r="698" spans="1:30" ht="17" x14ac:dyDescent="0.25">
      <c r="A698" s="1" t="s">
        <v>700</v>
      </c>
      <c r="B698" s="1" t="s">
        <v>3352</v>
      </c>
      <c r="C698" s="1" t="s">
        <v>2027</v>
      </c>
      <c r="D698" t="str">
        <f t="shared" si="93"/>
        <v>FF8F9F</v>
      </c>
      <c r="E698" t="str">
        <f t="shared" si="94"/>
        <v>255-143-159</v>
      </c>
      <c r="F698" t="str">
        <f t="shared" si="95"/>
        <v>255143159</v>
      </c>
      <c r="G698">
        <f t="shared" si="96"/>
        <v>255</v>
      </c>
      <c r="H698">
        <f t="shared" si="97"/>
        <v>143</v>
      </c>
      <c r="I698">
        <f t="shared" si="98"/>
        <v>159</v>
      </c>
      <c r="J698" t="str">
        <f t="shared" si="90"/>
        <v>ILM",</v>
      </c>
      <c r="K698" t="str">
        <f t="shared" si="90"/>
        <v>Intralaminar nuclei of the dorsal thalamus",</v>
      </c>
      <c r="L698" t="str">
        <f t="shared" si="91"/>
        <v>ILM</v>
      </c>
      <c r="M698" t="str">
        <f t="shared" si="91"/>
        <v>Intralaminar nuclei of the dorsal thalamus</v>
      </c>
      <c r="N698" t="s">
        <v>5854</v>
      </c>
      <c r="O698" t="s">
        <v>5855</v>
      </c>
      <c r="Q698" s="6">
        <v>1015</v>
      </c>
      <c r="R698" s="6">
        <v>528</v>
      </c>
      <c r="S698" s="6" t="s">
        <v>6492</v>
      </c>
      <c r="T698" s="6" t="s">
        <v>6491</v>
      </c>
      <c r="U698" s="6">
        <v>512</v>
      </c>
      <c r="V698" s="6">
        <v>3</v>
      </c>
      <c r="W698" s="6" t="s">
        <v>7944</v>
      </c>
      <c r="Y698" t="s">
        <v>5854</v>
      </c>
      <c r="Z698" t="s">
        <v>5855</v>
      </c>
      <c r="AA698" s="6">
        <f t="shared" si="92"/>
        <v>51</v>
      </c>
      <c r="AB698">
        <v>255</v>
      </c>
      <c r="AC698">
        <v>143</v>
      </c>
      <c r="AD698">
        <v>159</v>
      </c>
    </row>
    <row r="699" spans="1:30" ht="17" x14ac:dyDescent="0.25">
      <c r="A699" s="1" t="s">
        <v>701</v>
      </c>
      <c r="B699" s="1" t="s">
        <v>3353</v>
      </c>
      <c r="C699" s="1" t="s">
        <v>2028</v>
      </c>
      <c r="D699" t="str">
        <f t="shared" si="93"/>
        <v>FF8E9E</v>
      </c>
      <c r="E699" t="str">
        <f t="shared" si="94"/>
        <v>255-142-158</v>
      </c>
      <c r="F699" t="str">
        <f t="shared" si="95"/>
        <v>255142158</v>
      </c>
      <c r="G699">
        <f t="shared" si="96"/>
        <v>255</v>
      </c>
      <c r="H699">
        <f t="shared" si="97"/>
        <v>142</v>
      </c>
      <c r="I699">
        <f t="shared" si="98"/>
        <v>158</v>
      </c>
      <c r="J699" t="str">
        <f t="shared" si="90"/>
        <v>RH",</v>
      </c>
      <c r="K699" t="str">
        <f t="shared" si="90"/>
        <v>Rhomboid nucleus",</v>
      </c>
      <c r="L699" t="str">
        <f t="shared" si="91"/>
        <v>RH</v>
      </c>
      <c r="M699" t="str">
        <f t="shared" si="91"/>
        <v>Rhomboid nucleus</v>
      </c>
      <c r="N699" t="s">
        <v>5856</v>
      </c>
      <c r="O699" t="s">
        <v>5857</v>
      </c>
      <c r="Q699" s="6">
        <v>1016</v>
      </c>
      <c r="R699" s="6">
        <v>645</v>
      </c>
      <c r="S699" s="6" t="s">
        <v>6500</v>
      </c>
      <c r="T699" s="6" t="s">
        <v>6499</v>
      </c>
      <c r="U699" s="6">
        <v>528</v>
      </c>
      <c r="V699" s="6">
        <v>4</v>
      </c>
      <c r="W699" s="6" t="s">
        <v>7945</v>
      </c>
      <c r="Y699" t="s">
        <v>5856</v>
      </c>
      <c r="Z699" t="s">
        <v>5857</v>
      </c>
      <c r="AA699" s="6">
        <f t="shared" si="92"/>
        <v>189</v>
      </c>
      <c r="AB699">
        <v>255</v>
      </c>
      <c r="AC699">
        <v>142</v>
      </c>
      <c r="AD699">
        <v>158</v>
      </c>
    </row>
    <row r="700" spans="1:30" ht="17" x14ac:dyDescent="0.25">
      <c r="A700" s="1" t="s">
        <v>702</v>
      </c>
      <c r="B700" s="1" t="s">
        <v>3354</v>
      </c>
      <c r="C700" s="1" t="s">
        <v>2029</v>
      </c>
      <c r="D700" t="str">
        <f t="shared" si="93"/>
        <v>FD8E9E</v>
      </c>
      <c r="E700" t="str">
        <f t="shared" si="94"/>
        <v>253-142-158</v>
      </c>
      <c r="F700" t="str">
        <f t="shared" si="95"/>
        <v>253142158</v>
      </c>
      <c r="G700">
        <f t="shared" si="96"/>
        <v>253</v>
      </c>
      <c r="H700">
        <f t="shared" si="97"/>
        <v>142</v>
      </c>
      <c r="I700">
        <f t="shared" si="98"/>
        <v>158</v>
      </c>
      <c r="J700" t="str">
        <f t="shared" si="90"/>
        <v>CM",</v>
      </c>
      <c r="K700" t="str">
        <f t="shared" si="90"/>
        <v>Central medial nucleus of the thalamus",</v>
      </c>
      <c r="L700" t="str">
        <f t="shared" si="91"/>
        <v>CM</v>
      </c>
      <c r="M700" t="str">
        <f t="shared" si="91"/>
        <v>Central medial nucleus of the thalamus</v>
      </c>
      <c r="N700" t="s">
        <v>5858</v>
      </c>
      <c r="O700" t="s">
        <v>5859</v>
      </c>
      <c r="Q700" s="6">
        <v>1017</v>
      </c>
      <c r="R700" s="6">
        <v>912</v>
      </c>
      <c r="S700" s="6" t="s">
        <v>6502</v>
      </c>
      <c r="T700" s="6" t="s">
        <v>6501</v>
      </c>
      <c r="U700" s="6">
        <v>645</v>
      </c>
      <c r="V700" s="6">
        <v>5</v>
      </c>
      <c r="W700" s="6" t="s">
        <v>7946</v>
      </c>
      <c r="Y700" t="s">
        <v>5858</v>
      </c>
      <c r="Z700" t="s">
        <v>5859</v>
      </c>
      <c r="AA700" s="6">
        <f t="shared" si="92"/>
        <v>599</v>
      </c>
      <c r="AB700">
        <v>253</v>
      </c>
      <c r="AC700">
        <v>142</v>
      </c>
      <c r="AD700">
        <v>158</v>
      </c>
    </row>
    <row r="701" spans="1:30" ht="17" x14ac:dyDescent="0.25">
      <c r="A701" s="1" t="s">
        <v>703</v>
      </c>
      <c r="B701" s="1" t="s">
        <v>3355</v>
      </c>
      <c r="C701" s="1" t="s">
        <v>2030</v>
      </c>
      <c r="D701" t="str">
        <f t="shared" si="93"/>
        <v>FE8D9F</v>
      </c>
      <c r="E701" t="str">
        <f t="shared" si="94"/>
        <v>254-141-159</v>
      </c>
      <c r="F701" t="str">
        <f t="shared" si="95"/>
        <v>254141159</v>
      </c>
      <c r="G701">
        <f t="shared" si="96"/>
        <v>254</v>
      </c>
      <c r="H701">
        <f t="shared" si="97"/>
        <v>141</v>
      </c>
      <c r="I701">
        <f t="shared" si="98"/>
        <v>159</v>
      </c>
      <c r="J701" t="str">
        <f t="shared" si="90"/>
        <v>PCN",</v>
      </c>
      <c r="K701" t="str">
        <f t="shared" si="90"/>
        <v>Paracentral nucleus",</v>
      </c>
      <c r="L701" t="str">
        <f t="shared" si="91"/>
        <v>PCN</v>
      </c>
      <c r="M701" t="str">
        <f t="shared" si="91"/>
        <v>Paracentral nucleus</v>
      </c>
      <c r="N701" t="s">
        <v>5860</v>
      </c>
      <c r="O701" t="s">
        <v>5861</v>
      </c>
      <c r="Q701" s="6">
        <v>1021</v>
      </c>
      <c r="R701" s="6">
        <v>920</v>
      </c>
      <c r="S701" s="6" t="s">
        <v>6510</v>
      </c>
      <c r="T701" s="6" t="s">
        <v>6509</v>
      </c>
      <c r="U701" s="6">
        <v>645</v>
      </c>
      <c r="V701" s="6">
        <v>5</v>
      </c>
      <c r="W701" s="6" t="s">
        <v>7947</v>
      </c>
      <c r="Y701" t="s">
        <v>5860</v>
      </c>
      <c r="Z701" t="s">
        <v>5861</v>
      </c>
      <c r="AA701" s="6">
        <f t="shared" si="92"/>
        <v>907</v>
      </c>
      <c r="AB701">
        <v>254</v>
      </c>
      <c r="AC701">
        <v>141</v>
      </c>
      <c r="AD701">
        <v>159</v>
      </c>
    </row>
    <row r="702" spans="1:30" ht="17" x14ac:dyDescent="0.25">
      <c r="A702" s="1" t="s">
        <v>704</v>
      </c>
      <c r="B702" s="1" t="s">
        <v>3356</v>
      </c>
      <c r="C702" s="1" t="s">
        <v>2031</v>
      </c>
      <c r="D702" t="str">
        <f t="shared" si="93"/>
        <v>FD8F9D</v>
      </c>
      <c r="E702" t="str">
        <f t="shared" si="94"/>
        <v>253-143-157</v>
      </c>
      <c r="F702" t="str">
        <f t="shared" si="95"/>
        <v>253143157</v>
      </c>
      <c r="G702">
        <f t="shared" si="96"/>
        <v>253</v>
      </c>
      <c r="H702">
        <f t="shared" si="97"/>
        <v>143</v>
      </c>
      <c r="I702">
        <f t="shared" si="98"/>
        <v>157</v>
      </c>
      <c r="J702" t="str">
        <f t="shared" si="90"/>
        <v>CL",</v>
      </c>
      <c r="K702" t="str">
        <f t="shared" si="90"/>
        <v>Central lateral nucleus of the thalamus",</v>
      </c>
      <c r="L702" t="str">
        <f t="shared" si="91"/>
        <v>CL</v>
      </c>
      <c r="M702" t="str">
        <f t="shared" si="91"/>
        <v>Central lateral nucleus of the thalamus</v>
      </c>
      <c r="N702" t="s">
        <v>5862</v>
      </c>
      <c r="O702" t="s">
        <v>5863</v>
      </c>
      <c r="Q702" s="6">
        <v>1022</v>
      </c>
      <c r="R702" s="6">
        <v>976</v>
      </c>
      <c r="S702" s="6" t="s">
        <v>6512</v>
      </c>
      <c r="T702" s="6" t="s">
        <v>6511</v>
      </c>
      <c r="U702" s="6">
        <v>920</v>
      </c>
      <c r="V702" s="6">
        <v>6</v>
      </c>
      <c r="W702" s="6" t="s">
        <v>7948</v>
      </c>
      <c r="Y702" t="s">
        <v>5862</v>
      </c>
      <c r="Z702" t="s">
        <v>5863</v>
      </c>
      <c r="AA702" s="6">
        <f t="shared" si="92"/>
        <v>575</v>
      </c>
      <c r="AB702">
        <v>253</v>
      </c>
      <c r="AC702">
        <v>143</v>
      </c>
      <c r="AD702">
        <v>157</v>
      </c>
    </row>
    <row r="703" spans="1:30" ht="17" x14ac:dyDescent="0.25">
      <c r="A703" s="1" t="s">
        <v>705</v>
      </c>
      <c r="B703" s="1" t="s">
        <v>3357</v>
      </c>
      <c r="C703" s="1" t="s">
        <v>2032</v>
      </c>
      <c r="D703" t="str">
        <f t="shared" si="93"/>
        <v>FC909E</v>
      </c>
      <c r="E703" t="str">
        <f t="shared" si="94"/>
        <v>252-144-158</v>
      </c>
      <c r="F703" t="str">
        <f t="shared" si="95"/>
        <v>252144158</v>
      </c>
      <c r="G703">
        <f t="shared" si="96"/>
        <v>252</v>
      </c>
      <c r="H703">
        <f t="shared" si="97"/>
        <v>144</v>
      </c>
      <c r="I703">
        <f t="shared" si="98"/>
        <v>158</v>
      </c>
      <c r="J703" t="str">
        <f t="shared" si="90"/>
        <v>PF",</v>
      </c>
      <c r="K703" t="str">
        <f t="shared" si="90"/>
        <v>Parafascicular nucleus",</v>
      </c>
      <c r="L703" t="str">
        <f t="shared" si="91"/>
        <v>PF</v>
      </c>
      <c r="M703" t="str">
        <f t="shared" si="91"/>
        <v>Parafascicular nucleus</v>
      </c>
      <c r="N703" t="s">
        <v>5864</v>
      </c>
      <c r="O703" t="s">
        <v>5865</v>
      </c>
      <c r="Q703" s="6">
        <v>1026</v>
      </c>
      <c r="R703" s="6">
        <v>984</v>
      </c>
      <c r="S703" s="6" t="s">
        <v>6520</v>
      </c>
      <c r="T703" s="6" t="s">
        <v>6519</v>
      </c>
      <c r="U703" s="6">
        <v>920</v>
      </c>
      <c r="V703" s="6">
        <v>6</v>
      </c>
      <c r="W703" s="6" t="s">
        <v>7949</v>
      </c>
      <c r="Y703" t="s">
        <v>5864</v>
      </c>
      <c r="Z703" t="s">
        <v>5865</v>
      </c>
      <c r="AA703" s="6">
        <f t="shared" si="92"/>
        <v>930</v>
      </c>
      <c r="AB703">
        <v>252</v>
      </c>
      <c r="AC703">
        <v>144</v>
      </c>
      <c r="AD703">
        <v>158</v>
      </c>
    </row>
    <row r="704" spans="1:30" ht="17" x14ac:dyDescent="0.25">
      <c r="A704" s="1" t="s">
        <v>706</v>
      </c>
      <c r="B704" s="1" t="s">
        <v>3358</v>
      </c>
      <c r="C704" s="1" t="s">
        <v>2033</v>
      </c>
      <c r="D704" t="str">
        <f t="shared" si="93"/>
        <v>FE8D9E</v>
      </c>
      <c r="E704" t="str">
        <f t="shared" si="94"/>
        <v>254-141-158</v>
      </c>
      <c r="F704" t="str">
        <f t="shared" si="95"/>
        <v>254141158</v>
      </c>
      <c r="G704">
        <f t="shared" si="96"/>
        <v>254</v>
      </c>
      <c r="H704">
        <f t="shared" si="97"/>
        <v>141</v>
      </c>
      <c r="I704">
        <f t="shared" si="98"/>
        <v>158</v>
      </c>
      <c r="J704" t="str">
        <f t="shared" si="90"/>
        <v>PIL",</v>
      </c>
      <c r="K704" t="str">
        <f t="shared" si="90"/>
        <v>Posterior intralaminar thalamic nucleus",</v>
      </c>
      <c r="L704" t="str">
        <f t="shared" si="91"/>
        <v>PIL</v>
      </c>
      <c r="M704" t="str">
        <f t="shared" si="91"/>
        <v>Posterior intralaminar thalamic nucleus</v>
      </c>
      <c r="N704" t="s">
        <v>5866</v>
      </c>
      <c r="O704" t="s">
        <v>5867</v>
      </c>
      <c r="Q704" s="6">
        <v>1030</v>
      </c>
      <c r="R704" s="6">
        <v>928</v>
      </c>
      <c r="S704" s="6" t="s">
        <v>6528</v>
      </c>
      <c r="T704" s="6" t="s">
        <v>6527</v>
      </c>
      <c r="U704" s="6">
        <v>645</v>
      </c>
      <c r="V704" s="6">
        <v>5</v>
      </c>
      <c r="W704" s="6" t="s">
        <v>7950</v>
      </c>
      <c r="Y704" t="s">
        <v>5866</v>
      </c>
      <c r="Z704" t="s">
        <v>5867</v>
      </c>
      <c r="AA704" s="6">
        <f t="shared" si="92"/>
        <v>560581563</v>
      </c>
      <c r="AB704">
        <v>254</v>
      </c>
      <c r="AC704">
        <v>141</v>
      </c>
      <c r="AD704">
        <v>158</v>
      </c>
    </row>
    <row r="705" spans="1:30" ht="17" x14ac:dyDescent="0.25">
      <c r="A705" s="1" t="s">
        <v>707</v>
      </c>
      <c r="B705" s="1" t="s">
        <v>3359</v>
      </c>
      <c r="C705" s="1" t="s">
        <v>2034</v>
      </c>
      <c r="D705" t="str">
        <f t="shared" si="93"/>
        <v>FD8F9F</v>
      </c>
      <c r="E705" t="str">
        <f t="shared" si="94"/>
        <v>253-143-159</v>
      </c>
      <c r="F705" t="str">
        <f t="shared" si="95"/>
        <v>253143159</v>
      </c>
      <c r="G705">
        <f t="shared" si="96"/>
        <v>253</v>
      </c>
      <c r="H705">
        <f t="shared" si="97"/>
        <v>143</v>
      </c>
      <c r="I705">
        <f t="shared" si="98"/>
        <v>159</v>
      </c>
      <c r="J705" t="str">
        <f t="shared" si="90"/>
        <v>RT",</v>
      </c>
      <c r="K705" t="str">
        <f t="shared" si="90"/>
        <v>Reticular nucleus of the thalamus",</v>
      </c>
      <c r="L705" t="str">
        <f t="shared" si="91"/>
        <v>RT</v>
      </c>
      <c r="M705" t="str">
        <f t="shared" si="91"/>
        <v>Reticular nucleus of the thalamus</v>
      </c>
      <c r="N705" t="s">
        <v>5868</v>
      </c>
      <c r="O705" t="s">
        <v>5869</v>
      </c>
      <c r="Q705" s="6">
        <v>1039</v>
      </c>
      <c r="R705" s="6">
        <v>1091</v>
      </c>
      <c r="S705" s="6" t="s">
        <v>6546</v>
      </c>
      <c r="T705" s="6" t="s">
        <v>6545</v>
      </c>
      <c r="U705" s="6">
        <v>928</v>
      </c>
      <c r="V705" s="6">
        <v>6</v>
      </c>
      <c r="W705" s="6" t="s">
        <v>7951</v>
      </c>
      <c r="Y705" t="s">
        <v>5868</v>
      </c>
      <c r="Z705" t="s">
        <v>5869</v>
      </c>
      <c r="AA705" s="6">
        <f t="shared" si="92"/>
        <v>262</v>
      </c>
      <c r="AB705">
        <v>253</v>
      </c>
      <c r="AC705">
        <v>143</v>
      </c>
      <c r="AD705">
        <v>159</v>
      </c>
    </row>
    <row r="706" spans="1:30" ht="17" x14ac:dyDescent="0.25">
      <c r="A706" s="1" t="s">
        <v>708</v>
      </c>
      <c r="B706" s="1" t="s">
        <v>3360</v>
      </c>
      <c r="C706" s="1" t="s">
        <v>2035</v>
      </c>
      <c r="D706" t="str">
        <f t="shared" si="93"/>
        <v>FD8E9D</v>
      </c>
      <c r="E706" t="str">
        <f t="shared" si="94"/>
        <v>253-142-157</v>
      </c>
      <c r="F706" t="str">
        <f t="shared" si="95"/>
        <v>253142157</v>
      </c>
      <c r="G706">
        <f t="shared" si="96"/>
        <v>253</v>
      </c>
      <c r="H706">
        <f t="shared" si="97"/>
        <v>142</v>
      </c>
      <c r="I706">
        <f t="shared" si="98"/>
        <v>157</v>
      </c>
      <c r="J706" t="str">
        <f t="shared" si="90"/>
        <v>GENv",</v>
      </c>
      <c r="K706" t="str">
        <f t="shared" si="90"/>
        <v>Geniculate group, ventral thalamus",</v>
      </c>
      <c r="L706" t="str">
        <f t="shared" si="91"/>
        <v>GENv</v>
      </c>
      <c r="M706" t="str">
        <f t="shared" si="91"/>
        <v>Geniculate group, ventral thalamus</v>
      </c>
      <c r="N706" t="s">
        <v>5870</v>
      </c>
      <c r="O706" t="s">
        <v>5871</v>
      </c>
      <c r="Q706" s="6">
        <v>1043</v>
      </c>
      <c r="R706" s="6">
        <v>936</v>
      </c>
      <c r="S706" s="6" t="s">
        <v>6554</v>
      </c>
      <c r="T706" s="6" t="s">
        <v>6553</v>
      </c>
      <c r="U706" s="6">
        <v>645</v>
      </c>
      <c r="V706" s="6">
        <v>5</v>
      </c>
      <c r="W706" s="6" t="s">
        <v>7952</v>
      </c>
      <c r="Y706" t="s">
        <v>5870</v>
      </c>
      <c r="Z706" t="s">
        <v>5871</v>
      </c>
      <c r="AA706" s="6">
        <f t="shared" si="92"/>
        <v>1014</v>
      </c>
      <c r="AB706">
        <v>253</v>
      </c>
      <c r="AC706">
        <v>142</v>
      </c>
      <c r="AD706">
        <v>157</v>
      </c>
    </row>
    <row r="707" spans="1:30" ht="17" x14ac:dyDescent="0.25">
      <c r="A707" s="1" t="s">
        <v>709</v>
      </c>
      <c r="B707" s="1" t="s">
        <v>3361</v>
      </c>
      <c r="C707" s="1" t="s">
        <v>2036</v>
      </c>
      <c r="D707" t="str">
        <f t="shared" si="93"/>
        <v>FF909E</v>
      </c>
      <c r="E707" t="str">
        <f t="shared" si="94"/>
        <v>255-144-158</v>
      </c>
      <c r="F707" t="str">
        <f t="shared" si="95"/>
        <v>255144158</v>
      </c>
      <c r="G707">
        <f t="shared" si="96"/>
        <v>255</v>
      </c>
      <c r="H707">
        <f t="shared" si="97"/>
        <v>144</v>
      </c>
      <c r="I707">
        <f t="shared" si="98"/>
        <v>158</v>
      </c>
      <c r="J707" t="str">
        <f t="shared" ref="J707:K770" si="99">RIGHT(A707,LEN(A707)-3)</f>
        <v>IGL",</v>
      </c>
      <c r="K707" t="str">
        <f t="shared" si="99"/>
        <v>Intergeniculate leaflet of the lateral geniculate complex",</v>
      </c>
      <c r="L707" t="str">
        <f t="shared" ref="L707:M770" si="100">LEFT(J707,LEN(J707)-2)</f>
        <v>IGL</v>
      </c>
      <c r="M707" t="str">
        <f t="shared" si="100"/>
        <v>Intergeniculate leaflet of the lateral geniculate complex</v>
      </c>
      <c r="N707" t="s">
        <v>5872</v>
      </c>
      <c r="O707" t="s">
        <v>5873</v>
      </c>
      <c r="Q707" s="6">
        <v>1047</v>
      </c>
      <c r="R707" s="6">
        <v>944</v>
      </c>
      <c r="S707" s="6" t="s">
        <v>6562</v>
      </c>
      <c r="T707" s="6" t="s">
        <v>6561</v>
      </c>
      <c r="U707" s="6">
        <v>645</v>
      </c>
      <c r="V707" s="6">
        <v>5</v>
      </c>
      <c r="W707" s="6" t="s">
        <v>7953</v>
      </c>
      <c r="Y707" t="s">
        <v>5872</v>
      </c>
      <c r="Z707" t="s">
        <v>5873</v>
      </c>
      <c r="AA707" s="6">
        <f t="shared" ref="AA707:AA770" si="101">IFERROR(INDEX(R:R,MATCH($Z707,S:S,0)),"")</f>
        <v>27</v>
      </c>
      <c r="AB707">
        <v>255</v>
      </c>
      <c r="AC707">
        <v>144</v>
      </c>
      <c r="AD707">
        <v>158</v>
      </c>
    </row>
    <row r="708" spans="1:30" ht="17" x14ac:dyDescent="0.25">
      <c r="A708" s="1" t="s">
        <v>710</v>
      </c>
      <c r="B708" s="1" t="s">
        <v>3362</v>
      </c>
      <c r="C708" s="1" t="s">
        <v>2037</v>
      </c>
      <c r="D708" t="str">
        <f t="shared" ref="D708:D771" si="102">RIGHT(LEFT(C708,9),6)</f>
        <v>FE8D9D</v>
      </c>
      <c r="E708" t="str">
        <f t="shared" ref="E708:E771" si="103">HEX2DEC(LEFT(D708,2))&amp;"-"&amp;HEX2DEC(MID(D708,3,2))&amp;"-"&amp;HEX2DEC(RIGHT(D708,2))</f>
        <v>254-141-157</v>
      </c>
      <c r="F708" t="str">
        <f t="shared" ref="F708:F771" si="104">HEX2DEC(LEFT(D708,2))&amp;HEX2DEC(MID(D708,3,2))&amp;HEX2DEC(RIGHT(D708,2))</f>
        <v>254141157</v>
      </c>
      <c r="G708">
        <f t="shared" ref="G708:G771" si="105">HEX2DEC(LEFT(D708,2))</f>
        <v>254</v>
      </c>
      <c r="H708">
        <f t="shared" ref="H708:H771" si="106">HEX2DEC(MID(D708,3,2))</f>
        <v>141</v>
      </c>
      <c r="I708">
        <f t="shared" ref="I708:I771" si="107">HEX2DEC(RIGHT(D708,2))</f>
        <v>157</v>
      </c>
      <c r="J708" t="str">
        <f t="shared" si="99"/>
        <v>IntG",</v>
      </c>
      <c r="K708" t="str">
        <f t="shared" si="99"/>
        <v>Intermediate geniculate nucleus",</v>
      </c>
      <c r="L708" t="str">
        <f t="shared" si="100"/>
        <v>IntG</v>
      </c>
      <c r="M708" t="str">
        <f t="shared" si="100"/>
        <v>Intermediate geniculate nucleus</v>
      </c>
      <c r="N708" t="s">
        <v>5874</v>
      </c>
      <c r="O708" t="s">
        <v>5875</v>
      </c>
      <c r="Q708" s="6">
        <v>1051</v>
      </c>
      <c r="R708" s="6">
        <v>951</v>
      </c>
      <c r="S708" s="6" t="s">
        <v>6570</v>
      </c>
      <c r="T708" s="6" t="s">
        <v>6569</v>
      </c>
      <c r="U708" s="6">
        <v>645</v>
      </c>
      <c r="V708" s="6">
        <v>5</v>
      </c>
      <c r="W708" s="6" t="s">
        <v>7954</v>
      </c>
      <c r="Y708" t="s">
        <v>5874</v>
      </c>
      <c r="Z708" t="s">
        <v>5875</v>
      </c>
      <c r="AA708" s="6">
        <f t="shared" si="101"/>
        <v>563807439</v>
      </c>
      <c r="AB708">
        <v>254</v>
      </c>
      <c r="AC708">
        <v>141</v>
      </c>
      <c r="AD708">
        <v>157</v>
      </c>
    </row>
    <row r="709" spans="1:30" ht="17" x14ac:dyDescent="0.25">
      <c r="A709" s="1" t="s">
        <v>711</v>
      </c>
      <c r="B709" s="1" t="s">
        <v>3363</v>
      </c>
      <c r="C709" s="1" t="s">
        <v>2038</v>
      </c>
      <c r="D709" t="str">
        <f t="shared" si="102"/>
        <v>FF8E9F</v>
      </c>
      <c r="E709" t="str">
        <f t="shared" si="103"/>
        <v>255-142-159</v>
      </c>
      <c r="F709" t="str">
        <f t="shared" si="104"/>
        <v>255142159</v>
      </c>
      <c r="G709">
        <f t="shared" si="105"/>
        <v>255</v>
      </c>
      <c r="H709">
        <f t="shared" si="106"/>
        <v>142</v>
      </c>
      <c r="I709">
        <f t="shared" si="107"/>
        <v>159</v>
      </c>
      <c r="J709" t="str">
        <f t="shared" si="99"/>
        <v>LGv",</v>
      </c>
      <c r="K709" t="str">
        <f t="shared" si="99"/>
        <v>Ventral part of the lateral geniculate complex",</v>
      </c>
      <c r="L709" t="str">
        <f t="shared" si="100"/>
        <v>LGv</v>
      </c>
      <c r="M709" t="str">
        <f t="shared" si="100"/>
        <v>Ventral part of the lateral geniculate complex</v>
      </c>
      <c r="N709" t="s">
        <v>5876</v>
      </c>
      <c r="O709" t="s">
        <v>5877</v>
      </c>
      <c r="Q709" s="6">
        <v>1055</v>
      </c>
      <c r="R709" s="6">
        <v>957</v>
      </c>
      <c r="S709" s="6" t="s">
        <v>6578</v>
      </c>
      <c r="T709" s="6" t="s">
        <v>6577</v>
      </c>
      <c r="U709" s="6">
        <v>645</v>
      </c>
      <c r="V709" s="6">
        <v>5</v>
      </c>
      <c r="W709" s="6" t="s">
        <v>7955</v>
      </c>
      <c r="Y709" t="s">
        <v>5876</v>
      </c>
      <c r="Z709" t="s">
        <v>5877</v>
      </c>
      <c r="AA709" s="6">
        <f t="shared" si="101"/>
        <v>178</v>
      </c>
      <c r="AB709">
        <v>255</v>
      </c>
      <c r="AC709">
        <v>142</v>
      </c>
      <c r="AD709">
        <v>159</v>
      </c>
    </row>
    <row r="710" spans="1:30" ht="17" x14ac:dyDescent="0.25">
      <c r="A710" s="1" t="s">
        <v>712</v>
      </c>
      <c r="B710" s="1" t="s">
        <v>3364</v>
      </c>
      <c r="C710" s="1" t="s">
        <v>2039</v>
      </c>
      <c r="D710" t="str">
        <f t="shared" si="102"/>
        <v>FE8F9D</v>
      </c>
      <c r="E710" t="str">
        <f t="shared" si="103"/>
        <v>254-143-157</v>
      </c>
      <c r="F710" t="str">
        <f t="shared" si="104"/>
        <v>254143157</v>
      </c>
      <c r="G710">
        <f t="shared" si="105"/>
        <v>254</v>
      </c>
      <c r="H710">
        <f t="shared" si="106"/>
        <v>143</v>
      </c>
      <c r="I710">
        <f t="shared" si="107"/>
        <v>157</v>
      </c>
      <c r="J710" t="str">
        <f t="shared" si="99"/>
        <v>LGvl",</v>
      </c>
      <c r="K710" t="str">
        <f t="shared" si="99"/>
        <v>Ventral part of the lateral geniculate complex, lateral zone",</v>
      </c>
      <c r="L710" t="str">
        <f t="shared" si="100"/>
        <v>LGvl</v>
      </c>
      <c r="M710" t="str">
        <f t="shared" si="100"/>
        <v>Ventral part of the lateral geniculate complex, lateral zone</v>
      </c>
      <c r="N710" t="s">
        <v>5878</v>
      </c>
      <c r="O710" t="s">
        <v>5879</v>
      </c>
      <c r="Q710" s="6">
        <v>1059</v>
      </c>
      <c r="R710" s="6">
        <v>968</v>
      </c>
      <c r="S710" s="6" t="s">
        <v>6586</v>
      </c>
      <c r="T710" s="6" t="s">
        <v>6585</v>
      </c>
      <c r="U710" s="6">
        <v>645</v>
      </c>
      <c r="V710" s="6">
        <v>5</v>
      </c>
      <c r="W710" s="6" t="s">
        <v>7956</v>
      </c>
      <c r="Y710" t="s">
        <v>5878</v>
      </c>
      <c r="Z710" t="s">
        <v>5879</v>
      </c>
      <c r="AA710" s="6" t="str">
        <f t="shared" si="101"/>
        <v/>
      </c>
      <c r="AB710">
        <v>254</v>
      </c>
      <c r="AC710">
        <v>143</v>
      </c>
      <c r="AD710">
        <v>157</v>
      </c>
    </row>
    <row r="711" spans="1:30" ht="17" x14ac:dyDescent="0.25">
      <c r="A711" s="1" t="s">
        <v>713</v>
      </c>
      <c r="B711" s="1" t="s">
        <v>3365</v>
      </c>
      <c r="C711" s="1" t="s">
        <v>2040</v>
      </c>
      <c r="D711" t="str">
        <f t="shared" si="102"/>
        <v>FE8E9E</v>
      </c>
      <c r="E711" t="str">
        <f t="shared" si="103"/>
        <v>254-142-158</v>
      </c>
      <c r="F711" t="str">
        <f t="shared" si="104"/>
        <v>254142158</v>
      </c>
      <c r="G711">
        <f t="shared" si="105"/>
        <v>254</v>
      </c>
      <c r="H711">
        <f t="shared" si="106"/>
        <v>142</v>
      </c>
      <c r="I711">
        <f t="shared" si="107"/>
        <v>158</v>
      </c>
      <c r="J711" t="str">
        <f t="shared" si="99"/>
        <v>LGvm",</v>
      </c>
      <c r="K711" t="str">
        <f t="shared" si="99"/>
        <v>Ventral part of the lateral geniculate complex, medial zone",</v>
      </c>
      <c r="L711" t="str">
        <f t="shared" si="100"/>
        <v>LGvm</v>
      </c>
      <c r="M711" t="str">
        <f t="shared" si="100"/>
        <v>Ventral part of the lateral geniculate complex, medial zone</v>
      </c>
      <c r="N711" t="s">
        <v>5880</v>
      </c>
      <c r="O711" t="s">
        <v>5881</v>
      </c>
      <c r="Q711" s="6">
        <v>1063</v>
      </c>
      <c r="R711" s="6">
        <v>1073</v>
      </c>
      <c r="S711" s="6" t="s">
        <v>6594</v>
      </c>
      <c r="T711" s="6" t="s">
        <v>6593</v>
      </c>
      <c r="U711" s="6">
        <v>528</v>
      </c>
      <c r="V711" s="6">
        <v>4</v>
      </c>
      <c r="W711" s="6" t="s">
        <v>7957</v>
      </c>
      <c r="Y711" t="s">
        <v>5880</v>
      </c>
      <c r="Z711" t="s">
        <v>5881</v>
      </c>
      <c r="AA711" s="6" t="str">
        <f t="shared" si="101"/>
        <v/>
      </c>
      <c r="AB711">
        <v>254</v>
      </c>
      <c r="AC711">
        <v>142</v>
      </c>
      <c r="AD711">
        <v>158</v>
      </c>
    </row>
    <row r="712" spans="1:30" ht="17" x14ac:dyDescent="0.25">
      <c r="A712" s="1" t="s">
        <v>714</v>
      </c>
      <c r="B712" s="1" t="s">
        <v>3366</v>
      </c>
      <c r="C712" s="1" t="s">
        <v>2041</v>
      </c>
      <c r="D712" t="str">
        <f t="shared" si="102"/>
        <v>FD8F9E</v>
      </c>
      <c r="E712" t="str">
        <f t="shared" si="103"/>
        <v>253-143-158</v>
      </c>
      <c r="F712" t="str">
        <f t="shared" si="104"/>
        <v>253143158</v>
      </c>
      <c r="G712">
        <f t="shared" si="105"/>
        <v>253</v>
      </c>
      <c r="H712">
        <f t="shared" si="106"/>
        <v>143</v>
      </c>
      <c r="I712">
        <f t="shared" si="107"/>
        <v>158</v>
      </c>
      <c r="J712" t="str">
        <f t="shared" si="99"/>
        <v>SubG",</v>
      </c>
      <c r="K712" t="str">
        <f t="shared" si="99"/>
        <v>Subgeniculate nucleus",</v>
      </c>
      <c r="L712" t="str">
        <f t="shared" si="100"/>
        <v>SubG</v>
      </c>
      <c r="M712" t="str">
        <f t="shared" si="100"/>
        <v>Subgeniculate nucleus</v>
      </c>
      <c r="N712" t="s">
        <v>5882</v>
      </c>
      <c r="O712" t="s">
        <v>5883</v>
      </c>
      <c r="Q712" s="6">
        <v>1064</v>
      </c>
      <c r="R712" s="6">
        <v>1007</v>
      </c>
      <c r="S712" s="6" t="s">
        <v>6596</v>
      </c>
      <c r="T712" s="6" t="s">
        <v>6595</v>
      </c>
      <c r="U712" s="6">
        <v>1073</v>
      </c>
      <c r="V712" s="6">
        <v>5</v>
      </c>
      <c r="W712" s="6" t="s">
        <v>7958</v>
      </c>
      <c r="Y712" t="s">
        <v>5882</v>
      </c>
      <c r="Z712" t="s">
        <v>5883</v>
      </c>
      <c r="AA712" s="6">
        <f t="shared" si="101"/>
        <v>321</v>
      </c>
      <c r="AB712">
        <v>253</v>
      </c>
      <c r="AC712">
        <v>143</v>
      </c>
      <c r="AD712">
        <v>158</v>
      </c>
    </row>
    <row r="713" spans="1:30" ht="17" x14ac:dyDescent="0.25">
      <c r="A713" s="1" t="s">
        <v>715</v>
      </c>
      <c r="B713" s="1" t="s">
        <v>3367</v>
      </c>
      <c r="C713" s="1" t="s">
        <v>2042</v>
      </c>
      <c r="D713" t="str">
        <f t="shared" si="102"/>
        <v>FC8F9E</v>
      </c>
      <c r="E713" t="str">
        <f t="shared" si="103"/>
        <v>252-143-158</v>
      </c>
      <c r="F713" t="str">
        <f t="shared" si="104"/>
        <v>252143158</v>
      </c>
      <c r="G713">
        <f t="shared" si="105"/>
        <v>252</v>
      </c>
      <c r="H713">
        <f t="shared" si="106"/>
        <v>143</v>
      </c>
      <c r="I713">
        <f t="shared" si="107"/>
        <v>158</v>
      </c>
      <c r="J713" t="str">
        <f t="shared" si="99"/>
        <v>EPI",</v>
      </c>
      <c r="K713" t="str">
        <f t="shared" si="99"/>
        <v>Epithalamus",</v>
      </c>
      <c r="L713" t="str">
        <f t="shared" si="100"/>
        <v>EPI</v>
      </c>
      <c r="M713" t="str">
        <f t="shared" si="100"/>
        <v>Epithalamus</v>
      </c>
      <c r="N713" t="s">
        <v>5884</v>
      </c>
      <c r="O713" t="s">
        <v>5885</v>
      </c>
      <c r="Q713" s="6">
        <v>1068</v>
      </c>
      <c r="R713" s="6">
        <v>1017</v>
      </c>
      <c r="S713" s="6" t="s">
        <v>6604</v>
      </c>
      <c r="T713" s="6" t="s">
        <v>6603</v>
      </c>
      <c r="U713" s="6">
        <v>1073</v>
      </c>
      <c r="V713" s="6">
        <v>5</v>
      </c>
      <c r="W713" s="6" t="s">
        <v>7959</v>
      </c>
      <c r="Y713" t="s">
        <v>5884</v>
      </c>
      <c r="Z713" t="s">
        <v>5885</v>
      </c>
      <c r="AA713" s="6">
        <f t="shared" si="101"/>
        <v>958</v>
      </c>
      <c r="AB713">
        <v>252</v>
      </c>
      <c r="AC713">
        <v>143</v>
      </c>
      <c r="AD713">
        <v>158</v>
      </c>
    </row>
    <row r="714" spans="1:30" ht="17" x14ac:dyDescent="0.25">
      <c r="A714" s="1" t="s">
        <v>716</v>
      </c>
      <c r="B714" s="1" t="s">
        <v>3368</v>
      </c>
      <c r="C714" s="1" t="s">
        <v>2043</v>
      </c>
      <c r="D714" t="str">
        <f t="shared" si="102"/>
        <v>FF8D9F</v>
      </c>
      <c r="E714" t="str">
        <f t="shared" si="103"/>
        <v>255-141-159</v>
      </c>
      <c r="F714" t="str">
        <f t="shared" si="104"/>
        <v>255141159</v>
      </c>
      <c r="G714">
        <f t="shared" si="105"/>
        <v>255</v>
      </c>
      <c r="H714">
        <f t="shared" si="106"/>
        <v>141</v>
      </c>
      <c r="I714">
        <f t="shared" si="107"/>
        <v>159</v>
      </c>
      <c r="J714" t="str">
        <f t="shared" si="99"/>
        <v>MH",</v>
      </c>
      <c r="K714" t="str">
        <f t="shared" si="99"/>
        <v>Medial habenula",</v>
      </c>
      <c r="L714" t="str">
        <f t="shared" si="100"/>
        <v>MH</v>
      </c>
      <c r="M714" t="str">
        <f t="shared" si="100"/>
        <v>Medial habenula</v>
      </c>
      <c r="N714" t="s">
        <v>5886</v>
      </c>
      <c r="O714" t="s">
        <v>5887</v>
      </c>
      <c r="Q714" s="6">
        <v>1069</v>
      </c>
      <c r="R714" s="6">
        <v>1056</v>
      </c>
      <c r="S714" s="6" t="s">
        <v>6606</v>
      </c>
      <c r="T714" s="6" t="s">
        <v>6605</v>
      </c>
      <c r="U714" s="6">
        <v>1017</v>
      </c>
      <c r="V714" s="6">
        <v>6</v>
      </c>
      <c r="W714" s="6" t="s">
        <v>7960</v>
      </c>
      <c r="Y714" t="s">
        <v>5886</v>
      </c>
      <c r="Z714" t="s">
        <v>5887</v>
      </c>
      <c r="AA714" s="6">
        <f t="shared" si="101"/>
        <v>483</v>
      </c>
      <c r="AB714">
        <v>255</v>
      </c>
      <c r="AC714">
        <v>141</v>
      </c>
      <c r="AD714">
        <v>159</v>
      </c>
    </row>
    <row r="715" spans="1:30" ht="17" x14ac:dyDescent="0.25">
      <c r="A715" s="1" t="s">
        <v>717</v>
      </c>
      <c r="B715" s="1" t="s">
        <v>3369</v>
      </c>
      <c r="C715" s="1" t="s">
        <v>2044</v>
      </c>
      <c r="D715" t="str">
        <f t="shared" si="102"/>
        <v>FF8F9D</v>
      </c>
      <c r="E715" t="str">
        <f t="shared" si="103"/>
        <v>255-143-157</v>
      </c>
      <c r="F715" t="str">
        <f t="shared" si="104"/>
        <v>255143157</v>
      </c>
      <c r="G715">
        <f t="shared" si="105"/>
        <v>255</v>
      </c>
      <c r="H715">
        <f t="shared" si="106"/>
        <v>143</v>
      </c>
      <c r="I715">
        <f t="shared" si="107"/>
        <v>157</v>
      </c>
      <c r="J715" t="str">
        <f t="shared" si="99"/>
        <v>LH",</v>
      </c>
      <c r="K715" t="str">
        <f t="shared" si="99"/>
        <v>Lateral habenula",</v>
      </c>
      <c r="L715" t="str">
        <f t="shared" si="100"/>
        <v>LH</v>
      </c>
      <c r="M715" t="str">
        <f t="shared" si="100"/>
        <v>Lateral habenula</v>
      </c>
      <c r="N715" t="s">
        <v>5888</v>
      </c>
      <c r="O715" t="s">
        <v>5889</v>
      </c>
      <c r="Q715" s="6">
        <v>1073</v>
      </c>
      <c r="R715" s="6">
        <v>1064</v>
      </c>
      <c r="S715" s="6" t="s">
        <v>6614</v>
      </c>
      <c r="T715" s="6" t="s">
        <v>6613</v>
      </c>
      <c r="U715" s="6">
        <v>1017</v>
      </c>
      <c r="V715" s="6">
        <v>6</v>
      </c>
      <c r="W715" s="6" t="s">
        <v>7961</v>
      </c>
      <c r="Y715" t="s">
        <v>5888</v>
      </c>
      <c r="Z715" t="s">
        <v>5889</v>
      </c>
      <c r="AA715" s="6">
        <f t="shared" si="101"/>
        <v>186</v>
      </c>
      <c r="AB715">
        <v>255</v>
      </c>
      <c r="AC715">
        <v>143</v>
      </c>
      <c r="AD715">
        <v>157</v>
      </c>
    </row>
    <row r="716" spans="1:30" ht="17" x14ac:dyDescent="0.25">
      <c r="A716" s="1" t="s">
        <v>718</v>
      </c>
      <c r="B716" s="1" t="s">
        <v>3370</v>
      </c>
      <c r="C716" s="1" t="s">
        <v>2045</v>
      </c>
      <c r="D716" t="str">
        <f t="shared" si="102"/>
        <v>FE8F9C</v>
      </c>
      <c r="E716" t="str">
        <f t="shared" si="103"/>
        <v>254-143-156</v>
      </c>
      <c r="F716" t="str">
        <f t="shared" si="104"/>
        <v>254143156</v>
      </c>
      <c r="G716">
        <f t="shared" si="105"/>
        <v>254</v>
      </c>
      <c r="H716">
        <f t="shared" si="106"/>
        <v>143</v>
      </c>
      <c r="I716">
        <f t="shared" si="107"/>
        <v>156</v>
      </c>
      <c r="J716" t="str">
        <f t="shared" si="99"/>
        <v>PIN",</v>
      </c>
      <c r="K716" t="str">
        <f t="shared" si="99"/>
        <v>Pineal body",</v>
      </c>
      <c r="L716" t="str">
        <f t="shared" si="100"/>
        <v>PIN</v>
      </c>
      <c r="M716" t="str">
        <f t="shared" si="100"/>
        <v>Pineal body</v>
      </c>
      <c r="N716" t="s">
        <v>5890</v>
      </c>
      <c r="O716" t="s">
        <v>5891</v>
      </c>
      <c r="Q716" s="6">
        <v>1077</v>
      </c>
      <c r="R716" s="6">
        <v>1025</v>
      </c>
      <c r="S716" s="6" t="s">
        <v>6622</v>
      </c>
      <c r="T716" s="6" t="s">
        <v>6621</v>
      </c>
      <c r="U716" s="6">
        <v>1073</v>
      </c>
      <c r="V716" s="6">
        <v>5</v>
      </c>
      <c r="W716" s="6" t="s">
        <v>7962</v>
      </c>
      <c r="Y716" t="s">
        <v>5890</v>
      </c>
      <c r="Z716" t="s">
        <v>5891</v>
      </c>
      <c r="AA716" s="6" t="str">
        <f t="shared" si="101"/>
        <v/>
      </c>
      <c r="AB716">
        <v>254</v>
      </c>
      <c r="AC716">
        <v>143</v>
      </c>
      <c r="AD716">
        <v>156</v>
      </c>
    </row>
    <row r="717" spans="1:30" ht="17" x14ac:dyDescent="0.25">
      <c r="A717" s="1" t="s">
        <v>719</v>
      </c>
      <c r="B717" s="1" t="s">
        <v>3371</v>
      </c>
      <c r="C717" s="1" t="s">
        <v>2046</v>
      </c>
      <c r="D717" t="str">
        <f t="shared" si="102"/>
        <v>E64438</v>
      </c>
      <c r="E717" t="str">
        <f t="shared" si="103"/>
        <v>230-68-56</v>
      </c>
      <c r="F717" t="str">
        <f t="shared" si="104"/>
        <v>2306856</v>
      </c>
      <c r="G717">
        <f t="shared" si="105"/>
        <v>230</v>
      </c>
      <c r="H717">
        <f t="shared" si="106"/>
        <v>68</v>
      </c>
      <c r="I717">
        <f t="shared" si="107"/>
        <v>56</v>
      </c>
      <c r="J717" t="str">
        <f t="shared" si="99"/>
        <v>HY",</v>
      </c>
      <c r="K717" t="str">
        <f t="shared" si="99"/>
        <v>Hypothalamus",</v>
      </c>
      <c r="L717" t="str">
        <f t="shared" si="100"/>
        <v>HY</v>
      </c>
      <c r="M717" t="str">
        <f t="shared" si="100"/>
        <v>Hypothalamus</v>
      </c>
      <c r="N717" t="s">
        <v>5892</v>
      </c>
      <c r="O717" t="s">
        <v>5893</v>
      </c>
      <c r="Q717" s="6">
        <v>1081</v>
      </c>
      <c r="R717" s="6">
        <v>1033</v>
      </c>
      <c r="S717" s="6" t="s">
        <v>6630</v>
      </c>
      <c r="T717" s="6" t="s">
        <v>6629</v>
      </c>
      <c r="U717" s="6">
        <v>1073</v>
      </c>
      <c r="V717" s="6">
        <v>5</v>
      </c>
      <c r="W717" s="6" t="s">
        <v>7963</v>
      </c>
      <c r="Y717" t="s">
        <v>5892</v>
      </c>
      <c r="Z717" t="s">
        <v>5893</v>
      </c>
      <c r="AA717" s="6">
        <f t="shared" si="101"/>
        <v>1097</v>
      </c>
      <c r="AB717">
        <v>230</v>
      </c>
      <c r="AC717">
        <v>68</v>
      </c>
      <c r="AD717">
        <v>56</v>
      </c>
    </row>
    <row r="718" spans="1:30" ht="17" x14ac:dyDescent="0.25">
      <c r="A718" s="1" t="s">
        <v>720</v>
      </c>
      <c r="B718" s="1" t="s">
        <v>3372</v>
      </c>
      <c r="C718" s="1" t="s">
        <v>2047</v>
      </c>
      <c r="D718" t="str">
        <f t="shared" si="102"/>
        <v>FF5C4E</v>
      </c>
      <c r="E718" t="str">
        <f t="shared" si="103"/>
        <v>255-92-78</v>
      </c>
      <c r="F718" t="str">
        <f t="shared" si="104"/>
        <v>2559278</v>
      </c>
      <c r="G718">
        <f t="shared" si="105"/>
        <v>255</v>
      </c>
      <c r="H718">
        <f t="shared" si="106"/>
        <v>92</v>
      </c>
      <c r="I718">
        <f t="shared" si="107"/>
        <v>78</v>
      </c>
      <c r="J718" t="str">
        <f t="shared" si="99"/>
        <v>PVZ",</v>
      </c>
      <c r="K718" t="str">
        <f t="shared" si="99"/>
        <v>Periventricular zone",</v>
      </c>
      <c r="L718" t="str">
        <f t="shared" si="100"/>
        <v>PVZ</v>
      </c>
      <c r="M718" t="str">
        <f t="shared" si="100"/>
        <v>Periventricular zone</v>
      </c>
      <c r="N718" t="s">
        <v>5894</v>
      </c>
      <c r="O718" t="s">
        <v>5895</v>
      </c>
      <c r="Q718" s="6">
        <v>1085</v>
      </c>
      <c r="R718" s="6">
        <v>1041</v>
      </c>
      <c r="S718" s="6" t="s">
        <v>6638</v>
      </c>
      <c r="T718" s="6" t="s">
        <v>6637</v>
      </c>
      <c r="U718" s="6">
        <v>1073</v>
      </c>
      <c r="V718" s="6">
        <v>5</v>
      </c>
      <c r="W718" s="6" t="s">
        <v>7964</v>
      </c>
      <c r="Y718" t="s">
        <v>5894</v>
      </c>
      <c r="Z718" t="s">
        <v>5895</v>
      </c>
      <c r="AA718" s="6">
        <f t="shared" si="101"/>
        <v>157</v>
      </c>
      <c r="AB718">
        <v>255</v>
      </c>
      <c r="AC718">
        <v>92</v>
      </c>
      <c r="AD718">
        <v>78</v>
      </c>
    </row>
    <row r="719" spans="1:30" ht="17" x14ac:dyDescent="0.25">
      <c r="A719" s="1" t="s">
        <v>721</v>
      </c>
      <c r="B719" s="1" t="s">
        <v>3373</v>
      </c>
      <c r="C719" s="1" t="s">
        <v>2048</v>
      </c>
      <c r="D719" t="str">
        <f t="shared" si="102"/>
        <v>FE5B50</v>
      </c>
      <c r="E719" t="str">
        <f t="shared" si="103"/>
        <v>254-91-80</v>
      </c>
      <c r="F719" t="str">
        <f t="shared" si="104"/>
        <v>2549180</v>
      </c>
      <c r="G719">
        <f t="shared" si="105"/>
        <v>254</v>
      </c>
      <c r="H719">
        <f t="shared" si="106"/>
        <v>91</v>
      </c>
      <c r="I719">
        <f t="shared" si="107"/>
        <v>80</v>
      </c>
      <c r="J719" t="str">
        <f t="shared" si="99"/>
        <v>SO",</v>
      </c>
      <c r="K719" t="str">
        <f t="shared" si="99"/>
        <v>Supraoptic nucleus",</v>
      </c>
      <c r="L719" t="str">
        <f t="shared" si="100"/>
        <v>SO</v>
      </c>
      <c r="M719" t="str">
        <f t="shared" si="100"/>
        <v>Supraoptic nucleus</v>
      </c>
      <c r="N719" t="s">
        <v>5896</v>
      </c>
      <c r="O719" t="s">
        <v>5897</v>
      </c>
      <c r="Q719" s="6">
        <v>1089</v>
      </c>
      <c r="R719" s="6">
        <v>1049</v>
      </c>
      <c r="S719" s="6" t="s">
        <v>6646</v>
      </c>
      <c r="T719" s="6" t="s">
        <v>6645</v>
      </c>
      <c r="U719" s="6">
        <v>1073</v>
      </c>
      <c r="V719" s="6">
        <v>5</v>
      </c>
      <c r="W719" s="6" t="s">
        <v>7965</v>
      </c>
      <c r="Y719" t="s">
        <v>5896</v>
      </c>
      <c r="Z719" t="s">
        <v>5897</v>
      </c>
      <c r="AA719" s="6">
        <f t="shared" si="101"/>
        <v>390</v>
      </c>
      <c r="AB719">
        <v>254</v>
      </c>
      <c r="AC719">
        <v>91</v>
      </c>
      <c r="AD719">
        <v>80</v>
      </c>
    </row>
    <row r="720" spans="1:30" ht="17" x14ac:dyDescent="0.25">
      <c r="A720" s="1" t="s">
        <v>722</v>
      </c>
      <c r="B720" s="1" t="s">
        <v>3374</v>
      </c>
      <c r="C720" s="1" t="s">
        <v>2049</v>
      </c>
      <c r="D720" t="str">
        <f t="shared" si="102"/>
        <v>FE5D4E</v>
      </c>
      <c r="E720" t="str">
        <f t="shared" si="103"/>
        <v>254-93-78</v>
      </c>
      <c r="F720" t="str">
        <f t="shared" si="104"/>
        <v>2549378</v>
      </c>
      <c r="G720">
        <f t="shared" si="105"/>
        <v>254</v>
      </c>
      <c r="H720">
        <f t="shared" si="106"/>
        <v>93</v>
      </c>
      <c r="I720">
        <f t="shared" si="107"/>
        <v>78</v>
      </c>
      <c r="J720" t="str">
        <f t="shared" si="99"/>
        <v>ASO",</v>
      </c>
      <c r="K720" t="str">
        <f t="shared" si="99"/>
        <v>Accessory supraoptic group",</v>
      </c>
      <c r="L720" t="str">
        <f t="shared" si="100"/>
        <v>ASO</v>
      </c>
      <c r="M720" t="str">
        <f t="shared" si="100"/>
        <v>Accessory supraoptic group</v>
      </c>
      <c r="N720" t="s">
        <v>5898</v>
      </c>
      <c r="O720" t="s">
        <v>5899</v>
      </c>
      <c r="Q720" s="6">
        <v>1096</v>
      </c>
      <c r="R720" s="6">
        <v>519</v>
      </c>
      <c r="S720" s="6" t="s">
        <v>6654</v>
      </c>
      <c r="T720" s="6" t="s">
        <v>6653</v>
      </c>
      <c r="U720" s="6">
        <v>512</v>
      </c>
      <c r="V720" s="6">
        <v>3</v>
      </c>
      <c r="W720" s="6" t="s">
        <v>7966</v>
      </c>
      <c r="Y720" t="s">
        <v>5898</v>
      </c>
      <c r="Z720" t="s">
        <v>5899</v>
      </c>
      <c r="AA720" s="6">
        <f t="shared" si="101"/>
        <v>332</v>
      </c>
      <c r="AB720">
        <v>254</v>
      </c>
      <c r="AC720">
        <v>93</v>
      </c>
      <c r="AD720">
        <v>78</v>
      </c>
    </row>
    <row r="721" spans="1:30" ht="17" x14ac:dyDescent="0.25">
      <c r="A721" s="1" t="s">
        <v>723</v>
      </c>
      <c r="B721" s="1" t="s">
        <v>3375</v>
      </c>
      <c r="C721" s="1" t="s">
        <v>2050</v>
      </c>
      <c r="D721" t="str">
        <f t="shared" si="102"/>
        <v>FD5D4F</v>
      </c>
      <c r="E721" t="str">
        <f t="shared" si="103"/>
        <v>253-93-79</v>
      </c>
      <c r="F721" t="str">
        <f t="shared" si="104"/>
        <v>2539379</v>
      </c>
      <c r="G721">
        <f t="shared" si="105"/>
        <v>253</v>
      </c>
      <c r="H721">
        <f t="shared" si="106"/>
        <v>93</v>
      </c>
      <c r="I721">
        <f t="shared" si="107"/>
        <v>79</v>
      </c>
      <c r="J721" t="str">
        <f t="shared" si="99"/>
        <v>NC",</v>
      </c>
      <c r="K721" t="str">
        <f t="shared" si="99"/>
        <v>Nucleus circularis",</v>
      </c>
      <c r="L721" t="str">
        <f t="shared" si="100"/>
        <v>NC</v>
      </c>
      <c r="M721" t="str">
        <f t="shared" si="100"/>
        <v>Nucleus circularis</v>
      </c>
      <c r="N721" t="s">
        <v>5900</v>
      </c>
      <c r="O721" t="s">
        <v>5901</v>
      </c>
      <c r="Q721" s="6">
        <v>1097</v>
      </c>
      <c r="R721" s="6">
        <v>989</v>
      </c>
      <c r="S721" s="6" t="s">
        <v>6656</v>
      </c>
      <c r="T721" s="6" t="s">
        <v>6655</v>
      </c>
      <c r="U721" s="6">
        <v>519</v>
      </c>
      <c r="V721" s="6">
        <v>4</v>
      </c>
      <c r="W721" s="6" t="s">
        <v>7967</v>
      </c>
      <c r="Y721" t="s">
        <v>5900</v>
      </c>
      <c r="Z721" t="s">
        <v>5901</v>
      </c>
      <c r="AA721" s="6" t="str">
        <f t="shared" si="101"/>
        <v/>
      </c>
      <c r="AB721">
        <v>253</v>
      </c>
      <c r="AC721">
        <v>93</v>
      </c>
      <c r="AD721">
        <v>79</v>
      </c>
    </row>
    <row r="722" spans="1:30" ht="17" x14ac:dyDescent="0.25">
      <c r="A722" s="1" t="s">
        <v>724</v>
      </c>
      <c r="B722" s="1" t="s">
        <v>3376</v>
      </c>
      <c r="C722" s="1" t="s">
        <v>2051</v>
      </c>
      <c r="D722" t="str">
        <f t="shared" si="102"/>
        <v>FF5D4F</v>
      </c>
      <c r="E722" t="str">
        <f t="shared" si="103"/>
        <v>255-93-79</v>
      </c>
      <c r="F722" t="str">
        <f t="shared" si="104"/>
        <v>2559379</v>
      </c>
      <c r="G722">
        <f t="shared" si="105"/>
        <v>255</v>
      </c>
      <c r="H722">
        <f t="shared" si="106"/>
        <v>93</v>
      </c>
      <c r="I722">
        <f t="shared" si="107"/>
        <v>79</v>
      </c>
      <c r="J722" t="str">
        <f t="shared" si="99"/>
        <v>PVH",</v>
      </c>
      <c r="K722" t="str">
        <f t="shared" si="99"/>
        <v>Paraventricular hypothalamic nucleus",</v>
      </c>
      <c r="L722" t="str">
        <f t="shared" si="100"/>
        <v>PVH</v>
      </c>
      <c r="M722" t="str">
        <f t="shared" si="100"/>
        <v>Paraventricular hypothalamic nucleus</v>
      </c>
      <c r="N722" t="s">
        <v>5902</v>
      </c>
      <c r="O722" t="s">
        <v>5903</v>
      </c>
      <c r="Q722" s="6">
        <v>1098</v>
      </c>
      <c r="R722" s="6">
        <v>91</v>
      </c>
      <c r="S722" s="6" t="s">
        <v>6658</v>
      </c>
      <c r="T722" s="6" t="s">
        <v>6657</v>
      </c>
      <c r="U722" s="6">
        <v>519</v>
      </c>
      <c r="V722" s="6">
        <v>4</v>
      </c>
      <c r="W722" s="6" t="s">
        <v>7968</v>
      </c>
      <c r="Y722" t="s">
        <v>5902</v>
      </c>
      <c r="Z722" t="s">
        <v>5903</v>
      </c>
      <c r="AA722" s="6">
        <f t="shared" si="101"/>
        <v>38</v>
      </c>
      <c r="AB722">
        <v>255</v>
      </c>
      <c r="AC722">
        <v>93</v>
      </c>
      <c r="AD722">
        <v>79</v>
      </c>
    </row>
    <row r="723" spans="1:30" ht="17" x14ac:dyDescent="0.25">
      <c r="A723" s="1" t="s">
        <v>725</v>
      </c>
      <c r="B723" s="1" t="s">
        <v>3377</v>
      </c>
      <c r="C723" s="1" t="s">
        <v>2052</v>
      </c>
      <c r="D723" t="str">
        <f t="shared" si="102"/>
        <v>FF5C4F</v>
      </c>
      <c r="E723" t="str">
        <f t="shared" si="103"/>
        <v>255-92-79</v>
      </c>
      <c r="F723" t="str">
        <f t="shared" si="104"/>
        <v>2559279</v>
      </c>
      <c r="G723">
        <f t="shared" si="105"/>
        <v>255</v>
      </c>
      <c r="H723">
        <f t="shared" si="106"/>
        <v>92</v>
      </c>
      <c r="I723">
        <f t="shared" si="107"/>
        <v>79</v>
      </c>
      <c r="J723" t="str">
        <f t="shared" si="99"/>
        <v>PVHm",</v>
      </c>
      <c r="K723" t="str">
        <f t="shared" si="99"/>
        <v>Paraventricular hypothalamic nucleus, magnocellular division",</v>
      </c>
      <c r="L723" t="str">
        <f t="shared" si="100"/>
        <v>PVHm</v>
      </c>
      <c r="M723" t="str">
        <f t="shared" si="100"/>
        <v>Paraventricular hypothalamic nucleus, magnocellular division</v>
      </c>
      <c r="N723" t="s">
        <v>5904</v>
      </c>
      <c r="O723" t="s">
        <v>5905</v>
      </c>
      <c r="Q723" s="6">
        <v>1099</v>
      </c>
      <c r="R723" s="6">
        <v>846</v>
      </c>
      <c r="S723" s="6" t="s">
        <v>6660</v>
      </c>
      <c r="T723" s="6" t="s">
        <v>6659</v>
      </c>
      <c r="U723" s="6">
        <v>519</v>
      </c>
      <c r="V723" s="6">
        <v>4</v>
      </c>
      <c r="W723" s="6" t="s">
        <v>7969</v>
      </c>
      <c r="Y723" t="s">
        <v>5904</v>
      </c>
      <c r="Z723" t="s">
        <v>5905</v>
      </c>
      <c r="AA723" s="6" t="str">
        <f t="shared" si="101"/>
        <v/>
      </c>
      <c r="AB723">
        <v>255</v>
      </c>
      <c r="AC723">
        <v>92</v>
      </c>
      <c r="AD723">
        <v>79</v>
      </c>
    </row>
    <row r="724" spans="1:30" ht="17" x14ac:dyDescent="0.25">
      <c r="A724" s="1" t="s">
        <v>726</v>
      </c>
      <c r="B724" s="1" t="s">
        <v>3378</v>
      </c>
      <c r="C724" s="1" t="s">
        <v>2053</v>
      </c>
      <c r="D724" t="str">
        <f t="shared" si="102"/>
        <v>FF5C50</v>
      </c>
      <c r="E724" t="str">
        <f t="shared" si="103"/>
        <v>255-92-80</v>
      </c>
      <c r="F724" t="str">
        <f t="shared" si="104"/>
        <v>2559280</v>
      </c>
      <c r="G724">
        <f t="shared" si="105"/>
        <v>255</v>
      </c>
      <c r="H724">
        <f t="shared" si="106"/>
        <v>92</v>
      </c>
      <c r="I724">
        <f t="shared" si="107"/>
        <v>80</v>
      </c>
      <c r="J724" t="str">
        <f t="shared" si="99"/>
        <v>PVHam",</v>
      </c>
      <c r="K724" t="str">
        <f t="shared" si="99"/>
        <v>Paraventricular hypothalamic nucleus, magnocellular division, anterior magnocellular part",</v>
      </c>
      <c r="L724" t="str">
        <f t="shared" si="100"/>
        <v>PVHam</v>
      </c>
      <c r="M724" t="str">
        <f t="shared" si="100"/>
        <v>Paraventricular hypothalamic nucleus, magnocellular division, anterior magnocellular part</v>
      </c>
      <c r="N724" t="s">
        <v>5906</v>
      </c>
      <c r="O724" t="s">
        <v>5907</v>
      </c>
      <c r="Q724" s="6">
        <v>1100</v>
      </c>
      <c r="R724" s="6">
        <v>589508455</v>
      </c>
      <c r="S724" s="6" t="s">
        <v>6662</v>
      </c>
      <c r="T724" s="6" t="s">
        <v>6661</v>
      </c>
      <c r="U724" s="6">
        <v>519</v>
      </c>
      <c r="V724" s="6">
        <v>4</v>
      </c>
      <c r="W724" s="6" t="s">
        <v>7970</v>
      </c>
      <c r="Y724" t="s">
        <v>5906</v>
      </c>
      <c r="Z724" t="s">
        <v>5907</v>
      </c>
      <c r="AA724" s="6" t="str">
        <f t="shared" si="101"/>
        <v/>
      </c>
      <c r="AB724">
        <v>255</v>
      </c>
      <c r="AC724">
        <v>92</v>
      </c>
      <c r="AD724">
        <v>80</v>
      </c>
    </row>
    <row r="725" spans="1:30" ht="17" x14ac:dyDescent="0.25">
      <c r="A725" s="1" t="s">
        <v>727</v>
      </c>
      <c r="B725" s="1" t="s">
        <v>3379</v>
      </c>
      <c r="C725" s="1" t="s">
        <v>2054</v>
      </c>
      <c r="D725" t="str">
        <f t="shared" si="102"/>
        <v>FE5D4F</v>
      </c>
      <c r="E725" t="str">
        <f t="shared" si="103"/>
        <v>254-93-79</v>
      </c>
      <c r="F725" t="str">
        <f t="shared" si="104"/>
        <v>2549379</v>
      </c>
      <c r="G725">
        <f t="shared" si="105"/>
        <v>254</v>
      </c>
      <c r="H725">
        <f t="shared" si="106"/>
        <v>93</v>
      </c>
      <c r="I725">
        <f t="shared" si="107"/>
        <v>79</v>
      </c>
      <c r="J725" t="str">
        <f t="shared" si="99"/>
        <v>PVHmm",</v>
      </c>
      <c r="K725" t="str">
        <f t="shared" si="99"/>
        <v>Paraventricular hypothalamic nucleus, magnocellular division, medial magnocellular part",</v>
      </c>
      <c r="L725" t="str">
        <f t="shared" si="100"/>
        <v>PVHmm</v>
      </c>
      <c r="M725" t="str">
        <f t="shared" si="100"/>
        <v>Paraventricular hypothalamic nucleus, magnocellular division, medial magnocellular part</v>
      </c>
      <c r="N725" t="s">
        <v>5908</v>
      </c>
      <c r="O725" t="s">
        <v>5909</v>
      </c>
      <c r="Q725" s="6">
        <v>1101</v>
      </c>
      <c r="R725" s="6">
        <v>1009</v>
      </c>
      <c r="S725" s="6" t="s">
        <v>6663</v>
      </c>
      <c r="T725" s="6" t="s">
        <v>6663</v>
      </c>
      <c r="U725" s="6">
        <v>997</v>
      </c>
      <c r="V725" s="6">
        <v>1</v>
      </c>
      <c r="W725" s="6" t="s">
        <v>7971</v>
      </c>
      <c r="Y725" t="s">
        <v>5908</v>
      </c>
      <c r="Z725" t="s">
        <v>5909</v>
      </c>
      <c r="AA725" s="6" t="str">
        <f t="shared" si="101"/>
        <v/>
      </c>
      <c r="AB725">
        <v>254</v>
      </c>
      <c r="AC725">
        <v>93</v>
      </c>
      <c r="AD725">
        <v>79</v>
      </c>
    </row>
    <row r="726" spans="1:30" ht="17" x14ac:dyDescent="0.25">
      <c r="A726" s="1" t="s">
        <v>728</v>
      </c>
      <c r="B726" s="1" t="s">
        <v>3380</v>
      </c>
      <c r="C726" s="1" t="s">
        <v>2055</v>
      </c>
      <c r="D726" t="str">
        <f t="shared" si="102"/>
        <v>FF5D4E</v>
      </c>
      <c r="E726" t="str">
        <f t="shared" si="103"/>
        <v>255-93-78</v>
      </c>
      <c r="F726" t="str">
        <f t="shared" si="104"/>
        <v>2559378</v>
      </c>
      <c r="G726">
        <f t="shared" si="105"/>
        <v>255</v>
      </c>
      <c r="H726">
        <f t="shared" si="106"/>
        <v>93</v>
      </c>
      <c r="I726">
        <f t="shared" si="107"/>
        <v>78</v>
      </c>
      <c r="J726" t="str">
        <f t="shared" si="99"/>
        <v>PVHpm",</v>
      </c>
      <c r="K726" t="str">
        <f t="shared" si="99"/>
        <v>Paraventricular hypothalamic nucleus, magnocellular division, posterior magnocellular part",</v>
      </c>
      <c r="L726" t="str">
        <f t="shared" si="100"/>
        <v>PVHpm</v>
      </c>
      <c r="M726" t="str">
        <f t="shared" si="100"/>
        <v>Paraventricular hypothalamic nucleus, magnocellular division, posterior magnocellular part</v>
      </c>
      <c r="N726" t="s">
        <v>5910</v>
      </c>
      <c r="O726" t="s">
        <v>5911</v>
      </c>
      <c r="Q726" s="6">
        <v>1102</v>
      </c>
      <c r="R726" s="6">
        <v>967</v>
      </c>
      <c r="S726" s="6" t="s">
        <v>6665</v>
      </c>
      <c r="T726" s="6" t="s">
        <v>6664</v>
      </c>
      <c r="U726" s="6">
        <v>1009</v>
      </c>
      <c r="V726" s="6">
        <v>2</v>
      </c>
      <c r="W726" s="6" t="s">
        <v>7972</v>
      </c>
      <c r="Y726" t="s">
        <v>5910</v>
      </c>
      <c r="Z726" t="s">
        <v>5911</v>
      </c>
      <c r="AA726" s="6" t="str">
        <f t="shared" si="101"/>
        <v/>
      </c>
      <c r="AB726">
        <v>255</v>
      </c>
      <c r="AC726">
        <v>93</v>
      </c>
      <c r="AD726">
        <v>78</v>
      </c>
    </row>
    <row r="727" spans="1:30" ht="17" x14ac:dyDescent="0.25">
      <c r="A727" s="1" t="s">
        <v>729</v>
      </c>
      <c r="B727" s="1" t="s">
        <v>3381</v>
      </c>
      <c r="C727" s="1" t="s">
        <v>2056</v>
      </c>
      <c r="D727" t="str">
        <f t="shared" si="102"/>
        <v>FD5C50</v>
      </c>
      <c r="E727" t="str">
        <f t="shared" si="103"/>
        <v>253-92-80</v>
      </c>
      <c r="F727" t="str">
        <f t="shared" si="104"/>
        <v>2539280</v>
      </c>
      <c r="G727">
        <f t="shared" si="105"/>
        <v>253</v>
      </c>
      <c r="H727">
        <f t="shared" si="106"/>
        <v>92</v>
      </c>
      <c r="I727">
        <f t="shared" si="107"/>
        <v>80</v>
      </c>
      <c r="J727" t="str">
        <f t="shared" si="99"/>
        <v>PVHpml",</v>
      </c>
      <c r="K727" t="str">
        <f t="shared" si="99"/>
        <v>Paraventricular hypothalamic nucleus, magnocellular division, posterior magnocellular part, lateral zone",</v>
      </c>
      <c r="L727" t="str">
        <f t="shared" si="100"/>
        <v>PVHpml</v>
      </c>
      <c r="M727" t="str">
        <f t="shared" si="100"/>
        <v>Paraventricular hypothalamic nucleus, magnocellular division, posterior magnocellular part, lateral zone</v>
      </c>
      <c r="N727" t="s">
        <v>5912</v>
      </c>
      <c r="O727" t="s">
        <v>5913</v>
      </c>
      <c r="Q727" s="6">
        <v>1104</v>
      </c>
      <c r="R727" s="6">
        <v>949</v>
      </c>
      <c r="S727" s="6" t="s">
        <v>6669</v>
      </c>
      <c r="T727" s="6" t="s">
        <v>6668</v>
      </c>
      <c r="U727" s="6">
        <v>967</v>
      </c>
      <c r="V727" s="6">
        <v>3</v>
      </c>
      <c r="W727" s="6" t="s">
        <v>7973</v>
      </c>
      <c r="Y727" t="s">
        <v>5912</v>
      </c>
      <c r="Z727" t="s">
        <v>5913</v>
      </c>
      <c r="AA727" s="6" t="str">
        <f t="shared" si="101"/>
        <v/>
      </c>
      <c r="AB727">
        <v>253</v>
      </c>
      <c r="AC727">
        <v>92</v>
      </c>
      <c r="AD727">
        <v>80</v>
      </c>
    </row>
    <row r="728" spans="1:30" ht="17" x14ac:dyDescent="0.25">
      <c r="A728" s="1" t="s">
        <v>730</v>
      </c>
      <c r="B728" s="1" t="s">
        <v>3382</v>
      </c>
      <c r="C728" s="1" t="s">
        <v>2057</v>
      </c>
      <c r="D728" t="str">
        <f t="shared" si="102"/>
        <v>FE5C4E</v>
      </c>
      <c r="E728" t="str">
        <f t="shared" si="103"/>
        <v>254-92-78</v>
      </c>
      <c r="F728" t="str">
        <f t="shared" si="104"/>
        <v>2549278</v>
      </c>
      <c r="G728">
        <f t="shared" si="105"/>
        <v>254</v>
      </c>
      <c r="H728">
        <f t="shared" si="106"/>
        <v>92</v>
      </c>
      <c r="I728">
        <f t="shared" si="107"/>
        <v>78</v>
      </c>
      <c r="J728" t="str">
        <f t="shared" si="99"/>
        <v>PVHpmm",</v>
      </c>
      <c r="K728" t="str">
        <f t="shared" si="99"/>
        <v>Paraventricular hypothalamic nucleus, magnocellular division, posterior magnocellular part, medial zone",</v>
      </c>
      <c r="L728" t="str">
        <f t="shared" si="100"/>
        <v>PVHpmm</v>
      </c>
      <c r="M728" t="str">
        <f t="shared" si="100"/>
        <v>Paraventricular hypothalamic nucleus, magnocellular division, posterior magnocellular part, medial zone</v>
      </c>
      <c r="N728" t="s">
        <v>5914</v>
      </c>
      <c r="O728" t="s">
        <v>5915</v>
      </c>
      <c r="Q728" s="6">
        <v>1105</v>
      </c>
      <c r="R728" s="6">
        <v>840</v>
      </c>
      <c r="S728" s="6" t="s">
        <v>6671</v>
      </c>
      <c r="T728" s="6" t="s">
        <v>6670</v>
      </c>
      <c r="U728" s="6">
        <v>967</v>
      </c>
      <c r="V728" s="6">
        <v>3</v>
      </c>
      <c r="W728" s="6" t="s">
        <v>7974</v>
      </c>
      <c r="Y728" t="s">
        <v>5914</v>
      </c>
      <c r="Z728" t="s">
        <v>5915</v>
      </c>
      <c r="AA728" s="6" t="str">
        <f t="shared" si="101"/>
        <v/>
      </c>
      <c r="AB728">
        <v>254</v>
      </c>
      <c r="AC728">
        <v>92</v>
      </c>
      <c r="AD728">
        <v>78</v>
      </c>
    </row>
    <row r="729" spans="1:30" ht="17" x14ac:dyDescent="0.25">
      <c r="A729" s="1" t="s">
        <v>731</v>
      </c>
      <c r="B729" s="1" t="s">
        <v>3383</v>
      </c>
      <c r="C729" s="1" t="s">
        <v>2058</v>
      </c>
      <c r="D729" t="str">
        <f t="shared" si="102"/>
        <v>FE5C4F</v>
      </c>
      <c r="E729" t="str">
        <f t="shared" si="103"/>
        <v>254-92-79</v>
      </c>
      <c r="F729" t="str">
        <f t="shared" si="104"/>
        <v>2549279</v>
      </c>
      <c r="G729">
        <f t="shared" si="105"/>
        <v>254</v>
      </c>
      <c r="H729">
        <f t="shared" si="106"/>
        <v>92</v>
      </c>
      <c r="I729">
        <f t="shared" si="107"/>
        <v>79</v>
      </c>
      <c r="J729" t="str">
        <f t="shared" si="99"/>
        <v>PVHp",</v>
      </c>
      <c r="K729" t="str">
        <f t="shared" si="99"/>
        <v>Paraventricular hypothalamic nucleus, parvicellular division",</v>
      </c>
      <c r="L729" t="str">
        <f t="shared" si="100"/>
        <v>PVHp</v>
      </c>
      <c r="M729" t="str">
        <f t="shared" si="100"/>
        <v>Paraventricular hypothalamic nucleus, parvicellular division</v>
      </c>
      <c r="N729" t="s">
        <v>5916</v>
      </c>
      <c r="O729" t="s">
        <v>5917</v>
      </c>
      <c r="Q729" s="6">
        <v>1106</v>
      </c>
      <c r="R729" s="6">
        <v>1016</v>
      </c>
      <c r="S729" s="6" t="s">
        <v>6673</v>
      </c>
      <c r="T729" s="6" t="s">
        <v>6672</v>
      </c>
      <c r="U729" s="6">
        <v>840</v>
      </c>
      <c r="V729" s="6">
        <v>4</v>
      </c>
      <c r="W729" s="6" t="s">
        <v>7975</v>
      </c>
      <c r="Y729" t="s">
        <v>5916</v>
      </c>
      <c r="Z729" t="s">
        <v>5917</v>
      </c>
      <c r="AA729" s="6" t="str">
        <f t="shared" si="101"/>
        <v/>
      </c>
      <c r="AB729">
        <v>254</v>
      </c>
      <c r="AC729">
        <v>92</v>
      </c>
      <c r="AD729">
        <v>79</v>
      </c>
    </row>
    <row r="730" spans="1:30" ht="17" x14ac:dyDescent="0.25">
      <c r="A730" s="1" t="s">
        <v>732</v>
      </c>
      <c r="B730" s="1" t="s">
        <v>3384</v>
      </c>
      <c r="C730" s="1" t="s">
        <v>2059</v>
      </c>
      <c r="D730" t="str">
        <f t="shared" si="102"/>
        <v>FE5D50</v>
      </c>
      <c r="E730" t="str">
        <f t="shared" si="103"/>
        <v>254-93-80</v>
      </c>
      <c r="F730" t="str">
        <f t="shared" si="104"/>
        <v>2549380</v>
      </c>
      <c r="G730">
        <f t="shared" si="105"/>
        <v>254</v>
      </c>
      <c r="H730">
        <f t="shared" si="106"/>
        <v>93</v>
      </c>
      <c r="I730">
        <f t="shared" si="107"/>
        <v>80</v>
      </c>
      <c r="J730" t="str">
        <f t="shared" si="99"/>
        <v>PVHap",</v>
      </c>
      <c r="K730" t="str">
        <f t="shared" si="99"/>
        <v>Paraventricular hypothalamic nucleus, parvicellular division, anterior parvicellular part",</v>
      </c>
      <c r="L730" t="str">
        <f t="shared" si="100"/>
        <v>PVHap</v>
      </c>
      <c r="M730" t="str">
        <f t="shared" si="100"/>
        <v>Paraventricular hypothalamic nucleus, parvicellular division, anterior parvicellular part</v>
      </c>
      <c r="N730" t="s">
        <v>5918</v>
      </c>
      <c r="O730" t="s">
        <v>5919</v>
      </c>
      <c r="Q730" s="6">
        <v>1107</v>
      </c>
      <c r="R730" s="6">
        <v>21</v>
      </c>
      <c r="S730" s="6" t="s">
        <v>6675</v>
      </c>
      <c r="T730" s="6" t="s">
        <v>6674</v>
      </c>
      <c r="U730" s="6">
        <v>840</v>
      </c>
      <c r="V730" s="6">
        <v>4</v>
      </c>
      <c r="W730" s="6" t="s">
        <v>7976</v>
      </c>
      <c r="Y730" t="s">
        <v>5918</v>
      </c>
      <c r="Z730" t="s">
        <v>5919</v>
      </c>
      <c r="AA730" s="6" t="str">
        <f t="shared" si="101"/>
        <v/>
      </c>
      <c r="AB730">
        <v>254</v>
      </c>
      <c r="AC730">
        <v>93</v>
      </c>
      <c r="AD730">
        <v>80</v>
      </c>
    </row>
    <row r="731" spans="1:30" ht="17" x14ac:dyDescent="0.25">
      <c r="A731" s="1" t="s">
        <v>733</v>
      </c>
      <c r="B731" s="1" t="s">
        <v>3385</v>
      </c>
      <c r="C731" s="1" t="s">
        <v>2060</v>
      </c>
      <c r="D731" t="str">
        <f t="shared" si="102"/>
        <v>FE5C50</v>
      </c>
      <c r="E731" t="str">
        <f t="shared" si="103"/>
        <v>254-92-80</v>
      </c>
      <c r="F731" t="str">
        <f t="shared" si="104"/>
        <v>2549280</v>
      </c>
      <c r="G731">
        <f t="shared" si="105"/>
        <v>254</v>
      </c>
      <c r="H731">
        <f t="shared" si="106"/>
        <v>92</v>
      </c>
      <c r="I731">
        <f t="shared" si="107"/>
        <v>80</v>
      </c>
      <c r="J731" t="str">
        <f t="shared" si="99"/>
        <v>PVHmpd",</v>
      </c>
      <c r="K731" t="str">
        <f t="shared" si="99"/>
        <v>Paraventricular hypothalamic nucleus, parvicellular division, medial parvicellular part, dorsal zone",</v>
      </c>
      <c r="L731" t="str">
        <f t="shared" si="100"/>
        <v>PVHmpd</v>
      </c>
      <c r="M731" t="str">
        <f t="shared" si="100"/>
        <v>Paraventricular hypothalamic nucleus, parvicellular division, medial parvicellular part, dorsal zone</v>
      </c>
      <c r="N731" t="s">
        <v>5920</v>
      </c>
      <c r="O731" t="s">
        <v>5921</v>
      </c>
      <c r="Q731" s="6">
        <v>1108</v>
      </c>
      <c r="R731" s="6">
        <v>665</v>
      </c>
      <c r="S731" s="6" t="s">
        <v>6677</v>
      </c>
      <c r="T731" s="6" t="s">
        <v>6676</v>
      </c>
      <c r="U731" s="6">
        <v>21</v>
      </c>
      <c r="V731" s="6">
        <v>5</v>
      </c>
      <c r="W731" s="6" t="s">
        <v>7977</v>
      </c>
      <c r="Y731" t="s">
        <v>5920</v>
      </c>
      <c r="Z731" t="s">
        <v>5921</v>
      </c>
      <c r="AA731" s="6" t="str">
        <f t="shared" si="101"/>
        <v/>
      </c>
      <c r="AB731">
        <v>254</v>
      </c>
      <c r="AC731">
        <v>92</v>
      </c>
      <c r="AD731">
        <v>80</v>
      </c>
    </row>
    <row r="732" spans="1:30" ht="17" x14ac:dyDescent="0.25">
      <c r="A732" s="1" t="s">
        <v>734</v>
      </c>
      <c r="B732" s="1" t="s">
        <v>3386</v>
      </c>
      <c r="C732" s="1" t="s">
        <v>2061</v>
      </c>
      <c r="D732" t="str">
        <f t="shared" si="102"/>
        <v>FF5B50</v>
      </c>
      <c r="E732" t="str">
        <f t="shared" si="103"/>
        <v>255-91-80</v>
      </c>
      <c r="F732" t="str">
        <f t="shared" si="104"/>
        <v>2559180</v>
      </c>
      <c r="G732">
        <f t="shared" si="105"/>
        <v>255</v>
      </c>
      <c r="H732">
        <f t="shared" si="106"/>
        <v>91</v>
      </c>
      <c r="I732">
        <f t="shared" si="107"/>
        <v>80</v>
      </c>
      <c r="J732" t="str">
        <f t="shared" si="99"/>
        <v>PVHpv",</v>
      </c>
      <c r="K732" t="str">
        <f t="shared" si="99"/>
        <v>Paraventricular hypothalamic nucleus, parvicellular division, periventricular part",</v>
      </c>
      <c r="L732" t="str">
        <f t="shared" si="100"/>
        <v>PVHpv</v>
      </c>
      <c r="M732" t="str">
        <f t="shared" si="100"/>
        <v>Paraventricular hypothalamic nucleus, parvicellular division, periventricular part</v>
      </c>
      <c r="N732" t="s">
        <v>5922</v>
      </c>
      <c r="O732" t="s">
        <v>5923</v>
      </c>
      <c r="Q732" s="6">
        <v>1109</v>
      </c>
      <c r="R732" s="6">
        <v>538</v>
      </c>
      <c r="S732" s="6" t="s">
        <v>6679</v>
      </c>
      <c r="T732" s="6" t="s">
        <v>6678</v>
      </c>
      <c r="U732" s="6">
        <v>21</v>
      </c>
      <c r="V732" s="6">
        <v>5</v>
      </c>
      <c r="W732" s="6" t="s">
        <v>7978</v>
      </c>
      <c r="Y732" t="s">
        <v>5922</v>
      </c>
      <c r="Z732" t="s">
        <v>5923</v>
      </c>
      <c r="AA732" s="6" t="str">
        <f t="shared" si="101"/>
        <v/>
      </c>
      <c r="AB732">
        <v>255</v>
      </c>
      <c r="AC732">
        <v>91</v>
      </c>
      <c r="AD732">
        <v>80</v>
      </c>
    </row>
    <row r="733" spans="1:30" ht="17" x14ac:dyDescent="0.25">
      <c r="A733" s="1" t="s">
        <v>735</v>
      </c>
      <c r="B733" s="1" t="s">
        <v>3387</v>
      </c>
      <c r="C733" s="1" t="s">
        <v>2062</v>
      </c>
      <c r="D733" t="str">
        <f t="shared" si="102"/>
        <v>FF5D50</v>
      </c>
      <c r="E733" t="str">
        <f t="shared" si="103"/>
        <v>255-93-80</v>
      </c>
      <c r="F733" t="str">
        <f t="shared" si="104"/>
        <v>2559380</v>
      </c>
      <c r="G733">
        <f t="shared" si="105"/>
        <v>255</v>
      </c>
      <c r="H733">
        <f t="shared" si="106"/>
        <v>93</v>
      </c>
      <c r="I733">
        <f t="shared" si="107"/>
        <v>80</v>
      </c>
      <c r="J733" t="str">
        <f t="shared" si="99"/>
        <v>PVa",</v>
      </c>
      <c r="K733" t="str">
        <f t="shared" si="99"/>
        <v>Periventricular hypothalamic nucleus, anterior part",</v>
      </c>
      <c r="L733" t="str">
        <f t="shared" si="100"/>
        <v>PVa</v>
      </c>
      <c r="M733" t="str">
        <f t="shared" si="100"/>
        <v>Periventricular hypothalamic nucleus, anterior part</v>
      </c>
      <c r="N733" t="s">
        <v>5924</v>
      </c>
      <c r="O733" t="s">
        <v>5925</v>
      </c>
      <c r="Q733" s="6">
        <v>1111</v>
      </c>
      <c r="R733" s="6">
        <v>900</v>
      </c>
      <c r="S733" s="6" t="s">
        <v>6683</v>
      </c>
      <c r="T733" s="6" t="s">
        <v>6682</v>
      </c>
      <c r="U733" s="6">
        <v>840</v>
      </c>
      <c r="V733" s="6">
        <v>4</v>
      </c>
      <c r="W733" s="6" t="s">
        <v>7979</v>
      </c>
      <c r="Y733" t="s">
        <v>5924</v>
      </c>
      <c r="Z733" t="s">
        <v>5925</v>
      </c>
      <c r="AA733" s="6">
        <f t="shared" si="101"/>
        <v>30</v>
      </c>
      <c r="AB733">
        <v>255</v>
      </c>
      <c r="AC733">
        <v>93</v>
      </c>
      <c r="AD733">
        <v>80</v>
      </c>
    </row>
    <row r="734" spans="1:30" ht="17" x14ac:dyDescent="0.25">
      <c r="A734" s="1" t="s">
        <v>736</v>
      </c>
      <c r="B734" s="1" t="s">
        <v>3388</v>
      </c>
      <c r="C734" s="1" t="s">
        <v>2063</v>
      </c>
      <c r="D734" t="str">
        <f t="shared" si="102"/>
        <v>FD5D50</v>
      </c>
      <c r="E734" t="str">
        <f t="shared" si="103"/>
        <v>253-93-80</v>
      </c>
      <c r="F734" t="str">
        <f t="shared" si="104"/>
        <v>2539380</v>
      </c>
      <c r="G734">
        <f t="shared" si="105"/>
        <v>253</v>
      </c>
      <c r="H734">
        <f t="shared" si="106"/>
        <v>93</v>
      </c>
      <c r="I734">
        <f t="shared" si="107"/>
        <v>80</v>
      </c>
      <c r="J734" t="str">
        <f t="shared" si="99"/>
        <v>PVi",</v>
      </c>
      <c r="K734" t="str">
        <f t="shared" si="99"/>
        <v>Periventricular hypothalamic nucleus, intermediate part",</v>
      </c>
      <c r="L734" t="str">
        <f t="shared" si="100"/>
        <v>PVi</v>
      </c>
      <c r="M734" t="str">
        <f t="shared" si="100"/>
        <v>Periventricular hypothalamic nucleus, intermediate part</v>
      </c>
      <c r="N734" t="s">
        <v>5926</v>
      </c>
      <c r="O734" t="s">
        <v>5927</v>
      </c>
      <c r="Q734" s="6">
        <v>1112</v>
      </c>
      <c r="R734" s="6">
        <v>848</v>
      </c>
      <c r="S734" s="6" t="s">
        <v>6685</v>
      </c>
      <c r="T734" s="6" t="s">
        <v>6684</v>
      </c>
      <c r="U734" s="6">
        <v>967</v>
      </c>
      <c r="V734" s="6">
        <v>3</v>
      </c>
      <c r="W734" s="6" t="s">
        <v>7980</v>
      </c>
      <c r="Y734" t="s">
        <v>5926</v>
      </c>
      <c r="Z734" t="s">
        <v>5927</v>
      </c>
      <c r="AA734" s="6">
        <f t="shared" si="101"/>
        <v>118</v>
      </c>
      <c r="AB734">
        <v>253</v>
      </c>
      <c r="AC734">
        <v>93</v>
      </c>
      <c r="AD734">
        <v>80</v>
      </c>
    </row>
    <row r="735" spans="1:30" ht="17" x14ac:dyDescent="0.25">
      <c r="A735" s="1" t="s">
        <v>737</v>
      </c>
      <c r="B735" s="1" t="s">
        <v>3389</v>
      </c>
      <c r="C735" s="1" t="s">
        <v>2064</v>
      </c>
      <c r="D735" t="str">
        <f t="shared" si="102"/>
        <v>FF5B4F</v>
      </c>
      <c r="E735" t="str">
        <f t="shared" si="103"/>
        <v>255-91-79</v>
      </c>
      <c r="F735" t="str">
        <f t="shared" si="104"/>
        <v>2559179</v>
      </c>
      <c r="G735">
        <f t="shared" si="105"/>
        <v>255</v>
      </c>
      <c r="H735">
        <f t="shared" si="106"/>
        <v>91</v>
      </c>
      <c r="I735">
        <f t="shared" si="107"/>
        <v>79</v>
      </c>
      <c r="J735" t="str">
        <f t="shared" si="99"/>
        <v>ARH",</v>
      </c>
      <c r="K735" t="str">
        <f t="shared" si="99"/>
        <v>Arcuate hypothalamic nucleus",</v>
      </c>
      <c r="L735" t="str">
        <f t="shared" si="100"/>
        <v>ARH</v>
      </c>
      <c r="M735" t="str">
        <f t="shared" si="100"/>
        <v>Arcuate hypothalamic nucleus</v>
      </c>
      <c r="N735" t="s">
        <v>5928</v>
      </c>
      <c r="O735" t="s">
        <v>5929</v>
      </c>
      <c r="Q735" s="6">
        <v>1114</v>
      </c>
      <c r="R735" s="6">
        <v>916</v>
      </c>
      <c r="S735" s="6" t="s">
        <v>6689</v>
      </c>
      <c r="T735" s="6" t="s">
        <v>6688</v>
      </c>
      <c r="U735" s="6">
        <v>848</v>
      </c>
      <c r="V735" s="6">
        <v>4</v>
      </c>
      <c r="W735" s="6" t="s">
        <v>7981</v>
      </c>
      <c r="Y735" t="s">
        <v>5928</v>
      </c>
      <c r="Z735" t="s">
        <v>5929</v>
      </c>
      <c r="AA735" s="6">
        <f t="shared" si="101"/>
        <v>223</v>
      </c>
      <c r="AB735">
        <v>255</v>
      </c>
      <c r="AC735">
        <v>91</v>
      </c>
      <c r="AD735">
        <v>79</v>
      </c>
    </row>
    <row r="736" spans="1:30" ht="17" x14ac:dyDescent="0.25">
      <c r="A736" s="1" t="s">
        <v>738</v>
      </c>
      <c r="B736" s="1" t="s">
        <v>3390</v>
      </c>
      <c r="C736" s="1" t="s">
        <v>2065</v>
      </c>
      <c r="D736" t="str">
        <f t="shared" si="102"/>
        <v>FF5446</v>
      </c>
      <c r="E736" t="str">
        <f t="shared" si="103"/>
        <v>255-84-70</v>
      </c>
      <c r="F736" t="str">
        <f t="shared" si="104"/>
        <v>2558470</v>
      </c>
      <c r="G736">
        <f t="shared" si="105"/>
        <v>255</v>
      </c>
      <c r="H736">
        <f t="shared" si="106"/>
        <v>84</v>
      </c>
      <c r="I736">
        <f t="shared" si="107"/>
        <v>70</v>
      </c>
      <c r="J736" t="str">
        <f t="shared" si="99"/>
        <v>PVR",</v>
      </c>
      <c r="K736" t="str">
        <f t="shared" si="99"/>
        <v>Periventricular region",</v>
      </c>
      <c r="L736" t="str">
        <f t="shared" si="100"/>
        <v>PVR</v>
      </c>
      <c r="M736" t="str">
        <f t="shared" si="100"/>
        <v>Periventricular region</v>
      </c>
      <c r="N736" t="s">
        <v>5930</v>
      </c>
      <c r="O736" t="s">
        <v>5931</v>
      </c>
      <c r="Q736" s="6">
        <v>1115</v>
      </c>
      <c r="R736" s="6">
        <v>336</v>
      </c>
      <c r="S736" s="6" t="s">
        <v>6691</v>
      </c>
      <c r="T736" s="6" t="s">
        <v>6690</v>
      </c>
      <c r="U736" s="6">
        <v>848</v>
      </c>
      <c r="V736" s="6">
        <v>4</v>
      </c>
      <c r="W736" s="6" t="s">
        <v>7982</v>
      </c>
      <c r="Y736" t="s">
        <v>5930</v>
      </c>
      <c r="Z736" t="s">
        <v>5931</v>
      </c>
      <c r="AA736" s="6">
        <f t="shared" si="101"/>
        <v>141</v>
      </c>
      <c r="AB736">
        <v>255</v>
      </c>
      <c r="AC736">
        <v>84</v>
      </c>
      <c r="AD736">
        <v>70</v>
      </c>
    </row>
    <row r="737" spans="1:30" ht="17" x14ac:dyDescent="0.25">
      <c r="A737" s="1" t="s">
        <v>739</v>
      </c>
      <c r="B737" s="1" t="s">
        <v>3391</v>
      </c>
      <c r="C737" s="1" t="s">
        <v>2066</v>
      </c>
      <c r="D737" t="str">
        <f t="shared" si="102"/>
        <v>FF5547</v>
      </c>
      <c r="E737" t="str">
        <f t="shared" si="103"/>
        <v>255-85-71</v>
      </c>
      <c r="F737" t="str">
        <f t="shared" si="104"/>
        <v>2558571</v>
      </c>
      <c r="G737">
        <f t="shared" si="105"/>
        <v>255</v>
      </c>
      <c r="H737">
        <f t="shared" si="106"/>
        <v>85</v>
      </c>
      <c r="I737">
        <f t="shared" si="107"/>
        <v>71</v>
      </c>
      <c r="J737" t="str">
        <f t="shared" si="99"/>
        <v>ADP",</v>
      </c>
      <c r="K737" t="str">
        <f t="shared" si="99"/>
        <v>Anterodorsal preoptic nucleus",</v>
      </c>
      <c r="L737" t="str">
        <f t="shared" si="100"/>
        <v>ADP</v>
      </c>
      <c r="M737" t="str">
        <f t="shared" si="100"/>
        <v>Anterodorsal preoptic nucleus</v>
      </c>
      <c r="N737" t="s">
        <v>5932</v>
      </c>
      <c r="O737" t="s">
        <v>5933</v>
      </c>
      <c r="Q737" s="6">
        <v>1116</v>
      </c>
      <c r="R737" s="6">
        <v>117</v>
      </c>
      <c r="S737" s="6" t="s">
        <v>6693</v>
      </c>
      <c r="T737" s="6" t="s">
        <v>6692</v>
      </c>
      <c r="U737" s="6">
        <v>848</v>
      </c>
      <c r="V737" s="6">
        <v>4</v>
      </c>
      <c r="W737" s="6" t="s">
        <v>7983</v>
      </c>
      <c r="Y737" t="s">
        <v>5932</v>
      </c>
      <c r="Z737" t="s">
        <v>5933</v>
      </c>
      <c r="AA737" s="6">
        <f t="shared" si="101"/>
        <v>72</v>
      </c>
      <c r="AB737">
        <v>255</v>
      </c>
      <c r="AC737">
        <v>85</v>
      </c>
      <c r="AD737">
        <v>71</v>
      </c>
    </row>
    <row r="738" spans="1:30" ht="17" x14ac:dyDescent="0.25">
      <c r="A738" s="1" t="s">
        <v>740</v>
      </c>
      <c r="B738" s="1" t="s">
        <v>3392</v>
      </c>
      <c r="C738" s="1" t="s">
        <v>2067</v>
      </c>
      <c r="D738" t="str">
        <f t="shared" si="102"/>
        <v>FF5546</v>
      </c>
      <c r="E738" t="str">
        <f t="shared" si="103"/>
        <v>255-85-70</v>
      </c>
      <c r="F738" t="str">
        <f t="shared" si="104"/>
        <v>2558570</v>
      </c>
      <c r="G738">
        <f t="shared" si="105"/>
        <v>255</v>
      </c>
      <c r="H738">
        <f t="shared" si="106"/>
        <v>85</v>
      </c>
      <c r="I738">
        <f t="shared" si="107"/>
        <v>70</v>
      </c>
      <c r="J738" t="str">
        <f t="shared" si="99"/>
        <v>AHA",</v>
      </c>
      <c r="K738" t="str">
        <f t="shared" si="99"/>
        <v>Anterior hypothalamic area",</v>
      </c>
      <c r="L738" t="str">
        <f t="shared" si="100"/>
        <v>AHA</v>
      </c>
      <c r="M738" t="str">
        <f t="shared" si="100"/>
        <v>Anterior hypothalamic area</v>
      </c>
      <c r="N738" t="s">
        <v>5934</v>
      </c>
      <c r="O738" t="s">
        <v>5935</v>
      </c>
      <c r="Q738" s="6">
        <v>1117</v>
      </c>
      <c r="R738" s="6">
        <v>125</v>
      </c>
      <c r="S738" s="6" t="s">
        <v>6695</v>
      </c>
      <c r="T738" s="6" t="s">
        <v>6694</v>
      </c>
      <c r="U738" s="6">
        <v>848</v>
      </c>
      <c r="V738" s="6">
        <v>4</v>
      </c>
      <c r="W738" s="6" t="s">
        <v>7984</v>
      </c>
      <c r="Y738" t="s">
        <v>5934</v>
      </c>
      <c r="Z738" t="s">
        <v>5935</v>
      </c>
      <c r="AA738" s="6" t="str">
        <f t="shared" si="101"/>
        <v/>
      </c>
      <c r="AB738">
        <v>255</v>
      </c>
      <c r="AC738">
        <v>85</v>
      </c>
      <c r="AD738">
        <v>70</v>
      </c>
    </row>
    <row r="739" spans="1:30" ht="17" x14ac:dyDescent="0.25">
      <c r="A739" s="1" t="s">
        <v>741</v>
      </c>
      <c r="B739" s="1" t="s">
        <v>3393</v>
      </c>
      <c r="C739" s="1" t="s">
        <v>2068</v>
      </c>
      <c r="D739" t="str">
        <f t="shared" si="102"/>
        <v>FE5447</v>
      </c>
      <c r="E739" t="str">
        <f t="shared" si="103"/>
        <v>254-84-71</v>
      </c>
      <c r="F739" t="str">
        <f t="shared" si="104"/>
        <v>2548471</v>
      </c>
      <c r="G739">
        <f t="shared" si="105"/>
        <v>254</v>
      </c>
      <c r="H739">
        <f t="shared" si="106"/>
        <v>84</v>
      </c>
      <c r="I739">
        <f t="shared" si="107"/>
        <v>71</v>
      </c>
      <c r="J739" t="str">
        <f t="shared" si="99"/>
        <v>AVP",</v>
      </c>
      <c r="K739" t="str">
        <f t="shared" si="99"/>
        <v>Anteroventral preoptic nucleus",</v>
      </c>
      <c r="L739" t="str">
        <f t="shared" si="100"/>
        <v>AVP</v>
      </c>
      <c r="M739" t="str">
        <f t="shared" si="100"/>
        <v>Anteroventral preoptic nucleus</v>
      </c>
      <c r="N739" t="s">
        <v>5936</v>
      </c>
      <c r="O739" t="s">
        <v>5937</v>
      </c>
      <c r="Q739" s="6">
        <v>1119</v>
      </c>
      <c r="R739" s="6">
        <v>832</v>
      </c>
      <c r="S739" s="6" t="s">
        <v>6699</v>
      </c>
      <c r="T739" s="6" t="s">
        <v>6698</v>
      </c>
      <c r="U739" s="6">
        <v>967</v>
      </c>
      <c r="V739" s="6">
        <v>3</v>
      </c>
      <c r="W739" s="6" t="s">
        <v>7985</v>
      </c>
      <c r="Y739" t="s">
        <v>5936</v>
      </c>
      <c r="Z739" t="s">
        <v>5937</v>
      </c>
      <c r="AA739" s="6">
        <f t="shared" si="101"/>
        <v>263</v>
      </c>
      <c r="AB739">
        <v>254</v>
      </c>
      <c r="AC739">
        <v>84</v>
      </c>
      <c r="AD739">
        <v>71</v>
      </c>
    </row>
    <row r="740" spans="1:30" ht="17" x14ac:dyDescent="0.25">
      <c r="A740" s="1" t="s">
        <v>742</v>
      </c>
      <c r="B740" s="1" t="s">
        <v>3394</v>
      </c>
      <c r="C740" s="1" t="s">
        <v>2069</v>
      </c>
      <c r="D740" t="str">
        <f t="shared" si="102"/>
        <v>FE5446</v>
      </c>
      <c r="E740" t="str">
        <f t="shared" si="103"/>
        <v>254-84-70</v>
      </c>
      <c r="F740" t="str">
        <f t="shared" si="104"/>
        <v>2548470</v>
      </c>
      <c r="G740">
        <f t="shared" si="105"/>
        <v>254</v>
      </c>
      <c r="H740">
        <f t="shared" si="106"/>
        <v>84</v>
      </c>
      <c r="I740">
        <f t="shared" si="107"/>
        <v>70</v>
      </c>
      <c r="J740" t="str">
        <f t="shared" si="99"/>
        <v>AVPV",</v>
      </c>
      <c r="K740" t="str">
        <f t="shared" si="99"/>
        <v>Anteroventral periventricular nucleus",</v>
      </c>
      <c r="L740" t="str">
        <f t="shared" si="100"/>
        <v>AVPV</v>
      </c>
      <c r="M740" t="str">
        <f t="shared" si="100"/>
        <v>Anteroventral periventricular nucleus</v>
      </c>
      <c r="N740" t="s">
        <v>5938</v>
      </c>
      <c r="O740" t="s">
        <v>5939</v>
      </c>
      <c r="Q740" s="6">
        <v>1120</v>
      </c>
      <c r="R740" s="6">
        <v>62</v>
      </c>
      <c r="S740" s="6" t="s">
        <v>6701</v>
      </c>
      <c r="T740" s="6" t="s">
        <v>6700</v>
      </c>
      <c r="U740" s="6">
        <v>832</v>
      </c>
      <c r="V740" s="6">
        <v>4</v>
      </c>
      <c r="W740" s="6" t="s">
        <v>7986</v>
      </c>
      <c r="Y740" t="s">
        <v>5938</v>
      </c>
      <c r="Z740" t="s">
        <v>5939</v>
      </c>
      <c r="AA740" s="6">
        <f t="shared" si="101"/>
        <v>272</v>
      </c>
      <c r="AB740">
        <v>254</v>
      </c>
      <c r="AC740">
        <v>84</v>
      </c>
      <c r="AD740">
        <v>70</v>
      </c>
    </row>
    <row r="741" spans="1:30" ht="17" x14ac:dyDescent="0.25">
      <c r="A741" s="1" t="s">
        <v>743</v>
      </c>
      <c r="B741" s="1" t="s">
        <v>3395</v>
      </c>
      <c r="C741" s="1" t="s">
        <v>2070</v>
      </c>
      <c r="D741" t="str">
        <f t="shared" si="102"/>
        <v>FE5445</v>
      </c>
      <c r="E741" t="str">
        <f t="shared" si="103"/>
        <v>254-84-69</v>
      </c>
      <c r="F741" t="str">
        <f t="shared" si="104"/>
        <v>2548469</v>
      </c>
      <c r="G741">
        <f t="shared" si="105"/>
        <v>254</v>
      </c>
      <c r="H741">
        <f t="shared" si="106"/>
        <v>84</v>
      </c>
      <c r="I741">
        <f t="shared" si="107"/>
        <v>69</v>
      </c>
      <c r="J741" t="str">
        <f t="shared" si="99"/>
        <v>DMH",</v>
      </c>
      <c r="K741" t="str">
        <f t="shared" si="99"/>
        <v>Dorsomedial nucleus of the hypothalamus",</v>
      </c>
      <c r="L741" t="str">
        <f t="shared" si="100"/>
        <v>DMH</v>
      </c>
      <c r="M741" t="str">
        <f t="shared" si="100"/>
        <v>Dorsomedial nucleus of the hypothalamus</v>
      </c>
      <c r="N741" t="s">
        <v>5940</v>
      </c>
      <c r="O741" t="s">
        <v>5941</v>
      </c>
      <c r="Q741" s="6">
        <v>1121</v>
      </c>
      <c r="R741" s="6">
        <v>158</v>
      </c>
      <c r="S741" s="6" t="s">
        <v>6703</v>
      </c>
      <c r="T741" s="6" t="s">
        <v>6702</v>
      </c>
      <c r="U741" s="6">
        <v>832</v>
      </c>
      <c r="V741" s="6">
        <v>4</v>
      </c>
      <c r="W741" s="6" t="s">
        <v>7987</v>
      </c>
      <c r="Y741" t="s">
        <v>5940</v>
      </c>
      <c r="Z741" t="s">
        <v>5941</v>
      </c>
      <c r="AA741" s="6">
        <f t="shared" si="101"/>
        <v>830</v>
      </c>
      <c r="AB741">
        <v>254</v>
      </c>
      <c r="AC741">
        <v>84</v>
      </c>
      <c r="AD741">
        <v>69</v>
      </c>
    </row>
    <row r="742" spans="1:30" ht="17" x14ac:dyDescent="0.25">
      <c r="A742" s="1" t="s">
        <v>744</v>
      </c>
      <c r="B742" s="1" t="s">
        <v>3396</v>
      </c>
      <c r="C742" s="1" t="s">
        <v>2071</v>
      </c>
      <c r="D742" t="str">
        <f t="shared" si="102"/>
        <v>FE5545</v>
      </c>
      <c r="E742" t="str">
        <f t="shared" si="103"/>
        <v>254-85-69</v>
      </c>
      <c r="F742" t="str">
        <f t="shared" si="104"/>
        <v>2548569</v>
      </c>
      <c r="G742">
        <f t="shared" si="105"/>
        <v>254</v>
      </c>
      <c r="H742">
        <f t="shared" si="106"/>
        <v>85</v>
      </c>
      <c r="I742">
        <f t="shared" si="107"/>
        <v>69</v>
      </c>
      <c r="J742" t="str">
        <f t="shared" si="99"/>
        <v>DMHa",</v>
      </c>
      <c r="K742" t="str">
        <f t="shared" si="99"/>
        <v>Dorsomedial nucleus of the hypothalamus, anterior part",</v>
      </c>
      <c r="L742" t="str">
        <f t="shared" si="100"/>
        <v>DMHa</v>
      </c>
      <c r="M742" t="str">
        <f t="shared" si="100"/>
        <v>Dorsomedial nucleus of the hypothalamus, anterior part</v>
      </c>
      <c r="N742" t="s">
        <v>5942</v>
      </c>
      <c r="O742" t="s">
        <v>5943</v>
      </c>
      <c r="Q742" s="6">
        <v>1122</v>
      </c>
      <c r="R742" s="6">
        <v>911</v>
      </c>
      <c r="S742" s="6" t="s">
        <v>6705</v>
      </c>
      <c r="T742" s="6" t="s">
        <v>6704</v>
      </c>
      <c r="U742" s="6">
        <v>967</v>
      </c>
      <c r="V742" s="6">
        <v>3</v>
      </c>
      <c r="W742" s="6" t="s">
        <v>7988</v>
      </c>
      <c r="Y742" t="s">
        <v>5942</v>
      </c>
      <c r="Z742" t="s">
        <v>5943</v>
      </c>
      <c r="AA742" s="6" t="str">
        <f t="shared" si="101"/>
        <v/>
      </c>
      <c r="AB742">
        <v>254</v>
      </c>
      <c r="AC742">
        <v>85</v>
      </c>
      <c r="AD742">
        <v>69</v>
      </c>
    </row>
    <row r="743" spans="1:30" ht="17" x14ac:dyDescent="0.25">
      <c r="A743" s="1" t="s">
        <v>745</v>
      </c>
      <c r="B743" s="1" t="s">
        <v>3397</v>
      </c>
      <c r="C743" s="1" t="s">
        <v>2072</v>
      </c>
      <c r="D743" t="str">
        <f t="shared" si="102"/>
        <v>FE5347</v>
      </c>
      <c r="E743" t="str">
        <f t="shared" si="103"/>
        <v>254-83-71</v>
      </c>
      <c r="F743" t="str">
        <f t="shared" si="104"/>
        <v>2548371</v>
      </c>
      <c r="G743">
        <f t="shared" si="105"/>
        <v>254</v>
      </c>
      <c r="H743">
        <f t="shared" si="106"/>
        <v>83</v>
      </c>
      <c r="I743">
        <f t="shared" si="107"/>
        <v>71</v>
      </c>
      <c r="J743" t="str">
        <f t="shared" si="99"/>
        <v>DMHp",</v>
      </c>
      <c r="K743" t="str">
        <f t="shared" si="99"/>
        <v>Dorsomedial nucleus of the hypothalamus, posterior part",</v>
      </c>
      <c r="L743" t="str">
        <f t="shared" si="100"/>
        <v>DMHp</v>
      </c>
      <c r="M743" t="str">
        <f t="shared" si="100"/>
        <v>Dorsomedial nucleus of the hypothalamus, posterior part</v>
      </c>
      <c r="N743" t="s">
        <v>5944</v>
      </c>
      <c r="O743" t="s">
        <v>5945</v>
      </c>
      <c r="Q743" s="6">
        <v>1125</v>
      </c>
      <c r="R743" s="6">
        <v>901</v>
      </c>
      <c r="S743" s="6" t="s">
        <v>6711</v>
      </c>
      <c r="T743" s="6" t="s">
        <v>6710</v>
      </c>
      <c r="U743" s="6">
        <v>967</v>
      </c>
      <c r="V743" s="6">
        <v>3</v>
      </c>
      <c r="W743" s="6" t="s">
        <v>7989</v>
      </c>
      <c r="Y743" t="s">
        <v>5944</v>
      </c>
      <c r="Z743" t="s">
        <v>5945</v>
      </c>
      <c r="AA743" s="6" t="str">
        <f t="shared" si="101"/>
        <v/>
      </c>
      <c r="AB743">
        <v>254</v>
      </c>
      <c r="AC743">
        <v>83</v>
      </c>
      <c r="AD743">
        <v>71</v>
      </c>
    </row>
    <row r="744" spans="1:30" ht="17" x14ac:dyDescent="0.25">
      <c r="A744" s="1" t="s">
        <v>746</v>
      </c>
      <c r="B744" s="1" t="s">
        <v>3398</v>
      </c>
      <c r="C744" s="1" t="s">
        <v>2073</v>
      </c>
      <c r="D744" t="str">
        <f t="shared" si="102"/>
        <v>FD5546</v>
      </c>
      <c r="E744" t="str">
        <f t="shared" si="103"/>
        <v>253-85-70</v>
      </c>
      <c r="F744" t="str">
        <f t="shared" si="104"/>
        <v>2538570</v>
      </c>
      <c r="G744">
        <f t="shared" si="105"/>
        <v>253</v>
      </c>
      <c r="H744">
        <f t="shared" si="106"/>
        <v>85</v>
      </c>
      <c r="I744">
        <f t="shared" si="107"/>
        <v>70</v>
      </c>
      <c r="J744" t="str">
        <f t="shared" si="99"/>
        <v>DMHv",</v>
      </c>
      <c r="K744" t="str">
        <f t="shared" si="99"/>
        <v>Dorsomedial nucleus of the hypothalamus, ventral part",</v>
      </c>
      <c r="L744" t="str">
        <f t="shared" si="100"/>
        <v>DMHv</v>
      </c>
      <c r="M744" t="str">
        <f t="shared" si="100"/>
        <v>Dorsomedial nucleus of the hypothalamus, ventral part</v>
      </c>
      <c r="N744" t="s">
        <v>5946</v>
      </c>
      <c r="O744" t="s">
        <v>5947</v>
      </c>
      <c r="Q744" s="6">
        <v>1126</v>
      </c>
      <c r="R744" s="6">
        <v>93</v>
      </c>
      <c r="S744" s="6" t="s">
        <v>6713</v>
      </c>
      <c r="T744" s="6" t="s">
        <v>6712</v>
      </c>
      <c r="U744" s="6">
        <v>901</v>
      </c>
      <c r="V744" s="6">
        <v>4</v>
      </c>
      <c r="W744" s="6" t="s">
        <v>7990</v>
      </c>
      <c r="Y744" t="s">
        <v>5946</v>
      </c>
      <c r="Z744" t="s">
        <v>5947</v>
      </c>
      <c r="AA744" s="6" t="str">
        <f t="shared" si="101"/>
        <v/>
      </c>
      <c r="AB744">
        <v>253</v>
      </c>
      <c r="AC744">
        <v>85</v>
      </c>
      <c r="AD744">
        <v>70</v>
      </c>
    </row>
    <row r="745" spans="1:30" ht="17" x14ac:dyDescent="0.25">
      <c r="A745" s="1" t="s">
        <v>747</v>
      </c>
      <c r="B745" s="1" t="s">
        <v>3399</v>
      </c>
      <c r="C745" s="1" t="s">
        <v>2074</v>
      </c>
      <c r="D745" t="str">
        <f t="shared" si="102"/>
        <v>FF5445</v>
      </c>
      <c r="E745" t="str">
        <f t="shared" si="103"/>
        <v>255-84-69</v>
      </c>
      <c r="F745" t="str">
        <f t="shared" si="104"/>
        <v>2558469</v>
      </c>
      <c r="G745">
        <f t="shared" si="105"/>
        <v>255</v>
      </c>
      <c r="H745">
        <f t="shared" si="106"/>
        <v>84</v>
      </c>
      <c r="I745">
        <f t="shared" si="107"/>
        <v>69</v>
      </c>
      <c r="J745" t="str">
        <f t="shared" si="99"/>
        <v>MEPO",</v>
      </c>
      <c r="K745" t="str">
        <f t="shared" si="99"/>
        <v>Median preoptic nucleus",</v>
      </c>
      <c r="L745" t="str">
        <f t="shared" si="100"/>
        <v>MEPO</v>
      </c>
      <c r="M745" t="str">
        <f t="shared" si="100"/>
        <v>Median preoptic nucleus</v>
      </c>
      <c r="N745" t="s">
        <v>5948</v>
      </c>
      <c r="O745" t="s">
        <v>5949</v>
      </c>
      <c r="Q745" s="6">
        <v>1127</v>
      </c>
      <c r="R745" s="6">
        <v>229</v>
      </c>
      <c r="S745" s="6" t="s">
        <v>6715</v>
      </c>
      <c r="T745" s="6" t="s">
        <v>6714</v>
      </c>
      <c r="U745" s="6">
        <v>901</v>
      </c>
      <c r="V745" s="6">
        <v>4</v>
      </c>
      <c r="W745" s="6" t="s">
        <v>7991</v>
      </c>
      <c r="Y745" t="s">
        <v>5948</v>
      </c>
      <c r="Z745" t="s">
        <v>5949</v>
      </c>
      <c r="AA745" s="6">
        <f t="shared" si="101"/>
        <v>452</v>
      </c>
      <c r="AB745">
        <v>255</v>
      </c>
      <c r="AC745">
        <v>84</v>
      </c>
      <c r="AD745">
        <v>69</v>
      </c>
    </row>
    <row r="746" spans="1:30" ht="17" x14ac:dyDescent="0.25">
      <c r="A746" s="1" t="s">
        <v>748</v>
      </c>
      <c r="B746" s="1" t="s">
        <v>3400</v>
      </c>
      <c r="C746" s="1" t="s">
        <v>2075</v>
      </c>
      <c r="D746" t="str">
        <f t="shared" si="102"/>
        <v>FF5346</v>
      </c>
      <c r="E746" t="str">
        <f t="shared" si="103"/>
        <v>255-83-70</v>
      </c>
      <c r="F746" t="str">
        <f t="shared" si="104"/>
        <v>2558370</v>
      </c>
      <c r="G746">
        <f t="shared" si="105"/>
        <v>255</v>
      </c>
      <c r="H746">
        <f t="shared" si="106"/>
        <v>83</v>
      </c>
      <c r="I746">
        <f t="shared" si="107"/>
        <v>70</v>
      </c>
      <c r="J746" t="str">
        <f t="shared" si="99"/>
        <v>MPO",</v>
      </c>
      <c r="K746" t="str">
        <f t="shared" si="99"/>
        <v>Medial preoptic area",</v>
      </c>
      <c r="L746" t="str">
        <f t="shared" si="100"/>
        <v>MPO</v>
      </c>
      <c r="M746" t="str">
        <f t="shared" si="100"/>
        <v>Medial preoptic area</v>
      </c>
      <c r="N746" t="s">
        <v>5950</v>
      </c>
      <c r="O746" t="s">
        <v>5951</v>
      </c>
      <c r="Q746" s="6">
        <v>1129</v>
      </c>
      <c r="R746" s="6">
        <v>794</v>
      </c>
      <c r="S746" s="6" t="s">
        <v>6719</v>
      </c>
      <c r="T746" s="6" t="s">
        <v>6718</v>
      </c>
      <c r="U746" s="6">
        <v>229</v>
      </c>
      <c r="V746" s="6">
        <v>5</v>
      </c>
      <c r="W746" s="6" t="s">
        <v>7992</v>
      </c>
      <c r="Y746" t="s">
        <v>5950</v>
      </c>
      <c r="Z746" t="s">
        <v>5951</v>
      </c>
      <c r="AA746" s="6">
        <f t="shared" si="101"/>
        <v>523</v>
      </c>
      <c r="AB746">
        <v>255</v>
      </c>
      <c r="AC746">
        <v>83</v>
      </c>
      <c r="AD746">
        <v>70</v>
      </c>
    </row>
    <row r="747" spans="1:30" ht="17" x14ac:dyDescent="0.25">
      <c r="A747" s="1" t="s">
        <v>749</v>
      </c>
      <c r="B747" s="1" t="s">
        <v>3401</v>
      </c>
      <c r="C747" s="1" t="s">
        <v>2076</v>
      </c>
      <c r="D747" t="str">
        <f t="shared" si="102"/>
        <v>FD5447</v>
      </c>
      <c r="E747" t="str">
        <f t="shared" si="103"/>
        <v>253-84-71</v>
      </c>
      <c r="F747" t="str">
        <f t="shared" si="104"/>
        <v>2538471</v>
      </c>
      <c r="G747">
        <f t="shared" si="105"/>
        <v>253</v>
      </c>
      <c r="H747">
        <f t="shared" si="106"/>
        <v>84</v>
      </c>
      <c r="I747">
        <f t="shared" si="107"/>
        <v>71</v>
      </c>
      <c r="J747" t="str">
        <f t="shared" si="99"/>
        <v>OV",</v>
      </c>
      <c r="K747" t="str">
        <f t="shared" si="99"/>
        <v>Vascular organ of the lamina terminalis",</v>
      </c>
      <c r="L747" t="str">
        <f t="shared" si="100"/>
        <v>OV</v>
      </c>
      <c r="M747" t="str">
        <f t="shared" si="100"/>
        <v>Vascular organ of the lamina terminalis</v>
      </c>
      <c r="N747" t="s">
        <v>5952</v>
      </c>
      <c r="O747" t="s">
        <v>5953</v>
      </c>
      <c r="Q747" s="6">
        <v>1130</v>
      </c>
      <c r="R747" s="6">
        <v>798</v>
      </c>
      <c r="S747" s="6" t="s">
        <v>6721</v>
      </c>
      <c r="T747" s="6" t="s">
        <v>6720</v>
      </c>
      <c r="U747" s="6">
        <v>967</v>
      </c>
      <c r="V747" s="6">
        <v>3</v>
      </c>
      <c r="W747" s="6" t="s">
        <v>7993</v>
      </c>
      <c r="Y747" t="s">
        <v>5952</v>
      </c>
      <c r="Z747" t="s">
        <v>5953</v>
      </c>
      <c r="AA747" s="6">
        <f t="shared" si="101"/>
        <v>763</v>
      </c>
      <c r="AB747">
        <v>253</v>
      </c>
      <c r="AC747">
        <v>84</v>
      </c>
      <c r="AD747">
        <v>71</v>
      </c>
    </row>
    <row r="748" spans="1:30" ht="17" x14ac:dyDescent="0.25">
      <c r="A748" s="1" t="s">
        <v>750</v>
      </c>
      <c r="B748" s="1" t="s">
        <v>3402</v>
      </c>
      <c r="C748" s="1" t="s">
        <v>2077</v>
      </c>
      <c r="D748" t="str">
        <f t="shared" si="102"/>
        <v>FE5346</v>
      </c>
      <c r="E748" t="str">
        <f t="shared" si="103"/>
        <v>254-83-70</v>
      </c>
      <c r="F748" t="str">
        <f t="shared" si="104"/>
        <v>2548370</v>
      </c>
      <c r="G748">
        <f t="shared" si="105"/>
        <v>254</v>
      </c>
      <c r="H748">
        <f t="shared" si="106"/>
        <v>83</v>
      </c>
      <c r="I748">
        <f t="shared" si="107"/>
        <v>70</v>
      </c>
      <c r="J748" t="str">
        <f t="shared" si="99"/>
        <v>PD",</v>
      </c>
      <c r="K748" t="str">
        <f t="shared" si="99"/>
        <v>Posterodorsal preoptic nucleus",</v>
      </c>
      <c r="L748" t="str">
        <f t="shared" si="100"/>
        <v>PD</v>
      </c>
      <c r="M748" t="str">
        <f t="shared" si="100"/>
        <v>Posterodorsal preoptic nucleus</v>
      </c>
      <c r="N748" t="s">
        <v>5954</v>
      </c>
      <c r="O748" t="s">
        <v>5955</v>
      </c>
      <c r="Q748" s="6">
        <v>1132</v>
      </c>
      <c r="R748" s="6">
        <v>1116</v>
      </c>
      <c r="S748" s="6" t="s">
        <v>6725</v>
      </c>
      <c r="T748" s="6" t="s">
        <v>6724</v>
      </c>
      <c r="U748" s="6">
        <v>798</v>
      </c>
      <c r="V748" s="6">
        <v>4</v>
      </c>
      <c r="W748" s="6" t="s">
        <v>7994</v>
      </c>
      <c r="Y748" t="s">
        <v>5954</v>
      </c>
      <c r="Z748" t="s">
        <v>5955</v>
      </c>
      <c r="AA748" s="6">
        <f t="shared" si="101"/>
        <v>914</v>
      </c>
      <c r="AB748">
        <v>254</v>
      </c>
      <c r="AC748">
        <v>83</v>
      </c>
      <c r="AD748">
        <v>70</v>
      </c>
    </row>
    <row r="749" spans="1:30" ht="17" x14ac:dyDescent="0.25">
      <c r="A749" s="1" t="s">
        <v>751</v>
      </c>
      <c r="B749" s="1" t="s">
        <v>3403</v>
      </c>
      <c r="C749" s="1" t="s">
        <v>2078</v>
      </c>
      <c r="D749" t="str">
        <f t="shared" si="102"/>
        <v>FD5446</v>
      </c>
      <c r="E749" t="str">
        <f t="shared" si="103"/>
        <v>253-84-70</v>
      </c>
      <c r="F749" t="str">
        <f t="shared" si="104"/>
        <v>2538470</v>
      </c>
      <c r="G749">
        <f t="shared" si="105"/>
        <v>253</v>
      </c>
      <c r="H749">
        <f t="shared" si="106"/>
        <v>84</v>
      </c>
      <c r="I749">
        <f t="shared" si="107"/>
        <v>70</v>
      </c>
      <c r="J749" t="str">
        <f t="shared" si="99"/>
        <v>PS",</v>
      </c>
      <c r="K749" t="str">
        <f t="shared" si="99"/>
        <v>Parastrial nucleus",</v>
      </c>
      <c r="L749" t="str">
        <f t="shared" si="100"/>
        <v>PS</v>
      </c>
      <c r="M749" t="str">
        <f t="shared" si="100"/>
        <v>Parastrial nucleus</v>
      </c>
      <c r="N749" t="s">
        <v>5956</v>
      </c>
      <c r="O749" t="s">
        <v>5957</v>
      </c>
      <c r="Q749" s="6">
        <v>1133</v>
      </c>
      <c r="R749" s="6">
        <v>933</v>
      </c>
      <c r="S749" s="6" t="s">
        <v>6727</v>
      </c>
      <c r="T749" s="6" t="s">
        <v>6726</v>
      </c>
      <c r="U749" s="6">
        <v>967</v>
      </c>
      <c r="V749" s="6">
        <v>3</v>
      </c>
      <c r="W749" s="6" t="s">
        <v>7995</v>
      </c>
      <c r="Y749" t="s">
        <v>5956</v>
      </c>
      <c r="Z749" t="s">
        <v>5957</v>
      </c>
      <c r="AA749" s="6">
        <f t="shared" si="101"/>
        <v>1109</v>
      </c>
      <c r="AB749">
        <v>253</v>
      </c>
      <c r="AC749">
        <v>84</v>
      </c>
      <c r="AD749">
        <v>70</v>
      </c>
    </row>
    <row r="750" spans="1:30" ht="17" x14ac:dyDescent="0.25">
      <c r="A750" s="1" t="s">
        <v>752</v>
      </c>
      <c r="B750" s="1" t="s">
        <v>3404</v>
      </c>
      <c r="C750" s="1" t="s">
        <v>2079</v>
      </c>
      <c r="D750" t="str">
        <f t="shared" si="102"/>
        <v>FF5345</v>
      </c>
      <c r="E750" t="str">
        <f t="shared" si="103"/>
        <v>255-83-69</v>
      </c>
      <c r="F750" t="str">
        <f t="shared" si="104"/>
        <v>2558369</v>
      </c>
      <c r="G750">
        <f t="shared" si="105"/>
        <v>255</v>
      </c>
      <c r="H750">
        <f t="shared" si="106"/>
        <v>83</v>
      </c>
      <c r="I750">
        <f t="shared" si="107"/>
        <v>69</v>
      </c>
      <c r="J750" t="str">
        <f t="shared" si="99"/>
        <v>PSCH",</v>
      </c>
      <c r="K750" t="str">
        <f t="shared" si="99"/>
        <v>Suprachiasmatic preoptic nucleus",</v>
      </c>
      <c r="L750" t="str">
        <f t="shared" si="100"/>
        <v>PSCH</v>
      </c>
      <c r="M750" t="str">
        <f t="shared" si="100"/>
        <v>Suprachiasmatic preoptic nucleus</v>
      </c>
      <c r="N750" t="s">
        <v>5958</v>
      </c>
      <c r="O750" t="s">
        <v>5959</v>
      </c>
      <c r="Q750" s="6">
        <v>1135</v>
      </c>
      <c r="R750" s="6">
        <v>413</v>
      </c>
      <c r="S750" s="6" t="s">
        <v>6731</v>
      </c>
      <c r="T750" s="6" t="s">
        <v>6730</v>
      </c>
      <c r="U750" s="6">
        <v>933</v>
      </c>
      <c r="V750" s="6">
        <v>4</v>
      </c>
      <c r="W750" s="6" t="s">
        <v>7996</v>
      </c>
      <c r="Y750" t="s">
        <v>5958</v>
      </c>
      <c r="Z750" t="s">
        <v>5959</v>
      </c>
      <c r="AA750" s="6" t="str">
        <f t="shared" si="101"/>
        <v/>
      </c>
      <c r="AB750">
        <v>255</v>
      </c>
      <c r="AC750">
        <v>83</v>
      </c>
      <c r="AD750">
        <v>69</v>
      </c>
    </row>
    <row r="751" spans="1:30" ht="17" x14ac:dyDescent="0.25">
      <c r="A751" s="1" t="s">
        <v>753</v>
      </c>
      <c r="B751" s="1" t="s">
        <v>3405</v>
      </c>
      <c r="C751" s="1" t="s">
        <v>2080</v>
      </c>
      <c r="D751" t="str">
        <f t="shared" si="102"/>
        <v>FF5447</v>
      </c>
      <c r="E751" t="str">
        <f t="shared" si="103"/>
        <v>255-84-71</v>
      </c>
      <c r="F751" t="str">
        <f t="shared" si="104"/>
        <v>2558471</v>
      </c>
      <c r="G751">
        <f t="shared" si="105"/>
        <v>255</v>
      </c>
      <c r="H751">
        <f t="shared" si="106"/>
        <v>84</v>
      </c>
      <c r="I751">
        <f t="shared" si="107"/>
        <v>71</v>
      </c>
      <c r="J751" t="str">
        <f t="shared" si="99"/>
        <v>PVp",</v>
      </c>
      <c r="K751" t="str">
        <f t="shared" si="99"/>
        <v>Periventricular hypothalamic nucleus, posterior part",</v>
      </c>
      <c r="L751" t="str">
        <f t="shared" si="100"/>
        <v>PVp</v>
      </c>
      <c r="M751" t="str">
        <f t="shared" si="100"/>
        <v>Periventricular hypothalamic nucleus, posterior part</v>
      </c>
      <c r="N751" t="s">
        <v>5960</v>
      </c>
      <c r="O751" t="s">
        <v>5961</v>
      </c>
      <c r="Q751" s="6">
        <v>1136</v>
      </c>
      <c r="R751" s="6">
        <v>948</v>
      </c>
      <c r="S751" s="6" t="s">
        <v>6733</v>
      </c>
      <c r="T751" s="6" t="s">
        <v>6732</v>
      </c>
      <c r="U751" s="6">
        <v>933</v>
      </c>
      <c r="V751" s="6">
        <v>4</v>
      </c>
      <c r="W751" s="6" t="s">
        <v>7997</v>
      </c>
      <c r="Y751" t="s">
        <v>5960</v>
      </c>
      <c r="Z751" t="s">
        <v>5961</v>
      </c>
      <c r="AA751" s="6">
        <f t="shared" si="101"/>
        <v>126</v>
      </c>
      <c r="AB751">
        <v>255</v>
      </c>
      <c r="AC751">
        <v>84</v>
      </c>
      <c r="AD751">
        <v>71</v>
      </c>
    </row>
    <row r="752" spans="1:30" ht="17" x14ac:dyDescent="0.25">
      <c r="A752" s="1" t="s">
        <v>754</v>
      </c>
      <c r="B752" s="1" t="s">
        <v>3406</v>
      </c>
      <c r="C752" s="1" t="s">
        <v>2081</v>
      </c>
      <c r="D752" t="str">
        <f t="shared" si="102"/>
        <v>FE5547</v>
      </c>
      <c r="E752" t="str">
        <f t="shared" si="103"/>
        <v>254-85-71</v>
      </c>
      <c r="F752" t="str">
        <f t="shared" si="104"/>
        <v>2548571</v>
      </c>
      <c r="G752">
        <f t="shared" si="105"/>
        <v>254</v>
      </c>
      <c r="H752">
        <f t="shared" si="106"/>
        <v>85</v>
      </c>
      <c r="I752">
        <f t="shared" si="107"/>
        <v>71</v>
      </c>
      <c r="J752" t="str">
        <f t="shared" si="99"/>
        <v>PVpo",</v>
      </c>
      <c r="K752" t="str">
        <f t="shared" si="99"/>
        <v>Periventricular hypothalamic nucleus, preoptic part",</v>
      </c>
      <c r="L752" t="str">
        <f t="shared" si="100"/>
        <v>PVpo</v>
      </c>
      <c r="M752" t="str">
        <f t="shared" si="100"/>
        <v>Periventricular hypothalamic nucleus, preoptic part</v>
      </c>
      <c r="N752" t="s">
        <v>5962</v>
      </c>
      <c r="O752" t="s">
        <v>5963</v>
      </c>
      <c r="Q752" s="6">
        <v>1137</v>
      </c>
      <c r="R752" s="6">
        <v>841</v>
      </c>
      <c r="S752" s="6" t="s">
        <v>6735</v>
      </c>
      <c r="T752" s="6" t="s">
        <v>6734</v>
      </c>
      <c r="U752" s="6">
        <v>948</v>
      </c>
      <c r="V752" s="6">
        <v>5</v>
      </c>
      <c r="W752" s="6" t="s">
        <v>7998</v>
      </c>
      <c r="Y752" t="s">
        <v>5962</v>
      </c>
      <c r="Z752" t="s">
        <v>5963</v>
      </c>
      <c r="AA752" s="6">
        <f t="shared" si="101"/>
        <v>133</v>
      </c>
      <c r="AB752">
        <v>254</v>
      </c>
      <c r="AC752">
        <v>85</v>
      </c>
      <c r="AD752">
        <v>71</v>
      </c>
    </row>
    <row r="753" spans="1:30" ht="17" x14ac:dyDescent="0.25">
      <c r="A753" s="1" t="s">
        <v>755</v>
      </c>
      <c r="B753" s="1" t="s">
        <v>3407</v>
      </c>
      <c r="C753" s="1" t="s">
        <v>2082</v>
      </c>
      <c r="D753" t="str">
        <f t="shared" si="102"/>
        <v>FD5547</v>
      </c>
      <c r="E753" t="str">
        <f t="shared" si="103"/>
        <v>253-85-71</v>
      </c>
      <c r="F753" t="str">
        <f t="shared" si="104"/>
        <v>2538571</v>
      </c>
      <c r="G753">
        <f t="shared" si="105"/>
        <v>253</v>
      </c>
      <c r="H753">
        <f t="shared" si="106"/>
        <v>85</v>
      </c>
      <c r="I753">
        <f t="shared" si="107"/>
        <v>71</v>
      </c>
      <c r="J753" t="str">
        <f t="shared" si="99"/>
        <v>SBPV",</v>
      </c>
      <c r="K753" t="str">
        <f t="shared" si="99"/>
        <v>Subparaventricular zone",</v>
      </c>
      <c r="L753" t="str">
        <f t="shared" si="100"/>
        <v>SBPV</v>
      </c>
      <c r="M753" t="str">
        <f t="shared" si="100"/>
        <v>Subparaventricular zone</v>
      </c>
      <c r="N753" t="s">
        <v>5964</v>
      </c>
      <c r="O753" t="s">
        <v>5965</v>
      </c>
      <c r="Q753" s="6">
        <v>1139</v>
      </c>
      <c r="R753" s="6">
        <v>506</v>
      </c>
      <c r="S753" s="6" t="s">
        <v>6739</v>
      </c>
      <c r="T753" s="6" t="s">
        <v>6738</v>
      </c>
      <c r="U753" s="6">
        <v>948</v>
      </c>
      <c r="V753" s="6">
        <v>5</v>
      </c>
      <c r="W753" s="6" t="s">
        <v>7999</v>
      </c>
      <c r="Y753" t="s">
        <v>5964</v>
      </c>
      <c r="Z753" t="s">
        <v>5965</v>
      </c>
      <c r="AA753" s="6">
        <f t="shared" si="101"/>
        <v>347</v>
      </c>
      <c r="AB753">
        <v>253</v>
      </c>
      <c r="AC753">
        <v>85</v>
      </c>
      <c r="AD753">
        <v>71</v>
      </c>
    </row>
    <row r="754" spans="1:30" ht="17" x14ac:dyDescent="0.25">
      <c r="A754" s="1" t="s">
        <v>756</v>
      </c>
      <c r="B754" s="1" t="s">
        <v>3408</v>
      </c>
      <c r="C754" s="1" t="s">
        <v>2083</v>
      </c>
      <c r="D754" t="str">
        <f t="shared" si="102"/>
        <v>FF5545</v>
      </c>
      <c r="E754" t="str">
        <f t="shared" si="103"/>
        <v>255-85-69</v>
      </c>
      <c r="F754" t="str">
        <f t="shared" si="104"/>
        <v>2558569</v>
      </c>
      <c r="G754">
        <f t="shared" si="105"/>
        <v>255</v>
      </c>
      <c r="H754">
        <f t="shared" si="106"/>
        <v>85</v>
      </c>
      <c r="I754">
        <f t="shared" si="107"/>
        <v>69</v>
      </c>
      <c r="J754" t="str">
        <f t="shared" si="99"/>
        <v>SCH",</v>
      </c>
      <c r="K754" t="str">
        <f t="shared" si="99"/>
        <v>Suprachiasmatic nucleus",</v>
      </c>
      <c r="L754" t="str">
        <f t="shared" si="100"/>
        <v>SCH</v>
      </c>
      <c r="M754" t="str">
        <f t="shared" si="100"/>
        <v>Suprachiasmatic nucleus</v>
      </c>
      <c r="N754" t="s">
        <v>5966</v>
      </c>
      <c r="O754" t="s">
        <v>5967</v>
      </c>
      <c r="Q754" s="6">
        <v>1140</v>
      </c>
      <c r="R754" s="6">
        <v>658</v>
      </c>
      <c r="S754" s="6" t="s">
        <v>6741</v>
      </c>
      <c r="T754" s="6" t="s">
        <v>6740</v>
      </c>
      <c r="U754" s="6">
        <v>948</v>
      </c>
      <c r="V754" s="6">
        <v>5</v>
      </c>
      <c r="W754" s="6" t="s">
        <v>8000</v>
      </c>
      <c r="Y754" t="s">
        <v>5966</v>
      </c>
      <c r="Z754" t="s">
        <v>5967</v>
      </c>
      <c r="AA754" s="6">
        <f t="shared" si="101"/>
        <v>286</v>
      </c>
      <c r="AB754">
        <v>255</v>
      </c>
      <c r="AC754">
        <v>85</v>
      </c>
      <c r="AD754">
        <v>69</v>
      </c>
    </row>
    <row r="755" spans="1:30" ht="17" x14ac:dyDescent="0.25">
      <c r="A755" s="1" t="s">
        <v>757</v>
      </c>
      <c r="B755" s="1" t="s">
        <v>3409</v>
      </c>
      <c r="C755" s="1" t="s">
        <v>2084</v>
      </c>
      <c r="D755" t="str">
        <f t="shared" si="102"/>
        <v>FF5347</v>
      </c>
      <c r="E755" t="str">
        <f t="shared" si="103"/>
        <v>255-83-71</v>
      </c>
      <c r="F755" t="str">
        <f t="shared" si="104"/>
        <v>2558371</v>
      </c>
      <c r="G755">
        <f t="shared" si="105"/>
        <v>255</v>
      </c>
      <c r="H755">
        <f t="shared" si="106"/>
        <v>83</v>
      </c>
      <c r="I755">
        <f t="shared" si="107"/>
        <v>71</v>
      </c>
      <c r="J755" t="str">
        <f t="shared" si="99"/>
        <v>SFO",</v>
      </c>
      <c r="K755" t="str">
        <f t="shared" si="99"/>
        <v>Subfornical organ",</v>
      </c>
      <c r="L755" t="str">
        <f t="shared" si="100"/>
        <v>SFO</v>
      </c>
      <c r="M755" t="str">
        <f t="shared" si="100"/>
        <v>Subfornical organ</v>
      </c>
      <c r="N755" t="s">
        <v>5968</v>
      </c>
      <c r="O755" t="s">
        <v>5969</v>
      </c>
      <c r="Q755" s="6">
        <v>1141</v>
      </c>
      <c r="R755" s="6">
        <v>633</v>
      </c>
      <c r="S755" s="6" t="s">
        <v>6743</v>
      </c>
      <c r="T755" s="6" t="s">
        <v>6742</v>
      </c>
      <c r="U755" s="6">
        <v>948</v>
      </c>
      <c r="V755" s="6">
        <v>5</v>
      </c>
      <c r="W755" s="6" t="s">
        <v>8001</v>
      </c>
      <c r="Y755" t="s">
        <v>5968</v>
      </c>
      <c r="Z755" t="s">
        <v>5969</v>
      </c>
      <c r="AA755" s="6">
        <f t="shared" si="101"/>
        <v>338</v>
      </c>
      <c r="AB755">
        <v>255</v>
      </c>
      <c r="AC755">
        <v>83</v>
      </c>
      <c r="AD755">
        <v>71</v>
      </c>
    </row>
    <row r="756" spans="1:30" ht="17" x14ac:dyDescent="0.25">
      <c r="A756" s="1" t="s">
        <v>758</v>
      </c>
      <c r="B756" s="1" t="s">
        <v>3410</v>
      </c>
      <c r="C756" s="1" t="s">
        <v>2085</v>
      </c>
      <c r="D756" t="str">
        <f t="shared" si="102"/>
        <v>FD5545</v>
      </c>
      <c r="E756" t="str">
        <f t="shared" si="103"/>
        <v>253-85-69</v>
      </c>
      <c r="F756" t="str">
        <f t="shared" si="104"/>
        <v>2538569</v>
      </c>
      <c r="G756">
        <f t="shared" si="105"/>
        <v>253</v>
      </c>
      <c r="H756">
        <f t="shared" si="106"/>
        <v>85</v>
      </c>
      <c r="I756">
        <f t="shared" si="107"/>
        <v>69</v>
      </c>
      <c r="J756" t="str">
        <f t="shared" si="99"/>
        <v>VMPO",</v>
      </c>
      <c r="K756" t="str">
        <f t="shared" si="99"/>
        <v>Ventromedial preoptic nucleus",</v>
      </c>
      <c r="L756" t="str">
        <f t="shared" si="100"/>
        <v>VMPO</v>
      </c>
      <c r="M756" t="str">
        <f t="shared" si="100"/>
        <v>Ventromedial preoptic nucleus</v>
      </c>
      <c r="N756" t="s">
        <v>5970</v>
      </c>
      <c r="O756" t="s">
        <v>5971</v>
      </c>
      <c r="Q756" s="6">
        <v>1142</v>
      </c>
      <c r="R756" s="6">
        <v>482</v>
      </c>
      <c r="S756" s="6" t="s">
        <v>6745</v>
      </c>
      <c r="T756" s="6" t="s">
        <v>6744</v>
      </c>
      <c r="U756" s="6">
        <v>948</v>
      </c>
      <c r="V756" s="6">
        <v>5</v>
      </c>
      <c r="W756" s="6" t="s">
        <v>8002</v>
      </c>
      <c r="Y756" t="s">
        <v>5970</v>
      </c>
      <c r="Z756" t="s">
        <v>5971</v>
      </c>
      <c r="AA756" s="6">
        <f t="shared" si="101"/>
        <v>576073699</v>
      </c>
      <c r="AB756">
        <v>253</v>
      </c>
      <c r="AC756">
        <v>85</v>
      </c>
      <c r="AD756">
        <v>69</v>
      </c>
    </row>
    <row r="757" spans="1:30" ht="17" x14ac:dyDescent="0.25">
      <c r="A757" s="1" t="s">
        <v>759</v>
      </c>
      <c r="B757" s="1" t="s">
        <v>3411</v>
      </c>
      <c r="C757" s="1" t="s">
        <v>2086</v>
      </c>
      <c r="D757" t="str">
        <f t="shared" si="102"/>
        <v>FE5546</v>
      </c>
      <c r="E757" t="str">
        <f t="shared" si="103"/>
        <v>254-85-70</v>
      </c>
      <c r="F757" t="str">
        <f t="shared" si="104"/>
        <v>2548570</v>
      </c>
      <c r="G757">
        <f t="shared" si="105"/>
        <v>254</v>
      </c>
      <c r="H757">
        <f t="shared" si="106"/>
        <v>85</v>
      </c>
      <c r="I757">
        <f t="shared" si="107"/>
        <v>70</v>
      </c>
      <c r="J757" t="str">
        <f t="shared" si="99"/>
        <v>VLPO",</v>
      </c>
      <c r="K757" t="str">
        <f t="shared" si="99"/>
        <v>Ventrolateral preoptic nucleus",</v>
      </c>
      <c r="L757" t="str">
        <f t="shared" si="100"/>
        <v>VLPO</v>
      </c>
      <c r="M757" t="str">
        <f t="shared" si="100"/>
        <v>Ventrolateral preoptic nucleus</v>
      </c>
      <c r="N757" t="s">
        <v>5972</v>
      </c>
      <c r="O757" t="s">
        <v>5973</v>
      </c>
      <c r="Q757" s="6">
        <v>1144</v>
      </c>
      <c r="R757" s="6">
        <v>917</v>
      </c>
      <c r="S757" s="6" t="s">
        <v>6749</v>
      </c>
      <c r="T757" s="6" t="s">
        <v>6748</v>
      </c>
      <c r="U757" s="6">
        <v>967</v>
      </c>
      <c r="V757" s="6">
        <v>3</v>
      </c>
      <c r="W757" s="6" t="s">
        <v>8003</v>
      </c>
      <c r="Y757" t="s">
        <v>5972</v>
      </c>
      <c r="Z757" t="s">
        <v>5973</v>
      </c>
      <c r="AA757" s="6">
        <f t="shared" si="101"/>
        <v>689</v>
      </c>
      <c r="AB757">
        <v>254</v>
      </c>
      <c r="AC757">
        <v>85</v>
      </c>
      <c r="AD757">
        <v>70</v>
      </c>
    </row>
    <row r="758" spans="1:30" ht="17" x14ac:dyDescent="0.25">
      <c r="A758" s="1" t="s">
        <v>760</v>
      </c>
      <c r="B758" s="1" t="s">
        <v>3412</v>
      </c>
      <c r="C758" s="1" t="s">
        <v>2087</v>
      </c>
      <c r="D758" t="str">
        <f t="shared" si="102"/>
        <v>FF4C3C</v>
      </c>
      <c r="E758" t="str">
        <f t="shared" si="103"/>
        <v>255-76-60</v>
      </c>
      <c r="F758" t="str">
        <f t="shared" si="104"/>
        <v>2557660</v>
      </c>
      <c r="G758">
        <f t="shared" si="105"/>
        <v>255</v>
      </c>
      <c r="H758">
        <f t="shared" si="106"/>
        <v>76</v>
      </c>
      <c r="I758">
        <f t="shared" si="107"/>
        <v>60</v>
      </c>
      <c r="J758" t="str">
        <f t="shared" si="99"/>
        <v>MEZ",</v>
      </c>
      <c r="K758" t="str">
        <f t="shared" si="99"/>
        <v>Hypothalamic medial zone",</v>
      </c>
      <c r="L758" t="str">
        <f t="shared" si="100"/>
        <v>MEZ</v>
      </c>
      <c r="M758" t="str">
        <f t="shared" si="100"/>
        <v>Hypothalamic medial zone</v>
      </c>
      <c r="N758" t="s">
        <v>5974</v>
      </c>
      <c r="O758" t="s">
        <v>5975</v>
      </c>
      <c r="Q758" s="6">
        <v>1145</v>
      </c>
      <c r="R758" s="6">
        <v>237</v>
      </c>
      <c r="S758" s="6" t="s">
        <v>6751</v>
      </c>
      <c r="T758" s="6" t="s">
        <v>6750</v>
      </c>
      <c r="U758" s="6">
        <v>917</v>
      </c>
      <c r="V758" s="6">
        <v>4</v>
      </c>
      <c r="W758" s="6" t="s">
        <v>8004</v>
      </c>
      <c r="Y758" t="s">
        <v>5974</v>
      </c>
      <c r="Z758" t="s">
        <v>5975</v>
      </c>
      <c r="AA758" s="6">
        <f t="shared" si="101"/>
        <v>467</v>
      </c>
      <c r="AB758">
        <v>255</v>
      </c>
      <c r="AC758">
        <v>76</v>
      </c>
      <c r="AD758">
        <v>60</v>
      </c>
    </row>
    <row r="759" spans="1:30" ht="17" x14ac:dyDescent="0.25">
      <c r="A759" s="1" t="s">
        <v>761</v>
      </c>
      <c r="B759" s="1" t="s">
        <v>3413</v>
      </c>
      <c r="C759" s="1" t="s">
        <v>2088</v>
      </c>
      <c r="D759" t="str">
        <f t="shared" si="102"/>
        <v>FF4B3E</v>
      </c>
      <c r="E759" t="str">
        <f t="shared" si="103"/>
        <v>255-75-62</v>
      </c>
      <c r="F759" t="str">
        <f t="shared" si="104"/>
        <v>2557562</v>
      </c>
      <c r="G759">
        <f t="shared" si="105"/>
        <v>255</v>
      </c>
      <c r="H759">
        <f t="shared" si="106"/>
        <v>75</v>
      </c>
      <c r="I759">
        <f t="shared" si="107"/>
        <v>62</v>
      </c>
      <c r="J759" t="str">
        <f t="shared" si="99"/>
        <v>AHN",</v>
      </c>
      <c r="K759" t="str">
        <f t="shared" si="99"/>
        <v>Anterior hypothalamic nucleus",</v>
      </c>
      <c r="L759" t="str">
        <f t="shared" si="100"/>
        <v>AHN</v>
      </c>
      <c r="M759" t="str">
        <f t="shared" si="100"/>
        <v>Anterior hypothalamic nucleus</v>
      </c>
      <c r="N759" t="s">
        <v>5976</v>
      </c>
      <c r="O759" t="s">
        <v>5977</v>
      </c>
      <c r="Q759" s="6">
        <v>1149</v>
      </c>
      <c r="R759" s="6">
        <v>792</v>
      </c>
      <c r="S759" s="6" t="s">
        <v>6759</v>
      </c>
      <c r="T759" s="6" t="s">
        <v>6758</v>
      </c>
      <c r="U759" s="6">
        <v>967</v>
      </c>
      <c r="V759" s="6">
        <v>3</v>
      </c>
      <c r="W759" s="6" t="s">
        <v>8005</v>
      </c>
      <c r="Y759" t="s">
        <v>5976</v>
      </c>
      <c r="Z759" t="s">
        <v>5977</v>
      </c>
      <c r="AA759" s="6">
        <f t="shared" si="101"/>
        <v>88</v>
      </c>
      <c r="AB759">
        <v>255</v>
      </c>
      <c r="AC759">
        <v>75</v>
      </c>
      <c r="AD759">
        <v>62</v>
      </c>
    </row>
    <row r="760" spans="1:30" ht="17" x14ac:dyDescent="0.25">
      <c r="A760" s="1" t="s">
        <v>762</v>
      </c>
      <c r="B760" s="1" t="s">
        <v>3414</v>
      </c>
      <c r="C760" s="1" t="s">
        <v>2089</v>
      </c>
      <c r="D760" t="str">
        <f t="shared" si="102"/>
        <v>FE4C3C</v>
      </c>
      <c r="E760" t="str">
        <f t="shared" si="103"/>
        <v>254-76-60</v>
      </c>
      <c r="F760" t="str">
        <f t="shared" si="104"/>
        <v>2547660</v>
      </c>
      <c r="G760">
        <f t="shared" si="105"/>
        <v>254</v>
      </c>
      <c r="H760">
        <f t="shared" si="106"/>
        <v>76</v>
      </c>
      <c r="I760">
        <f t="shared" si="107"/>
        <v>60</v>
      </c>
      <c r="J760" t="str">
        <f t="shared" si="99"/>
        <v>AHNa",</v>
      </c>
      <c r="K760" t="str">
        <f t="shared" si="99"/>
        <v>Anterior hypothalamic nucleus, anterior part",</v>
      </c>
      <c r="L760" t="str">
        <f t="shared" si="100"/>
        <v>AHNa</v>
      </c>
      <c r="M760" t="str">
        <f t="shared" si="100"/>
        <v>Anterior hypothalamic nucleus, anterior part</v>
      </c>
      <c r="N760" t="s">
        <v>5978</v>
      </c>
      <c r="O760" t="s">
        <v>5979</v>
      </c>
      <c r="Q760" s="6">
        <v>1150</v>
      </c>
      <c r="R760" s="6">
        <v>932</v>
      </c>
      <c r="S760" s="6" t="s">
        <v>6761</v>
      </c>
      <c r="T760" s="6" t="s">
        <v>6760</v>
      </c>
      <c r="U760" s="6">
        <v>792</v>
      </c>
      <c r="V760" s="6">
        <v>4</v>
      </c>
      <c r="W760" s="6" t="s">
        <v>8006</v>
      </c>
      <c r="Y760" t="s">
        <v>5978</v>
      </c>
      <c r="Z760" t="s">
        <v>5979</v>
      </c>
      <c r="AA760" s="6" t="str">
        <f t="shared" si="101"/>
        <v/>
      </c>
      <c r="AB760">
        <v>254</v>
      </c>
      <c r="AC760">
        <v>76</v>
      </c>
      <c r="AD760">
        <v>60</v>
      </c>
    </row>
    <row r="761" spans="1:30" ht="17" x14ac:dyDescent="0.25">
      <c r="A761" s="1" t="s">
        <v>763</v>
      </c>
      <c r="B761" s="1" t="s">
        <v>3415</v>
      </c>
      <c r="C761" s="1" t="s">
        <v>2090</v>
      </c>
      <c r="D761" t="str">
        <f t="shared" si="102"/>
        <v>FE4C3E</v>
      </c>
      <c r="E761" t="str">
        <f t="shared" si="103"/>
        <v>254-76-62</v>
      </c>
      <c r="F761" t="str">
        <f t="shared" si="104"/>
        <v>2547662</v>
      </c>
      <c r="G761">
        <f t="shared" si="105"/>
        <v>254</v>
      </c>
      <c r="H761">
        <f t="shared" si="106"/>
        <v>76</v>
      </c>
      <c r="I761">
        <f t="shared" si="107"/>
        <v>62</v>
      </c>
      <c r="J761" t="str">
        <f t="shared" si="99"/>
        <v>AHNc",</v>
      </c>
      <c r="K761" t="str">
        <f t="shared" si="99"/>
        <v>Anterior hypothalamic nucleus, central part",</v>
      </c>
      <c r="L761" t="str">
        <f t="shared" si="100"/>
        <v>AHNc</v>
      </c>
      <c r="M761" t="str">
        <f t="shared" si="100"/>
        <v>Anterior hypothalamic nucleus, central part</v>
      </c>
      <c r="N761" t="s">
        <v>5980</v>
      </c>
      <c r="O761" t="s">
        <v>5981</v>
      </c>
      <c r="Q761" s="6">
        <v>1155</v>
      </c>
      <c r="R761" s="6">
        <v>514</v>
      </c>
      <c r="S761" s="6" t="s">
        <v>6771</v>
      </c>
      <c r="T761" s="6" t="s">
        <v>6770</v>
      </c>
      <c r="U761" s="6">
        <v>932</v>
      </c>
      <c r="V761" s="6">
        <v>5</v>
      </c>
      <c r="W761" s="6" t="s">
        <v>8007</v>
      </c>
      <c r="Y761" t="s">
        <v>5980</v>
      </c>
      <c r="Z761" t="s">
        <v>5981</v>
      </c>
      <c r="AA761" s="6" t="str">
        <f t="shared" si="101"/>
        <v/>
      </c>
      <c r="AB761">
        <v>254</v>
      </c>
      <c r="AC761">
        <v>76</v>
      </c>
      <c r="AD761">
        <v>62</v>
      </c>
    </row>
    <row r="762" spans="1:30" ht="17" x14ac:dyDescent="0.25">
      <c r="A762" s="1" t="s">
        <v>764</v>
      </c>
      <c r="B762" s="1" t="s">
        <v>3416</v>
      </c>
      <c r="C762" s="1" t="s">
        <v>2091</v>
      </c>
      <c r="D762" t="str">
        <f t="shared" si="102"/>
        <v>FE4A3E</v>
      </c>
      <c r="E762" t="str">
        <f t="shared" si="103"/>
        <v>254-74-62</v>
      </c>
      <c r="F762" t="str">
        <f t="shared" si="104"/>
        <v>2547462</v>
      </c>
      <c r="G762">
        <f t="shared" si="105"/>
        <v>254</v>
      </c>
      <c r="H762">
        <f t="shared" si="106"/>
        <v>74</v>
      </c>
      <c r="I762">
        <f t="shared" si="107"/>
        <v>62</v>
      </c>
      <c r="J762" t="str">
        <f t="shared" si="99"/>
        <v>AHNd",</v>
      </c>
      <c r="K762" t="str">
        <f t="shared" si="99"/>
        <v>Anterior hypothalamic nucleus, dorsal part",</v>
      </c>
      <c r="L762" t="str">
        <f t="shared" si="100"/>
        <v>AHNd</v>
      </c>
      <c r="M762" t="str">
        <f t="shared" si="100"/>
        <v>Anterior hypothalamic nucleus, dorsal part</v>
      </c>
      <c r="N762" t="s">
        <v>5982</v>
      </c>
      <c r="O762" t="s">
        <v>5983</v>
      </c>
      <c r="Q762" s="6">
        <v>1156</v>
      </c>
      <c r="R762" s="6">
        <v>380</v>
      </c>
      <c r="S762" s="6" t="s">
        <v>6773</v>
      </c>
      <c r="T762" s="6" t="s">
        <v>6772</v>
      </c>
      <c r="U762" s="6">
        <v>514</v>
      </c>
      <c r="V762" s="6">
        <v>6</v>
      </c>
      <c r="W762" s="6" t="s">
        <v>8008</v>
      </c>
      <c r="Y762" t="s">
        <v>5982</v>
      </c>
      <c r="Z762" t="s">
        <v>5983</v>
      </c>
      <c r="AA762" s="6" t="str">
        <f t="shared" si="101"/>
        <v/>
      </c>
      <c r="AB762">
        <v>254</v>
      </c>
      <c r="AC762">
        <v>74</v>
      </c>
      <c r="AD762">
        <v>62</v>
      </c>
    </row>
    <row r="763" spans="1:30" ht="17" x14ac:dyDescent="0.25">
      <c r="A763" s="1" t="s">
        <v>765</v>
      </c>
      <c r="B763" s="1" t="s">
        <v>3417</v>
      </c>
      <c r="C763" s="1" t="s">
        <v>2092</v>
      </c>
      <c r="D763" t="str">
        <f t="shared" si="102"/>
        <v>FD4C3D</v>
      </c>
      <c r="E763" t="str">
        <f t="shared" si="103"/>
        <v>253-76-61</v>
      </c>
      <c r="F763" t="str">
        <f t="shared" si="104"/>
        <v>2537661</v>
      </c>
      <c r="G763">
        <f t="shared" si="105"/>
        <v>253</v>
      </c>
      <c r="H763">
        <f t="shared" si="106"/>
        <v>76</v>
      </c>
      <c r="I763">
        <f t="shared" si="107"/>
        <v>61</v>
      </c>
      <c r="J763" t="str">
        <f t="shared" si="99"/>
        <v>AHNp",</v>
      </c>
      <c r="K763" t="str">
        <f t="shared" si="99"/>
        <v>Anterior hypothalamic nucleus, posterior part",</v>
      </c>
      <c r="L763" t="str">
        <f t="shared" si="100"/>
        <v>AHNp</v>
      </c>
      <c r="M763" t="str">
        <f t="shared" si="100"/>
        <v>Anterior hypothalamic nucleus, posterior part</v>
      </c>
      <c r="N763" t="s">
        <v>5984</v>
      </c>
      <c r="O763" t="s">
        <v>5985</v>
      </c>
      <c r="Q763" s="6">
        <v>1159</v>
      </c>
      <c r="R763" s="6">
        <v>697</v>
      </c>
      <c r="S763" s="6" t="s">
        <v>6779</v>
      </c>
      <c r="T763" s="6" t="s">
        <v>6778</v>
      </c>
      <c r="U763" s="6">
        <v>932</v>
      </c>
      <c r="V763" s="6">
        <v>5</v>
      </c>
      <c r="W763" s="6" t="s">
        <v>8009</v>
      </c>
      <c r="Y763" t="s">
        <v>5984</v>
      </c>
      <c r="Z763" t="s">
        <v>5985</v>
      </c>
      <c r="AA763" s="6" t="str">
        <f t="shared" si="101"/>
        <v/>
      </c>
      <c r="AB763">
        <v>253</v>
      </c>
      <c r="AC763">
        <v>76</v>
      </c>
      <c r="AD763">
        <v>61</v>
      </c>
    </row>
    <row r="764" spans="1:30" ht="17" x14ac:dyDescent="0.25">
      <c r="A764" s="1" t="s">
        <v>766</v>
      </c>
      <c r="B764" s="1" t="s">
        <v>3418</v>
      </c>
      <c r="C764" s="1" t="s">
        <v>2093</v>
      </c>
      <c r="D764" t="str">
        <f t="shared" si="102"/>
        <v>FE4C3D</v>
      </c>
      <c r="E764" t="str">
        <f t="shared" si="103"/>
        <v>254-76-61</v>
      </c>
      <c r="F764" t="str">
        <f t="shared" si="104"/>
        <v>2547661</v>
      </c>
      <c r="G764">
        <f t="shared" si="105"/>
        <v>254</v>
      </c>
      <c r="H764">
        <f t="shared" si="106"/>
        <v>76</v>
      </c>
      <c r="I764">
        <f t="shared" si="107"/>
        <v>61</v>
      </c>
      <c r="J764" t="str">
        <f t="shared" si="99"/>
        <v>MBO",</v>
      </c>
      <c r="K764" t="str">
        <f t="shared" si="99"/>
        <v>Mammillary body",</v>
      </c>
      <c r="L764" t="str">
        <f t="shared" si="100"/>
        <v>MBO</v>
      </c>
      <c r="M764" t="str">
        <f t="shared" si="100"/>
        <v>Mammillary body</v>
      </c>
      <c r="N764" t="s">
        <v>5986</v>
      </c>
      <c r="O764" t="s">
        <v>5987</v>
      </c>
      <c r="Q764" s="6">
        <v>1171</v>
      </c>
      <c r="R764" s="6">
        <v>960</v>
      </c>
      <c r="S764" s="6" t="s">
        <v>6803</v>
      </c>
      <c r="T764" s="6" t="s">
        <v>6802</v>
      </c>
      <c r="U764" s="6">
        <v>1009</v>
      </c>
      <c r="V764" s="6">
        <v>2</v>
      </c>
      <c r="W764" s="6" t="s">
        <v>8010</v>
      </c>
      <c r="Y764" t="s">
        <v>5986</v>
      </c>
      <c r="Z764" t="s">
        <v>5987</v>
      </c>
      <c r="AA764" s="6">
        <f t="shared" si="101"/>
        <v>331</v>
      </c>
      <c r="AB764">
        <v>254</v>
      </c>
      <c r="AC764">
        <v>76</v>
      </c>
      <c r="AD764">
        <v>61</v>
      </c>
    </row>
    <row r="765" spans="1:30" ht="17" x14ac:dyDescent="0.25">
      <c r="A765" s="1" t="s">
        <v>767</v>
      </c>
      <c r="B765" s="1" t="s">
        <v>3419</v>
      </c>
      <c r="C765" s="1" t="s">
        <v>2094</v>
      </c>
      <c r="D765" t="str">
        <f t="shared" si="102"/>
        <v>FF4B3D</v>
      </c>
      <c r="E765" t="str">
        <f t="shared" si="103"/>
        <v>255-75-61</v>
      </c>
      <c r="F765" t="str">
        <f t="shared" si="104"/>
        <v>2557561</v>
      </c>
      <c r="G765">
        <f t="shared" si="105"/>
        <v>255</v>
      </c>
      <c r="H765">
        <f t="shared" si="106"/>
        <v>75</v>
      </c>
      <c r="I765">
        <f t="shared" si="107"/>
        <v>61</v>
      </c>
      <c r="J765" t="str">
        <f t="shared" si="99"/>
        <v>LM",</v>
      </c>
      <c r="K765" t="str">
        <f t="shared" si="99"/>
        <v>Lateral mammillary nucleus",</v>
      </c>
      <c r="L765" t="str">
        <f t="shared" si="100"/>
        <v>LM</v>
      </c>
      <c r="M765" t="str">
        <f t="shared" si="100"/>
        <v>Lateral mammillary nucleus</v>
      </c>
      <c r="N765" t="s">
        <v>5988</v>
      </c>
      <c r="O765" t="s">
        <v>5989</v>
      </c>
      <c r="Q765" s="6">
        <v>1172</v>
      </c>
      <c r="R765" s="6">
        <v>744</v>
      </c>
      <c r="S765" s="6" t="s">
        <v>6805</v>
      </c>
      <c r="T765" s="6" t="s">
        <v>6804</v>
      </c>
      <c r="U765" s="6">
        <v>960</v>
      </c>
      <c r="V765" s="6">
        <v>3</v>
      </c>
      <c r="W765" s="6" t="s">
        <v>8011</v>
      </c>
      <c r="Y765" t="s">
        <v>5988</v>
      </c>
      <c r="Z765" t="s">
        <v>5989</v>
      </c>
      <c r="AA765" s="6">
        <f t="shared" si="101"/>
        <v>210</v>
      </c>
      <c r="AB765">
        <v>255</v>
      </c>
      <c r="AC765">
        <v>75</v>
      </c>
      <c r="AD765">
        <v>61</v>
      </c>
    </row>
    <row r="766" spans="1:30" ht="17" x14ac:dyDescent="0.25">
      <c r="A766" s="1" t="s">
        <v>768</v>
      </c>
      <c r="B766" s="1" t="s">
        <v>3420</v>
      </c>
      <c r="C766" s="1" t="s">
        <v>2095</v>
      </c>
      <c r="D766" t="str">
        <f t="shared" si="102"/>
        <v>FF4A3E</v>
      </c>
      <c r="E766" t="str">
        <f t="shared" si="103"/>
        <v>255-74-62</v>
      </c>
      <c r="F766" t="str">
        <f t="shared" si="104"/>
        <v>2557462</v>
      </c>
      <c r="G766">
        <f t="shared" si="105"/>
        <v>255</v>
      </c>
      <c r="H766">
        <f t="shared" si="106"/>
        <v>74</v>
      </c>
      <c r="I766">
        <f t="shared" si="107"/>
        <v>62</v>
      </c>
      <c r="J766" t="str">
        <f t="shared" si="99"/>
        <v>MM",</v>
      </c>
      <c r="K766" t="str">
        <f t="shared" si="99"/>
        <v>Medial mammillary nucleus",</v>
      </c>
      <c r="L766" t="str">
        <f t="shared" si="100"/>
        <v>MM</v>
      </c>
      <c r="M766" t="str">
        <f t="shared" si="100"/>
        <v>Medial mammillary nucleus</v>
      </c>
      <c r="N766" t="s">
        <v>5990</v>
      </c>
      <c r="O766" t="s">
        <v>5991</v>
      </c>
      <c r="Q766" s="6">
        <v>1173</v>
      </c>
      <c r="R766" s="6">
        <v>752</v>
      </c>
      <c r="S766" s="6" t="s">
        <v>6807</v>
      </c>
      <c r="T766" s="6" t="s">
        <v>6806</v>
      </c>
      <c r="U766" s="6">
        <v>960</v>
      </c>
      <c r="V766" s="6">
        <v>3</v>
      </c>
      <c r="W766" s="6" t="s">
        <v>8012</v>
      </c>
      <c r="Y766" t="s">
        <v>5990</v>
      </c>
      <c r="Z766" t="s">
        <v>5991</v>
      </c>
      <c r="AA766" s="6">
        <f t="shared" si="101"/>
        <v>491</v>
      </c>
      <c r="AB766">
        <v>255</v>
      </c>
      <c r="AC766">
        <v>74</v>
      </c>
      <c r="AD766">
        <v>62</v>
      </c>
    </row>
    <row r="767" spans="1:30" ht="17" x14ac:dyDescent="0.25">
      <c r="A767" s="1" t="s">
        <v>769</v>
      </c>
      <c r="B767" s="1" t="s">
        <v>3421</v>
      </c>
      <c r="C767" s="1" t="s">
        <v>2096</v>
      </c>
      <c r="D767" t="str">
        <f t="shared" si="102"/>
        <v>FD4B3E</v>
      </c>
      <c r="E767" t="str">
        <f t="shared" si="103"/>
        <v>253-75-62</v>
      </c>
      <c r="F767" t="str">
        <f t="shared" si="104"/>
        <v>2537562</v>
      </c>
      <c r="G767">
        <f t="shared" si="105"/>
        <v>253</v>
      </c>
      <c r="H767">
        <f t="shared" si="106"/>
        <v>75</v>
      </c>
      <c r="I767">
        <f t="shared" si="107"/>
        <v>62</v>
      </c>
      <c r="J767" t="str">
        <f t="shared" si="99"/>
        <v>Mmme",</v>
      </c>
      <c r="K767" t="str">
        <f t="shared" si="99"/>
        <v>Medial mammillary nucleus, median part",</v>
      </c>
      <c r="L767" t="str">
        <f t="shared" si="100"/>
        <v>Mmme</v>
      </c>
      <c r="M767" t="str">
        <f t="shared" si="100"/>
        <v>Medial mammillary nucleus, median part</v>
      </c>
      <c r="N767" t="s">
        <v>5992</v>
      </c>
      <c r="O767" t="s">
        <v>5993</v>
      </c>
      <c r="Q767" s="6">
        <v>1174</v>
      </c>
      <c r="R767" s="6">
        <v>326</v>
      </c>
      <c r="S767" s="6" t="s">
        <v>6809</v>
      </c>
      <c r="T767" s="6" t="s">
        <v>6808</v>
      </c>
      <c r="U767" s="6">
        <v>752</v>
      </c>
      <c r="V767" s="6">
        <v>4</v>
      </c>
      <c r="W767" s="6" t="s">
        <v>8013</v>
      </c>
      <c r="Y767" t="s">
        <v>5992</v>
      </c>
      <c r="Z767" t="s">
        <v>5993</v>
      </c>
      <c r="AA767" s="6">
        <f t="shared" si="101"/>
        <v>732</v>
      </c>
      <c r="AB767">
        <v>253</v>
      </c>
      <c r="AC767">
        <v>75</v>
      </c>
      <c r="AD767">
        <v>62</v>
      </c>
    </row>
    <row r="768" spans="1:30" ht="17" x14ac:dyDescent="0.25">
      <c r="A768" s="1" t="s">
        <v>770</v>
      </c>
      <c r="B768" s="1" t="s">
        <v>3422</v>
      </c>
      <c r="C768" s="1" t="s">
        <v>2097</v>
      </c>
      <c r="D768" t="str">
        <f t="shared" si="102"/>
        <v>FC4B3E</v>
      </c>
      <c r="E768" t="str">
        <f t="shared" si="103"/>
        <v>252-75-62</v>
      </c>
      <c r="F768" t="str">
        <f t="shared" si="104"/>
        <v>2527562</v>
      </c>
      <c r="G768">
        <f t="shared" si="105"/>
        <v>252</v>
      </c>
      <c r="H768">
        <f t="shared" si="106"/>
        <v>75</v>
      </c>
      <c r="I768">
        <f t="shared" si="107"/>
        <v>62</v>
      </c>
      <c r="J768" t="str">
        <f t="shared" si="99"/>
        <v>Mml",</v>
      </c>
      <c r="K768" t="str">
        <f t="shared" si="99"/>
        <v>Medial mammillary nucleus, lateral part",</v>
      </c>
      <c r="L768" t="str">
        <f t="shared" si="100"/>
        <v>Mml</v>
      </c>
      <c r="M768" t="str">
        <f t="shared" si="100"/>
        <v>Medial mammillary nucleus, lateral part</v>
      </c>
      <c r="N768" t="s">
        <v>5994</v>
      </c>
      <c r="O768" t="s">
        <v>5995</v>
      </c>
      <c r="Q768" s="6">
        <v>1175</v>
      </c>
      <c r="R768" s="6">
        <v>812</v>
      </c>
      <c r="S768" s="6" t="s">
        <v>6811</v>
      </c>
      <c r="T768" s="6" t="s">
        <v>6810</v>
      </c>
      <c r="U768" s="6">
        <v>326</v>
      </c>
      <c r="V768" s="6">
        <v>5</v>
      </c>
      <c r="W768" s="6" t="s">
        <v>8014</v>
      </c>
      <c r="Y768" t="s">
        <v>5994</v>
      </c>
      <c r="Z768" t="s">
        <v>5995</v>
      </c>
      <c r="AA768" s="6">
        <f t="shared" si="101"/>
        <v>606826647</v>
      </c>
      <c r="AB768">
        <v>252</v>
      </c>
      <c r="AC768">
        <v>75</v>
      </c>
      <c r="AD768">
        <v>62</v>
      </c>
    </row>
    <row r="769" spans="1:30" ht="17" x14ac:dyDescent="0.25">
      <c r="A769" s="1" t="s">
        <v>771</v>
      </c>
      <c r="B769" s="1" t="s">
        <v>3423</v>
      </c>
      <c r="C769" s="1" t="s">
        <v>2098</v>
      </c>
      <c r="D769" t="str">
        <f t="shared" si="102"/>
        <v>FE4A3C</v>
      </c>
      <c r="E769" t="str">
        <f t="shared" si="103"/>
        <v>254-74-60</v>
      </c>
      <c r="F769" t="str">
        <f t="shared" si="104"/>
        <v>2547460</v>
      </c>
      <c r="G769">
        <f t="shared" si="105"/>
        <v>254</v>
      </c>
      <c r="H769">
        <f t="shared" si="106"/>
        <v>74</v>
      </c>
      <c r="I769">
        <f t="shared" si="107"/>
        <v>60</v>
      </c>
      <c r="J769" t="str">
        <f t="shared" si="99"/>
        <v>Mmm",</v>
      </c>
      <c r="K769" t="str">
        <f t="shared" si="99"/>
        <v>Medial mammillary nucleus, medial part",</v>
      </c>
      <c r="L769" t="str">
        <f t="shared" si="100"/>
        <v>Mmm</v>
      </c>
      <c r="M769" t="str">
        <f t="shared" si="100"/>
        <v>Medial mammillary nucleus, medial part</v>
      </c>
      <c r="N769" t="s">
        <v>5996</v>
      </c>
      <c r="O769" t="s">
        <v>5997</v>
      </c>
      <c r="Q769" s="6">
        <v>1177</v>
      </c>
      <c r="R769" s="6">
        <v>850</v>
      </c>
      <c r="S769" s="6" t="s">
        <v>6815</v>
      </c>
      <c r="T769" s="6" t="s">
        <v>6814</v>
      </c>
      <c r="U769" s="6">
        <v>326</v>
      </c>
      <c r="V769" s="6">
        <v>5</v>
      </c>
      <c r="W769" s="6" t="s">
        <v>8015</v>
      </c>
      <c r="Y769" t="s">
        <v>5996</v>
      </c>
      <c r="Z769" t="s">
        <v>5997</v>
      </c>
      <c r="AA769" s="6">
        <f t="shared" si="101"/>
        <v>606826651</v>
      </c>
      <c r="AB769">
        <v>254</v>
      </c>
      <c r="AC769">
        <v>74</v>
      </c>
      <c r="AD769">
        <v>60</v>
      </c>
    </row>
    <row r="770" spans="1:30" ht="17" x14ac:dyDescent="0.25">
      <c r="A770" s="1" t="s">
        <v>772</v>
      </c>
      <c r="B770" s="1" t="s">
        <v>3424</v>
      </c>
      <c r="C770" s="1" t="s">
        <v>2099</v>
      </c>
      <c r="D770" t="str">
        <f t="shared" si="102"/>
        <v>FE493D</v>
      </c>
      <c r="E770" t="str">
        <f t="shared" si="103"/>
        <v>254-73-61</v>
      </c>
      <c r="F770" t="str">
        <f t="shared" si="104"/>
        <v>2547361</v>
      </c>
      <c r="G770">
        <f t="shared" si="105"/>
        <v>254</v>
      </c>
      <c r="H770">
        <f t="shared" si="106"/>
        <v>73</v>
      </c>
      <c r="I770">
        <f t="shared" si="107"/>
        <v>61</v>
      </c>
      <c r="J770" t="str">
        <f t="shared" si="99"/>
        <v>Mmp",</v>
      </c>
      <c r="K770" t="str">
        <f t="shared" si="99"/>
        <v>Medial mammillary nucleus, posterior part",</v>
      </c>
      <c r="L770" t="str">
        <f t="shared" si="100"/>
        <v>Mmp</v>
      </c>
      <c r="M770" t="str">
        <f t="shared" si="100"/>
        <v>Medial mammillary nucleus, posterior part</v>
      </c>
      <c r="N770" t="s">
        <v>5998</v>
      </c>
      <c r="O770" t="s">
        <v>5999</v>
      </c>
      <c r="Q770" s="6">
        <v>1178</v>
      </c>
      <c r="R770" s="6">
        <v>866</v>
      </c>
      <c r="S770" s="6" t="s">
        <v>6817</v>
      </c>
      <c r="T770" s="6" t="s">
        <v>6816</v>
      </c>
      <c r="U770" s="6">
        <v>326</v>
      </c>
      <c r="V770" s="6">
        <v>5</v>
      </c>
      <c r="W770" s="6" t="s">
        <v>8016</v>
      </c>
      <c r="Y770" t="s">
        <v>5998</v>
      </c>
      <c r="Z770" t="s">
        <v>5999</v>
      </c>
      <c r="AA770" s="6">
        <f t="shared" si="101"/>
        <v>606826655</v>
      </c>
      <c r="AB770">
        <v>254</v>
      </c>
      <c r="AC770">
        <v>73</v>
      </c>
      <c r="AD770">
        <v>61</v>
      </c>
    </row>
    <row r="771" spans="1:30" ht="17" x14ac:dyDescent="0.25">
      <c r="A771" s="1" t="s">
        <v>773</v>
      </c>
      <c r="B771" s="1" t="s">
        <v>3425</v>
      </c>
      <c r="C771" s="1" t="s">
        <v>2100</v>
      </c>
      <c r="D771" t="str">
        <f t="shared" si="102"/>
        <v>FD4A3D</v>
      </c>
      <c r="E771" t="str">
        <f t="shared" si="103"/>
        <v>253-74-61</v>
      </c>
      <c r="F771" t="str">
        <f t="shared" si="104"/>
        <v>2537461</v>
      </c>
      <c r="G771">
        <f t="shared" si="105"/>
        <v>253</v>
      </c>
      <c r="H771">
        <f t="shared" si="106"/>
        <v>74</v>
      </c>
      <c r="I771">
        <f t="shared" si="107"/>
        <v>61</v>
      </c>
      <c r="J771" t="str">
        <f t="shared" ref="J771:K834" si="108">RIGHT(A771,LEN(A771)-3)</f>
        <v>Mmd",</v>
      </c>
      <c r="K771" t="str">
        <f t="shared" si="108"/>
        <v>Medial mammillary nucleus, dorsal part",</v>
      </c>
      <c r="L771" t="str">
        <f t="shared" ref="L771:M834" si="109">LEFT(J771,LEN(J771)-2)</f>
        <v>Mmd</v>
      </c>
      <c r="M771" t="str">
        <f t="shared" si="109"/>
        <v>Medial mammillary nucleus, dorsal part</v>
      </c>
      <c r="N771" t="s">
        <v>6000</v>
      </c>
      <c r="O771" t="s">
        <v>6001</v>
      </c>
      <c r="Q771" s="6">
        <v>1179</v>
      </c>
      <c r="R771" s="6">
        <v>78</v>
      </c>
      <c r="S771" s="6" t="s">
        <v>6819</v>
      </c>
      <c r="T771" s="6" t="s">
        <v>6818</v>
      </c>
      <c r="U771" s="6">
        <v>752</v>
      </c>
      <c r="V771" s="6">
        <v>4</v>
      </c>
      <c r="W771" s="6" t="s">
        <v>8017</v>
      </c>
      <c r="Y771" t="s">
        <v>6000</v>
      </c>
      <c r="Z771" t="s">
        <v>6001</v>
      </c>
      <c r="AA771" s="6">
        <f t="shared" ref="AA771:AA834" si="110">IFERROR(INDEX(R:R,MATCH($Z771,S:S,0)),"")</f>
        <v>606826659</v>
      </c>
      <c r="AB771">
        <v>253</v>
      </c>
      <c r="AC771">
        <v>74</v>
      </c>
      <c r="AD771">
        <v>61</v>
      </c>
    </row>
    <row r="772" spans="1:30" ht="17" x14ac:dyDescent="0.25">
      <c r="A772" s="1" t="s">
        <v>774</v>
      </c>
      <c r="B772" s="1" t="s">
        <v>3426</v>
      </c>
      <c r="C772" s="1" t="s">
        <v>2101</v>
      </c>
      <c r="D772" t="str">
        <f t="shared" ref="D772:D835" si="111">RIGHT(LEFT(C772,9),6)</f>
        <v>FF493D</v>
      </c>
      <c r="E772" t="str">
        <f t="shared" ref="E772:E835" si="112">HEX2DEC(LEFT(D772,2))&amp;"-"&amp;HEX2DEC(MID(D772,3,2))&amp;"-"&amp;HEX2DEC(RIGHT(D772,2))</f>
        <v>255-73-61</v>
      </c>
      <c r="F772" t="str">
        <f t="shared" ref="F772:F835" si="113">HEX2DEC(LEFT(D772,2))&amp;HEX2DEC(MID(D772,3,2))&amp;HEX2DEC(RIGHT(D772,2))</f>
        <v>2557361</v>
      </c>
      <c r="G772">
        <f t="shared" ref="G772:G835" si="114">HEX2DEC(LEFT(D772,2))</f>
        <v>255</v>
      </c>
      <c r="H772">
        <f t="shared" ref="H772:H835" si="115">HEX2DEC(MID(D772,3,2))</f>
        <v>73</v>
      </c>
      <c r="I772">
        <f t="shared" ref="I772:I835" si="116">HEX2DEC(RIGHT(D772,2))</f>
        <v>61</v>
      </c>
      <c r="J772" t="str">
        <f t="shared" si="108"/>
        <v>SUM",</v>
      </c>
      <c r="K772" t="str">
        <f t="shared" si="108"/>
        <v>Supramammillary nucleus",</v>
      </c>
      <c r="L772" t="str">
        <f t="shared" si="109"/>
        <v>SUM</v>
      </c>
      <c r="M772" t="str">
        <f t="shared" si="109"/>
        <v>Supramammillary nucleus</v>
      </c>
      <c r="N772" t="s">
        <v>6002</v>
      </c>
      <c r="O772" t="s">
        <v>6003</v>
      </c>
      <c r="Q772" s="6">
        <v>1180</v>
      </c>
      <c r="R772" s="6">
        <v>1123</v>
      </c>
      <c r="S772" s="6" t="s">
        <v>6821</v>
      </c>
      <c r="T772" s="6" t="s">
        <v>6820</v>
      </c>
      <c r="U772" s="6">
        <v>752</v>
      </c>
      <c r="V772" s="6">
        <v>4</v>
      </c>
      <c r="W772" s="6" t="s">
        <v>8018</v>
      </c>
      <c r="Y772" t="s">
        <v>6002</v>
      </c>
      <c r="Z772" t="s">
        <v>6003</v>
      </c>
      <c r="AA772" s="6">
        <f t="shared" si="110"/>
        <v>525</v>
      </c>
      <c r="AB772">
        <v>255</v>
      </c>
      <c r="AC772">
        <v>73</v>
      </c>
      <c r="AD772">
        <v>61</v>
      </c>
    </row>
    <row r="773" spans="1:30" ht="17" x14ac:dyDescent="0.25">
      <c r="A773" s="1" t="s">
        <v>775</v>
      </c>
      <c r="B773" s="1" t="s">
        <v>3427</v>
      </c>
      <c r="C773" s="1" t="s">
        <v>2102</v>
      </c>
      <c r="D773" t="str">
        <f t="shared" si="111"/>
        <v>FE4C3B</v>
      </c>
      <c r="E773" t="str">
        <f t="shared" si="112"/>
        <v>254-76-59</v>
      </c>
      <c r="F773" t="str">
        <f t="shared" si="113"/>
        <v>2547659</v>
      </c>
      <c r="G773">
        <f t="shared" si="114"/>
        <v>254</v>
      </c>
      <c r="H773">
        <f t="shared" si="115"/>
        <v>76</v>
      </c>
      <c r="I773">
        <f t="shared" si="116"/>
        <v>59</v>
      </c>
      <c r="J773" t="str">
        <f t="shared" si="108"/>
        <v>SUMl",</v>
      </c>
      <c r="K773" t="str">
        <f t="shared" si="108"/>
        <v>Supramammillary nucleus, lateral part",</v>
      </c>
      <c r="L773" t="str">
        <f t="shared" si="109"/>
        <v>SUMl</v>
      </c>
      <c r="M773" t="str">
        <f t="shared" si="109"/>
        <v>Supramammillary nucleus, lateral part</v>
      </c>
      <c r="N773" t="s">
        <v>6004</v>
      </c>
      <c r="O773" t="s">
        <v>6005</v>
      </c>
      <c r="Q773" s="6">
        <v>1181</v>
      </c>
      <c r="R773" s="6">
        <v>553</v>
      </c>
      <c r="S773" s="6" t="s">
        <v>6823</v>
      </c>
      <c r="T773" s="6" t="s">
        <v>6822</v>
      </c>
      <c r="U773" s="6">
        <v>1123</v>
      </c>
      <c r="V773" s="6">
        <v>5</v>
      </c>
      <c r="W773" s="6" t="s">
        <v>8019</v>
      </c>
      <c r="Y773" t="s">
        <v>6004</v>
      </c>
      <c r="Z773" t="s">
        <v>6005</v>
      </c>
      <c r="AA773" s="6" t="str">
        <f t="shared" si="110"/>
        <v/>
      </c>
      <c r="AB773">
        <v>254</v>
      </c>
      <c r="AC773">
        <v>76</v>
      </c>
      <c r="AD773">
        <v>59</v>
      </c>
    </row>
    <row r="774" spans="1:30" ht="17" x14ac:dyDescent="0.25">
      <c r="A774" s="1" t="s">
        <v>776</v>
      </c>
      <c r="B774" s="1" t="s">
        <v>3428</v>
      </c>
      <c r="C774" s="1" t="s">
        <v>2103</v>
      </c>
      <c r="D774" t="str">
        <f t="shared" si="111"/>
        <v>FE493E</v>
      </c>
      <c r="E774" t="str">
        <f t="shared" si="112"/>
        <v>254-73-62</v>
      </c>
      <c r="F774" t="str">
        <f t="shared" si="113"/>
        <v>2547362</v>
      </c>
      <c r="G774">
        <f t="shared" si="114"/>
        <v>254</v>
      </c>
      <c r="H774">
        <f t="shared" si="115"/>
        <v>73</v>
      </c>
      <c r="I774">
        <f t="shared" si="116"/>
        <v>62</v>
      </c>
      <c r="J774" t="str">
        <f t="shared" si="108"/>
        <v>SUMm",</v>
      </c>
      <c r="K774" t="str">
        <f t="shared" si="108"/>
        <v>Supramammillary nucleus, medial part",</v>
      </c>
      <c r="L774" t="str">
        <f t="shared" si="109"/>
        <v>SUMm</v>
      </c>
      <c r="M774" t="str">
        <f t="shared" si="109"/>
        <v>Supramammillary nucleus, medial part</v>
      </c>
      <c r="N774" t="s">
        <v>6006</v>
      </c>
      <c r="O774" t="s">
        <v>6007</v>
      </c>
      <c r="Q774" s="6">
        <v>1188</v>
      </c>
      <c r="R774" s="6">
        <v>728</v>
      </c>
      <c r="S774" s="6" t="s">
        <v>6837</v>
      </c>
      <c r="T774" s="6" t="s">
        <v>6836</v>
      </c>
      <c r="U774" s="6">
        <v>960</v>
      </c>
      <c r="V774" s="6">
        <v>3</v>
      </c>
      <c r="W774" s="6" t="s">
        <v>8020</v>
      </c>
      <c r="Y774" t="s">
        <v>6006</v>
      </c>
      <c r="Z774" t="s">
        <v>6007</v>
      </c>
      <c r="AA774" s="6" t="str">
        <f t="shared" si="110"/>
        <v/>
      </c>
      <c r="AB774">
        <v>254</v>
      </c>
      <c r="AC774">
        <v>73</v>
      </c>
      <c r="AD774">
        <v>62</v>
      </c>
    </row>
    <row r="775" spans="1:30" ht="17" x14ac:dyDescent="0.25">
      <c r="A775" s="1" t="s">
        <v>777</v>
      </c>
      <c r="B775" s="1" t="s">
        <v>3429</v>
      </c>
      <c r="C775" s="1" t="s">
        <v>2104</v>
      </c>
      <c r="D775" t="str">
        <f t="shared" si="111"/>
        <v>FF4B3C</v>
      </c>
      <c r="E775" t="str">
        <f t="shared" si="112"/>
        <v>255-75-60</v>
      </c>
      <c r="F775" t="str">
        <f t="shared" si="113"/>
        <v>2557560</v>
      </c>
      <c r="G775">
        <f t="shared" si="114"/>
        <v>255</v>
      </c>
      <c r="H775">
        <f t="shared" si="115"/>
        <v>75</v>
      </c>
      <c r="I775">
        <f t="shared" si="116"/>
        <v>60</v>
      </c>
      <c r="J775" t="str">
        <f t="shared" si="108"/>
        <v>TM",</v>
      </c>
      <c r="K775" t="str">
        <f t="shared" si="108"/>
        <v>Tuberomammillary nucleus",</v>
      </c>
      <c r="L775" t="str">
        <f t="shared" si="109"/>
        <v>TM</v>
      </c>
      <c r="M775" t="str">
        <f t="shared" si="109"/>
        <v>Tuberomammillary nucleus</v>
      </c>
      <c r="N775" t="s">
        <v>6008</v>
      </c>
      <c r="O775" t="s">
        <v>6009</v>
      </c>
      <c r="Q775" s="6">
        <v>1189</v>
      </c>
      <c r="R775" s="6">
        <v>484682512</v>
      </c>
      <c r="S775" s="6" t="s">
        <v>6839</v>
      </c>
      <c r="T775" s="6" t="s">
        <v>6838</v>
      </c>
      <c r="U775" s="6">
        <v>1009</v>
      </c>
      <c r="V775" s="6">
        <v>2</v>
      </c>
      <c r="W775" s="6" t="s">
        <v>8021</v>
      </c>
      <c r="Y775" t="s">
        <v>6008</v>
      </c>
      <c r="Z775" t="s">
        <v>6009</v>
      </c>
      <c r="AA775" s="6">
        <f t="shared" si="110"/>
        <v>557</v>
      </c>
      <c r="AB775">
        <v>255</v>
      </c>
      <c r="AC775">
        <v>75</v>
      </c>
      <c r="AD775">
        <v>60</v>
      </c>
    </row>
    <row r="776" spans="1:30" ht="17" x14ac:dyDescent="0.25">
      <c r="A776" s="1" t="s">
        <v>778</v>
      </c>
      <c r="B776" s="1" t="s">
        <v>3430</v>
      </c>
      <c r="C776" s="1" t="s">
        <v>2105</v>
      </c>
      <c r="D776" t="str">
        <f t="shared" si="111"/>
        <v>FC4C3D</v>
      </c>
      <c r="E776" t="str">
        <f t="shared" si="112"/>
        <v>252-76-61</v>
      </c>
      <c r="F776" t="str">
        <f t="shared" si="113"/>
        <v>2527661</v>
      </c>
      <c r="G776">
        <f t="shared" si="114"/>
        <v>252</v>
      </c>
      <c r="H776">
        <f t="shared" si="115"/>
        <v>76</v>
      </c>
      <c r="I776">
        <f t="shared" si="116"/>
        <v>61</v>
      </c>
      <c r="J776" t="str">
        <f t="shared" si="108"/>
        <v>TMd",</v>
      </c>
      <c r="K776" t="str">
        <f t="shared" si="108"/>
        <v>Tuberomammillary nucleus, dorsal part",</v>
      </c>
      <c r="L776" t="str">
        <f t="shared" si="109"/>
        <v>TMd</v>
      </c>
      <c r="M776" t="str">
        <f t="shared" si="109"/>
        <v>Tuberomammillary nucleus, dorsal part</v>
      </c>
      <c r="N776" t="s">
        <v>6010</v>
      </c>
      <c r="O776" t="s">
        <v>6011</v>
      </c>
      <c r="Q776" s="6">
        <v>1190</v>
      </c>
      <c r="R776" s="6">
        <v>983</v>
      </c>
      <c r="S776" s="6" t="s">
        <v>6841</v>
      </c>
      <c r="T776" s="6" t="s">
        <v>6840</v>
      </c>
      <c r="U776" s="6">
        <v>1009</v>
      </c>
      <c r="V776" s="6">
        <v>2</v>
      </c>
      <c r="W776" s="6" t="s">
        <v>8022</v>
      </c>
      <c r="Y776" t="s">
        <v>6010</v>
      </c>
      <c r="Z776" t="s">
        <v>6011</v>
      </c>
      <c r="AA776" s="6">
        <f t="shared" si="110"/>
        <v>1126</v>
      </c>
      <c r="AB776">
        <v>252</v>
      </c>
      <c r="AC776">
        <v>76</v>
      </c>
      <c r="AD776">
        <v>61</v>
      </c>
    </row>
    <row r="777" spans="1:30" ht="17" x14ac:dyDescent="0.25">
      <c r="A777" s="1" t="s">
        <v>779</v>
      </c>
      <c r="B777" s="1" t="s">
        <v>3431</v>
      </c>
      <c r="C777" s="1" t="s">
        <v>2106</v>
      </c>
      <c r="D777" t="str">
        <f t="shared" si="111"/>
        <v>FF4C3E</v>
      </c>
      <c r="E777" t="str">
        <f t="shared" si="112"/>
        <v>255-76-62</v>
      </c>
      <c r="F777" t="str">
        <f t="shared" si="113"/>
        <v>2557662</v>
      </c>
      <c r="G777">
        <f t="shared" si="114"/>
        <v>255</v>
      </c>
      <c r="H777">
        <f t="shared" si="115"/>
        <v>76</v>
      </c>
      <c r="I777">
        <f t="shared" si="116"/>
        <v>62</v>
      </c>
      <c r="J777" t="str">
        <f t="shared" si="108"/>
        <v>TMv",</v>
      </c>
      <c r="K777" t="str">
        <f t="shared" si="108"/>
        <v>Tuberomammillary nucleus, ventral part",</v>
      </c>
      <c r="L777" t="str">
        <f t="shared" si="109"/>
        <v>TMv</v>
      </c>
      <c r="M777" t="str">
        <f t="shared" si="109"/>
        <v>Tuberomammillary nucleus, ventral part</v>
      </c>
      <c r="N777" t="s">
        <v>6012</v>
      </c>
      <c r="O777" t="s">
        <v>6013</v>
      </c>
      <c r="Q777" s="6">
        <v>1191</v>
      </c>
      <c r="R777" s="6">
        <v>776</v>
      </c>
      <c r="S777" s="6" t="s">
        <v>6843</v>
      </c>
      <c r="T777" s="6" t="s">
        <v>6842</v>
      </c>
      <c r="U777" s="6">
        <v>983</v>
      </c>
      <c r="V777" s="6">
        <v>3</v>
      </c>
      <c r="W777" s="6" t="s">
        <v>8023</v>
      </c>
      <c r="Y777" t="s">
        <v>6012</v>
      </c>
      <c r="Z777" t="s">
        <v>6013</v>
      </c>
      <c r="AA777" s="6">
        <f t="shared" si="110"/>
        <v>1</v>
      </c>
      <c r="AB777">
        <v>255</v>
      </c>
      <c r="AC777">
        <v>76</v>
      </c>
      <c r="AD777">
        <v>62</v>
      </c>
    </row>
    <row r="778" spans="1:30" ht="17" x14ac:dyDescent="0.25">
      <c r="A778" s="1" t="s">
        <v>780</v>
      </c>
      <c r="B778" s="1" t="s">
        <v>3432</v>
      </c>
      <c r="C778" s="1" t="s">
        <v>2107</v>
      </c>
      <c r="D778" t="str">
        <f t="shared" si="111"/>
        <v>FD4C3E</v>
      </c>
      <c r="E778" t="str">
        <f t="shared" si="112"/>
        <v>253-76-62</v>
      </c>
      <c r="F778" t="str">
        <f t="shared" si="113"/>
        <v>2537662</v>
      </c>
      <c r="G778">
        <f t="shared" si="114"/>
        <v>253</v>
      </c>
      <c r="H778">
        <f t="shared" si="115"/>
        <v>76</v>
      </c>
      <c r="I778">
        <f t="shared" si="116"/>
        <v>62</v>
      </c>
      <c r="J778" t="str">
        <f t="shared" si="108"/>
        <v>MPN",</v>
      </c>
      <c r="K778" t="str">
        <f t="shared" si="108"/>
        <v>Medial preoptic nucleus",</v>
      </c>
      <c r="L778" t="str">
        <f t="shared" si="109"/>
        <v>MPN</v>
      </c>
      <c r="M778" t="str">
        <f t="shared" si="109"/>
        <v>Medial preoptic nucleus</v>
      </c>
      <c r="N778" t="s">
        <v>6014</v>
      </c>
      <c r="O778" t="s">
        <v>6015</v>
      </c>
      <c r="Q778" s="6">
        <v>1192</v>
      </c>
      <c r="R778" s="6">
        <v>956</v>
      </c>
      <c r="S778" s="6" t="s">
        <v>6845</v>
      </c>
      <c r="T778" s="6" t="s">
        <v>6844</v>
      </c>
      <c r="U778" s="6">
        <v>776</v>
      </c>
      <c r="V778" s="6">
        <v>4</v>
      </c>
      <c r="W778" s="6" t="s">
        <v>8024</v>
      </c>
      <c r="Y778" t="s">
        <v>6014</v>
      </c>
      <c r="Z778" t="s">
        <v>6015</v>
      </c>
      <c r="AA778" s="6">
        <f t="shared" si="110"/>
        <v>515</v>
      </c>
      <c r="AB778">
        <v>253</v>
      </c>
      <c r="AC778">
        <v>76</v>
      </c>
      <c r="AD778">
        <v>62</v>
      </c>
    </row>
    <row r="779" spans="1:30" ht="17" x14ac:dyDescent="0.25">
      <c r="A779" s="1" t="s">
        <v>781</v>
      </c>
      <c r="B779" s="1" t="s">
        <v>3433</v>
      </c>
      <c r="C779" s="1" t="s">
        <v>2108</v>
      </c>
      <c r="D779" t="str">
        <f t="shared" si="111"/>
        <v>FE4A3D</v>
      </c>
      <c r="E779" t="str">
        <f t="shared" si="112"/>
        <v>254-74-61</v>
      </c>
      <c r="F779" t="str">
        <f t="shared" si="113"/>
        <v>2547461</v>
      </c>
      <c r="G779">
        <f t="shared" si="114"/>
        <v>254</v>
      </c>
      <c r="H779">
        <f t="shared" si="115"/>
        <v>74</v>
      </c>
      <c r="I779">
        <f t="shared" si="116"/>
        <v>61</v>
      </c>
      <c r="J779" t="str">
        <f t="shared" si="108"/>
        <v>MPNc",</v>
      </c>
      <c r="K779" t="str">
        <f t="shared" si="108"/>
        <v>Medial preoptic nucleus, central part",</v>
      </c>
      <c r="L779" t="str">
        <f t="shared" si="109"/>
        <v>MPNc</v>
      </c>
      <c r="M779" t="str">
        <f t="shared" si="109"/>
        <v>Medial preoptic nucleus, central part</v>
      </c>
      <c r="N779" t="s">
        <v>6016</v>
      </c>
      <c r="O779" t="s">
        <v>6017</v>
      </c>
      <c r="Q779" s="6">
        <v>1193</v>
      </c>
      <c r="R779" s="6">
        <v>579</v>
      </c>
      <c r="S779" s="6" t="s">
        <v>6847</v>
      </c>
      <c r="T779" s="6" t="s">
        <v>6846</v>
      </c>
      <c r="U779" s="6">
        <v>956</v>
      </c>
      <c r="V779" s="6">
        <v>5</v>
      </c>
      <c r="W779" s="6" t="s">
        <v>8025</v>
      </c>
      <c r="Y779" t="s">
        <v>6016</v>
      </c>
      <c r="Z779" t="s">
        <v>6017</v>
      </c>
      <c r="AA779" s="6" t="str">
        <f t="shared" si="110"/>
        <v/>
      </c>
      <c r="AB779">
        <v>254</v>
      </c>
      <c r="AC779">
        <v>74</v>
      </c>
      <c r="AD779">
        <v>61</v>
      </c>
    </row>
    <row r="780" spans="1:30" ht="17" x14ac:dyDescent="0.25">
      <c r="A780" s="1" t="s">
        <v>782</v>
      </c>
      <c r="B780" s="1" t="s">
        <v>3434</v>
      </c>
      <c r="C780" s="1" t="s">
        <v>2109</v>
      </c>
      <c r="D780" t="str">
        <f t="shared" si="111"/>
        <v>FD4B3D</v>
      </c>
      <c r="E780" t="str">
        <f t="shared" si="112"/>
        <v>253-75-61</v>
      </c>
      <c r="F780" t="str">
        <f t="shared" si="113"/>
        <v>2537561</v>
      </c>
      <c r="G780">
        <f t="shared" si="114"/>
        <v>253</v>
      </c>
      <c r="H780">
        <f t="shared" si="115"/>
        <v>75</v>
      </c>
      <c r="I780">
        <f t="shared" si="116"/>
        <v>61</v>
      </c>
      <c r="J780" t="str">
        <f t="shared" si="108"/>
        <v>MPNl",</v>
      </c>
      <c r="K780" t="str">
        <f t="shared" si="108"/>
        <v>Medial preoptic nucleus, lateral part",</v>
      </c>
      <c r="L780" t="str">
        <f t="shared" si="109"/>
        <v>MPNl</v>
      </c>
      <c r="M780" t="str">
        <f t="shared" si="109"/>
        <v>Medial preoptic nucleus, lateral part</v>
      </c>
      <c r="N780" t="s">
        <v>6018</v>
      </c>
      <c r="O780" t="s">
        <v>6019</v>
      </c>
      <c r="Q780" s="6">
        <v>1194</v>
      </c>
      <c r="R780" s="6">
        <v>964</v>
      </c>
      <c r="S780" s="6" t="s">
        <v>6849</v>
      </c>
      <c r="T780" s="6" t="s">
        <v>6848</v>
      </c>
      <c r="U780" s="6">
        <v>776</v>
      </c>
      <c r="V780" s="6">
        <v>4</v>
      </c>
      <c r="W780" s="6" t="s">
        <v>8026</v>
      </c>
      <c r="Y780" t="s">
        <v>6018</v>
      </c>
      <c r="Z780" t="s">
        <v>6019</v>
      </c>
      <c r="AA780" s="6" t="str">
        <f t="shared" si="110"/>
        <v/>
      </c>
      <c r="AB780">
        <v>253</v>
      </c>
      <c r="AC780">
        <v>75</v>
      </c>
      <c r="AD780">
        <v>61</v>
      </c>
    </row>
    <row r="781" spans="1:30" ht="17" x14ac:dyDescent="0.25">
      <c r="A781" s="1" t="s">
        <v>783</v>
      </c>
      <c r="B781" s="1" t="s">
        <v>3435</v>
      </c>
      <c r="C781" s="1" t="s">
        <v>2110</v>
      </c>
      <c r="D781" t="str">
        <f t="shared" si="111"/>
        <v>FF4A3C</v>
      </c>
      <c r="E781" t="str">
        <f t="shared" si="112"/>
        <v>255-74-60</v>
      </c>
      <c r="F781" t="str">
        <f t="shared" si="113"/>
        <v>2557460</v>
      </c>
      <c r="G781">
        <f t="shared" si="114"/>
        <v>255</v>
      </c>
      <c r="H781">
        <f t="shared" si="115"/>
        <v>74</v>
      </c>
      <c r="I781">
        <f t="shared" si="116"/>
        <v>60</v>
      </c>
      <c r="J781" t="str">
        <f t="shared" si="108"/>
        <v>MPNm",</v>
      </c>
      <c r="K781" t="str">
        <f t="shared" si="108"/>
        <v>Medial preoptic nucleus, medial part",</v>
      </c>
      <c r="L781" t="str">
        <f t="shared" si="109"/>
        <v>MPNm</v>
      </c>
      <c r="M781" t="str">
        <f t="shared" si="109"/>
        <v>Medial preoptic nucleus, medial part</v>
      </c>
      <c r="N781" t="s">
        <v>6020</v>
      </c>
      <c r="O781" t="s">
        <v>6021</v>
      </c>
      <c r="Q781" s="6">
        <v>1195</v>
      </c>
      <c r="R781" s="6">
        <v>1108</v>
      </c>
      <c r="S781" s="6" t="s">
        <v>6851</v>
      </c>
      <c r="T781" s="6" t="s">
        <v>6850</v>
      </c>
      <c r="U781" s="6">
        <v>776</v>
      </c>
      <c r="V781" s="6">
        <v>4</v>
      </c>
      <c r="W781" s="6" t="s">
        <v>8027</v>
      </c>
      <c r="Y781" t="s">
        <v>6020</v>
      </c>
      <c r="Z781" t="s">
        <v>6021</v>
      </c>
      <c r="AA781" s="6" t="str">
        <f t="shared" si="110"/>
        <v/>
      </c>
      <c r="AB781">
        <v>255</v>
      </c>
      <c r="AC781">
        <v>74</v>
      </c>
      <c r="AD781">
        <v>60</v>
      </c>
    </row>
    <row r="782" spans="1:30" ht="17" x14ac:dyDescent="0.25">
      <c r="A782" s="1" t="s">
        <v>784</v>
      </c>
      <c r="B782" s="1" t="s">
        <v>3436</v>
      </c>
      <c r="C782" s="1" t="s">
        <v>2111</v>
      </c>
      <c r="D782" t="str">
        <f t="shared" si="111"/>
        <v>FC4C3E</v>
      </c>
      <c r="E782" t="str">
        <f t="shared" si="112"/>
        <v>252-76-62</v>
      </c>
      <c r="F782" t="str">
        <f t="shared" si="113"/>
        <v>2527662</v>
      </c>
      <c r="G782">
        <f t="shared" si="114"/>
        <v>252</v>
      </c>
      <c r="H782">
        <f t="shared" si="115"/>
        <v>76</v>
      </c>
      <c r="I782">
        <f t="shared" si="116"/>
        <v>62</v>
      </c>
      <c r="J782" t="str">
        <f t="shared" si="108"/>
        <v>PMd",</v>
      </c>
      <c r="K782" t="str">
        <f t="shared" si="108"/>
        <v>Dorsal premammillary nucleus",</v>
      </c>
      <c r="L782" t="str">
        <f t="shared" si="109"/>
        <v>PMd</v>
      </c>
      <c r="M782" t="str">
        <f t="shared" si="109"/>
        <v>Dorsal premammillary nucleus</v>
      </c>
      <c r="N782" t="s">
        <v>6022</v>
      </c>
      <c r="O782" t="s">
        <v>6023</v>
      </c>
      <c r="Q782" s="6">
        <v>1196</v>
      </c>
      <c r="R782" s="6">
        <v>971</v>
      </c>
      <c r="S782" s="6" t="s">
        <v>6853</v>
      </c>
      <c r="T782" s="6" t="s">
        <v>6852</v>
      </c>
      <c r="U782" s="6">
        <v>776</v>
      </c>
      <c r="V782" s="6">
        <v>4</v>
      </c>
      <c r="W782" s="6" t="s">
        <v>8028</v>
      </c>
      <c r="Y782" t="s">
        <v>6022</v>
      </c>
      <c r="Z782" t="s">
        <v>6023</v>
      </c>
      <c r="AA782" s="6">
        <f t="shared" si="110"/>
        <v>980</v>
      </c>
      <c r="AB782">
        <v>252</v>
      </c>
      <c r="AC782">
        <v>76</v>
      </c>
      <c r="AD782">
        <v>62</v>
      </c>
    </row>
    <row r="783" spans="1:30" ht="17" x14ac:dyDescent="0.25">
      <c r="A783" s="1" t="s">
        <v>785</v>
      </c>
      <c r="B783" s="1" t="s">
        <v>3437</v>
      </c>
      <c r="C783" s="1" t="s">
        <v>2112</v>
      </c>
      <c r="D783" t="str">
        <f t="shared" si="111"/>
        <v>FF4B3B</v>
      </c>
      <c r="E783" t="str">
        <f t="shared" si="112"/>
        <v>255-75-59</v>
      </c>
      <c r="F783" t="str">
        <f t="shared" si="113"/>
        <v>2557559</v>
      </c>
      <c r="G783">
        <f t="shared" si="114"/>
        <v>255</v>
      </c>
      <c r="H783">
        <f t="shared" si="115"/>
        <v>75</v>
      </c>
      <c r="I783">
        <f t="shared" si="116"/>
        <v>59</v>
      </c>
      <c r="J783" t="str">
        <f t="shared" si="108"/>
        <v>PMv",</v>
      </c>
      <c r="K783" t="str">
        <f t="shared" si="108"/>
        <v>Ventral premammillary nucleus",</v>
      </c>
      <c r="L783" t="str">
        <f t="shared" si="109"/>
        <v>PMv</v>
      </c>
      <c r="M783" t="str">
        <f t="shared" si="109"/>
        <v>Ventral premammillary nucleus</v>
      </c>
      <c r="N783" t="s">
        <v>6024</v>
      </c>
      <c r="O783" t="s">
        <v>6025</v>
      </c>
      <c r="Q783" s="6">
        <v>1198</v>
      </c>
      <c r="R783" s="6">
        <v>484682516</v>
      </c>
      <c r="S783" s="6" t="s">
        <v>6857</v>
      </c>
      <c r="T783" s="6" t="s">
        <v>6856</v>
      </c>
      <c r="U783" s="6">
        <v>776</v>
      </c>
      <c r="V783" s="6">
        <v>4</v>
      </c>
      <c r="W783" s="6" t="s">
        <v>8029</v>
      </c>
      <c r="Y783" t="s">
        <v>6024</v>
      </c>
      <c r="Z783" t="s">
        <v>6025</v>
      </c>
      <c r="AA783" s="6">
        <f t="shared" si="110"/>
        <v>1004</v>
      </c>
      <c r="AB783">
        <v>255</v>
      </c>
      <c r="AC783">
        <v>75</v>
      </c>
      <c r="AD783">
        <v>59</v>
      </c>
    </row>
    <row r="784" spans="1:30" ht="17" x14ac:dyDescent="0.25">
      <c r="A784" s="1" t="s">
        <v>786</v>
      </c>
      <c r="B784" s="1" t="s">
        <v>3438</v>
      </c>
      <c r="C784" s="1" t="s">
        <v>2113</v>
      </c>
      <c r="D784" t="str">
        <f t="shared" si="111"/>
        <v>FF4C3D</v>
      </c>
      <c r="E784" t="str">
        <f t="shared" si="112"/>
        <v>255-76-61</v>
      </c>
      <c r="F784" t="str">
        <f t="shared" si="113"/>
        <v>2557661</v>
      </c>
      <c r="G784">
        <f t="shared" si="114"/>
        <v>255</v>
      </c>
      <c r="H784">
        <f t="shared" si="115"/>
        <v>76</v>
      </c>
      <c r="I784">
        <f t="shared" si="116"/>
        <v>61</v>
      </c>
      <c r="J784" t="str">
        <f t="shared" si="108"/>
        <v>PVHd",</v>
      </c>
      <c r="K784" t="str">
        <f t="shared" si="108"/>
        <v>Paraventricular hypothalamic nucleus, descending division",</v>
      </c>
      <c r="L784" t="str">
        <f t="shared" si="109"/>
        <v>PVHd</v>
      </c>
      <c r="M784" t="str">
        <f t="shared" si="109"/>
        <v>Paraventricular hypothalamic nucleus, descending division</v>
      </c>
      <c r="N784" t="s">
        <v>6026</v>
      </c>
      <c r="O784" t="s">
        <v>6027</v>
      </c>
      <c r="Q784" s="6">
        <v>1199</v>
      </c>
      <c r="R784" s="6">
        <v>986</v>
      </c>
      <c r="S784" s="6" t="s">
        <v>6859</v>
      </c>
      <c r="T784" s="6" t="s">
        <v>6858</v>
      </c>
      <c r="U784" s="6">
        <v>776</v>
      </c>
      <c r="V784" s="6">
        <v>4</v>
      </c>
      <c r="W784" s="6" t="s">
        <v>8030</v>
      </c>
      <c r="Y784" t="s">
        <v>6026</v>
      </c>
      <c r="Z784" t="s">
        <v>6027</v>
      </c>
      <c r="AA784" s="6">
        <f t="shared" si="110"/>
        <v>63</v>
      </c>
      <c r="AB784">
        <v>255</v>
      </c>
      <c r="AC784">
        <v>76</v>
      </c>
      <c r="AD784">
        <v>61</v>
      </c>
    </row>
    <row r="785" spans="1:30" ht="17" x14ac:dyDescent="0.25">
      <c r="A785" s="1" t="s">
        <v>787</v>
      </c>
      <c r="B785" s="1" t="s">
        <v>3439</v>
      </c>
      <c r="C785" s="1" t="s">
        <v>2114</v>
      </c>
      <c r="D785" t="str">
        <f t="shared" si="111"/>
        <v>FE4B3E</v>
      </c>
      <c r="E785" t="str">
        <f t="shared" si="112"/>
        <v>254-75-62</v>
      </c>
      <c r="F785" t="str">
        <f t="shared" si="113"/>
        <v>2547562</v>
      </c>
      <c r="G785">
        <f t="shared" si="114"/>
        <v>254</v>
      </c>
      <c r="H785">
        <f t="shared" si="115"/>
        <v>75</v>
      </c>
      <c r="I785">
        <f t="shared" si="116"/>
        <v>62</v>
      </c>
      <c r="J785" t="str">
        <f t="shared" si="108"/>
        <v>PVHdp",</v>
      </c>
      <c r="K785" t="str">
        <f t="shared" si="108"/>
        <v>Paraventricular hypothalamic nucleus, descending division, dorsal parvicellular part",</v>
      </c>
      <c r="L785" t="str">
        <f t="shared" si="109"/>
        <v>PVHdp</v>
      </c>
      <c r="M785" t="str">
        <f t="shared" si="109"/>
        <v>Paraventricular hypothalamic nucleus, descending division, dorsal parvicellular part</v>
      </c>
      <c r="N785" t="s">
        <v>6028</v>
      </c>
      <c r="O785" t="s">
        <v>6029</v>
      </c>
      <c r="Q785" s="6">
        <v>1200</v>
      </c>
      <c r="R785" s="6">
        <v>784</v>
      </c>
      <c r="S785" s="6" t="s">
        <v>6861</v>
      </c>
      <c r="T785" s="6" t="s">
        <v>6860</v>
      </c>
      <c r="U785" s="6">
        <v>983</v>
      </c>
      <c r="V785" s="6">
        <v>3</v>
      </c>
      <c r="W785" s="6" t="s">
        <v>8031</v>
      </c>
      <c r="Y785" t="s">
        <v>6028</v>
      </c>
      <c r="Z785" t="s">
        <v>6029</v>
      </c>
      <c r="AA785" s="6" t="str">
        <f t="shared" si="110"/>
        <v/>
      </c>
      <c r="AB785">
        <v>254</v>
      </c>
      <c r="AC785">
        <v>75</v>
      </c>
      <c r="AD785">
        <v>62</v>
      </c>
    </row>
    <row r="786" spans="1:30" ht="17" x14ac:dyDescent="0.25">
      <c r="A786" s="1" t="s">
        <v>788</v>
      </c>
      <c r="B786" s="1" t="s">
        <v>3440</v>
      </c>
      <c r="C786" s="1" t="s">
        <v>2115</v>
      </c>
      <c r="D786" t="str">
        <f t="shared" si="111"/>
        <v>FE4B3D</v>
      </c>
      <c r="E786" t="str">
        <f t="shared" si="112"/>
        <v>254-75-61</v>
      </c>
      <c r="F786" t="str">
        <f t="shared" si="113"/>
        <v>2547561</v>
      </c>
      <c r="G786">
        <f t="shared" si="114"/>
        <v>254</v>
      </c>
      <c r="H786">
        <f t="shared" si="115"/>
        <v>75</v>
      </c>
      <c r="I786">
        <f t="shared" si="116"/>
        <v>61</v>
      </c>
      <c r="J786" t="str">
        <f t="shared" si="108"/>
        <v>PVHf",</v>
      </c>
      <c r="K786" t="str">
        <f t="shared" si="108"/>
        <v>Paraventricular hypothalamic nucleus, descending division, forniceal part",</v>
      </c>
      <c r="L786" t="str">
        <f t="shared" si="109"/>
        <v>PVHf</v>
      </c>
      <c r="M786" t="str">
        <f t="shared" si="109"/>
        <v>Paraventricular hypothalamic nucleus, descending division, forniceal part</v>
      </c>
      <c r="N786" t="s">
        <v>6030</v>
      </c>
      <c r="O786" t="s">
        <v>6031</v>
      </c>
      <c r="Q786" s="6">
        <v>1201</v>
      </c>
      <c r="R786" s="6">
        <v>6</v>
      </c>
      <c r="S786" s="6" t="s">
        <v>6863</v>
      </c>
      <c r="T786" s="6" t="s">
        <v>6862</v>
      </c>
      <c r="U786" s="6">
        <v>784</v>
      </c>
      <c r="V786" s="6">
        <v>4</v>
      </c>
      <c r="W786" s="6" t="s">
        <v>8032</v>
      </c>
      <c r="Y786" t="s">
        <v>6030</v>
      </c>
      <c r="Z786" t="s">
        <v>6031</v>
      </c>
      <c r="AA786" s="6" t="str">
        <f t="shared" si="110"/>
        <v/>
      </c>
      <c r="AB786">
        <v>254</v>
      </c>
      <c r="AC786">
        <v>75</v>
      </c>
      <c r="AD786">
        <v>61</v>
      </c>
    </row>
    <row r="787" spans="1:30" ht="17" x14ac:dyDescent="0.25">
      <c r="A787" s="1" t="s">
        <v>789</v>
      </c>
      <c r="B787" s="1" t="s">
        <v>3441</v>
      </c>
      <c r="C787" s="1" t="s">
        <v>2116</v>
      </c>
      <c r="D787" t="str">
        <f t="shared" si="111"/>
        <v>FE4B3B</v>
      </c>
      <c r="E787" t="str">
        <f t="shared" si="112"/>
        <v>254-75-59</v>
      </c>
      <c r="F787" t="str">
        <f t="shared" si="113"/>
        <v>2547559</v>
      </c>
      <c r="G787">
        <f t="shared" si="114"/>
        <v>254</v>
      </c>
      <c r="H787">
        <f t="shared" si="115"/>
        <v>75</v>
      </c>
      <c r="I787">
        <f t="shared" si="116"/>
        <v>59</v>
      </c>
      <c r="J787" t="str">
        <f t="shared" si="108"/>
        <v>PVHlp",</v>
      </c>
      <c r="K787" t="str">
        <f t="shared" si="108"/>
        <v>Paraventricular hypothalamic nucleus, descending division, lateral parvicellular part",</v>
      </c>
      <c r="L787" t="str">
        <f t="shared" si="109"/>
        <v>PVHlp</v>
      </c>
      <c r="M787" t="str">
        <f t="shared" si="109"/>
        <v>Paraventricular hypothalamic nucleus, descending division, lateral parvicellular part</v>
      </c>
      <c r="N787" t="s">
        <v>6032</v>
      </c>
      <c r="O787" t="s">
        <v>6033</v>
      </c>
      <c r="Q787" s="6">
        <v>1202</v>
      </c>
      <c r="R787" s="6">
        <v>924</v>
      </c>
      <c r="S787" s="6" t="s">
        <v>6865</v>
      </c>
      <c r="T787" s="6" t="s">
        <v>6864</v>
      </c>
      <c r="U787" s="6">
        <v>784</v>
      </c>
      <c r="V787" s="6">
        <v>4</v>
      </c>
      <c r="W787" s="6" t="s">
        <v>8033</v>
      </c>
      <c r="Y787" t="s">
        <v>6032</v>
      </c>
      <c r="Z787" t="s">
        <v>6033</v>
      </c>
      <c r="AA787" s="6" t="str">
        <f t="shared" si="110"/>
        <v/>
      </c>
      <c r="AB787">
        <v>254</v>
      </c>
      <c r="AC787">
        <v>75</v>
      </c>
      <c r="AD787">
        <v>59</v>
      </c>
    </row>
    <row r="788" spans="1:30" ht="17" x14ac:dyDescent="0.25">
      <c r="A788" s="1" t="s">
        <v>790</v>
      </c>
      <c r="B788" s="1" t="s">
        <v>3442</v>
      </c>
      <c r="C788" s="1" t="s">
        <v>2117</v>
      </c>
      <c r="D788" t="str">
        <f t="shared" si="111"/>
        <v>FE4B3C</v>
      </c>
      <c r="E788" t="str">
        <f t="shared" si="112"/>
        <v>254-75-60</v>
      </c>
      <c r="F788" t="str">
        <f t="shared" si="113"/>
        <v>2547560</v>
      </c>
      <c r="G788">
        <f t="shared" si="114"/>
        <v>254</v>
      </c>
      <c r="H788">
        <f t="shared" si="115"/>
        <v>75</v>
      </c>
      <c r="I788">
        <f t="shared" si="116"/>
        <v>60</v>
      </c>
      <c r="J788" t="str">
        <f t="shared" si="108"/>
        <v>PVHmpv",</v>
      </c>
      <c r="K788" t="str">
        <f t="shared" si="108"/>
        <v>Paraventricular hypothalamic nucleus, descending division, medial parvicellular part, ventral zone",</v>
      </c>
      <c r="L788" t="str">
        <f t="shared" si="109"/>
        <v>PVHmpv</v>
      </c>
      <c r="M788" t="str">
        <f t="shared" si="109"/>
        <v>Paraventricular hypothalamic nucleus, descending division, medial parvicellular part, ventral zone</v>
      </c>
      <c r="N788" t="s">
        <v>6034</v>
      </c>
      <c r="O788" t="s">
        <v>6035</v>
      </c>
      <c r="Q788" s="6">
        <v>1207</v>
      </c>
      <c r="R788" s="6">
        <v>190</v>
      </c>
      <c r="S788" s="6" t="s">
        <v>6875</v>
      </c>
      <c r="T788" s="6" t="s">
        <v>6874</v>
      </c>
      <c r="U788" s="6">
        <v>784</v>
      </c>
      <c r="V788" s="6">
        <v>4</v>
      </c>
      <c r="W788" s="6" t="s">
        <v>8034</v>
      </c>
      <c r="Y788" t="s">
        <v>6034</v>
      </c>
      <c r="Z788" t="s">
        <v>6035</v>
      </c>
      <c r="AA788" s="6" t="str">
        <f t="shared" si="110"/>
        <v/>
      </c>
      <c r="AB788">
        <v>254</v>
      </c>
      <c r="AC788">
        <v>75</v>
      </c>
      <c r="AD788">
        <v>60</v>
      </c>
    </row>
    <row r="789" spans="1:30" ht="17" x14ac:dyDescent="0.25">
      <c r="A789" s="1" t="s">
        <v>791</v>
      </c>
      <c r="B789" s="1" t="s">
        <v>3443</v>
      </c>
      <c r="C789" s="1" t="s">
        <v>2118</v>
      </c>
      <c r="D789" t="str">
        <f t="shared" si="111"/>
        <v>FF4A3D</v>
      </c>
      <c r="E789" t="str">
        <f t="shared" si="112"/>
        <v>255-74-61</v>
      </c>
      <c r="F789" t="str">
        <f t="shared" si="113"/>
        <v>2557461</v>
      </c>
      <c r="G789">
        <f t="shared" si="114"/>
        <v>255</v>
      </c>
      <c r="H789">
        <f t="shared" si="115"/>
        <v>74</v>
      </c>
      <c r="I789">
        <f t="shared" si="116"/>
        <v>61</v>
      </c>
      <c r="J789" t="str">
        <f t="shared" si="108"/>
        <v>VMH",</v>
      </c>
      <c r="K789" t="str">
        <f t="shared" si="108"/>
        <v>Ventromedial hypothalamic nucleus",</v>
      </c>
      <c r="L789" t="str">
        <f t="shared" si="109"/>
        <v>VMH</v>
      </c>
      <c r="M789" t="str">
        <f t="shared" si="109"/>
        <v>Ventromedial hypothalamic nucleus</v>
      </c>
      <c r="N789" t="s">
        <v>6036</v>
      </c>
      <c r="O789" t="s">
        <v>6037</v>
      </c>
      <c r="Q789" s="6">
        <v>1208</v>
      </c>
      <c r="R789" s="6">
        <v>198</v>
      </c>
      <c r="S789" s="6" t="s">
        <v>6877</v>
      </c>
      <c r="T789" s="6" t="s">
        <v>6876</v>
      </c>
      <c r="U789" s="6">
        <v>784</v>
      </c>
      <c r="V789" s="6">
        <v>4</v>
      </c>
      <c r="W789" s="6" t="s">
        <v>8035</v>
      </c>
      <c r="Y789" t="s">
        <v>6036</v>
      </c>
      <c r="Z789" t="s">
        <v>6037</v>
      </c>
      <c r="AA789" s="6">
        <f t="shared" si="110"/>
        <v>693</v>
      </c>
      <c r="AB789">
        <v>255</v>
      </c>
      <c r="AC789">
        <v>74</v>
      </c>
      <c r="AD789">
        <v>61</v>
      </c>
    </row>
    <row r="790" spans="1:30" ht="17" x14ac:dyDescent="0.25">
      <c r="A790" s="1" t="s">
        <v>792</v>
      </c>
      <c r="B790" s="1" t="s">
        <v>3444</v>
      </c>
      <c r="C790" s="1" t="s">
        <v>2119</v>
      </c>
      <c r="D790" t="str">
        <f t="shared" si="111"/>
        <v>FD4C3C</v>
      </c>
      <c r="E790" t="str">
        <f t="shared" si="112"/>
        <v>253-76-60</v>
      </c>
      <c r="F790" t="str">
        <f t="shared" si="113"/>
        <v>2537660</v>
      </c>
      <c r="G790">
        <f t="shared" si="114"/>
        <v>253</v>
      </c>
      <c r="H790">
        <f t="shared" si="115"/>
        <v>76</v>
      </c>
      <c r="I790">
        <f t="shared" si="116"/>
        <v>60</v>
      </c>
      <c r="J790" t="str">
        <f t="shared" si="108"/>
        <v>VMHa",</v>
      </c>
      <c r="K790" t="str">
        <f t="shared" si="108"/>
        <v>Ventromedial hypothalamic nucleus, anterior part",</v>
      </c>
      <c r="L790" t="str">
        <f t="shared" si="109"/>
        <v>VMHa</v>
      </c>
      <c r="M790" t="str">
        <f t="shared" si="109"/>
        <v>Ventromedial hypothalamic nucleus, anterior part</v>
      </c>
      <c r="N790" t="s">
        <v>6038</v>
      </c>
      <c r="O790" t="s">
        <v>6039</v>
      </c>
      <c r="Q790" s="6">
        <v>1211</v>
      </c>
      <c r="R790" s="6">
        <v>896</v>
      </c>
      <c r="S790" s="6" t="s">
        <v>6883</v>
      </c>
      <c r="T790" s="6" t="s">
        <v>6882</v>
      </c>
      <c r="U790" s="6">
        <v>983</v>
      </c>
      <c r="V790" s="6">
        <v>3</v>
      </c>
      <c r="W790" s="6" t="s">
        <v>8036</v>
      </c>
      <c r="Y790" t="s">
        <v>6038</v>
      </c>
      <c r="Z790" t="s">
        <v>6039</v>
      </c>
      <c r="AA790" s="6" t="str">
        <f t="shared" si="110"/>
        <v/>
      </c>
      <c r="AB790">
        <v>253</v>
      </c>
      <c r="AC790">
        <v>76</v>
      </c>
      <c r="AD790">
        <v>60</v>
      </c>
    </row>
    <row r="791" spans="1:30" ht="17" x14ac:dyDescent="0.25">
      <c r="A791" s="1" t="s">
        <v>793</v>
      </c>
      <c r="B791" s="1" t="s">
        <v>3445</v>
      </c>
      <c r="C791" s="1" t="s">
        <v>2120</v>
      </c>
      <c r="D791" t="str">
        <f t="shared" si="111"/>
        <v>FD4A3E</v>
      </c>
      <c r="E791" t="str">
        <f t="shared" si="112"/>
        <v>253-74-62</v>
      </c>
      <c r="F791" t="str">
        <f t="shared" si="113"/>
        <v>2537462</v>
      </c>
      <c r="G791">
        <f t="shared" si="114"/>
        <v>253</v>
      </c>
      <c r="H791">
        <f t="shared" si="115"/>
        <v>74</v>
      </c>
      <c r="I791">
        <f t="shared" si="116"/>
        <v>62</v>
      </c>
      <c r="J791" t="str">
        <f t="shared" si="108"/>
        <v>VMHc",</v>
      </c>
      <c r="K791" t="str">
        <f t="shared" si="108"/>
        <v>Ventromedial hypothalamic nucleus, central part",</v>
      </c>
      <c r="L791" t="str">
        <f t="shared" si="109"/>
        <v>VMHc</v>
      </c>
      <c r="M791" t="str">
        <f t="shared" si="109"/>
        <v>Ventromedial hypothalamic nucleus, central part</v>
      </c>
      <c r="N791" t="s">
        <v>6040</v>
      </c>
      <c r="O791" t="s">
        <v>6041</v>
      </c>
      <c r="Q791" s="6">
        <v>1212</v>
      </c>
      <c r="R791" s="6">
        <v>1092</v>
      </c>
      <c r="S791" s="6" t="s">
        <v>6885</v>
      </c>
      <c r="T791" s="6" t="s">
        <v>6884</v>
      </c>
      <c r="U791" s="6">
        <v>896</v>
      </c>
      <c r="V791" s="6">
        <v>4</v>
      </c>
      <c r="W791" s="6" t="s">
        <v>8037</v>
      </c>
      <c r="Y791" t="s">
        <v>6040</v>
      </c>
      <c r="Z791" t="s">
        <v>6041</v>
      </c>
      <c r="AA791" s="6" t="str">
        <f t="shared" si="110"/>
        <v/>
      </c>
      <c r="AB791">
        <v>253</v>
      </c>
      <c r="AC791">
        <v>74</v>
      </c>
      <c r="AD791">
        <v>62</v>
      </c>
    </row>
    <row r="792" spans="1:30" ht="17" x14ac:dyDescent="0.25">
      <c r="A792" s="1" t="s">
        <v>794</v>
      </c>
      <c r="B792" s="1" t="s">
        <v>3446</v>
      </c>
      <c r="C792" s="1" t="s">
        <v>2121</v>
      </c>
      <c r="D792" t="str">
        <f t="shared" si="111"/>
        <v>FF4C3B</v>
      </c>
      <c r="E792" t="str">
        <f t="shared" si="112"/>
        <v>255-76-59</v>
      </c>
      <c r="F792" t="str">
        <f t="shared" si="113"/>
        <v>2557659</v>
      </c>
      <c r="G792">
        <f t="shared" si="114"/>
        <v>255</v>
      </c>
      <c r="H792">
        <f t="shared" si="115"/>
        <v>76</v>
      </c>
      <c r="I792">
        <f t="shared" si="116"/>
        <v>59</v>
      </c>
      <c r="J792" t="str">
        <f t="shared" si="108"/>
        <v>VMHdm",</v>
      </c>
      <c r="K792" t="str">
        <f t="shared" si="108"/>
        <v>Ventromedial hypothalamic nucleus, dorsomedial part",</v>
      </c>
      <c r="L792" t="str">
        <f t="shared" si="109"/>
        <v>VMHdm</v>
      </c>
      <c r="M792" t="str">
        <f t="shared" si="109"/>
        <v>Ventromedial hypothalamic nucleus, dorsomedial part</v>
      </c>
      <c r="N792" t="s">
        <v>6042</v>
      </c>
      <c r="O792" t="s">
        <v>6043</v>
      </c>
      <c r="Q792" s="6">
        <v>1216</v>
      </c>
      <c r="R792" s="6">
        <v>484682520</v>
      </c>
      <c r="S792" s="6" t="s">
        <v>6893</v>
      </c>
      <c r="T792" s="6" t="s">
        <v>6892</v>
      </c>
      <c r="U792" s="6">
        <v>896</v>
      </c>
      <c r="V792" s="6">
        <v>4</v>
      </c>
      <c r="W792" s="6" t="s">
        <v>8038</v>
      </c>
      <c r="Y792" t="s">
        <v>6042</v>
      </c>
      <c r="Z792" t="s">
        <v>6043</v>
      </c>
      <c r="AA792" s="6" t="str">
        <f t="shared" si="110"/>
        <v/>
      </c>
      <c r="AB792">
        <v>255</v>
      </c>
      <c r="AC792">
        <v>76</v>
      </c>
      <c r="AD792">
        <v>59</v>
      </c>
    </row>
    <row r="793" spans="1:30" ht="17" x14ac:dyDescent="0.25">
      <c r="A793" s="1" t="s">
        <v>795</v>
      </c>
      <c r="B793" s="1" t="s">
        <v>3447</v>
      </c>
      <c r="C793" s="1" t="s">
        <v>2122</v>
      </c>
      <c r="D793" t="str">
        <f t="shared" si="111"/>
        <v>FF493E</v>
      </c>
      <c r="E793" t="str">
        <f t="shared" si="112"/>
        <v>255-73-62</v>
      </c>
      <c r="F793" t="str">
        <f t="shared" si="113"/>
        <v>2557362</v>
      </c>
      <c r="G793">
        <f t="shared" si="114"/>
        <v>255</v>
      </c>
      <c r="H793">
        <f t="shared" si="115"/>
        <v>73</v>
      </c>
      <c r="I793">
        <f t="shared" si="116"/>
        <v>62</v>
      </c>
      <c r="J793" t="str">
        <f t="shared" si="108"/>
        <v>VMHvl",</v>
      </c>
      <c r="K793" t="str">
        <f t="shared" si="108"/>
        <v>Ventromedial hypothalamic nucleus, ventrolateral part",</v>
      </c>
      <c r="L793" t="str">
        <f t="shared" si="109"/>
        <v>VMHvl</v>
      </c>
      <c r="M793" t="str">
        <f t="shared" si="109"/>
        <v>Ventromedial hypothalamic nucleus, ventrolateral part</v>
      </c>
      <c r="N793" t="s">
        <v>6044</v>
      </c>
      <c r="O793" t="s">
        <v>6045</v>
      </c>
      <c r="Q793" s="6">
        <v>1217</v>
      </c>
      <c r="R793" s="6">
        <v>484682524</v>
      </c>
      <c r="S793" s="6" t="s">
        <v>6895</v>
      </c>
      <c r="T793" s="6" t="s">
        <v>6894</v>
      </c>
      <c r="U793" s="6">
        <v>896</v>
      </c>
      <c r="V793" s="6">
        <v>4</v>
      </c>
      <c r="W793" s="6" t="s">
        <v>8039</v>
      </c>
      <c r="Y793" t="s">
        <v>6044</v>
      </c>
      <c r="Z793" t="s">
        <v>6045</v>
      </c>
      <c r="AA793" s="6" t="str">
        <f t="shared" si="110"/>
        <v/>
      </c>
      <c r="AB793">
        <v>255</v>
      </c>
      <c r="AC793">
        <v>73</v>
      </c>
      <c r="AD793">
        <v>62</v>
      </c>
    </row>
    <row r="794" spans="1:30" ht="17" x14ac:dyDescent="0.25">
      <c r="A794" s="1" t="s">
        <v>796</v>
      </c>
      <c r="B794" s="1" t="s">
        <v>3448</v>
      </c>
      <c r="C794" s="1" t="s">
        <v>2123</v>
      </c>
      <c r="D794" t="str">
        <f t="shared" si="111"/>
        <v>FD4B3C</v>
      </c>
      <c r="E794" t="str">
        <f t="shared" si="112"/>
        <v>253-75-60</v>
      </c>
      <c r="F794" t="str">
        <f t="shared" si="113"/>
        <v>2537560</v>
      </c>
      <c r="G794">
        <f t="shared" si="114"/>
        <v>253</v>
      </c>
      <c r="H794">
        <f t="shared" si="115"/>
        <v>75</v>
      </c>
      <c r="I794">
        <f t="shared" si="116"/>
        <v>60</v>
      </c>
      <c r="J794" t="str">
        <f t="shared" si="108"/>
        <v>PH",</v>
      </c>
      <c r="K794" t="str">
        <f t="shared" si="108"/>
        <v>Posterior hypothalamic nucleus",</v>
      </c>
      <c r="L794" t="str">
        <f t="shared" si="109"/>
        <v>PH</v>
      </c>
      <c r="M794" t="str">
        <f t="shared" si="109"/>
        <v>Posterior hypothalamic nucleus</v>
      </c>
      <c r="N794" t="s">
        <v>6046</v>
      </c>
      <c r="O794" t="s">
        <v>6047</v>
      </c>
      <c r="Q794" s="6">
        <v>1218</v>
      </c>
      <c r="R794" s="6">
        <v>1000</v>
      </c>
      <c r="S794" s="6" t="s">
        <v>6897</v>
      </c>
      <c r="T794" s="6" t="s">
        <v>6896</v>
      </c>
      <c r="U794" s="6">
        <v>1009</v>
      </c>
      <c r="V794" s="6">
        <v>2</v>
      </c>
      <c r="W794" s="6" t="s">
        <v>8040</v>
      </c>
      <c r="Y794" t="s">
        <v>6046</v>
      </c>
      <c r="Z794" t="s">
        <v>6047</v>
      </c>
      <c r="AA794" s="6">
        <f t="shared" si="110"/>
        <v>946</v>
      </c>
      <c r="AB794">
        <v>253</v>
      </c>
      <c r="AC794">
        <v>75</v>
      </c>
      <c r="AD794">
        <v>60</v>
      </c>
    </row>
    <row r="795" spans="1:30" ht="17" x14ac:dyDescent="0.25">
      <c r="A795" s="1" t="s">
        <v>797</v>
      </c>
      <c r="B795" s="1" t="s">
        <v>3449</v>
      </c>
      <c r="C795" s="1" t="s">
        <v>2124</v>
      </c>
      <c r="D795" t="str">
        <f t="shared" si="111"/>
        <v>F1483B</v>
      </c>
      <c r="E795" t="str">
        <f t="shared" si="112"/>
        <v>241-72-59</v>
      </c>
      <c r="F795" t="str">
        <f t="shared" si="113"/>
        <v>2417259</v>
      </c>
      <c r="G795">
        <f t="shared" si="114"/>
        <v>241</v>
      </c>
      <c r="H795">
        <f t="shared" si="115"/>
        <v>72</v>
      </c>
      <c r="I795">
        <f t="shared" si="116"/>
        <v>59</v>
      </c>
      <c r="J795" t="str">
        <f t="shared" si="108"/>
        <v>LZ",</v>
      </c>
      <c r="K795" t="str">
        <f t="shared" si="108"/>
        <v>Hypothalamic lateral zone",</v>
      </c>
      <c r="L795" t="str">
        <f t="shared" si="109"/>
        <v>LZ</v>
      </c>
      <c r="M795" t="str">
        <f t="shared" si="109"/>
        <v>Hypothalamic lateral zone</v>
      </c>
      <c r="N795" t="s">
        <v>6048</v>
      </c>
      <c r="O795" t="s">
        <v>6049</v>
      </c>
      <c r="Q795" s="6">
        <v>1219</v>
      </c>
      <c r="R795" s="6">
        <v>760</v>
      </c>
      <c r="S795" s="6" t="s">
        <v>6899</v>
      </c>
      <c r="T795" s="6" t="s">
        <v>6898</v>
      </c>
      <c r="U795" s="6">
        <v>1000</v>
      </c>
      <c r="V795" s="6">
        <v>3</v>
      </c>
      <c r="W795" s="6" t="s">
        <v>8041</v>
      </c>
      <c r="Y795" t="s">
        <v>6048</v>
      </c>
      <c r="Z795" t="s">
        <v>6049</v>
      </c>
      <c r="AA795" s="6">
        <f t="shared" si="110"/>
        <v>290</v>
      </c>
      <c r="AB795">
        <v>241</v>
      </c>
      <c r="AC795">
        <v>72</v>
      </c>
      <c r="AD795">
        <v>59</v>
      </c>
    </row>
    <row r="796" spans="1:30" ht="17" x14ac:dyDescent="0.25">
      <c r="A796" s="1" t="s">
        <v>798</v>
      </c>
      <c r="B796" s="1" t="s">
        <v>3450</v>
      </c>
      <c r="C796" s="1" t="s">
        <v>2125</v>
      </c>
      <c r="D796" t="str">
        <f t="shared" si="111"/>
        <v>F2483A</v>
      </c>
      <c r="E796" t="str">
        <f t="shared" si="112"/>
        <v>242-72-58</v>
      </c>
      <c r="F796" t="str">
        <f t="shared" si="113"/>
        <v>2427258</v>
      </c>
      <c r="G796">
        <f t="shared" si="114"/>
        <v>242</v>
      </c>
      <c r="H796">
        <f t="shared" si="115"/>
        <v>72</v>
      </c>
      <c r="I796">
        <f t="shared" si="116"/>
        <v>58</v>
      </c>
      <c r="J796" t="str">
        <f t="shared" si="108"/>
        <v>LHA",</v>
      </c>
      <c r="K796" t="str">
        <f t="shared" si="108"/>
        <v>Lateral hypothalamic area",</v>
      </c>
      <c r="L796" t="str">
        <f t="shared" si="109"/>
        <v>LHA</v>
      </c>
      <c r="M796" t="str">
        <f t="shared" si="109"/>
        <v>Lateral hypothalamic area</v>
      </c>
      <c r="N796" t="s">
        <v>6050</v>
      </c>
      <c r="O796" t="s">
        <v>6051</v>
      </c>
      <c r="Q796" s="6">
        <v>1221</v>
      </c>
      <c r="R796" s="6">
        <v>102</v>
      </c>
      <c r="S796" s="6" t="s">
        <v>6903</v>
      </c>
      <c r="T796" s="6" t="s">
        <v>6902</v>
      </c>
      <c r="U796" s="6">
        <v>760</v>
      </c>
      <c r="V796" s="6">
        <v>4</v>
      </c>
      <c r="W796" s="6" t="s">
        <v>8042</v>
      </c>
      <c r="Y796" t="s">
        <v>6050</v>
      </c>
      <c r="Z796" t="s">
        <v>6051</v>
      </c>
      <c r="AA796" s="6">
        <f t="shared" si="110"/>
        <v>194</v>
      </c>
      <c r="AB796">
        <v>242</v>
      </c>
      <c r="AC796">
        <v>72</v>
      </c>
      <c r="AD796">
        <v>58</v>
      </c>
    </row>
    <row r="797" spans="1:30" ht="17" x14ac:dyDescent="0.25">
      <c r="A797" s="1" t="s">
        <v>799</v>
      </c>
      <c r="B797" s="1" t="s">
        <v>3451</v>
      </c>
      <c r="C797" s="1" t="s">
        <v>2126</v>
      </c>
      <c r="D797" t="str">
        <f t="shared" si="111"/>
        <v>F2473B</v>
      </c>
      <c r="E797" t="str">
        <f t="shared" si="112"/>
        <v>242-71-59</v>
      </c>
      <c r="F797" t="str">
        <f t="shared" si="113"/>
        <v>2427159</v>
      </c>
      <c r="G797">
        <f t="shared" si="114"/>
        <v>242</v>
      </c>
      <c r="H797">
        <f t="shared" si="115"/>
        <v>71</v>
      </c>
      <c r="I797">
        <f t="shared" si="116"/>
        <v>59</v>
      </c>
      <c r="J797" t="str">
        <f t="shared" si="108"/>
        <v>LPO",</v>
      </c>
      <c r="K797" t="str">
        <f t="shared" si="108"/>
        <v>Lateral preoptic area",</v>
      </c>
      <c r="L797" t="str">
        <f t="shared" si="109"/>
        <v>LPO</v>
      </c>
      <c r="M797" t="str">
        <f t="shared" si="109"/>
        <v>Lateral preoptic area</v>
      </c>
      <c r="N797" t="s">
        <v>6052</v>
      </c>
      <c r="O797" t="s">
        <v>6053</v>
      </c>
      <c r="Q797" s="6">
        <v>1226</v>
      </c>
      <c r="R797" s="6">
        <v>877</v>
      </c>
      <c r="S797" s="6" t="s">
        <v>6913</v>
      </c>
      <c r="T797" s="6" t="s">
        <v>6912</v>
      </c>
      <c r="U797" s="6">
        <v>1000</v>
      </c>
      <c r="V797" s="6">
        <v>3</v>
      </c>
      <c r="W797" s="6" t="s">
        <v>8043</v>
      </c>
      <c r="Y797" t="s">
        <v>6052</v>
      </c>
      <c r="Z797" t="s">
        <v>6053</v>
      </c>
      <c r="AA797" s="6">
        <f t="shared" si="110"/>
        <v>226</v>
      </c>
      <c r="AB797">
        <v>242</v>
      </c>
      <c r="AC797">
        <v>71</v>
      </c>
      <c r="AD797">
        <v>59</v>
      </c>
    </row>
    <row r="798" spans="1:30" ht="17" x14ac:dyDescent="0.25">
      <c r="A798" s="1" t="s">
        <v>800</v>
      </c>
      <c r="B798" s="1" t="s">
        <v>3452</v>
      </c>
      <c r="C798" s="1" t="s">
        <v>2127</v>
      </c>
      <c r="D798" t="str">
        <f t="shared" si="111"/>
        <v>F2473A</v>
      </c>
      <c r="E798" t="str">
        <f t="shared" si="112"/>
        <v>242-71-58</v>
      </c>
      <c r="F798" t="str">
        <f t="shared" si="113"/>
        <v>2427158</v>
      </c>
      <c r="G798">
        <f t="shared" si="114"/>
        <v>242</v>
      </c>
      <c r="H798">
        <f t="shared" si="115"/>
        <v>71</v>
      </c>
      <c r="I798">
        <f t="shared" si="116"/>
        <v>58</v>
      </c>
      <c r="J798" t="str">
        <f t="shared" si="108"/>
        <v>PST",</v>
      </c>
      <c r="K798" t="str">
        <f t="shared" si="108"/>
        <v>Preparasubthalamic nucleus",</v>
      </c>
      <c r="L798" t="str">
        <f t="shared" si="109"/>
        <v>PST</v>
      </c>
      <c r="M798" t="str">
        <f t="shared" si="109"/>
        <v>Preparasubthalamic nucleus</v>
      </c>
      <c r="N798" t="s">
        <v>6054</v>
      </c>
      <c r="O798" t="s">
        <v>6055</v>
      </c>
      <c r="Q798" s="6">
        <v>1227</v>
      </c>
      <c r="R798" s="6">
        <v>1051</v>
      </c>
      <c r="S798" s="6" t="s">
        <v>6915</v>
      </c>
      <c r="T798" s="6" t="s">
        <v>6914</v>
      </c>
      <c r="U798" s="6">
        <v>877</v>
      </c>
      <c r="V798" s="6">
        <v>4</v>
      </c>
      <c r="W798" s="6" t="s">
        <v>8044</v>
      </c>
      <c r="Y798" t="s">
        <v>6054</v>
      </c>
      <c r="Z798" t="s">
        <v>6055</v>
      </c>
      <c r="AA798" s="6">
        <f t="shared" si="110"/>
        <v>356</v>
      </c>
      <c r="AB798">
        <v>242</v>
      </c>
      <c r="AC798">
        <v>71</v>
      </c>
      <c r="AD798">
        <v>58</v>
      </c>
    </row>
    <row r="799" spans="1:30" ht="17" x14ac:dyDescent="0.25">
      <c r="A799" s="1" t="s">
        <v>801</v>
      </c>
      <c r="B799" s="1" t="s">
        <v>3453</v>
      </c>
      <c r="C799" s="1" t="s">
        <v>2128</v>
      </c>
      <c r="D799" t="str">
        <f t="shared" si="111"/>
        <v>F1483A</v>
      </c>
      <c r="E799" t="str">
        <f t="shared" si="112"/>
        <v>241-72-58</v>
      </c>
      <c r="F799" t="str">
        <f t="shared" si="113"/>
        <v>2417258</v>
      </c>
      <c r="G799">
        <f t="shared" si="114"/>
        <v>241</v>
      </c>
      <c r="H799">
        <f t="shared" si="115"/>
        <v>72</v>
      </c>
      <c r="I799">
        <f t="shared" si="116"/>
        <v>58</v>
      </c>
      <c r="J799" t="str">
        <f t="shared" si="108"/>
        <v>PSTN",</v>
      </c>
      <c r="K799" t="str">
        <f t="shared" si="108"/>
        <v>Parasubthalamic nucleus",</v>
      </c>
      <c r="L799" t="str">
        <f t="shared" si="109"/>
        <v>PSTN</v>
      </c>
      <c r="M799" t="str">
        <f t="shared" si="109"/>
        <v>Parasubthalamic nucleus</v>
      </c>
      <c r="N799" t="s">
        <v>6056</v>
      </c>
      <c r="O799" t="s">
        <v>6057</v>
      </c>
      <c r="Q799" s="6">
        <v>1228</v>
      </c>
      <c r="R799" s="6">
        <v>1060</v>
      </c>
      <c r="S799" s="6" t="s">
        <v>6917</v>
      </c>
      <c r="T799" s="6" t="s">
        <v>6916</v>
      </c>
      <c r="U799" s="6">
        <v>877</v>
      </c>
      <c r="V799" s="6">
        <v>4</v>
      </c>
      <c r="W799" s="6" t="s">
        <v>8045</v>
      </c>
      <c r="Y799" t="s">
        <v>6056</v>
      </c>
      <c r="Z799" t="s">
        <v>6057</v>
      </c>
      <c r="AA799" s="6">
        <f t="shared" si="110"/>
        <v>364</v>
      </c>
      <c r="AB799">
        <v>241</v>
      </c>
      <c r="AC799">
        <v>72</v>
      </c>
      <c r="AD799">
        <v>58</v>
      </c>
    </row>
    <row r="800" spans="1:30" ht="17" x14ac:dyDescent="0.25">
      <c r="A800" s="1" t="s">
        <v>802</v>
      </c>
      <c r="B800" s="1" t="s">
        <v>3454</v>
      </c>
      <c r="C800" s="1" t="s">
        <v>2129</v>
      </c>
      <c r="D800" t="str">
        <f t="shared" si="111"/>
        <v>F2463A</v>
      </c>
      <c r="E800" t="str">
        <f t="shared" si="112"/>
        <v>242-70-58</v>
      </c>
      <c r="F800" t="str">
        <f t="shared" si="113"/>
        <v>2427058</v>
      </c>
      <c r="G800">
        <f t="shared" si="114"/>
        <v>242</v>
      </c>
      <c r="H800">
        <f t="shared" si="115"/>
        <v>70</v>
      </c>
      <c r="I800">
        <f t="shared" si="116"/>
        <v>58</v>
      </c>
      <c r="J800" t="str">
        <f t="shared" si="108"/>
        <v>PeF",</v>
      </c>
      <c r="K800" t="str">
        <f t="shared" si="108"/>
        <v>Perifornical nucleus",</v>
      </c>
      <c r="L800" t="str">
        <f t="shared" si="109"/>
        <v>PeF</v>
      </c>
      <c r="M800" t="str">
        <f t="shared" si="109"/>
        <v>Perifornical nucleus</v>
      </c>
      <c r="N800" t="s">
        <v>6058</v>
      </c>
      <c r="O800" t="s">
        <v>6059</v>
      </c>
      <c r="Q800" s="6">
        <v>1229</v>
      </c>
      <c r="R800" s="6">
        <v>1043</v>
      </c>
      <c r="S800" s="6" t="s">
        <v>6919</v>
      </c>
      <c r="T800" s="6" t="s">
        <v>6918</v>
      </c>
      <c r="U800" s="6">
        <v>877</v>
      </c>
      <c r="V800" s="6">
        <v>4</v>
      </c>
      <c r="W800" s="6" t="s">
        <v>8046</v>
      </c>
      <c r="Y800" t="s">
        <v>6058</v>
      </c>
      <c r="Z800" t="s">
        <v>6059</v>
      </c>
      <c r="AA800" s="6">
        <f t="shared" si="110"/>
        <v>576073704</v>
      </c>
      <c r="AB800">
        <v>242</v>
      </c>
      <c r="AC800">
        <v>70</v>
      </c>
      <c r="AD800">
        <v>58</v>
      </c>
    </row>
    <row r="801" spans="1:30" ht="17" x14ac:dyDescent="0.25">
      <c r="A801" s="1" t="s">
        <v>803</v>
      </c>
      <c r="B801" s="1" t="s">
        <v>3455</v>
      </c>
      <c r="C801" s="1" t="s">
        <v>2130</v>
      </c>
      <c r="D801" t="str">
        <f t="shared" si="111"/>
        <v>F2483B</v>
      </c>
      <c r="E801" t="str">
        <f t="shared" si="112"/>
        <v>242-72-59</v>
      </c>
      <c r="F801" t="str">
        <f t="shared" si="113"/>
        <v>2427259</v>
      </c>
      <c r="G801">
        <f t="shared" si="114"/>
        <v>242</v>
      </c>
      <c r="H801">
        <f t="shared" si="115"/>
        <v>72</v>
      </c>
      <c r="I801">
        <f t="shared" si="116"/>
        <v>59</v>
      </c>
      <c r="J801" t="str">
        <f t="shared" si="108"/>
        <v>RCH",</v>
      </c>
      <c r="K801" t="str">
        <f t="shared" si="108"/>
        <v>Retrochiasmatic area",</v>
      </c>
      <c r="L801" t="str">
        <f t="shared" si="109"/>
        <v>RCH</v>
      </c>
      <c r="M801" t="str">
        <f t="shared" si="109"/>
        <v>Retrochiasmatic area</v>
      </c>
      <c r="N801" t="s">
        <v>6060</v>
      </c>
      <c r="O801" t="s">
        <v>6061</v>
      </c>
      <c r="Q801" s="6">
        <v>1230</v>
      </c>
      <c r="R801" s="6">
        <v>863</v>
      </c>
      <c r="S801" s="6" t="s">
        <v>6921</v>
      </c>
      <c r="T801" s="6" t="s">
        <v>6920</v>
      </c>
      <c r="U801" s="6">
        <v>1000</v>
      </c>
      <c r="V801" s="6">
        <v>3</v>
      </c>
      <c r="W801" s="6" t="s">
        <v>8047</v>
      </c>
      <c r="Y801" t="s">
        <v>6060</v>
      </c>
      <c r="Z801" t="s">
        <v>6061</v>
      </c>
      <c r="AA801" s="6">
        <f t="shared" si="110"/>
        <v>173</v>
      </c>
      <c r="AB801">
        <v>242</v>
      </c>
      <c r="AC801">
        <v>72</v>
      </c>
      <c r="AD801">
        <v>59</v>
      </c>
    </row>
    <row r="802" spans="1:30" ht="17" x14ac:dyDescent="0.25">
      <c r="A802" s="1" t="s">
        <v>804</v>
      </c>
      <c r="B802" s="1" t="s">
        <v>3456</v>
      </c>
      <c r="C802" s="1" t="s">
        <v>2131</v>
      </c>
      <c r="D802" t="str">
        <f t="shared" si="111"/>
        <v>F1473B</v>
      </c>
      <c r="E802" t="str">
        <f t="shared" si="112"/>
        <v>241-71-59</v>
      </c>
      <c r="F802" t="str">
        <f t="shared" si="113"/>
        <v>2417159</v>
      </c>
      <c r="G802">
        <f t="shared" si="114"/>
        <v>241</v>
      </c>
      <c r="H802">
        <f t="shared" si="115"/>
        <v>71</v>
      </c>
      <c r="I802">
        <f t="shared" si="116"/>
        <v>59</v>
      </c>
      <c r="J802" t="str">
        <f t="shared" si="108"/>
        <v>STN",</v>
      </c>
      <c r="K802" t="str">
        <f t="shared" si="108"/>
        <v>Subthalamic nucleus",</v>
      </c>
      <c r="L802" t="str">
        <f t="shared" si="109"/>
        <v>STN</v>
      </c>
      <c r="M802" t="str">
        <f t="shared" si="109"/>
        <v>Subthalamic nucleus</v>
      </c>
      <c r="N802" t="s">
        <v>6062</v>
      </c>
      <c r="O802" t="s">
        <v>6063</v>
      </c>
      <c r="Q802" s="6">
        <v>1231</v>
      </c>
      <c r="R802" s="6">
        <v>397</v>
      </c>
      <c r="S802" s="6" t="s">
        <v>6923</v>
      </c>
      <c r="T802" s="6" t="s">
        <v>6922</v>
      </c>
      <c r="U802" s="6">
        <v>863</v>
      </c>
      <c r="V802" s="6">
        <v>4</v>
      </c>
      <c r="W802" s="6" t="s">
        <v>8048</v>
      </c>
      <c r="Y802" t="s">
        <v>6062</v>
      </c>
      <c r="Z802" t="s">
        <v>6063</v>
      </c>
      <c r="AA802" s="6">
        <f t="shared" si="110"/>
        <v>470</v>
      </c>
      <c r="AB802">
        <v>241</v>
      </c>
      <c r="AC802">
        <v>71</v>
      </c>
      <c r="AD802">
        <v>59</v>
      </c>
    </row>
    <row r="803" spans="1:30" ht="17" x14ac:dyDescent="0.25">
      <c r="A803" s="1" t="s">
        <v>805</v>
      </c>
      <c r="B803" s="1" t="s">
        <v>3457</v>
      </c>
      <c r="C803" s="1" t="s">
        <v>2132</v>
      </c>
      <c r="D803" t="str">
        <f t="shared" si="111"/>
        <v>F24839</v>
      </c>
      <c r="E803" t="str">
        <f t="shared" si="112"/>
        <v>242-72-57</v>
      </c>
      <c r="F803" t="str">
        <f t="shared" si="113"/>
        <v>2427257</v>
      </c>
      <c r="G803">
        <f t="shared" si="114"/>
        <v>242</v>
      </c>
      <c r="H803">
        <f t="shared" si="115"/>
        <v>72</v>
      </c>
      <c r="I803">
        <f t="shared" si="116"/>
        <v>57</v>
      </c>
      <c r="J803" t="str">
        <f t="shared" si="108"/>
        <v>TU",</v>
      </c>
      <c r="K803" t="str">
        <f t="shared" si="108"/>
        <v>Tuberal nucleus",</v>
      </c>
      <c r="L803" t="str">
        <f t="shared" si="109"/>
        <v>TU</v>
      </c>
      <c r="M803" t="str">
        <f t="shared" si="109"/>
        <v>Tuberal nucleus</v>
      </c>
      <c r="N803" t="s">
        <v>6064</v>
      </c>
      <c r="O803" t="s">
        <v>6065</v>
      </c>
      <c r="Q803" s="6">
        <v>1238</v>
      </c>
      <c r="R803" s="6">
        <v>991</v>
      </c>
      <c r="S803" s="6" t="s">
        <v>6937</v>
      </c>
      <c r="T803" s="6" t="s">
        <v>6936</v>
      </c>
      <c r="U803" s="6">
        <v>1009</v>
      </c>
      <c r="V803" s="6">
        <v>2</v>
      </c>
      <c r="W803" s="6" t="s">
        <v>8049</v>
      </c>
      <c r="Y803" t="s">
        <v>6064</v>
      </c>
      <c r="Z803" t="s">
        <v>6065</v>
      </c>
      <c r="AA803" s="6">
        <f t="shared" si="110"/>
        <v>614</v>
      </c>
      <c r="AB803">
        <v>242</v>
      </c>
      <c r="AC803">
        <v>72</v>
      </c>
      <c r="AD803">
        <v>57</v>
      </c>
    </row>
    <row r="804" spans="1:30" ht="17" x14ac:dyDescent="0.25">
      <c r="A804" s="1" t="s">
        <v>806</v>
      </c>
      <c r="B804" s="1" t="s">
        <v>3458</v>
      </c>
      <c r="C804" s="1" t="s">
        <v>2133</v>
      </c>
      <c r="D804" t="str">
        <f t="shared" si="111"/>
        <v>F0483B</v>
      </c>
      <c r="E804" t="str">
        <f t="shared" si="112"/>
        <v>240-72-59</v>
      </c>
      <c r="F804" t="str">
        <f t="shared" si="113"/>
        <v>2407259</v>
      </c>
      <c r="G804">
        <f t="shared" si="114"/>
        <v>240</v>
      </c>
      <c r="H804">
        <f t="shared" si="115"/>
        <v>72</v>
      </c>
      <c r="I804">
        <f t="shared" si="116"/>
        <v>59</v>
      </c>
      <c r="J804" t="str">
        <f t="shared" si="108"/>
        <v>ZI",</v>
      </c>
      <c r="K804" t="str">
        <f t="shared" si="108"/>
        <v>Zona incerta",</v>
      </c>
      <c r="L804" t="str">
        <f t="shared" si="109"/>
        <v>ZI</v>
      </c>
      <c r="M804" t="str">
        <f t="shared" si="109"/>
        <v>Zona incerta</v>
      </c>
      <c r="N804" t="s">
        <v>6066</v>
      </c>
      <c r="O804" t="s">
        <v>6067</v>
      </c>
      <c r="Q804" s="6">
        <v>1239</v>
      </c>
      <c r="R804" s="6">
        <v>768</v>
      </c>
      <c r="S804" s="6" t="s">
        <v>6939</v>
      </c>
      <c r="T804" s="6" t="s">
        <v>6938</v>
      </c>
      <c r="U804" s="6">
        <v>991</v>
      </c>
      <c r="V804" s="6">
        <v>3</v>
      </c>
      <c r="W804" s="6" t="s">
        <v>8050</v>
      </c>
      <c r="Y804" t="s">
        <v>6066</v>
      </c>
      <c r="Z804" t="s">
        <v>6067</v>
      </c>
      <c r="AA804" s="6">
        <f t="shared" si="110"/>
        <v>797</v>
      </c>
      <c r="AB804">
        <v>240</v>
      </c>
      <c r="AC804">
        <v>72</v>
      </c>
      <c r="AD804">
        <v>59</v>
      </c>
    </row>
    <row r="805" spans="1:30" ht="17" x14ac:dyDescent="0.25">
      <c r="A805" s="1" t="s">
        <v>807</v>
      </c>
      <c r="B805" s="1" t="s">
        <v>3459</v>
      </c>
      <c r="C805" s="1" t="s">
        <v>2134</v>
      </c>
      <c r="D805" t="str">
        <f t="shared" si="111"/>
        <v>F2463B</v>
      </c>
      <c r="E805" t="str">
        <f t="shared" si="112"/>
        <v>242-70-59</v>
      </c>
      <c r="F805" t="str">
        <f t="shared" si="113"/>
        <v>2427059</v>
      </c>
      <c r="G805">
        <f t="shared" si="114"/>
        <v>242</v>
      </c>
      <c r="H805">
        <f t="shared" si="115"/>
        <v>70</v>
      </c>
      <c r="I805">
        <f t="shared" si="116"/>
        <v>59</v>
      </c>
      <c r="J805" t="str">
        <f t="shared" si="108"/>
        <v>A13",</v>
      </c>
      <c r="K805" t="str">
        <f t="shared" si="108"/>
        <v>Dopaminergic A13 group",</v>
      </c>
      <c r="L805" t="str">
        <f t="shared" si="109"/>
        <v>A13</v>
      </c>
      <c r="M805" t="str">
        <f t="shared" si="109"/>
        <v>Dopaminergic A13 group</v>
      </c>
      <c r="N805" t="s">
        <v>6068</v>
      </c>
      <c r="O805" t="s">
        <v>6069</v>
      </c>
      <c r="Q805" s="6">
        <v>1240</v>
      </c>
      <c r="R805" s="6">
        <v>884</v>
      </c>
      <c r="S805" s="6" t="s">
        <v>6941</v>
      </c>
      <c r="T805" s="6" t="s">
        <v>6940</v>
      </c>
      <c r="U805" s="6">
        <v>768</v>
      </c>
      <c r="V805" s="6">
        <v>4</v>
      </c>
      <c r="W805" s="6" t="s">
        <v>8051</v>
      </c>
      <c r="Y805" t="s">
        <v>6068</v>
      </c>
      <c r="Z805" t="s">
        <v>6069</v>
      </c>
      <c r="AA805" s="6" t="str">
        <f t="shared" si="110"/>
        <v/>
      </c>
      <c r="AB805">
        <v>242</v>
      </c>
      <c r="AC805">
        <v>70</v>
      </c>
      <c r="AD805">
        <v>59</v>
      </c>
    </row>
    <row r="806" spans="1:30" ht="17" x14ac:dyDescent="0.25">
      <c r="A806" s="1" t="s">
        <v>808</v>
      </c>
      <c r="B806" s="1" t="s">
        <v>3460</v>
      </c>
      <c r="C806" s="1" t="s">
        <v>2135</v>
      </c>
      <c r="D806" t="str">
        <f t="shared" si="111"/>
        <v>F24739</v>
      </c>
      <c r="E806" t="str">
        <f t="shared" si="112"/>
        <v>242-71-57</v>
      </c>
      <c r="F806" t="str">
        <f t="shared" si="113"/>
        <v>2427157</v>
      </c>
      <c r="G806">
        <f t="shared" si="114"/>
        <v>242</v>
      </c>
      <c r="H806">
        <f t="shared" si="115"/>
        <v>71</v>
      </c>
      <c r="I806">
        <f t="shared" si="116"/>
        <v>57</v>
      </c>
      <c r="J806" t="str">
        <f t="shared" si="108"/>
        <v>FF",</v>
      </c>
      <c r="K806" t="str">
        <f t="shared" si="108"/>
        <v>Fields of Forel",</v>
      </c>
      <c r="L806" t="str">
        <f t="shared" si="109"/>
        <v>FF</v>
      </c>
      <c r="M806" t="str">
        <f t="shared" si="109"/>
        <v>Fields of Forel</v>
      </c>
      <c r="N806" t="s">
        <v>6070</v>
      </c>
      <c r="O806" t="s">
        <v>6071</v>
      </c>
      <c r="Q806" s="6">
        <v>1242</v>
      </c>
      <c r="R806" s="6">
        <v>908</v>
      </c>
      <c r="S806" s="6" t="s">
        <v>6945</v>
      </c>
      <c r="T806" s="6" t="s">
        <v>6944</v>
      </c>
      <c r="U806" s="6">
        <v>768</v>
      </c>
      <c r="V806" s="6">
        <v>4</v>
      </c>
      <c r="W806" s="6" t="s">
        <v>8052</v>
      </c>
      <c r="Y806" t="s">
        <v>6070</v>
      </c>
      <c r="Z806" t="s">
        <v>6071</v>
      </c>
      <c r="AA806" s="6">
        <f t="shared" si="110"/>
        <v>804</v>
      </c>
      <c r="AB806">
        <v>242</v>
      </c>
      <c r="AC806">
        <v>71</v>
      </c>
      <c r="AD806">
        <v>57</v>
      </c>
    </row>
    <row r="807" spans="1:30" ht="17" x14ac:dyDescent="0.25">
      <c r="A807" s="1" t="s">
        <v>809</v>
      </c>
      <c r="B807" s="1" t="s">
        <v>3461</v>
      </c>
      <c r="C807" s="1" t="s">
        <v>2136</v>
      </c>
      <c r="D807" t="str">
        <f t="shared" si="111"/>
        <v>F1473A</v>
      </c>
      <c r="E807" t="str">
        <f t="shared" si="112"/>
        <v>241-71-58</v>
      </c>
      <c r="F807" t="str">
        <f t="shared" si="113"/>
        <v>2417158</v>
      </c>
      <c r="G807">
        <f t="shared" si="114"/>
        <v>241</v>
      </c>
      <c r="H807">
        <f t="shared" si="115"/>
        <v>71</v>
      </c>
      <c r="I807">
        <f t="shared" si="116"/>
        <v>58</v>
      </c>
      <c r="J807" t="str">
        <f t="shared" si="108"/>
        <v>ME",</v>
      </c>
      <c r="K807" t="str">
        <f t="shared" si="108"/>
        <v>Median eminence",</v>
      </c>
      <c r="L807" t="str">
        <f t="shared" si="109"/>
        <v>ME</v>
      </c>
      <c r="M807" t="str">
        <f t="shared" si="109"/>
        <v>Median eminence</v>
      </c>
      <c r="N807" t="s">
        <v>6072</v>
      </c>
      <c r="O807" t="s">
        <v>6073</v>
      </c>
      <c r="Q807" s="6">
        <v>1243</v>
      </c>
      <c r="R807" s="6">
        <v>940</v>
      </c>
      <c r="S807" s="6" t="s">
        <v>6947</v>
      </c>
      <c r="T807" s="6" t="s">
        <v>6946</v>
      </c>
      <c r="U807" s="6">
        <v>768</v>
      </c>
      <c r="V807" s="6">
        <v>4</v>
      </c>
      <c r="W807" s="6" t="s">
        <v>8053</v>
      </c>
      <c r="Y807" t="s">
        <v>6072</v>
      </c>
      <c r="Z807" t="s">
        <v>6073</v>
      </c>
      <c r="AA807" s="6">
        <f t="shared" si="110"/>
        <v>1140</v>
      </c>
      <c r="AB807">
        <v>241</v>
      </c>
      <c r="AC807">
        <v>71</v>
      </c>
      <c r="AD807">
        <v>58</v>
      </c>
    </row>
    <row r="808" spans="1:30" ht="17" x14ac:dyDescent="0.25">
      <c r="A808" s="1" t="s">
        <v>810</v>
      </c>
      <c r="B808" s="1" t="s">
        <v>3462</v>
      </c>
      <c r="C808" s="1" t="s">
        <v>2137</v>
      </c>
      <c r="D808" t="str">
        <f t="shared" si="111"/>
        <v>FF64FF</v>
      </c>
      <c r="E808" t="str">
        <f t="shared" si="112"/>
        <v>255-100-255</v>
      </c>
      <c r="F808" t="str">
        <f t="shared" si="113"/>
        <v>255100255</v>
      </c>
      <c r="G808">
        <f t="shared" si="114"/>
        <v>255</v>
      </c>
      <c r="H808">
        <f t="shared" si="115"/>
        <v>100</v>
      </c>
      <c r="I808">
        <f t="shared" si="116"/>
        <v>255</v>
      </c>
      <c r="J808" t="str">
        <f t="shared" si="108"/>
        <v>MB",</v>
      </c>
      <c r="K808" t="str">
        <f t="shared" si="108"/>
        <v>Midbrain",</v>
      </c>
      <c r="L808" t="str">
        <f t="shared" si="109"/>
        <v>MB</v>
      </c>
      <c r="M808" t="str">
        <f t="shared" si="109"/>
        <v>Midbrain</v>
      </c>
      <c r="N808" t="s">
        <v>6074</v>
      </c>
      <c r="O808" t="s">
        <v>6075</v>
      </c>
      <c r="Q808" s="6">
        <v>1244</v>
      </c>
      <c r="R808" s="6">
        <v>1099</v>
      </c>
      <c r="S808" s="6" t="s">
        <v>6949</v>
      </c>
      <c r="T808" s="6" t="s">
        <v>6948</v>
      </c>
      <c r="U808" s="6">
        <v>768</v>
      </c>
      <c r="V808" s="6">
        <v>4</v>
      </c>
      <c r="W808" s="6" t="s">
        <v>8054</v>
      </c>
      <c r="Y808" t="s">
        <v>6074</v>
      </c>
      <c r="Z808" t="s">
        <v>6075</v>
      </c>
      <c r="AA808" s="6">
        <f t="shared" si="110"/>
        <v>313</v>
      </c>
      <c r="AB808">
        <v>255</v>
      </c>
      <c r="AC808">
        <v>100</v>
      </c>
      <c r="AD808">
        <v>255</v>
      </c>
    </row>
    <row r="809" spans="1:30" ht="17" x14ac:dyDescent="0.25">
      <c r="A809" s="1" t="s">
        <v>811</v>
      </c>
      <c r="B809" s="1" t="s">
        <v>3463</v>
      </c>
      <c r="C809" s="1" t="s">
        <v>2138</v>
      </c>
      <c r="D809" t="str">
        <f t="shared" si="111"/>
        <v>FE7AFF</v>
      </c>
      <c r="E809" t="str">
        <f t="shared" si="112"/>
        <v>254-122-255</v>
      </c>
      <c r="F809" t="str">
        <f t="shared" si="113"/>
        <v>254122255</v>
      </c>
      <c r="G809">
        <f t="shared" si="114"/>
        <v>254</v>
      </c>
      <c r="H809">
        <f t="shared" si="115"/>
        <v>122</v>
      </c>
      <c r="I809">
        <f t="shared" si="116"/>
        <v>255</v>
      </c>
      <c r="J809" t="str">
        <f t="shared" si="108"/>
        <v>MBsen",</v>
      </c>
      <c r="K809" t="str">
        <f t="shared" si="108"/>
        <v>Midbrain, sensory related",</v>
      </c>
      <c r="L809" t="str">
        <f t="shared" si="109"/>
        <v>MBsen</v>
      </c>
      <c r="M809" t="str">
        <f t="shared" si="109"/>
        <v>Midbrain, sensory related</v>
      </c>
      <c r="N809" t="s">
        <v>6076</v>
      </c>
      <c r="O809" t="s">
        <v>6077</v>
      </c>
      <c r="Q809" s="6">
        <v>1245</v>
      </c>
      <c r="R809" s="6">
        <v>466</v>
      </c>
      <c r="S809" s="6" t="s">
        <v>6951</v>
      </c>
      <c r="T809" s="6" t="s">
        <v>6950</v>
      </c>
      <c r="U809" s="6">
        <v>1099</v>
      </c>
      <c r="V809" s="6">
        <v>5</v>
      </c>
      <c r="W809" s="6" t="s">
        <v>8055</v>
      </c>
      <c r="Y809" t="s">
        <v>6076</v>
      </c>
      <c r="Z809" t="s">
        <v>6077</v>
      </c>
      <c r="AA809" s="6">
        <f t="shared" si="110"/>
        <v>339</v>
      </c>
      <c r="AB809">
        <v>254</v>
      </c>
      <c r="AC809">
        <v>122</v>
      </c>
      <c r="AD809">
        <v>255</v>
      </c>
    </row>
    <row r="810" spans="1:30" ht="17" x14ac:dyDescent="0.25">
      <c r="A810" s="1" t="s">
        <v>812</v>
      </c>
      <c r="B810" s="1" t="s">
        <v>3464</v>
      </c>
      <c r="C810" s="1" t="s">
        <v>2139</v>
      </c>
      <c r="D810" t="str">
        <f t="shared" si="111"/>
        <v>FF79FF</v>
      </c>
      <c r="E810" t="str">
        <f t="shared" si="112"/>
        <v>255-121-255</v>
      </c>
      <c r="F810" t="str">
        <f t="shared" si="113"/>
        <v>255121255</v>
      </c>
      <c r="G810">
        <f t="shared" si="114"/>
        <v>255</v>
      </c>
      <c r="H810">
        <f t="shared" si="115"/>
        <v>121</v>
      </c>
      <c r="I810">
        <f t="shared" si="116"/>
        <v>255</v>
      </c>
      <c r="J810" t="str">
        <f t="shared" si="108"/>
        <v>SCs",</v>
      </c>
      <c r="K810" t="str">
        <f t="shared" si="108"/>
        <v>Superior colliculus, sensory related",</v>
      </c>
      <c r="L810" t="str">
        <f t="shared" si="109"/>
        <v>SCs</v>
      </c>
      <c r="M810" t="str">
        <f t="shared" si="109"/>
        <v>Superior colliculus, sensory related</v>
      </c>
      <c r="N810" t="s">
        <v>6078</v>
      </c>
      <c r="O810" t="s">
        <v>6079</v>
      </c>
      <c r="Q810" s="6">
        <v>1246</v>
      </c>
      <c r="R810" s="6">
        <v>530</v>
      </c>
      <c r="S810" s="6" t="s">
        <v>6953</v>
      </c>
      <c r="T810" s="6" t="s">
        <v>6952</v>
      </c>
      <c r="U810" s="6">
        <v>1099</v>
      </c>
      <c r="V810" s="6">
        <v>5</v>
      </c>
      <c r="W810" s="6" t="s">
        <v>8056</v>
      </c>
      <c r="Y810" t="s">
        <v>6078</v>
      </c>
      <c r="Z810" t="s">
        <v>6079</v>
      </c>
      <c r="AA810" s="6">
        <f t="shared" si="110"/>
        <v>302</v>
      </c>
      <c r="AB810">
        <v>255</v>
      </c>
      <c r="AC810">
        <v>121</v>
      </c>
      <c r="AD810">
        <v>255</v>
      </c>
    </row>
    <row r="811" spans="1:30" ht="17" x14ac:dyDescent="0.25">
      <c r="A811" s="1" t="s">
        <v>813</v>
      </c>
      <c r="B811" s="1" t="s">
        <v>3465</v>
      </c>
      <c r="C811" s="1" t="s">
        <v>2140</v>
      </c>
      <c r="D811" t="str">
        <f t="shared" si="111"/>
        <v>FD7AFF</v>
      </c>
      <c r="E811" t="str">
        <f t="shared" si="112"/>
        <v>253-122-255</v>
      </c>
      <c r="F811" t="str">
        <f t="shared" si="113"/>
        <v>253122255</v>
      </c>
      <c r="G811">
        <f t="shared" si="114"/>
        <v>253</v>
      </c>
      <c r="H811">
        <f t="shared" si="115"/>
        <v>122</v>
      </c>
      <c r="I811">
        <f t="shared" si="116"/>
        <v>255</v>
      </c>
      <c r="J811" t="str">
        <f t="shared" si="108"/>
        <v>SCop",</v>
      </c>
      <c r="K811" t="str">
        <f t="shared" si="108"/>
        <v>Superior colliculus, optic layer",</v>
      </c>
      <c r="L811" t="str">
        <f t="shared" si="109"/>
        <v>SCop</v>
      </c>
      <c r="M811" t="str">
        <f t="shared" si="109"/>
        <v>Superior colliculus, optic layer</v>
      </c>
      <c r="N811" t="s">
        <v>6080</v>
      </c>
      <c r="O811" t="s">
        <v>6081</v>
      </c>
      <c r="Q811" s="6">
        <v>1247</v>
      </c>
      <c r="R811" s="6">
        <v>603</v>
      </c>
      <c r="S811" s="6" t="s">
        <v>6955</v>
      </c>
      <c r="T811" s="6" t="s">
        <v>6954</v>
      </c>
      <c r="U811" s="6">
        <v>1099</v>
      </c>
      <c r="V811" s="6">
        <v>5</v>
      </c>
      <c r="W811" s="6" t="s">
        <v>8057</v>
      </c>
      <c r="Y811" t="s">
        <v>6080</v>
      </c>
      <c r="Z811" t="s">
        <v>6081</v>
      </c>
      <c r="AA811" s="6">
        <f t="shared" si="110"/>
        <v>851</v>
      </c>
      <c r="AB811">
        <v>253</v>
      </c>
      <c r="AC811">
        <v>122</v>
      </c>
      <c r="AD811">
        <v>255</v>
      </c>
    </row>
    <row r="812" spans="1:30" ht="17" x14ac:dyDescent="0.25">
      <c r="A812" s="1" t="s">
        <v>814</v>
      </c>
      <c r="B812" s="1" t="s">
        <v>3466</v>
      </c>
      <c r="C812" s="1" t="s">
        <v>2141</v>
      </c>
      <c r="D812" t="str">
        <f t="shared" si="111"/>
        <v>FF78FF</v>
      </c>
      <c r="E812" t="str">
        <f t="shared" si="112"/>
        <v>255-120-255</v>
      </c>
      <c r="F812" t="str">
        <f t="shared" si="113"/>
        <v>255120255</v>
      </c>
      <c r="G812">
        <f t="shared" si="114"/>
        <v>255</v>
      </c>
      <c r="H812">
        <f t="shared" si="115"/>
        <v>120</v>
      </c>
      <c r="I812">
        <f t="shared" si="116"/>
        <v>255</v>
      </c>
      <c r="J812" t="str">
        <f t="shared" si="108"/>
        <v>SCsg",</v>
      </c>
      <c r="K812" t="str">
        <f t="shared" si="108"/>
        <v>Superior colliculus, superficial gray layer",</v>
      </c>
      <c r="L812" t="str">
        <f t="shared" si="109"/>
        <v>SCsg</v>
      </c>
      <c r="M812" t="str">
        <f t="shared" si="109"/>
        <v>Superior colliculus, superficial gray layer</v>
      </c>
      <c r="N812" t="s">
        <v>6082</v>
      </c>
      <c r="O812" t="s">
        <v>6083</v>
      </c>
      <c r="Q812" s="6">
        <v>1250</v>
      </c>
      <c r="R812" s="6">
        <v>737</v>
      </c>
      <c r="S812" s="6" t="s">
        <v>6961</v>
      </c>
      <c r="T812" s="6" t="s">
        <v>6960</v>
      </c>
      <c r="U812" s="6">
        <v>1099</v>
      </c>
      <c r="V812" s="6">
        <v>5</v>
      </c>
      <c r="W812" s="6" t="s">
        <v>8058</v>
      </c>
      <c r="Y812" t="s">
        <v>6082</v>
      </c>
      <c r="Z812" t="s">
        <v>6083</v>
      </c>
      <c r="AA812" s="6">
        <f t="shared" si="110"/>
        <v>842</v>
      </c>
      <c r="AB812">
        <v>255</v>
      </c>
      <c r="AC812">
        <v>120</v>
      </c>
      <c r="AD812">
        <v>255</v>
      </c>
    </row>
    <row r="813" spans="1:30" ht="17" x14ac:dyDescent="0.25">
      <c r="A813" s="1" t="s">
        <v>815</v>
      </c>
      <c r="B813" s="1" t="s">
        <v>3467</v>
      </c>
      <c r="C813" s="1" t="s">
        <v>2142</v>
      </c>
      <c r="D813" t="str">
        <f t="shared" si="111"/>
        <v>FF7AFD</v>
      </c>
      <c r="E813" t="str">
        <f t="shared" si="112"/>
        <v>255-122-253</v>
      </c>
      <c r="F813" t="str">
        <f t="shared" si="113"/>
        <v>255122253</v>
      </c>
      <c r="G813">
        <f t="shared" si="114"/>
        <v>255</v>
      </c>
      <c r="H813">
        <f t="shared" si="115"/>
        <v>122</v>
      </c>
      <c r="I813">
        <f t="shared" si="116"/>
        <v>253</v>
      </c>
      <c r="J813" t="str">
        <f t="shared" si="108"/>
        <v>SCzo",</v>
      </c>
      <c r="K813" t="str">
        <f t="shared" si="108"/>
        <v>Superior colliculus, zonal layer",</v>
      </c>
      <c r="L813" t="str">
        <f t="shared" si="109"/>
        <v>SCzo</v>
      </c>
      <c r="M813" t="str">
        <f t="shared" si="109"/>
        <v>Superior colliculus, zonal layer</v>
      </c>
      <c r="N813" t="s">
        <v>6084</v>
      </c>
      <c r="O813" t="s">
        <v>6085</v>
      </c>
      <c r="Q813" s="6">
        <v>1251</v>
      </c>
      <c r="R813" s="6">
        <v>428</v>
      </c>
      <c r="S813" s="6" t="s">
        <v>6963</v>
      </c>
      <c r="T813" s="6" t="s">
        <v>6962</v>
      </c>
      <c r="U813" s="6">
        <v>737</v>
      </c>
      <c r="V813" s="6">
        <v>6</v>
      </c>
      <c r="W813" s="6" t="s">
        <v>8059</v>
      </c>
      <c r="Y813" t="s">
        <v>6084</v>
      </c>
      <c r="Z813" t="s">
        <v>6085</v>
      </c>
      <c r="AA813" s="6">
        <f t="shared" si="110"/>
        <v>834</v>
      </c>
      <c r="AB813">
        <v>255</v>
      </c>
      <c r="AC813">
        <v>122</v>
      </c>
      <c r="AD813">
        <v>253</v>
      </c>
    </row>
    <row r="814" spans="1:30" ht="17" x14ac:dyDescent="0.25">
      <c r="A814" s="1" t="s">
        <v>816</v>
      </c>
      <c r="B814" s="1" t="s">
        <v>3468</v>
      </c>
      <c r="C814" s="1" t="s">
        <v>2143</v>
      </c>
      <c r="D814" t="str">
        <f t="shared" si="111"/>
        <v>FF7AFF</v>
      </c>
      <c r="E814" t="str">
        <f t="shared" si="112"/>
        <v>255-122-255</v>
      </c>
      <c r="F814" t="str">
        <f t="shared" si="113"/>
        <v>255122255</v>
      </c>
      <c r="G814">
        <f t="shared" si="114"/>
        <v>255</v>
      </c>
      <c r="H814">
        <f t="shared" si="115"/>
        <v>122</v>
      </c>
      <c r="I814">
        <f t="shared" si="116"/>
        <v>255</v>
      </c>
      <c r="J814" t="str">
        <f t="shared" si="108"/>
        <v>IC",</v>
      </c>
      <c r="K814" t="str">
        <f t="shared" si="108"/>
        <v>Inferior colliculus",</v>
      </c>
      <c r="L814" t="str">
        <f t="shared" si="109"/>
        <v>IC</v>
      </c>
      <c r="M814" t="str">
        <f t="shared" si="109"/>
        <v>Inferior colliculus</v>
      </c>
      <c r="N814" t="s">
        <v>6086</v>
      </c>
      <c r="O814" t="s">
        <v>6087</v>
      </c>
      <c r="Q814" s="6">
        <v>1252</v>
      </c>
      <c r="R814" s="6">
        <v>436</v>
      </c>
      <c r="S814" s="6" t="s">
        <v>6965</v>
      </c>
      <c r="T814" s="6" t="s">
        <v>6964</v>
      </c>
      <c r="U814" s="6">
        <v>737</v>
      </c>
      <c r="V814" s="6">
        <v>6</v>
      </c>
      <c r="W814" s="6" t="s">
        <v>8060</v>
      </c>
      <c r="Y814" t="s">
        <v>6086</v>
      </c>
      <c r="Z814" t="s">
        <v>6087</v>
      </c>
      <c r="AA814" s="6">
        <f t="shared" si="110"/>
        <v>4</v>
      </c>
      <c r="AB814">
        <v>255</v>
      </c>
      <c r="AC814">
        <v>122</v>
      </c>
      <c r="AD814">
        <v>255</v>
      </c>
    </row>
    <row r="815" spans="1:30" ht="17" x14ac:dyDescent="0.25">
      <c r="A815" s="1" t="s">
        <v>817</v>
      </c>
      <c r="B815" s="1" t="s">
        <v>3469</v>
      </c>
      <c r="C815" s="1" t="s">
        <v>2144</v>
      </c>
      <c r="D815" t="str">
        <f t="shared" si="111"/>
        <v>FE7AFE</v>
      </c>
      <c r="E815" t="str">
        <f t="shared" si="112"/>
        <v>254-122-254</v>
      </c>
      <c r="F815" t="str">
        <f t="shared" si="113"/>
        <v>254122254</v>
      </c>
      <c r="G815">
        <f t="shared" si="114"/>
        <v>254</v>
      </c>
      <c r="H815">
        <f t="shared" si="115"/>
        <v>122</v>
      </c>
      <c r="I815">
        <f t="shared" si="116"/>
        <v>254</v>
      </c>
      <c r="J815" t="str">
        <f t="shared" si="108"/>
        <v>ICc",</v>
      </c>
      <c r="K815" t="str">
        <f t="shared" si="108"/>
        <v>Inferior colliculus, central nucleus",</v>
      </c>
      <c r="L815" t="str">
        <f t="shared" si="109"/>
        <v>ICc</v>
      </c>
      <c r="M815" t="str">
        <f t="shared" si="109"/>
        <v>Inferior colliculus, central nucleus</v>
      </c>
      <c r="N815" t="s">
        <v>6088</v>
      </c>
      <c r="O815" t="s">
        <v>6089</v>
      </c>
      <c r="Q815" s="6">
        <v>1253</v>
      </c>
      <c r="R815" s="6">
        <v>618</v>
      </c>
      <c r="S815" s="6" t="s">
        <v>6967</v>
      </c>
      <c r="T815" s="6" t="s">
        <v>6966</v>
      </c>
      <c r="U815" s="6">
        <v>1099</v>
      </c>
      <c r="V815" s="6">
        <v>5</v>
      </c>
      <c r="W815" s="6" t="s">
        <v>8061</v>
      </c>
      <c r="Y815" t="s">
        <v>6088</v>
      </c>
      <c r="Z815" t="s">
        <v>6089</v>
      </c>
      <c r="AA815" s="6">
        <f t="shared" si="110"/>
        <v>811</v>
      </c>
      <c r="AB815">
        <v>254</v>
      </c>
      <c r="AC815">
        <v>122</v>
      </c>
      <c r="AD815">
        <v>254</v>
      </c>
    </row>
    <row r="816" spans="1:30" ht="17" x14ac:dyDescent="0.25">
      <c r="A816" s="1" t="s">
        <v>818</v>
      </c>
      <c r="B816" s="1" t="s">
        <v>3470</v>
      </c>
      <c r="C816" s="1" t="s">
        <v>2145</v>
      </c>
      <c r="D816" t="str">
        <f t="shared" si="111"/>
        <v>FE79FF</v>
      </c>
      <c r="E816" t="str">
        <f t="shared" si="112"/>
        <v>254-121-255</v>
      </c>
      <c r="F816" t="str">
        <f t="shared" si="113"/>
        <v>254121255</v>
      </c>
      <c r="G816">
        <f t="shared" si="114"/>
        <v>254</v>
      </c>
      <c r="H816">
        <f t="shared" si="115"/>
        <v>121</v>
      </c>
      <c r="I816">
        <f t="shared" si="116"/>
        <v>255</v>
      </c>
      <c r="J816" t="str">
        <f t="shared" si="108"/>
        <v>ICd",</v>
      </c>
      <c r="K816" t="str">
        <f t="shared" si="108"/>
        <v>Inferior colliculus, dorsal nucleus",</v>
      </c>
      <c r="L816" t="str">
        <f t="shared" si="109"/>
        <v>ICd</v>
      </c>
      <c r="M816" t="str">
        <f t="shared" si="109"/>
        <v>Inferior colliculus, dorsal nucleus</v>
      </c>
      <c r="N816" t="s">
        <v>6090</v>
      </c>
      <c r="O816" t="s">
        <v>6091</v>
      </c>
      <c r="Q816" s="6">
        <v>1254</v>
      </c>
      <c r="R816" s="6">
        <v>443</v>
      </c>
      <c r="S816" s="6" t="s">
        <v>6969</v>
      </c>
      <c r="T816" s="6" t="s">
        <v>6968</v>
      </c>
      <c r="U816" s="6">
        <v>618</v>
      </c>
      <c r="V816" s="6">
        <v>6</v>
      </c>
      <c r="W816" s="6" t="s">
        <v>8062</v>
      </c>
      <c r="Y816" t="s">
        <v>6090</v>
      </c>
      <c r="Z816" t="s">
        <v>6091</v>
      </c>
      <c r="AA816" s="6">
        <f t="shared" si="110"/>
        <v>820</v>
      </c>
      <c r="AB816">
        <v>254</v>
      </c>
      <c r="AC816">
        <v>121</v>
      </c>
      <c r="AD816">
        <v>255</v>
      </c>
    </row>
    <row r="817" spans="1:30" ht="17" x14ac:dyDescent="0.25">
      <c r="A817" s="1" t="s">
        <v>819</v>
      </c>
      <c r="B817" s="1" t="s">
        <v>3471</v>
      </c>
      <c r="C817" s="1" t="s">
        <v>2146</v>
      </c>
      <c r="D817" t="str">
        <f t="shared" si="111"/>
        <v>FE79FE</v>
      </c>
      <c r="E817" t="str">
        <f t="shared" si="112"/>
        <v>254-121-254</v>
      </c>
      <c r="F817" t="str">
        <f t="shared" si="113"/>
        <v>254121254</v>
      </c>
      <c r="G817">
        <f t="shared" si="114"/>
        <v>254</v>
      </c>
      <c r="H817">
        <f t="shared" si="115"/>
        <v>121</v>
      </c>
      <c r="I817">
        <f t="shared" si="116"/>
        <v>254</v>
      </c>
      <c r="J817" t="str">
        <f t="shared" si="108"/>
        <v>ICe",</v>
      </c>
      <c r="K817" t="str">
        <f t="shared" si="108"/>
        <v>Inferior colliculus, external nucleus",</v>
      </c>
      <c r="L817" t="str">
        <f t="shared" si="109"/>
        <v>ICe</v>
      </c>
      <c r="M817" t="str">
        <f t="shared" si="109"/>
        <v>Inferior colliculus, external nucleus</v>
      </c>
      <c r="N817" t="s">
        <v>6092</v>
      </c>
      <c r="O817" t="s">
        <v>6093</v>
      </c>
      <c r="Q817" s="6">
        <v>1255</v>
      </c>
      <c r="R817" s="6">
        <v>449</v>
      </c>
      <c r="S817" s="6" t="s">
        <v>6971</v>
      </c>
      <c r="T817" s="6" t="s">
        <v>6970</v>
      </c>
      <c r="U817" s="6">
        <v>618</v>
      </c>
      <c r="V817" s="6">
        <v>6</v>
      </c>
      <c r="W817" s="6" t="s">
        <v>8063</v>
      </c>
      <c r="Y817" t="s">
        <v>6092</v>
      </c>
      <c r="Z817" t="s">
        <v>6093</v>
      </c>
      <c r="AA817" s="6">
        <f t="shared" si="110"/>
        <v>828</v>
      </c>
      <c r="AB817">
        <v>254</v>
      </c>
      <c r="AC817">
        <v>121</v>
      </c>
      <c r="AD817">
        <v>254</v>
      </c>
    </row>
    <row r="818" spans="1:30" ht="17" x14ac:dyDescent="0.25">
      <c r="A818" s="1" t="s">
        <v>820</v>
      </c>
      <c r="B818" s="1" t="s">
        <v>3472</v>
      </c>
      <c r="C818" s="1" t="s">
        <v>2147</v>
      </c>
      <c r="D818" t="str">
        <f t="shared" si="111"/>
        <v>FE7AFD</v>
      </c>
      <c r="E818" t="str">
        <f t="shared" si="112"/>
        <v>254-122-253</v>
      </c>
      <c r="F818" t="str">
        <f t="shared" si="113"/>
        <v>254122253</v>
      </c>
      <c r="G818">
        <f t="shared" si="114"/>
        <v>254</v>
      </c>
      <c r="H818">
        <f t="shared" si="115"/>
        <v>122</v>
      </c>
      <c r="I818">
        <f t="shared" si="116"/>
        <v>253</v>
      </c>
      <c r="J818" t="str">
        <f t="shared" si="108"/>
        <v>NB",</v>
      </c>
      <c r="K818" t="str">
        <f t="shared" si="108"/>
        <v>Nucleus of the brachium of the inferior colliculus",</v>
      </c>
      <c r="L818" t="str">
        <f t="shared" si="109"/>
        <v>NB</v>
      </c>
      <c r="M818" t="str">
        <f t="shared" si="109"/>
        <v>Nucleus of the brachium of the inferior colliculus</v>
      </c>
      <c r="N818" t="s">
        <v>6094</v>
      </c>
      <c r="O818" t="s">
        <v>6095</v>
      </c>
      <c r="Q818" s="6">
        <v>1259</v>
      </c>
      <c r="R818" s="6">
        <v>301</v>
      </c>
      <c r="S818" s="6" t="s">
        <v>6979</v>
      </c>
      <c r="T818" s="6" t="s">
        <v>6978</v>
      </c>
      <c r="U818" s="6">
        <v>768</v>
      </c>
      <c r="V818" s="6">
        <v>4</v>
      </c>
      <c r="W818" s="6" t="s">
        <v>8064</v>
      </c>
      <c r="Y818" t="s">
        <v>6094</v>
      </c>
      <c r="Z818" t="s">
        <v>6095</v>
      </c>
      <c r="AA818" s="6">
        <f t="shared" si="110"/>
        <v>580</v>
      </c>
      <c r="AB818">
        <v>254</v>
      </c>
      <c r="AC818">
        <v>122</v>
      </c>
      <c r="AD818">
        <v>253</v>
      </c>
    </row>
    <row r="819" spans="1:30" ht="17" x14ac:dyDescent="0.25">
      <c r="A819" s="1" t="s">
        <v>821</v>
      </c>
      <c r="B819" s="1" t="s">
        <v>3473</v>
      </c>
      <c r="C819" s="1" t="s">
        <v>2148</v>
      </c>
      <c r="D819" t="str">
        <f t="shared" si="111"/>
        <v>FF7AFE</v>
      </c>
      <c r="E819" t="str">
        <f t="shared" si="112"/>
        <v>255-122-254</v>
      </c>
      <c r="F819" t="str">
        <f t="shared" si="113"/>
        <v>255122254</v>
      </c>
      <c r="G819">
        <f t="shared" si="114"/>
        <v>255</v>
      </c>
      <c r="H819">
        <f t="shared" si="115"/>
        <v>122</v>
      </c>
      <c r="I819">
        <f t="shared" si="116"/>
        <v>254</v>
      </c>
      <c r="J819" t="str">
        <f t="shared" si="108"/>
        <v>SAG",</v>
      </c>
      <c r="K819" t="str">
        <f t="shared" si="108"/>
        <v>Nucleus sagulum",</v>
      </c>
      <c r="L819" t="str">
        <f t="shared" si="109"/>
        <v>SAG</v>
      </c>
      <c r="M819" t="str">
        <f t="shared" si="109"/>
        <v>Nucleus sagulum</v>
      </c>
      <c r="N819" t="s">
        <v>6096</v>
      </c>
      <c r="O819" t="s">
        <v>6097</v>
      </c>
      <c r="Q819" s="6">
        <v>1260</v>
      </c>
      <c r="R819" s="6">
        <v>301</v>
      </c>
      <c r="S819" s="6" t="s">
        <v>6981</v>
      </c>
      <c r="T819" s="6" t="s">
        <v>6980</v>
      </c>
      <c r="U819" s="6">
        <v>301</v>
      </c>
      <c r="V819" s="6">
        <v>5</v>
      </c>
      <c r="W819" s="6" t="s">
        <v>8090</v>
      </c>
      <c r="Y819" t="s">
        <v>6096</v>
      </c>
      <c r="Z819" t="s">
        <v>6097</v>
      </c>
      <c r="AA819" s="6">
        <f t="shared" si="110"/>
        <v>271</v>
      </c>
      <c r="AB819">
        <v>255</v>
      </c>
      <c r="AC819">
        <v>122</v>
      </c>
      <c r="AD819">
        <v>254</v>
      </c>
    </row>
    <row r="820" spans="1:30" ht="17" x14ac:dyDescent="0.25">
      <c r="A820" s="1" t="s">
        <v>822</v>
      </c>
      <c r="B820" s="1" t="s">
        <v>3474</v>
      </c>
      <c r="C820" s="1" t="s">
        <v>2149</v>
      </c>
      <c r="D820" t="str">
        <f t="shared" si="111"/>
        <v>FF79FD</v>
      </c>
      <c r="E820" t="str">
        <f t="shared" si="112"/>
        <v>255-121-253</v>
      </c>
      <c r="F820" t="str">
        <f t="shared" si="113"/>
        <v>255121253</v>
      </c>
      <c r="G820">
        <f t="shared" si="114"/>
        <v>255</v>
      </c>
      <c r="H820">
        <f t="shared" si="115"/>
        <v>121</v>
      </c>
      <c r="I820">
        <f t="shared" si="116"/>
        <v>253</v>
      </c>
      <c r="J820" t="str">
        <f t="shared" si="108"/>
        <v>PBG",</v>
      </c>
      <c r="K820" t="str">
        <f t="shared" si="108"/>
        <v>Parabigeminal nucleus",</v>
      </c>
      <c r="L820" t="str">
        <f t="shared" si="109"/>
        <v>PBG</v>
      </c>
      <c r="M820" t="str">
        <f t="shared" si="109"/>
        <v>Parabigeminal nucleus</v>
      </c>
      <c r="N820" t="s">
        <v>6098</v>
      </c>
      <c r="O820" t="s">
        <v>6099</v>
      </c>
      <c r="Q820" s="6">
        <v>1261</v>
      </c>
      <c r="R820" s="6">
        <v>824</v>
      </c>
      <c r="S820" s="6" t="s">
        <v>6983</v>
      </c>
      <c r="T820" s="6" t="s">
        <v>6982</v>
      </c>
      <c r="U820" s="6">
        <v>991</v>
      </c>
      <c r="V820" s="6">
        <v>3</v>
      </c>
      <c r="W820" s="6" t="s">
        <v>8065</v>
      </c>
      <c r="Y820" t="s">
        <v>6098</v>
      </c>
      <c r="Z820" t="s">
        <v>6099</v>
      </c>
      <c r="AA820" s="6">
        <f t="shared" si="110"/>
        <v>874</v>
      </c>
      <c r="AB820">
        <v>255</v>
      </c>
      <c r="AC820">
        <v>121</v>
      </c>
      <c r="AD820">
        <v>253</v>
      </c>
    </row>
    <row r="821" spans="1:30" ht="17" x14ac:dyDescent="0.25">
      <c r="A821" s="1" t="s">
        <v>823</v>
      </c>
      <c r="B821" s="1" t="s">
        <v>3475</v>
      </c>
      <c r="C821" s="1" t="s">
        <v>2150</v>
      </c>
      <c r="D821" t="str">
        <f t="shared" si="111"/>
        <v>FF79FE</v>
      </c>
      <c r="E821" t="str">
        <f t="shared" si="112"/>
        <v>255-121-254</v>
      </c>
      <c r="F821" t="str">
        <f t="shared" si="113"/>
        <v>255121254</v>
      </c>
      <c r="G821">
        <f t="shared" si="114"/>
        <v>255</v>
      </c>
      <c r="H821">
        <f t="shared" si="115"/>
        <v>121</v>
      </c>
      <c r="I821">
        <f t="shared" si="116"/>
        <v>254</v>
      </c>
      <c r="J821" t="str">
        <f t="shared" si="108"/>
        <v>MEV",</v>
      </c>
      <c r="K821" t="str">
        <f t="shared" si="108"/>
        <v>Midbrain trigeminal nucleus",</v>
      </c>
      <c r="L821" t="str">
        <f t="shared" si="109"/>
        <v>MEV</v>
      </c>
      <c r="M821" t="str">
        <f t="shared" si="109"/>
        <v>Midbrain trigeminal nucleus</v>
      </c>
      <c r="N821" t="s">
        <v>6100</v>
      </c>
      <c r="O821" t="s">
        <v>6101</v>
      </c>
      <c r="Q821" s="6">
        <v>1262</v>
      </c>
      <c r="R821" s="6">
        <v>54</v>
      </c>
      <c r="S821" s="6" t="s">
        <v>6985</v>
      </c>
      <c r="T821" s="6" t="s">
        <v>6984</v>
      </c>
      <c r="U821" s="6">
        <v>824</v>
      </c>
      <c r="V821" s="6">
        <v>4</v>
      </c>
      <c r="W821" s="6" t="s">
        <v>8066</v>
      </c>
      <c r="Y821" t="s">
        <v>6100</v>
      </c>
      <c r="Z821" t="s">
        <v>6101</v>
      </c>
      <c r="AA821" s="6">
        <f t="shared" si="110"/>
        <v>460</v>
      </c>
      <c r="AB821">
        <v>255</v>
      </c>
      <c r="AC821">
        <v>121</v>
      </c>
      <c r="AD821">
        <v>254</v>
      </c>
    </row>
    <row r="822" spans="1:30" ht="17" x14ac:dyDescent="0.25">
      <c r="A822" s="1" t="s">
        <v>824</v>
      </c>
      <c r="B822" s="1" t="s">
        <v>3476</v>
      </c>
      <c r="C822" s="1" t="s">
        <v>2151</v>
      </c>
      <c r="D822" t="str">
        <f t="shared" si="111"/>
        <v>FF78FE</v>
      </c>
      <c r="E822" t="str">
        <f t="shared" si="112"/>
        <v>255-120-254</v>
      </c>
      <c r="F822" t="str">
        <f t="shared" si="113"/>
        <v>255120254</v>
      </c>
      <c r="G822">
        <f t="shared" si="114"/>
        <v>255</v>
      </c>
      <c r="H822">
        <f t="shared" si="115"/>
        <v>120</v>
      </c>
      <c r="I822">
        <f t="shared" si="116"/>
        <v>254</v>
      </c>
      <c r="J822" t="str">
        <f t="shared" si="108"/>
        <v>SCO",</v>
      </c>
      <c r="K822" t="str">
        <f t="shared" si="108"/>
        <v>Subcommissural organ",</v>
      </c>
      <c r="L822" t="str">
        <f t="shared" si="109"/>
        <v>SCO</v>
      </c>
      <c r="M822" t="str">
        <f t="shared" si="109"/>
        <v>Subcommissural organ</v>
      </c>
      <c r="N822" t="s">
        <v>6102</v>
      </c>
      <c r="O822" t="s">
        <v>6103</v>
      </c>
      <c r="Q822" s="6">
        <v>1265</v>
      </c>
      <c r="R822" s="6">
        <v>349</v>
      </c>
      <c r="S822" s="6" t="s">
        <v>6991</v>
      </c>
      <c r="T822" s="6" t="s">
        <v>6990</v>
      </c>
      <c r="U822" s="6">
        <v>824</v>
      </c>
      <c r="V822" s="6">
        <v>4</v>
      </c>
      <c r="W822" s="6" t="s">
        <v>8067</v>
      </c>
      <c r="Y822" t="s">
        <v>6102</v>
      </c>
      <c r="Z822" t="s">
        <v>6103</v>
      </c>
      <c r="AA822" s="6">
        <f t="shared" si="110"/>
        <v>599626923</v>
      </c>
      <c r="AB822">
        <v>255</v>
      </c>
      <c r="AC822">
        <v>120</v>
      </c>
      <c r="AD822">
        <v>254</v>
      </c>
    </row>
    <row r="823" spans="1:30" ht="17" x14ac:dyDescent="0.25">
      <c r="A823" s="1" t="s">
        <v>825</v>
      </c>
      <c r="B823" s="1" t="s">
        <v>3477</v>
      </c>
      <c r="C823" s="1" t="s">
        <v>2152</v>
      </c>
      <c r="D823" t="str">
        <f t="shared" si="111"/>
        <v>FE8EFE</v>
      </c>
      <c r="E823" t="str">
        <f t="shared" si="112"/>
        <v>254-142-254</v>
      </c>
      <c r="F823" t="str">
        <f t="shared" si="113"/>
        <v>254142254</v>
      </c>
      <c r="G823">
        <f t="shared" si="114"/>
        <v>254</v>
      </c>
      <c r="H823">
        <f t="shared" si="115"/>
        <v>142</v>
      </c>
      <c r="I823">
        <f t="shared" si="116"/>
        <v>254</v>
      </c>
      <c r="J823" t="str">
        <f t="shared" si="108"/>
        <v>MBmot",</v>
      </c>
      <c r="K823" t="str">
        <f t="shared" si="108"/>
        <v>Midbrain, motor related",</v>
      </c>
      <c r="L823" t="str">
        <f t="shared" si="109"/>
        <v>MBmot</v>
      </c>
      <c r="M823" t="str">
        <f t="shared" si="109"/>
        <v>Midbrain, motor related</v>
      </c>
      <c r="N823" t="s">
        <v>6104</v>
      </c>
      <c r="O823" t="s">
        <v>6105</v>
      </c>
      <c r="Q823" s="6">
        <v>1277</v>
      </c>
      <c r="R823" s="6">
        <v>46</v>
      </c>
      <c r="S823" s="6" t="s">
        <v>7015</v>
      </c>
      <c r="T823" s="6" t="s">
        <v>7014</v>
      </c>
      <c r="U823" s="6">
        <v>824</v>
      </c>
      <c r="V823" s="6">
        <v>4</v>
      </c>
      <c r="W823" s="6" t="s">
        <v>8068</v>
      </c>
      <c r="Y823" t="s">
        <v>6104</v>
      </c>
      <c r="Z823" t="s">
        <v>6105</v>
      </c>
      <c r="AA823" s="6">
        <f t="shared" si="110"/>
        <v>323</v>
      </c>
      <c r="AB823">
        <v>254</v>
      </c>
      <c r="AC823">
        <v>142</v>
      </c>
      <c r="AD823">
        <v>254</v>
      </c>
    </row>
    <row r="824" spans="1:30" ht="17" x14ac:dyDescent="0.25">
      <c r="A824" s="1" t="s">
        <v>826</v>
      </c>
      <c r="B824" s="1" t="s">
        <v>3478</v>
      </c>
      <c r="C824" s="1" t="s">
        <v>2153</v>
      </c>
      <c r="D824" t="str">
        <f t="shared" si="111"/>
        <v>FF8DFD</v>
      </c>
      <c r="E824" t="str">
        <f t="shared" si="112"/>
        <v>255-141-253</v>
      </c>
      <c r="F824" t="str">
        <f t="shared" si="113"/>
        <v>255141253</v>
      </c>
      <c r="G824">
        <f t="shared" si="114"/>
        <v>255</v>
      </c>
      <c r="H824">
        <f t="shared" si="115"/>
        <v>141</v>
      </c>
      <c r="I824">
        <f t="shared" si="116"/>
        <v>253</v>
      </c>
      <c r="J824" t="str">
        <f t="shared" si="108"/>
        <v>SNr",</v>
      </c>
      <c r="K824" t="str">
        <f t="shared" si="108"/>
        <v>Substantia nigra, reticular part",</v>
      </c>
      <c r="L824" t="str">
        <f t="shared" si="109"/>
        <v>SNr</v>
      </c>
      <c r="M824" t="str">
        <f t="shared" si="109"/>
        <v>Substantia nigra, reticular part</v>
      </c>
      <c r="N824" t="s">
        <v>6106</v>
      </c>
      <c r="O824" t="s">
        <v>6107</v>
      </c>
      <c r="Q824" s="6">
        <v>1278</v>
      </c>
      <c r="R824" s="6">
        <v>753</v>
      </c>
      <c r="S824" s="6" t="s">
        <v>7017</v>
      </c>
      <c r="T824" s="6" t="s">
        <v>7016</v>
      </c>
      <c r="U824" s="6">
        <v>46</v>
      </c>
      <c r="V824" s="6">
        <v>5</v>
      </c>
      <c r="W824" s="6" t="s">
        <v>8069</v>
      </c>
      <c r="Y824" t="s">
        <v>6106</v>
      </c>
      <c r="Z824" t="s">
        <v>6107</v>
      </c>
      <c r="AA824" s="6">
        <f t="shared" si="110"/>
        <v>381</v>
      </c>
      <c r="AB824">
        <v>255</v>
      </c>
      <c r="AC824">
        <v>141</v>
      </c>
      <c r="AD824">
        <v>253</v>
      </c>
    </row>
    <row r="825" spans="1:30" ht="17" x14ac:dyDescent="0.25">
      <c r="A825" s="1" t="s">
        <v>827</v>
      </c>
      <c r="B825" s="1" t="s">
        <v>3479</v>
      </c>
      <c r="C825" s="1" t="s">
        <v>2154</v>
      </c>
      <c r="D825" t="str">
        <f t="shared" si="111"/>
        <v>FE8DFF</v>
      </c>
      <c r="E825" t="str">
        <f t="shared" si="112"/>
        <v>254-141-255</v>
      </c>
      <c r="F825" t="str">
        <f t="shared" si="113"/>
        <v>254141255</v>
      </c>
      <c r="G825">
        <f t="shared" si="114"/>
        <v>254</v>
      </c>
      <c r="H825">
        <f t="shared" si="115"/>
        <v>141</v>
      </c>
      <c r="I825">
        <f t="shared" si="116"/>
        <v>255</v>
      </c>
      <c r="J825" t="str">
        <f t="shared" si="108"/>
        <v>VTA",</v>
      </c>
      <c r="K825" t="str">
        <f t="shared" si="108"/>
        <v>Ventral tegmental area",</v>
      </c>
      <c r="L825" t="str">
        <f t="shared" si="109"/>
        <v>VTA</v>
      </c>
      <c r="M825" t="str">
        <f t="shared" si="109"/>
        <v>Ventral tegmental area</v>
      </c>
      <c r="N825" t="s">
        <v>6108</v>
      </c>
      <c r="O825" t="s">
        <v>6109</v>
      </c>
      <c r="Q825" s="6">
        <v>1279</v>
      </c>
      <c r="R825" s="6">
        <v>690</v>
      </c>
      <c r="S825" s="6" t="s">
        <v>7019</v>
      </c>
      <c r="T825" s="6" t="s">
        <v>7018</v>
      </c>
      <c r="U825" s="6">
        <v>46</v>
      </c>
      <c r="V825" s="6">
        <v>5</v>
      </c>
      <c r="W825" s="6" t="s">
        <v>8070</v>
      </c>
      <c r="Y825" t="s">
        <v>6108</v>
      </c>
      <c r="Z825" t="s">
        <v>6109</v>
      </c>
      <c r="AA825" s="6">
        <f t="shared" si="110"/>
        <v>749</v>
      </c>
      <c r="AB825">
        <v>254</v>
      </c>
      <c r="AC825">
        <v>141</v>
      </c>
      <c r="AD825">
        <v>255</v>
      </c>
    </row>
    <row r="826" spans="1:30" ht="17" x14ac:dyDescent="0.25">
      <c r="A826" s="1" t="s">
        <v>828</v>
      </c>
      <c r="B826" s="1" t="s">
        <v>3480</v>
      </c>
      <c r="C826" s="1" t="s">
        <v>2155</v>
      </c>
      <c r="D826" t="str">
        <f t="shared" si="111"/>
        <v>FF8EFE</v>
      </c>
      <c r="E826" t="str">
        <f t="shared" si="112"/>
        <v>255-142-254</v>
      </c>
      <c r="F826" t="str">
        <f t="shared" si="113"/>
        <v>255142254</v>
      </c>
      <c r="G826">
        <f t="shared" si="114"/>
        <v>255</v>
      </c>
      <c r="H826">
        <f t="shared" si="115"/>
        <v>142</v>
      </c>
      <c r="I826">
        <f t="shared" si="116"/>
        <v>254</v>
      </c>
      <c r="J826" t="str">
        <f t="shared" si="108"/>
        <v>PN",</v>
      </c>
      <c r="K826" t="str">
        <f t="shared" si="108"/>
        <v>Paranigral nucleus",</v>
      </c>
      <c r="L826" t="str">
        <f t="shared" si="109"/>
        <v>PN</v>
      </c>
      <c r="M826" t="str">
        <f t="shared" si="109"/>
        <v>Paranigral nucleus</v>
      </c>
      <c r="N826" t="s">
        <v>6110</v>
      </c>
      <c r="O826" t="s">
        <v>6111</v>
      </c>
      <c r="Q826" s="6">
        <v>1280</v>
      </c>
      <c r="R826" s="6">
        <v>681</v>
      </c>
      <c r="S826" s="6" t="s">
        <v>7021</v>
      </c>
      <c r="T826" s="6" t="s">
        <v>7020</v>
      </c>
      <c r="U826" s="6">
        <v>46</v>
      </c>
      <c r="V826" s="6">
        <v>5</v>
      </c>
      <c r="W826" s="6" t="s">
        <v>8071</v>
      </c>
      <c r="Y826" t="s">
        <v>6110</v>
      </c>
      <c r="Z826" t="s">
        <v>6111</v>
      </c>
      <c r="AA826" s="6">
        <f t="shared" si="110"/>
        <v>607344830</v>
      </c>
      <c r="AB826">
        <v>255</v>
      </c>
      <c r="AC826">
        <v>142</v>
      </c>
      <c r="AD826">
        <v>254</v>
      </c>
    </row>
    <row r="827" spans="1:30" ht="17" x14ac:dyDescent="0.25">
      <c r="A827" s="1" t="s">
        <v>829</v>
      </c>
      <c r="B827" s="1" t="s">
        <v>3481</v>
      </c>
      <c r="C827" s="1" t="s">
        <v>2156</v>
      </c>
      <c r="D827" t="str">
        <f t="shared" si="111"/>
        <v>FD8FFF</v>
      </c>
      <c r="E827" t="str">
        <f t="shared" si="112"/>
        <v>253-143-255</v>
      </c>
      <c r="F827" t="str">
        <f t="shared" si="113"/>
        <v>253143255</v>
      </c>
      <c r="G827">
        <f t="shared" si="114"/>
        <v>253</v>
      </c>
      <c r="H827">
        <f t="shared" si="115"/>
        <v>143</v>
      </c>
      <c r="I827">
        <f t="shared" si="116"/>
        <v>255</v>
      </c>
      <c r="J827" t="str">
        <f t="shared" si="108"/>
        <v>RR",</v>
      </c>
      <c r="K827" t="str">
        <f t="shared" si="108"/>
        <v>Midbrain reticular nucleus, retrorubral area",</v>
      </c>
      <c r="L827" t="str">
        <f t="shared" si="109"/>
        <v>RR</v>
      </c>
      <c r="M827" t="str">
        <f t="shared" si="109"/>
        <v>Midbrain reticular nucleus, retrorubral area</v>
      </c>
      <c r="N827" t="s">
        <v>6112</v>
      </c>
      <c r="O827" t="s">
        <v>6113</v>
      </c>
      <c r="Q827" s="6">
        <v>1281</v>
      </c>
      <c r="R827" s="6">
        <v>673</v>
      </c>
      <c r="S827" s="6" t="s">
        <v>7023</v>
      </c>
      <c r="T827" s="6" t="s">
        <v>7022</v>
      </c>
      <c r="U827" s="6">
        <v>46</v>
      </c>
      <c r="V827" s="6">
        <v>5</v>
      </c>
      <c r="W827" s="6" t="s">
        <v>8072</v>
      </c>
      <c r="Y827" t="s">
        <v>6112</v>
      </c>
      <c r="Z827" t="s">
        <v>6113</v>
      </c>
      <c r="AA827" s="6">
        <f t="shared" si="110"/>
        <v>246</v>
      </c>
      <c r="AB827">
        <v>253</v>
      </c>
      <c r="AC827">
        <v>143</v>
      </c>
      <c r="AD827">
        <v>255</v>
      </c>
    </row>
    <row r="828" spans="1:30" ht="17" x14ac:dyDescent="0.25">
      <c r="A828" s="1" t="s">
        <v>830</v>
      </c>
      <c r="B828" s="1" t="s">
        <v>3482</v>
      </c>
      <c r="C828" s="1" t="s">
        <v>2157</v>
      </c>
      <c r="D828" t="str">
        <f t="shared" si="111"/>
        <v>FF8FFD</v>
      </c>
      <c r="E828" t="str">
        <f t="shared" si="112"/>
        <v>255-143-253</v>
      </c>
      <c r="F828" t="str">
        <f t="shared" si="113"/>
        <v>255143253</v>
      </c>
      <c r="G828">
        <f t="shared" si="114"/>
        <v>255</v>
      </c>
      <c r="H828">
        <f t="shared" si="115"/>
        <v>143</v>
      </c>
      <c r="I828">
        <f t="shared" si="116"/>
        <v>253</v>
      </c>
      <c r="J828" t="str">
        <f t="shared" si="108"/>
        <v>MRN",</v>
      </c>
      <c r="K828" t="str">
        <f t="shared" si="108"/>
        <v>Midbrain reticular nucleus",</v>
      </c>
      <c r="L828" t="str">
        <f t="shared" si="109"/>
        <v>MRN</v>
      </c>
      <c r="M828" t="str">
        <f t="shared" si="109"/>
        <v>Midbrain reticular nucleus</v>
      </c>
      <c r="N828" t="s">
        <v>6114</v>
      </c>
      <c r="O828" t="s">
        <v>6115</v>
      </c>
      <c r="Q828" s="6">
        <v>1284</v>
      </c>
      <c r="R828" s="6">
        <v>1083</v>
      </c>
      <c r="S828" s="6" t="s">
        <v>7029</v>
      </c>
      <c r="T828" s="6" t="s">
        <v>7028</v>
      </c>
      <c r="U828" s="6">
        <v>824</v>
      </c>
      <c r="V828" s="6">
        <v>4</v>
      </c>
      <c r="W828" s="6" t="s">
        <v>8073</v>
      </c>
      <c r="Y828" t="s">
        <v>6114</v>
      </c>
      <c r="Z828" t="s">
        <v>6115</v>
      </c>
      <c r="AA828" s="6">
        <f t="shared" si="110"/>
        <v>128</v>
      </c>
      <c r="AB828">
        <v>255</v>
      </c>
      <c r="AC828">
        <v>143</v>
      </c>
      <c r="AD828">
        <v>253</v>
      </c>
    </row>
    <row r="829" spans="1:30" ht="17" x14ac:dyDescent="0.25">
      <c r="A829" s="1" t="s">
        <v>831</v>
      </c>
      <c r="B829" s="1" t="s">
        <v>3483</v>
      </c>
      <c r="C829" s="1" t="s">
        <v>2158</v>
      </c>
      <c r="D829" t="str">
        <f t="shared" si="111"/>
        <v>FF8EFC</v>
      </c>
      <c r="E829" t="str">
        <f t="shared" si="112"/>
        <v>255-142-252</v>
      </c>
      <c r="F829" t="str">
        <f t="shared" si="113"/>
        <v>255142252</v>
      </c>
      <c r="G829">
        <f t="shared" si="114"/>
        <v>255</v>
      </c>
      <c r="H829">
        <f t="shared" si="115"/>
        <v>142</v>
      </c>
      <c r="I829">
        <f t="shared" si="116"/>
        <v>252</v>
      </c>
      <c r="J829" t="str">
        <f t="shared" si="108"/>
        <v>MRNm",</v>
      </c>
      <c r="K829" t="str">
        <f t="shared" si="108"/>
        <v>Midbrain reticular nucleus, magnocellular part",</v>
      </c>
      <c r="L829" t="str">
        <f t="shared" si="109"/>
        <v>MRNm</v>
      </c>
      <c r="M829" t="str">
        <f t="shared" si="109"/>
        <v>Midbrain reticular nucleus, magnocellular part</v>
      </c>
      <c r="N829" t="s">
        <v>6116</v>
      </c>
      <c r="O829" t="s">
        <v>6117</v>
      </c>
      <c r="Q829" s="6">
        <v>1285</v>
      </c>
      <c r="R829" s="6">
        <v>802</v>
      </c>
      <c r="S829" s="6" t="s">
        <v>7031</v>
      </c>
      <c r="T829" s="6" t="s">
        <v>7030</v>
      </c>
      <c r="U829" s="6">
        <v>1083</v>
      </c>
      <c r="V829" s="6">
        <v>5</v>
      </c>
      <c r="W829" s="6" t="s">
        <v>8074</v>
      </c>
      <c r="Y829" t="s">
        <v>6116</v>
      </c>
      <c r="Z829" t="s">
        <v>6117</v>
      </c>
      <c r="AA829" s="6" t="str">
        <f t="shared" si="110"/>
        <v/>
      </c>
      <c r="AB829">
        <v>255</v>
      </c>
      <c r="AC829">
        <v>142</v>
      </c>
      <c r="AD829">
        <v>252</v>
      </c>
    </row>
    <row r="830" spans="1:30" ht="17" x14ac:dyDescent="0.25">
      <c r="A830" s="1" t="s">
        <v>832</v>
      </c>
      <c r="B830" s="1" t="s">
        <v>3484</v>
      </c>
      <c r="C830" s="1" t="s">
        <v>2159</v>
      </c>
      <c r="D830" t="str">
        <f t="shared" si="111"/>
        <v>FF8DFF</v>
      </c>
      <c r="E830" t="str">
        <f t="shared" si="112"/>
        <v>255-141-255</v>
      </c>
      <c r="F830" t="str">
        <f t="shared" si="113"/>
        <v>255141255</v>
      </c>
      <c r="G830">
        <f t="shared" si="114"/>
        <v>255</v>
      </c>
      <c r="H830">
        <f t="shared" si="115"/>
        <v>141</v>
      </c>
      <c r="I830">
        <f t="shared" si="116"/>
        <v>255</v>
      </c>
      <c r="J830" t="str">
        <f t="shared" si="108"/>
        <v>MRNmg",</v>
      </c>
      <c r="K830" t="str">
        <f t="shared" si="108"/>
        <v>Midbrain reticular nucleus, magnocellular part, general",</v>
      </c>
      <c r="L830" t="str">
        <f t="shared" si="109"/>
        <v>MRNmg</v>
      </c>
      <c r="M830" t="str">
        <f t="shared" si="109"/>
        <v>Midbrain reticular nucleus, magnocellular part, general</v>
      </c>
      <c r="N830" t="s">
        <v>6118</v>
      </c>
      <c r="O830" t="s">
        <v>6119</v>
      </c>
      <c r="Q830" s="6">
        <v>1286</v>
      </c>
      <c r="R830" s="6">
        <v>595</v>
      </c>
      <c r="S830" s="6" t="s">
        <v>7033</v>
      </c>
      <c r="T830" s="6" t="s">
        <v>7032</v>
      </c>
      <c r="U830" s="6">
        <v>1083</v>
      </c>
      <c r="V830" s="6">
        <v>5</v>
      </c>
      <c r="W830" s="6" t="s">
        <v>8075</v>
      </c>
      <c r="Y830" t="s">
        <v>6118</v>
      </c>
      <c r="Z830" t="s">
        <v>6119</v>
      </c>
      <c r="AA830" s="6" t="str">
        <f t="shared" si="110"/>
        <v/>
      </c>
      <c r="AB830">
        <v>255</v>
      </c>
      <c r="AC830">
        <v>141</v>
      </c>
      <c r="AD830">
        <v>255</v>
      </c>
    </row>
    <row r="831" spans="1:30" ht="17" x14ac:dyDescent="0.25">
      <c r="A831" s="1" t="s">
        <v>833</v>
      </c>
      <c r="B831" s="1" t="s">
        <v>3485</v>
      </c>
      <c r="C831" s="1" t="s">
        <v>2160</v>
      </c>
      <c r="D831" t="str">
        <f t="shared" si="111"/>
        <v>FE8EFD</v>
      </c>
      <c r="E831" t="str">
        <f t="shared" si="112"/>
        <v>254-142-253</v>
      </c>
      <c r="F831" t="str">
        <f t="shared" si="113"/>
        <v>254142253</v>
      </c>
      <c r="G831">
        <f t="shared" si="114"/>
        <v>254</v>
      </c>
      <c r="H831">
        <f t="shared" si="115"/>
        <v>142</v>
      </c>
      <c r="I831">
        <f t="shared" si="116"/>
        <v>253</v>
      </c>
      <c r="J831" t="str">
        <f t="shared" si="108"/>
        <v>MRNp",</v>
      </c>
      <c r="K831" t="str">
        <f t="shared" si="108"/>
        <v>Midbrain reticular nucleus, parvicellular part",</v>
      </c>
      <c r="L831" t="str">
        <f t="shared" si="109"/>
        <v>MRNp</v>
      </c>
      <c r="M831" t="str">
        <f t="shared" si="109"/>
        <v>Midbrain reticular nucleus, parvicellular part</v>
      </c>
      <c r="N831" t="s">
        <v>6120</v>
      </c>
      <c r="O831" t="s">
        <v>6121</v>
      </c>
      <c r="Q831" s="6">
        <v>1287</v>
      </c>
      <c r="R831" s="6">
        <v>611</v>
      </c>
      <c r="S831" s="6" t="s">
        <v>7035</v>
      </c>
      <c r="T831" s="6" t="s">
        <v>7034</v>
      </c>
      <c r="U831" s="6">
        <v>1083</v>
      </c>
      <c r="V831" s="6">
        <v>5</v>
      </c>
      <c r="W831" s="6" t="s">
        <v>8076</v>
      </c>
      <c r="Y831" t="s">
        <v>6120</v>
      </c>
      <c r="Z831" t="s">
        <v>6121</v>
      </c>
      <c r="AA831" s="6" t="str">
        <f t="shared" si="110"/>
        <v/>
      </c>
      <c r="AB831">
        <v>254</v>
      </c>
      <c r="AC831">
        <v>142</v>
      </c>
      <c r="AD831">
        <v>253</v>
      </c>
    </row>
    <row r="832" spans="1:30" ht="17" x14ac:dyDescent="0.25">
      <c r="A832" s="1" t="s">
        <v>834</v>
      </c>
      <c r="B832" s="1" t="s">
        <v>3486</v>
      </c>
      <c r="C832" s="1" t="s">
        <v>2161</v>
      </c>
      <c r="D832" t="str">
        <f t="shared" si="111"/>
        <v>FE8FFD</v>
      </c>
      <c r="E832" t="str">
        <f t="shared" si="112"/>
        <v>254-143-253</v>
      </c>
      <c r="F832" t="str">
        <f t="shared" si="113"/>
        <v>254143253</v>
      </c>
      <c r="G832">
        <f t="shared" si="114"/>
        <v>254</v>
      </c>
      <c r="H832">
        <f t="shared" si="115"/>
        <v>143</v>
      </c>
      <c r="I832">
        <f t="shared" si="116"/>
        <v>253</v>
      </c>
      <c r="J832" t="str">
        <f t="shared" si="108"/>
        <v>SCm",</v>
      </c>
      <c r="K832" t="str">
        <f t="shared" si="108"/>
        <v>Superior colliculus, motor related",</v>
      </c>
      <c r="L832" t="str">
        <f t="shared" si="109"/>
        <v>SCm</v>
      </c>
      <c r="M832" t="str">
        <f t="shared" si="109"/>
        <v>Superior colliculus, motor related</v>
      </c>
      <c r="N832" t="s">
        <v>6122</v>
      </c>
      <c r="O832" t="s">
        <v>6123</v>
      </c>
      <c r="Q832" s="6">
        <v>1292</v>
      </c>
      <c r="R832" s="6">
        <v>73</v>
      </c>
      <c r="S832" s="6" t="s">
        <v>7045</v>
      </c>
      <c r="T832" s="6" t="s">
        <v>7044</v>
      </c>
      <c r="U832" s="6">
        <v>997</v>
      </c>
      <c r="V832" s="6">
        <v>1</v>
      </c>
      <c r="W832" s="6" t="s">
        <v>8077</v>
      </c>
      <c r="Y832" t="s">
        <v>6122</v>
      </c>
      <c r="Z832" t="s">
        <v>6123</v>
      </c>
      <c r="AA832" s="6">
        <f t="shared" si="110"/>
        <v>294</v>
      </c>
      <c r="AB832">
        <v>254</v>
      </c>
      <c r="AC832">
        <v>143</v>
      </c>
      <c r="AD832">
        <v>253</v>
      </c>
    </row>
    <row r="833" spans="1:30" ht="17" x14ac:dyDescent="0.25">
      <c r="A833" s="1" t="s">
        <v>835</v>
      </c>
      <c r="B833" s="1" t="s">
        <v>3487</v>
      </c>
      <c r="C833" s="1" t="s">
        <v>2162</v>
      </c>
      <c r="D833" t="str">
        <f t="shared" si="111"/>
        <v>FF8FFF</v>
      </c>
      <c r="E833" t="str">
        <f t="shared" si="112"/>
        <v>255-143-255</v>
      </c>
      <c r="F833" t="str">
        <f t="shared" si="113"/>
        <v>255143255</v>
      </c>
      <c r="G833">
        <f t="shared" si="114"/>
        <v>255</v>
      </c>
      <c r="H833">
        <f t="shared" si="115"/>
        <v>143</v>
      </c>
      <c r="I833">
        <f t="shared" si="116"/>
        <v>255</v>
      </c>
      <c r="J833" t="str">
        <f t="shared" si="108"/>
        <v>SCdg",</v>
      </c>
      <c r="K833" t="str">
        <f t="shared" si="108"/>
        <v>Superior colliculus, motor related, deep gray layer",</v>
      </c>
      <c r="L833" t="str">
        <f t="shared" si="109"/>
        <v>SCdg</v>
      </c>
      <c r="M833" t="str">
        <f t="shared" si="109"/>
        <v>Superior colliculus, motor related, deep gray layer</v>
      </c>
      <c r="N833" t="s">
        <v>6124</v>
      </c>
      <c r="O833" t="s">
        <v>6125</v>
      </c>
      <c r="Q833" s="6">
        <v>1293</v>
      </c>
      <c r="R833" s="6">
        <v>81</v>
      </c>
      <c r="S833" s="6" t="s">
        <v>7047</v>
      </c>
      <c r="T833" s="6" t="s">
        <v>7046</v>
      </c>
      <c r="U833" s="6">
        <v>73</v>
      </c>
      <c r="V833" s="6">
        <v>2</v>
      </c>
      <c r="W833" s="6" t="s">
        <v>8078</v>
      </c>
      <c r="Y833" t="s">
        <v>6124</v>
      </c>
      <c r="Z833" t="s">
        <v>6125</v>
      </c>
      <c r="AA833" s="6">
        <f t="shared" si="110"/>
        <v>26</v>
      </c>
      <c r="AB833">
        <v>255</v>
      </c>
      <c r="AC833">
        <v>143</v>
      </c>
      <c r="AD833">
        <v>255</v>
      </c>
    </row>
    <row r="834" spans="1:30" ht="17" x14ac:dyDescent="0.25">
      <c r="A834" s="1" t="s">
        <v>836</v>
      </c>
      <c r="B834" s="1" t="s">
        <v>3488</v>
      </c>
      <c r="C834" s="1" t="s">
        <v>2163</v>
      </c>
      <c r="D834" t="str">
        <f t="shared" si="111"/>
        <v>FF8FFE</v>
      </c>
      <c r="E834" t="str">
        <f t="shared" si="112"/>
        <v>255-143-254</v>
      </c>
      <c r="F834" t="str">
        <f t="shared" si="113"/>
        <v>255143254</v>
      </c>
      <c r="G834">
        <f t="shared" si="114"/>
        <v>255</v>
      </c>
      <c r="H834">
        <f t="shared" si="115"/>
        <v>143</v>
      </c>
      <c r="I834">
        <f t="shared" si="116"/>
        <v>254</v>
      </c>
      <c r="J834" t="str">
        <f t="shared" si="108"/>
        <v>SCdw",</v>
      </c>
      <c r="K834" t="str">
        <f t="shared" si="108"/>
        <v>Superior colliculus, motor related, deep white layer",</v>
      </c>
      <c r="L834" t="str">
        <f t="shared" si="109"/>
        <v>SCdw</v>
      </c>
      <c r="M834" t="str">
        <f t="shared" si="109"/>
        <v>Superior colliculus, motor related, deep white layer</v>
      </c>
      <c r="N834" t="s">
        <v>6126</v>
      </c>
      <c r="O834" t="s">
        <v>6127</v>
      </c>
      <c r="Q834" s="6">
        <v>1295</v>
      </c>
      <c r="R834" s="6">
        <v>98</v>
      </c>
      <c r="S834" s="6" t="s">
        <v>7051</v>
      </c>
      <c r="T834" s="6" t="s">
        <v>7050</v>
      </c>
      <c r="U834" s="6">
        <v>81</v>
      </c>
      <c r="V834" s="6">
        <v>3</v>
      </c>
      <c r="W834" s="6" t="s">
        <v>8079</v>
      </c>
      <c r="Y834" t="s">
        <v>6126</v>
      </c>
      <c r="Z834" t="s">
        <v>6127</v>
      </c>
      <c r="AA834" s="6">
        <f t="shared" si="110"/>
        <v>42</v>
      </c>
      <c r="AB834">
        <v>255</v>
      </c>
      <c r="AC834">
        <v>143</v>
      </c>
      <c r="AD834">
        <v>254</v>
      </c>
    </row>
    <row r="835" spans="1:30" ht="17" x14ac:dyDescent="0.25">
      <c r="A835" s="1" t="s">
        <v>837</v>
      </c>
      <c r="B835" s="1" t="s">
        <v>3489</v>
      </c>
      <c r="C835" s="1" t="s">
        <v>2164</v>
      </c>
      <c r="D835" t="str">
        <f t="shared" si="111"/>
        <v>FF90FE</v>
      </c>
      <c r="E835" t="str">
        <f t="shared" si="112"/>
        <v>255-144-254</v>
      </c>
      <c r="F835" t="str">
        <f t="shared" si="113"/>
        <v>255144254</v>
      </c>
      <c r="G835">
        <f t="shared" si="114"/>
        <v>255</v>
      </c>
      <c r="H835">
        <f t="shared" si="115"/>
        <v>144</v>
      </c>
      <c r="I835">
        <f t="shared" si="116"/>
        <v>254</v>
      </c>
      <c r="J835" t="str">
        <f t="shared" ref="J835:K898" si="117">RIGHT(A835,LEN(A835)-3)</f>
        <v>SCiw",</v>
      </c>
      <c r="K835" t="str">
        <f t="shared" si="117"/>
        <v>Superior colliculus, motor related, intermediate white layer",</v>
      </c>
      <c r="L835" t="str">
        <f t="shared" ref="L835:M898" si="118">LEFT(J835,LEN(J835)-2)</f>
        <v>SCiw</v>
      </c>
      <c r="M835" t="str">
        <f t="shared" si="118"/>
        <v>Superior colliculus, motor related, intermediate white layer</v>
      </c>
      <c r="N835" t="s">
        <v>6128</v>
      </c>
      <c r="O835" t="s">
        <v>6129</v>
      </c>
      <c r="Q835" s="6">
        <v>1296</v>
      </c>
      <c r="R835" s="6">
        <v>108</v>
      </c>
      <c r="S835" s="6" t="s">
        <v>7053</v>
      </c>
      <c r="T835" s="6" t="s">
        <v>7052</v>
      </c>
      <c r="U835" s="6">
        <v>81</v>
      </c>
      <c r="V835" s="6">
        <v>3</v>
      </c>
      <c r="W835" s="6" t="s">
        <v>8080</v>
      </c>
      <c r="Y835" t="s">
        <v>6128</v>
      </c>
      <c r="Z835" t="s">
        <v>6129</v>
      </c>
      <c r="AA835" s="6">
        <f t="shared" ref="AA835:AA898" si="119">IFERROR(INDEX(R:R,MATCH($Z835,S:S,0)),"")</f>
        <v>17</v>
      </c>
      <c r="AB835">
        <v>255</v>
      </c>
      <c r="AC835">
        <v>144</v>
      </c>
      <c r="AD835">
        <v>254</v>
      </c>
    </row>
    <row r="836" spans="1:30" ht="17" x14ac:dyDescent="0.25">
      <c r="A836" s="1" t="s">
        <v>838</v>
      </c>
      <c r="B836" s="1" t="s">
        <v>3490</v>
      </c>
      <c r="C836" s="1" t="s">
        <v>2165</v>
      </c>
      <c r="D836" t="str">
        <f t="shared" ref="D836:D899" si="120">RIGHT(LEFT(C836,9),6)</f>
        <v>FF90FF</v>
      </c>
      <c r="E836" t="str">
        <f t="shared" ref="E836:E899" si="121">HEX2DEC(LEFT(D836,2))&amp;"-"&amp;HEX2DEC(MID(D836,3,2))&amp;"-"&amp;HEX2DEC(RIGHT(D836,2))</f>
        <v>255-144-255</v>
      </c>
      <c r="F836" t="str">
        <f t="shared" ref="F836:F899" si="122">HEX2DEC(LEFT(D836,2))&amp;HEX2DEC(MID(D836,3,2))&amp;HEX2DEC(RIGHT(D836,2))</f>
        <v>255144255</v>
      </c>
      <c r="G836">
        <f t="shared" ref="G836:G899" si="123">HEX2DEC(LEFT(D836,2))</f>
        <v>255</v>
      </c>
      <c r="H836">
        <f t="shared" ref="H836:H899" si="124">HEX2DEC(MID(D836,3,2))</f>
        <v>144</v>
      </c>
      <c r="I836">
        <f t="shared" ref="I836:I899" si="125">HEX2DEC(RIGHT(D836,2))</f>
        <v>255</v>
      </c>
      <c r="J836" t="str">
        <f t="shared" si="117"/>
        <v>SCig",</v>
      </c>
      <c r="K836" t="str">
        <f t="shared" si="117"/>
        <v>Superior colliculus, motor related, intermediate gray layer",</v>
      </c>
      <c r="L836" t="str">
        <f t="shared" si="118"/>
        <v>SCig</v>
      </c>
      <c r="M836" t="str">
        <f t="shared" si="118"/>
        <v>Superior colliculus, motor related, intermediate gray layer</v>
      </c>
      <c r="N836" t="s">
        <v>6130</v>
      </c>
      <c r="O836" t="s">
        <v>6131</v>
      </c>
      <c r="Q836" s="6">
        <v>1299</v>
      </c>
      <c r="R836" s="6">
        <v>129</v>
      </c>
      <c r="S836" s="6" t="s">
        <v>7059</v>
      </c>
      <c r="T836" s="6" t="s">
        <v>7058</v>
      </c>
      <c r="U836" s="6">
        <v>73</v>
      </c>
      <c r="V836" s="6">
        <v>2</v>
      </c>
      <c r="W836" s="6" t="s">
        <v>8081</v>
      </c>
      <c r="Y836" t="s">
        <v>6130</v>
      </c>
      <c r="Z836" t="s">
        <v>6131</v>
      </c>
      <c r="AA836" s="6">
        <f t="shared" si="119"/>
        <v>10</v>
      </c>
      <c r="AB836">
        <v>255</v>
      </c>
      <c r="AC836">
        <v>144</v>
      </c>
      <c r="AD836">
        <v>255</v>
      </c>
    </row>
    <row r="837" spans="1:30" ht="17" x14ac:dyDescent="0.25">
      <c r="A837" s="1" t="s">
        <v>839</v>
      </c>
      <c r="B837" s="1" t="s">
        <v>3491</v>
      </c>
      <c r="C837" s="1" t="s">
        <v>2166</v>
      </c>
      <c r="D837" t="str">
        <f t="shared" si="120"/>
        <v>FF8EFD</v>
      </c>
      <c r="E837" t="str">
        <f t="shared" si="121"/>
        <v>255-142-253</v>
      </c>
      <c r="F837" t="str">
        <f t="shared" si="122"/>
        <v>255142253</v>
      </c>
      <c r="G837">
        <f t="shared" si="123"/>
        <v>255</v>
      </c>
      <c r="H837">
        <f t="shared" si="124"/>
        <v>142</v>
      </c>
      <c r="I837">
        <f t="shared" si="125"/>
        <v>253</v>
      </c>
      <c r="J837" t="str">
        <f t="shared" si="117"/>
        <v>SCig-a",</v>
      </c>
      <c r="K837" t="str">
        <f t="shared" si="117"/>
        <v>Superior colliculus, motor related, intermediate gray layer, sublayer a",</v>
      </c>
      <c r="L837" t="str">
        <f t="shared" si="118"/>
        <v>SCig-a</v>
      </c>
      <c r="M837" t="str">
        <f t="shared" si="118"/>
        <v>Superior colliculus, motor related, intermediate gray layer, sublayer a</v>
      </c>
      <c r="N837" t="s">
        <v>6132</v>
      </c>
      <c r="O837" t="s">
        <v>6133</v>
      </c>
      <c r="Q837" s="6">
        <v>1300</v>
      </c>
      <c r="R837" s="6">
        <v>140</v>
      </c>
      <c r="S837" s="6" t="s">
        <v>7061</v>
      </c>
      <c r="T837" s="6" t="s">
        <v>7060</v>
      </c>
      <c r="U837" s="6">
        <v>73</v>
      </c>
      <c r="V837" s="6">
        <v>2</v>
      </c>
      <c r="W837" s="6" t="s">
        <v>8082</v>
      </c>
      <c r="Y837" t="s">
        <v>6132</v>
      </c>
      <c r="Z837" t="s">
        <v>6133</v>
      </c>
      <c r="AA837" s="6" t="str">
        <f t="shared" si="119"/>
        <v/>
      </c>
      <c r="AB837">
        <v>255</v>
      </c>
      <c r="AC837">
        <v>142</v>
      </c>
      <c r="AD837">
        <v>253</v>
      </c>
    </row>
    <row r="838" spans="1:30" ht="17" x14ac:dyDescent="0.25">
      <c r="A838" s="1" t="s">
        <v>840</v>
      </c>
      <c r="B838" s="1" t="s">
        <v>3492</v>
      </c>
      <c r="C838" s="1" t="s">
        <v>2167</v>
      </c>
      <c r="D838" t="str">
        <f t="shared" si="120"/>
        <v>FD90FD</v>
      </c>
      <c r="E838" t="str">
        <f t="shared" si="121"/>
        <v>253-144-253</v>
      </c>
      <c r="F838" t="str">
        <f t="shared" si="122"/>
        <v>253144253</v>
      </c>
      <c r="G838">
        <f t="shared" si="123"/>
        <v>253</v>
      </c>
      <c r="H838">
        <f t="shared" si="124"/>
        <v>144</v>
      </c>
      <c r="I838">
        <f t="shared" si="125"/>
        <v>253</v>
      </c>
      <c r="J838" t="str">
        <f t="shared" si="117"/>
        <v>SCig-b",</v>
      </c>
      <c r="K838" t="str">
        <f t="shared" si="117"/>
        <v>Superior colliculus, motor related, intermediate gray layer, sublayer b",</v>
      </c>
      <c r="L838" t="str">
        <f t="shared" si="118"/>
        <v>SCig-b</v>
      </c>
      <c r="M838" t="str">
        <f t="shared" si="118"/>
        <v>Superior colliculus, motor related, intermediate gray layer, sublayer b</v>
      </c>
      <c r="N838" t="s">
        <v>6134</v>
      </c>
      <c r="O838" t="s">
        <v>6135</v>
      </c>
      <c r="Q838" s="6">
        <v>1301</v>
      </c>
      <c r="R838" s="6">
        <v>145</v>
      </c>
      <c r="S838" s="6" t="s">
        <v>7063</v>
      </c>
      <c r="T838" s="6" t="s">
        <v>7062</v>
      </c>
      <c r="U838" s="6">
        <v>73</v>
      </c>
      <c r="V838" s="6">
        <v>2</v>
      </c>
      <c r="W838" s="6" t="s">
        <v>8083</v>
      </c>
      <c r="Y838" t="s">
        <v>6134</v>
      </c>
      <c r="Z838" t="s">
        <v>6135</v>
      </c>
      <c r="AA838" s="6" t="str">
        <f t="shared" si="119"/>
        <v/>
      </c>
      <c r="AB838">
        <v>253</v>
      </c>
      <c r="AC838">
        <v>144</v>
      </c>
      <c r="AD838">
        <v>253</v>
      </c>
    </row>
    <row r="839" spans="1:30" ht="17" x14ac:dyDescent="0.25">
      <c r="A839" s="1" t="s">
        <v>841</v>
      </c>
      <c r="B839" s="1" t="s">
        <v>3493</v>
      </c>
      <c r="C839" s="1" t="s">
        <v>2168</v>
      </c>
      <c r="D839" t="str">
        <f t="shared" si="120"/>
        <v>FD8EFF</v>
      </c>
      <c r="E839" t="str">
        <f t="shared" si="121"/>
        <v>253-142-255</v>
      </c>
      <c r="F839" t="str">
        <f t="shared" si="122"/>
        <v>253142255</v>
      </c>
      <c r="G839">
        <f t="shared" si="123"/>
        <v>253</v>
      </c>
      <c r="H839">
        <f t="shared" si="124"/>
        <v>142</v>
      </c>
      <c r="I839">
        <f t="shared" si="125"/>
        <v>255</v>
      </c>
      <c r="J839" t="str">
        <f t="shared" si="117"/>
        <v>SCig-c",</v>
      </c>
      <c r="K839" t="str">
        <f t="shared" si="117"/>
        <v>Superior colliculus, motor related, intermediate gray layer, sublayer c",</v>
      </c>
      <c r="L839" t="str">
        <f t="shared" si="118"/>
        <v>SCig-c</v>
      </c>
      <c r="M839" t="str">
        <f t="shared" si="118"/>
        <v>Superior colliculus, motor related, intermediate gray layer, sublayer c</v>
      </c>
      <c r="N839" t="s">
        <v>6136</v>
      </c>
      <c r="O839" t="s">
        <v>6137</v>
      </c>
      <c r="Q839" s="6">
        <v>1302</v>
      </c>
      <c r="R839" s="6">
        <v>153</v>
      </c>
      <c r="S839" s="6" t="s">
        <v>7065</v>
      </c>
      <c r="T839" s="6" t="s">
        <v>7064</v>
      </c>
      <c r="U839" s="6">
        <v>145</v>
      </c>
      <c r="V839" s="6">
        <v>3</v>
      </c>
      <c r="W839" s="6" t="s">
        <v>8084</v>
      </c>
      <c r="Y839" t="s">
        <v>6136</v>
      </c>
      <c r="Z839" t="s">
        <v>6137</v>
      </c>
      <c r="AA839" s="6" t="str">
        <f t="shared" si="119"/>
        <v/>
      </c>
      <c r="AB839">
        <v>253</v>
      </c>
      <c r="AC839">
        <v>142</v>
      </c>
      <c r="AD839">
        <v>255</v>
      </c>
    </row>
    <row r="840" spans="1:30" ht="17" x14ac:dyDescent="0.25">
      <c r="A840" s="1" t="s">
        <v>842</v>
      </c>
      <c r="B840" s="1" t="s">
        <v>3494</v>
      </c>
      <c r="C840" s="1" t="s">
        <v>2169</v>
      </c>
      <c r="D840" t="str">
        <f t="shared" si="120"/>
        <v>FC8FFF</v>
      </c>
      <c r="E840" t="str">
        <f t="shared" si="121"/>
        <v>252-143-255</v>
      </c>
      <c r="F840" t="str">
        <f t="shared" si="122"/>
        <v>252143255</v>
      </c>
      <c r="G840">
        <f t="shared" si="123"/>
        <v>252</v>
      </c>
      <c r="H840">
        <f t="shared" si="124"/>
        <v>143</v>
      </c>
      <c r="I840">
        <f t="shared" si="125"/>
        <v>255</v>
      </c>
      <c r="J840" t="str">
        <f t="shared" si="117"/>
        <v>PAG",</v>
      </c>
      <c r="K840" t="str">
        <f t="shared" si="117"/>
        <v>Periaqueductal gray",</v>
      </c>
      <c r="L840" t="str">
        <f t="shared" si="118"/>
        <v>PAG</v>
      </c>
      <c r="M840" t="str">
        <f t="shared" si="118"/>
        <v>Periaqueductal gray</v>
      </c>
      <c r="N840" t="s">
        <v>6138</v>
      </c>
      <c r="O840" t="s">
        <v>6139</v>
      </c>
      <c r="Q840" s="6">
        <v>1303</v>
      </c>
      <c r="R840" s="6">
        <v>164</v>
      </c>
      <c r="S840" s="6" t="s">
        <v>7238</v>
      </c>
      <c r="T840" s="6" t="s">
        <v>7066</v>
      </c>
      <c r="U840" s="6">
        <v>73</v>
      </c>
      <c r="V840" s="6">
        <v>2</v>
      </c>
      <c r="W840" s="6" t="s">
        <v>8085</v>
      </c>
      <c r="Y840" t="s">
        <v>6138</v>
      </c>
      <c r="Z840" t="s">
        <v>6139</v>
      </c>
      <c r="AA840" s="6">
        <f t="shared" si="119"/>
        <v>795</v>
      </c>
      <c r="AB840">
        <v>252</v>
      </c>
      <c r="AC840">
        <v>143</v>
      </c>
      <c r="AD840">
        <v>255</v>
      </c>
    </row>
    <row r="841" spans="1:30" ht="17" x14ac:dyDescent="0.25">
      <c r="A841" s="1" t="s">
        <v>843</v>
      </c>
      <c r="B841" s="1" t="s">
        <v>3495</v>
      </c>
      <c r="C841" s="1" t="s">
        <v>2170</v>
      </c>
      <c r="D841" t="str">
        <f t="shared" si="120"/>
        <v>FE90FE</v>
      </c>
      <c r="E841" t="str">
        <f t="shared" si="121"/>
        <v>254-144-254</v>
      </c>
      <c r="F841" t="str">
        <f t="shared" si="122"/>
        <v>254144254</v>
      </c>
      <c r="G841">
        <f t="shared" si="123"/>
        <v>254</v>
      </c>
      <c r="H841">
        <f t="shared" si="124"/>
        <v>144</v>
      </c>
      <c r="I841">
        <f t="shared" si="125"/>
        <v>254</v>
      </c>
      <c r="J841" t="str">
        <f t="shared" si="117"/>
        <v>PRC",</v>
      </c>
      <c r="K841" t="str">
        <f t="shared" si="117"/>
        <v>Precommissural nucleus",</v>
      </c>
      <c r="L841" t="str">
        <f t="shared" si="118"/>
        <v>PRC</v>
      </c>
      <c r="M841" t="str">
        <f t="shared" si="118"/>
        <v>Precommissural nucleus</v>
      </c>
      <c r="N841" t="s">
        <v>6140</v>
      </c>
      <c r="O841" t="s">
        <v>6141</v>
      </c>
      <c r="Y841" t="s">
        <v>6140</v>
      </c>
      <c r="Z841" t="s">
        <v>6141</v>
      </c>
      <c r="AA841" s="6">
        <f t="shared" si="119"/>
        <v>50</v>
      </c>
      <c r="AB841">
        <v>254</v>
      </c>
      <c r="AC841">
        <v>144</v>
      </c>
      <c r="AD841">
        <v>254</v>
      </c>
    </row>
    <row r="842" spans="1:30" ht="17" x14ac:dyDescent="0.25">
      <c r="A842" s="1" t="s">
        <v>844</v>
      </c>
      <c r="B842" s="1" t="s">
        <v>3496</v>
      </c>
      <c r="C842" s="1" t="s">
        <v>2171</v>
      </c>
      <c r="D842" t="str">
        <f t="shared" si="120"/>
        <v>FF90FD</v>
      </c>
      <c r="E842" t="str">
        <f t="shared" si="121"/>
        <v>255-144-253</v>
      </c>
      <c r="F842" t="str">
        <f t="shared" si="122"/>
        <v>255144253</v>
      </c>
      <c r="G842">
        <f t="shared" si="123"/>
        <v>255</v>
      </c>
      <c r="H842">
        <f t="shared" si="124"/>
        <v>144</v>
      </c>
      <c r="I842">
        <f t="shared" si="125"/>
        <v>253</v>
      </c>
      <c r="J842" t="str">
        <f t="shared" si="117"/>
        <v>INC",</v>
      </c>
      <c r="K842" t="str">
        <f t="shared" si="117"/>
        <v>Interstitial nucleus of Cajal",</v>
      </c>
      <c r="L842" t="str">
        <f t="shared" si="118"/>
        <v>INC</v>
      </c>
      <c r="M842" t="str">
        <f t="shared" si="118"/>
        <v>Interstitial nucleus of Cajal</v>
      </c>
      <c r="N842" t="s">
        <v>6142</v>
      </c>
      <c r="O842" t="s">
        <v>6143</v>
      </c>
      <c r="Y842" t="s">
        <v>6142</v>
      </c>
      <c r="Z842" t="s">
        <v>6143</v>
      </c>
      <c r="AA842" s="6">
        <f t="shared" si="119"/>
        <v>67</v>
      </c>
      <c r="AB842">
        <v>255</v>
      </c>
      <c r="AC842">
        <v>144</v>
      </c>
      <c r="AD842">
        <v>253</v>
      </c>
    </row>
    <row r="843" spans="1:30" ht="17" x14ac:dyDescent="0.25">
      <c r="A843" s="1" t="s">
        <v>845</v>
      </c>
      <c r="B843" s="1" t="s">
        <v>3497</v>
      </c>
      <c r="C843" s="1" t="s">
        <v>2172</v>
      </c>
      <c r="D843" t="str">
        <f t="shared" si="120"/>
        <v>FD8FFD</v>
      </c>
      <c r="E843" t="str">
        <f t="shared" si="121"/>
        <v>253-143-253</v>
      </c>
      <c r="F843" t="str">
        <f t="shared" si="122"/>
        <v>253143253</v>
      </c>
      <c r="G843">
        <f t="shared" si="123"/>
        <v>253</v>
      </c>
      <c r="H843">
        <f t="shared" si="124"/>
        <v>143</v>
      </c>
      <c r="I843">
        <f t="shared" si="125"/>
        <v>253</v>
      </c>
      <c r="J843" t="str">
        <f t="shared" si="117"/>
        <v>ND",</v>
      </c>
      <c r="K843" t="str">
        <f t="shared" si="117"/>
        <v>Nucleus of Darkschewitsch",</v>
      </c>
      <c r="L843" t="str">
        <f t="shared" si="118"/>
        <v>ND</v>
      </c>
      <c r="M843" t="str">
        <f t="shared" si="118"/>
        <v>Nucleus of Darkschewitsch</v>
      </c>
      <c r="N843" t="s">
        <v>6144</v>
      </c>
      <c r="O843" t="s">
        <v>6145</v>
      </c>
      <c r="Y843" t="s">
        <v>6144</v>
      </c>
      <c r="Z843" t="s">
        <v>6145</v>
      </c>
      <c r="AA843" s="6">
        <f t="shared" si="119"/>
        <v>587</v>
      </c>
      <c r="AB843">
        <v>253</v>
      </c>
      <c r="AC843">
        <v>143</v>
      </c>
      <c r="AD843">
        <v>253</v>
      </c>
    </row>
    <row r="844" spans="1:30" ht="17" x14ac:dyDescent="0.25">
      <c r="A844" s="1" t="s">
        <v>846</v>
      </c>
      <c r="B844" s="1" t="s">
        <v>3498</v>
      </c>
      <c r="C844" s="1" t="s">
        <v>2173</v>
      </c>
      <c r="D844" t="str">
        <f t="shared" si="120"/>
        <v>FD90FC</v>
      </c>
      <c r="E844" t="str">
        <f t="shared" si="121"/>
        <v>253-144-252</v>
      </c>
      <c r="F844" t="str">
        <f t="shared" si="122"/>
        <v>253144252</v>
      </c>
      <c r="G844">
        <f t="shared" si="123"/>
        <v>253</v>
      </c>
      <c r="H844">
        <f t="shared" si="124"/>
        <v>144</v>
      </c>
      <c r="I844">
        <f t="shared" si="125"/>
        <v>252</v>
      </c>
      <c r="J844" t="str">
        <f t="shared" si="117"/>
        <v>Su3",</v>
      </c>
      <c r="K844" t="str">
        <f t="shared" si="117"/>
        <v>Supraoculomotor periaqueductal gray",</v>
      </c>
      <c r="L844" t="str">
        <f t="shared" si="118"/>
        <v>Su3</v>
      </c>
      <c r="M844" t="str">
        <f t="shared" si="118"/>
        <v>Supraoculomotor periaqueductal gray</v>
      </c>
      <c r="N844" t="s">
        <v>6146</v>
      </c>
      <c r="O844" t="s">
        <v>6147</v>
      </c>
      <c r="Y844" t="s">
        <v>6146</v>
      </c>
      <c r="Z844" t="s">
        <v>6147</v>
      </c>
      <c r="AA844" s="6">
        <f t="shared" si="119"/>
        <v>614454277</v>
      </c>
      <c r="AB844">
        <v>253</v>
      </c>
      <c r="AC844">
        <v>144</v>
      </c>
      <c r="AD844">
        <v>252</v>
      </c>
    </row>
    <row r="845" spans="1:30" ht="17" x14ac:dyDescent="0.25">
      <c r="A845" s="1" t="s">
        <v>847</v>
      </c>
      <c r="B845" s="1" t="s">
        <v>3499</v>
      </c>
      <c r="C845" s="1" t="s">
        <v>2174</v>
      </c>
      <c r="D845" t="str">
        <f t="shared" si="120"/>
        <v>FD8EFD</v>
      </c>
      <c r="E845" t="str">
        <f t="shared" si="121"/>
        <v>253-142-253</v>
      </c>
      <c r="F845" t="str">
        <f t="shared" si="122"/>
        <v>253142253</v>
      </c>
      <c r="G845">
        <f t="shared" si="123"/>
        <v>253</v>
      </c>
      <c r="H845">
        <f t="shared" si="124"/>
        <v>142</v>
      </c>
      <c r="I845">
        <f t="shared" si="125"/>
        <v>253</v>
      </c>
      <c r="J845" t="str">
        <f t="shared" si="117"/>
        <v>PRT",</v>
      </c>
      <c r="K845" t="str">
        <f t="shared" si="117"/>
        <v>Pretectal region",</v>
      </c>
      <c r="L845" t="str">
        <f t="shared" si="118"/>
        <v>PRT</v>
      </c>
      <c r="M845" t="str">
        <f t="shared" si="118"/>
        <v>Pretectal region</v>
      </c>
      <c r="N845" t="s">
        <v>6148</v>
      </c>
      <c r="O845" t="s">
        <v>6149</v>
      </c>
      <c r="Y845" t="s">
        <v>6148</v>
      </c>
      <c r="Z845" t="s">
        <v>6149</v>
      </c>
      <c r="AA845" s="6">
        <f t="shared" si="119"/>
        <v>1100</v>
      </c>
      <c r="AB845">
        <v>253</v>
      </c>
      <c r="AC845">
        <v>142</v>
      </c>
      <c r="AD845">
        <v>253</v>
      </c>
    </row>
    <row r="846" spans="1:30" ht="17" x14ac:dyDescent="0.25">
      <c r="A846" s="1" t="s">
        <v>848</v>
      </c>
      <c r="B846" s="1" t="s">
        <v>3500</v>
      </c>
      <c r="C846" s="1" t="s">
        <v>2175</v>
      </c>
      <c r="D846" t="str">
        <f t="shared" si="120"/>
        <v>FE8EFF</v>
      </c>
      <c r="E846" t="str">
        <f t="shared" si="121"/>
        <v>254-142-255</v>
      </c>
      <c r="F846" t="str">
        <f t="shared" si="122"/>
        <v>254142255</v>
      </c>
      <c r="G846">
        <f t="shared" si="123"/>
        <v>254</v>
      </c>
      <c r="H846">
        <f t="shared" si="124"/>
        <v>142</v>
      </c>
      <c r="I846">
        <f t="shared" si="125"/>
        <v>255</v>
      </c>
      <c r="J846" t="str">
        <f t="shared" si="117"/>
        <v>APN",</v>
      </c>
      <c r="K846" t="str">
        <f t="shared" si="117"/>
        <v>Anterior pretectal nucleus",</v>
      </c>
      <c r="L846" t="str">
        <f t="shared" si="118"/>
        <v>APN</v>
      </c>
      <c r="M846" t="str">
        <f t="shared" si="118"/>
        <v>Anterior pretectal nucleus</v>
      </c>
      <c r="N846" t="s">
        <v>6150</v>
      </c>
      <c r="O846" t="s">
        <v>6151</v>
      </c>
      <c r="Y846" t="s">
        <v>6150</v>
      </c>
      <c r="Z846" t="s">
        <v>6151</v>
      </c>
      <c r="AA846" s="6">
        <f t="shared" si="119"/>
        <v>215</v>
      </c>
      <c r="AB846">
        <v>254</v>
      </c>
      <c r="AC846">
        <v>142</v>
      </c>
      <c r="AD846">
        <v>255</v>
      </c>
    </row>
    <row r="847" spans="1:30" ht="17" x14ac:dyDescent="0.25">
      <c r="A847" s="1" t="s">
        <v>849</v>
      </c>
      <c r="B847" s="1" t="s">
        <v>3501</v>
      </c>
      <c r="C847" s="1" t="s">
        <v>2176</v>
      </c>
      <c r="D847" t="str">
        <f t="shared" si="120"/>
        <v>FF90FC</v>
      </c>
      <c r="E847" t="str">
        <f t="shared" si="121"/>
        <v>255-144-252</v>
      </c>
      <c r="F847" t="str">
        <f t="shared" si="122"/>
        <v>255144252</v>
      </c>
      <c r="G847">
        <f t="shared" si="123"/>
        <v>255</v>
      </c>
      <c r="H847">
        <f t="shared" si="124"/>
        <v>144</v>
      </c>
      <c r="I847">
        <f t="shared" si="125"/>
        <v>252</v>
      </c>
      <c r="J847" t="str">
        <f t="shared" si="117"/>
        <v>MPT",</v>
      </c>
      <c r="K847" t="str">
        <f t="shared" si="117"/>
        <v>Medial pretectal area",</v>
      </c>
      <c r="L847" t="str">
        <f t="shared" si="118"/>
        <v>MPT</v>
      </c>
      <c r="M847" t="str">
        <f t="shared" si="118"/>
        <v>Medial pretectal area</v>
      </c>
      <c r="N847" t="s">
        <v>6152</v>
      </c>
      <c r="O847" t="s">
        <v>6153</v>
      </c>
      <c r="Y847" t="s">
        <v>6152</v>
      </c>
      <c r="Z847" t="s">
        <v>6153</v>
      </c>
      <c r="AA847" s="6">
        <f t="shared" si="119"/>
        <v>531</v>
      </c>
      <c r="AB847">
        <v>255</v>
      </c>
      <c r="AC847">
        <v>144</v>
      </c>
      <c r="AD847">
        <v>252</v>
      </c>
    </row>
    <row r="848" spans="1:30" ht="17" x14ac:dyDescent="0.25">
      <c r="A848" s="1" t="s">
        <v>850</v>
      </c>
      <c r="B848" s="1" t="s">
        <v>3502</v>
      </c>
      <c r="C848" s="1" t="s">
        <v>2177</v>
      </c>
      <c r="D848" t="str">
        <f t="shared" si="120"/>
        <v>FF8FFC</v>
      </c>
      <c r="E848" t="str">
        <f t="shared" si="121"/>
        <v>255-143-252</v>
      </c>
      <c r="F848" t="str">
        <f t="shared" si="122"/>
        <v>255143252</v>
      </c>
      <c r="G848">
        <f t="shared" si="123"/>
        <v>255</v>
      </c>
      <c r="H848">
        <f t="shared" si="124"/>
        <v>143</v>
      </c>
      <c r="I848">
        <f t="shared" si="125"/>
        <v>252</v>
      </c>
      <c r="J848" t="str">
        <f t="shared" si="117"/>
        <v>NOT",</v>
      </c>
      <c r="K848" t="str">
        <f t="shared" si="117"/>
        <v>Nucleus of the optic tract",</v>
      </c>
      <c r="L848" t="str">
        <f t="shared" si="118"/>
        <v>NOT</v>
      </c>
      <c r="M848" t="str">
        <f t="shared" si="118"/>
        <v>Nucleus of the optic tract</v>
      </c>
      <c r="N848" t="s">
        <v>6154</v>
      </c>
      <c r="O848" t="s">
        <v>6155</v>
      </c>
      <c r="Y848" t="s">
        <v>6154</v>
      </c>
      <c r="Z848" t="s">
        <v>6155</v>
      </c>
      <c r="AA848" s="6">
        <f t="shared" si="119"/>
        <v>628</v>
      </c>
      <c r="AB848">
        <v>255</v>
      </c>
      <c r="AC848">
        <v>143</v>
      </c>
      <c r="AD848">
        <v>252</v>
      </c>
    </row>
    <row r="849" spans="1:30" ht="17" x14ac:dyDescent="0.25">
      <c r="A849" s="1" t="s">
        <v>851</v>
      </c>
      <c r="B849" s="1" t="s">
        <v>3503</v>
      </c>
      <c r="C849" s="1" t="s">
        <v>2178</v>
      </c>
      <c r="D849" t="str">
        <f t="shared" si="120"/>
        <v>FF8DFE</v>
      </c>
      <c r="E849" t="str">
        <f t="shared" si="121"/>
        <v>255-141-254</v>
      </c>
      <c r="F849" t="str">
        <f t="shared" si="122"/>
        <v>255141254</v>
      </c>
      <c r="G849">
        <f t="shared" si="123"/>
        <v>255</v>
      </c>
      <c r="H849">
        <f t="shared" si="124"/>
        <v>141</v>
      </c>
      <c r="I849">
        <f t="shared" si="125"/>
        <v>254</v>
      </c>
      <c r="J849" t="str">
        <f t="shared" si="117"/>
        <v>NPC",</v>
      </c>
      <c r="K849" t="str">
        <f t="shared" si="117"/>
        <v>Nucleus of the posterior commissure",</v>
      </c>
      <c r="L849" t="str">
        <f t="shared" si="118"/>
        <v>NPC</v>
      </c>
      <c r="M849" t="str">
        <f t="shared" si="118"/>
        <v>Nucleus of the posterior commissure</v>
      </c>
      <c r="N849" t="s">
        <v>6156</v>
      </c>
      <c r="O849" t="s">
        <v>6157</v>
      </c>
      <c r="Y849" t="s">
        <v>6156</v>
      </c>
      <c r="Z849" t="s">
        <v>6157</v>
      </c>
      <c r="AA849" s="6">
        <f t="shared" si="119"/>
        <v>634</v>
      </c>
      <c r="AB849">
        <v>255</v>
      </c>
      <c r="AC849">
        <v>141</v>
      </c>
      <c r="AD849">
        <v>254</v>
      </c>
    </row>
    <row r="850" spans="1:30" ht="17" x14ac:dyDescent="0.25">
      <c r="A850" s="1" t="s">
        <v>852</v>
      </c>
      <c r="B850" s="1" t="s">
        <v>3504</v>
      </c>
      <c r="C850" s="1" t="s">
        <v>2179</v>
      </c>
      <c r="D850" t="str">
        <f t="shared" si="120"/>
        <v>FE90FC</v>
      </c>
      <c r="E850" t="str">
        <f t="shared" si="121"/>
        <v>254-144-252</v>
      </c>
      <c r="F850" t="str">
        <f t="shared" si="122"/>
        <v>254144252</v>
      </c>
      <c r="G850">
        <f t="shared" si="123"/>
        <v>254</v>
      </c>
      <c r="H850">
        <f t="shared" si="124"/>
        <v>144</v>
      </c>
      <c r="I850">
        <f t="shared" si="125"/>
        <v>252</v>
      </c>
      <c r="J850" t="str">
        <f t="shared" si="117"/>
        <v>OP",</v>
      </c>
      <c r="K850" t="str">
        <f t="shared" si="117"/>
        <v>Olivary pretectal nucleus",</v>
      </c>
      <c r="L850" t="str">
        <f t="shared" si="118"/>
        <v>OP</v>
      </c>
      <c r="M850" t="str">
        <f t="shared" si="118"/>
        <v>Olivary pretectal nucleus</v>
      </c>
      <c r="N850" t="s">
        <v>6158</v>
      </c>
      <c r="O850" t="s">
        <v>6159</v>
      </c>
      <c r="Y850" t="s">
        <v>6158</v>
      </c>
      <c r="Z850" t="s">
        <v>6159</v>
      </c>
      <c r="AA850" s="6">
        <f t="shared" si="119"/>
        <v>706</v>
      </c>
      <c r="AB850">
        <v>254</v>
      </c>
      <c r="AC850">
        <v>144</v>
      </c>
      <c r="AD850">
        <v>252</v>
      </c>
    </row>
    <row r="851" spans="1:30" ht="17" x14ac:dyDescent="0.25">
      <c r="A851" s="1" t="s">
        <v>853</v>
      </c>
      <c r="B851" s="1" t="s">
        <v>3505</v>
      </c>
      <c r="C851" s="1" t="s">
        <v>2180</v>
      </c>
      <c r="D851" t="str">
        <f t="shared" si="120"/>
        <v>FC8FFE</v>
      </c>
      <c r="E851" t="str">
        <f t="shared" si="121"/>
        <v>252-143-254</v>
      </c>
      <c r="F851" t="str">
        <f t="shared" si="122"/>
        <v>252143254</v>
      </c>
      <c r="G851">
        <f t="shared" si="123"/>
        <v>252</v>
      </c>
      <c r="H851">
        <f t="shared" si="124"/>
        <v>143</v>
      </c>
      <c r="I851">
        <f t="shared" si="125"/>
        <v>254</v>
      </c>
      <c r="J851" t="str">
        <f t="shared" si="117"/>
        <v>PPT",</v>
      </c>
      <c r="K851" t="str">
        <f t="shared" si="117"/>
        <v>Posterior pretectal nucleus",</v>
      </c>
      <c r="L851" t="str">
        <f t="shared" si="118"/>
        <v>PPT</v>
      </c>
      <c r="M851" t="str">
        <f t="shared" si="118"/>
        <v>Posterior pretectal nucleus</v>
      </c>
      <c r="N851" t="s">
        <v>6160</v>
      </c>
      <c r="O851" t="s">
        <v>6161</v>
      </c>
      <c r="Y851" t="s">
        <v>6160</v>
      </c>
      <c r="Z851" t="s">
        <v>6161</v>
      </c>
      <c r="AA851" s="6">
        <f t="shared" si="119"/>
        <v>1061</v>
      </c>
      <c r="AB851">
        <v>252</v>
      </c>
      <c r="AC851">
        <v>143</v>
      </c>
      <c r="AD851">
        <v>254</v>
      </c>
    </row>
    <row r="852" spans="1:30" ht="17" x14ac:dyDescent="0.25">
      <c r="A852" s="1" t="s">
        <v>854</v>
      </c>
      <c r="B852" s="1" t="s">
        <v>3506</v>
      </c>
      <c r="C852" s="1" t="s">
        <v>2181</v>
      </c>
      <c r="D852" t="str">
        <f t="shared" si="120"/>
        <v>FD8DFF</v>
      </c>
      <c r="E852" t="str">
        <f t="shared" si="121"/>
        <v>253-141-255</v>
      </c>
      <c r="F852" t="str">
        <f t="shared" si="122"/>
        <v>253141255</v>
      </c>
      <c r="G852">
        <f t="shared" si="123"/>
        <v>253</v>
      </c>
      <c r="H852">
        <f t="shared" si="124"/>
        <v>141</v>
      </c>
      <c r="I852">
        <f t="shared" si="125"/>
        <v>255</v>
      </c>
      <c r="J852" t="str">
        <f t="shared" si="117"/>
        <v>RPF",</v>
      </c>
      <c r="K852" t="str">
        <f t="shared" si="117"/>
        <v>Retroparafascicular nucleus",</v>
      </c>
      <c r="L852" t="str">
        <f t="shared" si="118"/>
        <v>RPF</v>
      </c>
      <c r="M852" t="str">
        <f t="shared" si="118"/>
        <v>Retroparafascicular nucleus</v>
      </c>
      <c r="N852" t="s">
        <v>6162</v>
      </c>
      <c r="O852" t="s">
        <v>6163</v>
      </c>
      <c r="Y852" t="s">
        <v>6162</v>
      </c>
      <c r="Z852" t="s">
        <v>6163</v>
      </c>
      <c r="AA852" s="6">
        <f t="shared" si="119"/>
        <v>549009203</v>
      </c>
      <c r="AB852">
        <v>253</v>
      </c>
      <c r="AC852">
        <v>141</v>
      </c>
      <c r="AD852">
        <v>255</v>
      </c>
    </row>
    <row r="853" spans="1:30" ht="17" x14ac:dyDescent="0.25">
      <c r="A853" s="1" t="s">
        <v>855</v>
      </c>
      <c r="B853" s="1" t="s">
        <v>3507</v>
      </c>
      <c r="C853" s="1" t="s">
        <v>2182</v>
      </c>
      <c r="D853" t="str">
        <f t="shared" si="120"/>
        <v>FC90FD</v>
      </c>
      <c r="E853" t="str">
        <f t="shared" si="121"/>
        <v>252-144-253</v>
      </c>
      <c r="F853" t="str">
        <f t="shared" si="122"/>
        <v>252144253</v>
      </c>
      <c r="G853">
        <f t="shared" si="123"/>
        <v>252</v>
      </c>
      <c r="H853">
        <f t="shared" si="124"/>
        <v>144</v>
      </c>
      <c r="I853">
        <f t="shared" si="125"/>
        <v>253</v>
      </c>
      <c r="J853" t="str">
        <f t="shared" si="117"/>
        <v>InCo",</v>
      </c>
      <c r="K853" t="str">
        <f t="shared" si="117"/>
        <v>Intercollicular nucleus",</v>
      </c>
      <c r="L853" t="str">
        <f t="shared" si="118"/>
        <v>InCo</v>
      </c>
      <c r="M853" t="str">
        <f t="shared" si="118"/>
        <v>Intercollicular nucleus</v>
      </c>
      <c r="N853" t="s">
        <v>6164</v>
      </c>
      <c r="O853" t="s">
        <v>6165</v>
      </c>
      <c r="Y853" t="s">
        <v>6164</v>
      </c>
      <c r="Z853" t="s">
        <v>6165</v>
      </c>
      <c r="AA853" s="6" t="str">
        <f t="shared" si="119"/>
        <v/>
      </c>
      <c r="AB853">
        <v>252</v>
      </c>
      <c r="AC853">
        <v>144</v>
      </c>
      <c r="AD853">
        <v>253</v>
      </c>
    </row>
    <row r="854" spans="1:30" ht="17" x14ac:dyDescent="0.25">
      <c r="A854" s="1" t="s">
        <v>856</v>
      </c>
      <c r="B854" s="1" t="s">
        <v>3508</v>
      </c>
      <c r="C854" s="1" t="s">
        <v>2183</v>
      </c>
      <c r="D854" t="str">
        <f t="shared" si="120"/>
        <v>FC90FF</v>
      </c>
      <c r="E854" t="str">
        <f t="shared" si="121"/>
        <v>252-144-255</v>
      </c>
      <c r="F854" t="str">
        <f t="shared" si="122"/>
        <v>252144255</v>
      </c>
      <c r="G854">
        <f t="shared" si="123"/>
        <v>252</v>
      </c>
      <c r="H854">
        <f t="shared" si="124"/>
        <v>144</v>
      </c>
      <c r="I854">
        <f t="shared" si="125"/>
        <v>255</v>
      </c>
      <c r="J854" t="str">
        <f t="shared" si="117"/>
        <v>CUN",</v>
      </c>
      <c r="K854" t="str">
        <f t="shared" si="117"/>
        <v>Cuneiform nucleus",</v>
      </c>
      <c r="L854" t="str">
        <f t="shared" si="118"/>
        <v>CUN</v>
      </c>
      <c r="M854" t="str">
        <f t="shared" si="118"/>
        <v>Cuneiform nucleus</v>
      </c>
      <c r="N854" t="s">
        <v>6166</v>
      </c>
      <c r="O854" t="s">
        <v>6167</v>
      </c>
      <c r="Y854" t="s">
        <v>6166</v>
      </c>
      <c r="Z854" t="s">
        <v>6167</v>
      </c>
      <c r="AA854" s="6">
        <f t="shared" si="119"/>
        <v>616</v>
      </c>
      <c r="AB854">
        <v>252</v>
      </c>
      <c r="AC854">
        <v>144</v>
      </c>
      <c r="AD854">
        <v>255</v>
      </c>
    </row>
    <row r="855" spans="1:30" ht="17" x14ac:dyDescent="0.25">
      <c r="A855" s="1" t="s">
        <v>857</v>
      </c>
      <c r="B855" s="1" t="s">
        <v>3509</v>
      </c>
      <c r="C855" s="1" t="s">
        <v>2184</v>
      </c>
      <c r="D855" t="str">
        <f t="shared" si="120"/>
        <v>FE90FD</v>
      </c>
      <c r="E855" t="str">
        <f t="shared" si="121"/>
        <v>254-144-253</v>
      </c>
      <c r="F855" t="str">
        <f t="shared" si="122"/>
        <v>254144253</v>
      </c>
      <c r="G855">
        <f t="shared" si="123"/>
        <v>254</v>
      </c>
      <c r="H855">
        <f t="shared" si="124"/>
        <v>144</v>
      </c>
      <c r="I855">
        <f t="shared" si="125"/>
        <v>253</v>
      </c>
      <c r="J855" t="str">
        <f t="shared" si="117"/>
        <v>RN",</v>
      </c>
      <c r="K855" t="str">
        <f t="shared" si="117"/>
        <v>Red nucleus",</v>
      </c>
      <c r="L855" t="str">
        <f t="shared" si="118"/>
        <v>RN</v>
      </c>
      <c r="M855" t="str">
        <f t="shared" si="118"/>
        <v>Red nucleus</v>
      </c>
      <c r="N855" t="s">
        <v>6168</v>
      </c>
      <c r="O855" t="s">
        <v>6169</v>
      </c>
      <c r="Y855" t="s">
        <v>6168</v>
      </c>
      <c r="Z855" t="s">
        <v>6169</v>
      </c>
      <c r="AA855" s="6">
        <f t="shared" si="119"/>
        <v>214</v>
      </c>
      <c r="AB855">
        <v>254</v>
      </c>
      <c r="AC855">
        <v>144</v>
      </c>
      <c r="AD855">
        <v>253</v>
      </c>
    </row>
    <row r="856" spans="1:30" ht="17" x14ac:dyDescent="0.25">
      <c r="A856" s="1" t="s">
        <v>858</v>
      </c>
      <c r="B856" s="1" t="s">
        <v>3510</v>
      </c>
      <c r="C856" s="1" t="s">
        <v>2185</v>
      </c>
      <c r="D856" t="str">
        <f t="shared" si="120"/>
        <v>FE90FF</v>
      </c>
      <c r="E856" t="str">
        <f t="shared" si="121"/>
        <v>254-144-255</v>
      </c>
      <c r="F856" t="str">
        <f t="shared" si="122"/>
        <v>254144255</v>
      </c>
      <c r="G856">
        <f t="shared" si="123"/>
        <v>254</v>
      </c>
      <c r="H856">
        <f t="shared" si="124"/>
        <v>144</v>
      </c>
      <c r="I856">
        <f t="shared" si="125"/>
        <v>255</v>
      </c>
      <c r="J856" t="str">
        <f t="shared" si="117"/>
        <v>III",</v>
      </c>
      <c r="K856" t="str">
        <f t="shared" si="117"/>
        <v>Oculomotor nucleus",</v>
      </c>
      <c r="L856" t="str">
        <f t="shared" si="118"/>
        <v>III</v>
      </c>
      <c r="M856" t="str">
        <f t="shared" si="118"/>
        <v>Oculomotor nucleus</v>
      </c>
      <c r="N856" t="s">
        <v>6170</v>
      </c>
      <c r="O856" t="s">
        <v>6171</v>
      </c>
      <c r="Y856" t="s">
        <v>6170</v>
      </c>
      <c r="Z856" t="s">
        <v>6171</v>
      </c>
      <c r="AA856" s="6">
        <f t="shared" si="119"/>
        <v>35</v>
      </c>
      <c r="AB856">
        <v>254</v>
      </c>
      <c r="AC856">
        <v>144</v>
      </c>
      <c r="AD856">
        <v>255</v>
      </c>
    </row>
    <row r="857" spans="1:30" ht="17" x14ac:dyDescent="0.25">
      <c r="A857" s="1" t="s">
        <v>859</v>
      </c>
      <c r="B857" s="1" t="s">
        <v>3511</v>
      </c>
      <c r="C857" s="1" t="s">
        <v>2186</v>
      </c>
      <c r="D857" t="str">
        <f t="shared" si="120"/>
        <v>FC8EFF</v>
      </c>
      <c r="E857" t="str">
        <f t="shared" si="121"/>
        <v>252-142-255</v>
      </c>
      <c r="F857" t="str">
        <f t="shared" si="122"/>
        <v>252142255</v>
      </c>
      <c r="G857">
        <f t="shared" si="123"/>
        <v>252</v>
      </c>
      <c r="H857">
        <f t="shared" si="124"/>
        <v>142</v>
      </c>
      <c r="I857">
        <f t="shared" si="125"/>
        <v>255</v>
      </c>
      <c r="J857" t="str">
        <f t="shared" si="117"/>
        <v>MA3",</v>
      </c>
      <c r="K857" t="str">
        <f t="shared" si="117"/>
        <v>Medial accesory oculomotor nucleus",</v>
      </c>
      <c r="L857" t="str">
        <f t="shared" si="118"/>
        <v>MA3</v>
      </c>
      <c r="M857" t="str">
        <f t="shared" si="118"/>
        <v>Medial accesory oculomotor nucleus</v>
      </c>
      <c r="N857" t="s">
        <v>6172</v>
      </c>
      <c r="O857" t="s">
        <v>6173</v>
      </c>
      <c r="Y857" t="s">
        <v>6172</v>
      </c>
      <c r="Z857" t="s">
        <v>6173</v>
      </c>
      <c r="AA857" s="6">
        <f t="shared" si="119"/>
        <v>549009211</v>
      </c>
      <c r="AB857">
        <v>252</v>
      </c>
      <c r="AC857">
        <v>142</v>
      </c>
      <c r="AD857">
        <v>255</v>
      </c>
    </row>
    <row r="858" spans="1:30" ht="17" x14ac:dyDescent="0.25">
      <c r="A858" s="1" t="s">
        <v>860</v>
      </c>
      <c r="B858" s="1" t="s">
        <v>3512</v>
      </c>
      <c r="C858" s="1" t="s">
        <v>2187</v>
      </c>
      <c r="D858" t="str">
        <f t="shared" si="120"/>
        <v>FE8FFC</v>
      </c>
      <c r="E858" t="str">
        <f t="shared" si="121"/>
        <v>254-143-252</v>
      </c>
      <c r="F858" t="str">
        <f t="shared" si="122"/>
        <v>254143252</v>
      </c>
      <c r="G858">
        <f t="shared" si="123"/>
        <v>254</v>
      </c>
      <c r="H858">
        <f t="shared" si="124"/>
        <v>143</v>
      </c>
      <c r="I858">
        <f t="shared" si="125"/>
        <v>252</v>
      </c>
      <c r="J858" t="str">
        <f t="shared" si="117"/>
        <v>EW",</v>
      </c>
      <c r="K858" t="str">
        <f t="shared" si="117"/>
        <v>Edinger-Westphal nucleus",</v>
      </c>
      <c r="L858" t="str">
        <f t="shared" si="118"/>
        <v>EW</v>
      </c>
      <c r="M858" t="str">
        <f t="shared" si="118"/>
        <v>Edinger-Westphal nucleus</v>
      </c>
      <c r="N858" t="s">
        <v>6174</v>
      </c>
      <c r="O858" t="s">
        <v>6175</v>
      </c>
      <c r="Y858" t="s">
        <v>6174</v>
      </c>
      <c r="Z858" t="s">
        <v>6175</v>
      </c>
      <c r="AA858" s="6">
        <f t="shared" si="119"/>
        <v>975</v>
      </c>
      <c r="AB858">
        <v>254</v>
      </c>
      <c r="AC858">
        <v>143</v>
      </c>
      <c r="AD858">
        <v>252</v>
      </c>
    </row>
    <row r="859" spans="1:30" ht="17" x14ac:dyDescent="0.25">
      <c r="A859" s="1" t="s">
        <v>861</v>
      </c>
      <c r="B859" s="1" t="s">
        <v>3513</v>
      </c>
      <c r="C859" s="1" t="s">
        <v>2188</v>
      </c>
      <c r="D859" t="str">
        <f t="shared" si="120"/>
        <v>FD90FF</v>
      </c>
      <c r="E859" t="str">
        <f t="shared" si="121"/>
        <v>253-144-255</v>
      </c>
      <c r="F859" t="str">
        <f t="shared" si="122"/>
        <v>253144255</v>
      </c>
      <c r="G859">
        <f t="shared" si="123"/>
        <v>253</v>
      </c>
      <c r="H859">
        <f t="shared" si="124"/>
        <v>144</v>
      </c>
      <c r="I859">
        <f t="shared" si="125"/>
        <v>255</v>
      </c>
      <c r="J859" t="str">
        <f t="shared" si="117"/>
        <v>IV",</v>
      </c>
      <c r="K859" t="str">
        <f t="shared" si="117"/>
        <v>Trochlear nucleus",</v>
      </c>
      <c r="L859" t="str">
        <f t="shared" si="118"/>
        <v>IV</v>
      </c>
      <c r="M859" t="str">
        <f t="shared" si="118"/>
        <v>Trochlear nucleus</v>
      </c>
      <c r="N859" t="s">
        <v>6176</v>
      </c>
      <c r="O859" t="s">
        <v>6177</v>
      </c>
      <c r="Y859" t="s">
        <v>6176</v>
      </c>
      <c r="Z859" t="s">
        <v>6177</v>
      </c>
      <c r="AA859" s="6">
        <f t="shared" si="119"/>
        <v>115</v>
      </c>
      <c r="AB859">
        <v>253</v>
      </c>
      <c r="AC859">
        <v>144</v>
      </c>
      <c r="AD859">
        <v>255</v>
      </c>
    </row>
    <row r="860" spans="1:30" ht="17" x14ac:dyDescent="0.25">
      <c r="A860" s="1" t="s">
        <v>862</v>
      </c>
      <c r="B860" s="1" t="s">
        <v>3514</v>
      </c>
      <c r="C860" s="1" t="s">
        <v>2189</v>
      </c>
      <c r="D860" t="str">
        <f t="shared" si="120"/>
        <v>FE8DFE</v>
      </c>
      <c r="E860" t="str">
        <f t="shared" si="121"/>
        <v>254-141-254</v>
      </c>
      <c r="F860" t="str">
        <f t="shared" si="122"/>
        <v>254141254</v>
      </c>
      <c r="G860">
        <f t="shared" si="123"/>
        <v>254</v>
      </c>
      <c r="H860">
        <f t="shared" si="124"/>
        <v>141</v>
      </c>
      <c r="I860">
        <f t="shared" si="125"/>
        <v>254</v>
      </c>
      <c r="J860" t="str">
        <f t="shared" si="117"/>
        <v>Pa4",</v>
      </c>
      <c r="K860" t="str">
        <f t="shared" si="117"/>
        <v>Paratrochlear nucleus",</v>
      </c>
      <c r="L860" t="str">
        <f t="shared" si="118"/>
        <v>Pa4</v>
      </c>
      <c r="M860" t="str">
        <f t="shared" si="118"/>
        <v>Paratrochlear nucleus</v>
      </c>
      <c r="N860" t="s">
        <v>6178</v>
      </c>
      <c r="O860" t="s">
        <v>6179</v>
      </c>
      <c r="Y860" t="s">
        <v>6178</v>
      </c>
      <c r="Z860" t="s">
        <v>6179</v>
      </c>
      <c r="AA860" s="6">
        <f t="shared" si="119"/>
        <v>606826663</v>
      </c>
      <c r="AB860">
        <v>254</v>
      </c>
      <c r="AC860">
        <v>141</v>
      </c>
      <c r="AD860">
        <v>254</v>
      </c>
    </row>
    <row r="861" spans="1:30" ht="17" x14ac:dyDescent="0.25">
      <c r="A861" s="1" t="s">
        <v>863</v>
      </c>
      <c r="B861" s="1" t="s">
        <v>3515</v>
      </c>
      <c r="C861" s="1" t="s">
        <v>2190</v>
      </c>
      <c r="D861" t="str">
        <f t="shared" si="120"/>
        <v>FC90FE</v>
      </c>
      <c r="E861" t="str">
        <f t="shared" si="121"/>
        <v>252-144-254</v>
      </c>
      <c r="F861" t="str">
        <f t="shared" si="122"/>
        <v>252144254</v>
      </c>
      <c r="G861">
        <f t="shared" si="123"/>
        <v>252</v>
      </c>
      <c r="H861">
        <f t="shared" si="124"/>
        <v>144</v>
      </c>
      <c r="I861">
        <f t="shared" si="125"/>
        <v>254</v>
      </c>
      <c r="J861" t="str">
        <f t="shared" si="117"/>
        <v>VTN",</v>
      </c>
      <c r="K861" t="str">
        <f t="shared" si="117"/>
        <v>Ventral tegmental nucleus",</v>
      </c>
      <c r="L861" t="str">
        <f t="shared" si="118"/>
        <v>VTN</v>
      </c>
      <c r="M861" t="str">
        <f t="shared" si="118"/>
        <v>Ventral tegmental nucleus</v>
      </c>
      <c r="N861" t="s">
        <v>6180</v>
      </c>
      <c r="O861" t="s">
        <v>6181</v>
      </c>
      <c r="Y861" t="s">
        <v>6180</v>
      </c>
      <c r="Z861" t="s">
        <v>6181</v>
      </c>
      <c r="AA861" s="6">
        <f t="shared" si="119"/>
        <v>757</v>
      </c>
      <c r="AB861">
        <v>252</v>
      </c>
      <c r="AC861">
        <v>144</v>
      </c>
      <c r="AD861">
        <v>254</v>
      </c>
    </row>
    <row r="862" spans="1:30" ht="17" x14ac:dyDescent="0.25">
      <c r="A862" s="1" t="s">
        <v>864</v>
      </c>
      <c r="B862" s="1" t="s">
        <v>3516</v>
      </c>
      <c r="C862" s="1" t="s">
        <v>2191</v>
      </c>
      <c r="D862" t="str">
        <f t="shared" si="120"/>
        <v>FD90FE</v>
      </c>
      <c r="E862" t="str">
        <f t="shared" si="121"/>
        <v>253-144-254</v>
      </c>
      <c r="F862" t="str">
        <f t="shared" si="122"/>
        <v>253144254</v>
      </c>
      <c r="G862">
        <f t="shared" si="123"/>
        <v>253</v>
      </c>
      <c r="H862">
        <f t="shared" si="124"/>
        <v>144</v>
      </c>
      <c r="I862">
        <f t="shared" si="125"/>
        <v>254</v>
      </c>
      <c r="J862" t="str">
        <f t="shared" si="117"/>
        <v>AT",</v>
      </c>
      <c r="K862" t="str">
        <f t="shared" si="117"/>
        <v>Anterior tegmental nucleus",</v>
      </c>
      <c r="L862" t="str">
        <f t="shared" si="118"/>
        <v>AT</v>
      </c>
      <c r="M862" t="str">
        <f t="shared" si="118"/>
        <v>Anterior tegmental nucleus</v>
      </c>
      <c r="N862" t="s">
        <v>6182</v>
      </c>
      <c r="O862" t="s">
        <v>6183</v>
      </c>
      <c r="Y862" t="s">
        <v>6182</v>
      </c>
      <c r="Z862" t="s">
        <v>6183</v>
      </c>
      <c r="AA862" s="6">
        <f t="shared" si="119"/>
        <v>231</v>
      </c>
      <c r="AB862">
        <v>253</v>
      </c>
      <c r="AC862">
        <v>144</v>
      </c>
      <c r="AD862">
        <v>254</v>
      </c>
    </row>
    <row r="863" spans="1:30" ht="17" x14ac:dyDescent="0.25">
      <c r="A863" s="1" t="s">
        <v>865</v>
      </c>
      <c r="B863" s="1" t="s">
        <v>3517</v>
      </c>
      <c r="C863" s="1" t="s">
        <v>2192</v>
      </c>
      <c r="D863" t="str">
        <f t="shared" si="120"/>
        <v>FE8FFE</v>
      </c>
      <c r="E863" t="str">
        <f t="shared" si="121"/>
        <v>254-143-254</v>
      </c>
      <c r="F863" t="str">
        <f t="shared" si="122"/>
        <v>254143254</v>
      </c>
      <c r="G863">
        <f t="shared" si="123"/>
        <v>254</v>
      </c>
      <c r="H863">
        <f t="shared" si="124"/>
        <v>143</v>
      </c>
      <c r="I863">
        <f t="shared" si="125"/>
        <v>254</v>
      </c>
      <c r="J863" t="str">
        <f t="shared" si="117"/>
        <v>LT",</v>
      </c>
      <c r="K863" t="str">
        <f t="shared" si="117"/>
        <v>Lateral terminal nucleus of the accessory optic tract",</v>
      </c>
      <c r="L863" t="str">
        <f t="shared" si="118"/>
        <v>LT</v>
      </c>
      <c r="M863" t="str">
        <f t="shared" si="118"/>
        <v>Lateral terminal nucleus of the accessory optic tract</v>
      </c>
      <c r="N863" t="s">
        <v>6184</v>
      </c>
      <c r="O863" t="s">
        <v>6185</v>
      </c>
      <c r="Y863" t="s">
        <v>6184</v>
      </c>
      <c r="Z863" t="s">
        <v>6185</v>
      </c>
      <c r="AA863" s="6">
        <f t="shared" si="119"/>
        <v>66</v>
      </c>
      <c r="AB863">
        <v>254</v>
      </c>
      <c r="AC863">
        <v>143</v>
      </c>
      <c r="AD863">
        <v>254</v>
      </c>
    </row>
    <row r="864" spans="1:30" ht="17" x14ac:dyDescent="0.25">
      <c r="A864" s="1" t="s">
        <v>866</v>
      </c>
      <c r="B864" s="1" t="s">
        <v>3518</v>
      </c>
      <c r="C864" s="1" t="s">
        <v>2193</v>
      </c>
      <c r="D864" t="str">
        <f t="shared" si="120"/>
        <v>FF8EFF</v>
      </c>
      <c r="E864" t="str">
        <f t="shared" si="121"/>
        <v>255-142-255</v>
      </c>
      <c r="F864" t="str">
        <f t="shared" si="122"/>
        <v>255142255</v>
      </c>
      <c r="G864">
        <f t="shared" si="123"/>
        <v>255</v>
      </c>
      <c r="H864">
        <f t="shared" si="124"/>
        <v>142</v>
      </c>
      <c r="I864">
        <f t="shared" si="125"/>
        <v>255</v>
      </c>
      <c r="J864" t="str">
        <f t="shared" si="117"/>
        <v>DT",</v>
      </c>
      <c r="K864" t="str">
        <f t="shared" si="117"/>
        <v>Dorsal terminal nucleus of the accessory optic tract",</v>
      </c>
      <c r="L864" t="str">
        <f t="shared" si="118"/>
        <v>DT</v>
      </c>
      <c r="M864" t="str">
        <f t="shared" si="118"/>
        <v>Dorsal terminal nucleus of the accessory optic tract</v>
      </c>
      <c r="N864" t="s">
        <v>6186</v>
      </c>
      <c r="O864" t="s">
        <v>6187</v>
      </c>
      <c r="Y864" t="s">
        <v>6186</v>
      </c>
      <c r="Z864" t="s">
        <v>6187</v>
      </c>
      <c r="AA864" s="6">
        <f t="shared" si="119"/>
        <v>75</v>
      </c>
      <c r="AB864">
        <v>255</v>
      </c>
      <c r="AC864">
        <v>142</v>
      </c>
      <c r="AD864">
        <v>255</v>
      </c>
    </row>
    <row r="865" spans="1:30" ht="17" x14ac:dyDescent="0.25">
      <c r="A865" s="1" t="s">
        <v>867</v>
      </c>
      <c r="B865" s="1" t="s">
        <v>3519</v>
      </c>
      <c r="C865" s="1" t="s">
        <v>2194</v>
      </c>
      <c r="D865" t="str">
        <f t="shared" si="120"/>
        <v>FE8FFF</v>
      </c>
      <c r="E865" t="str">
        <f t="shared" si="121"/>
        <v>254-143-255</v>
      </c>
      <c r="F865" t="str">
        <f t="shared" si="122"/>
        <v>254143255</v>
      </c>
      <c r="G865">
        <f t="shared" si="123"/>
        <v>254</v>
      </c>
      <c r="H865">
        <f t="shared" si="124"/>
        <v>143</v>
      </c>
      <c r="I865">
        <f t="shared" si="125"/>
        <v>255</v>
      </c>
      <c r="J865" t="str">
        <f t="shared" si="117"/>
        <v>MT",</v>
      </c>
      <c r="K865" t="str">
        <f t="shared" si="117"/>
        <v>Medial terminal nucleus of the accessory optic tract",</v>
      </c>
      <c r="L865" t="str">
        <f t="shared" si="118"/>
        <v>MT</v>
      </c>
      <c r="M865" t="str">
        <f t="shared" si="118"/>
        <v>Medial terminal nucleus of the accessory optic tract</v>
      </c>
      <c r="N865" t="s">
        <v>6188</v>
      </c>
      <c r="O865" t="s">
        <v>6189</v>
      </c>
      <c r="Y865" t="s">
        <v>6188</v>
      </c>
      <c r="Z865" t="s">
        <v>6189</v>
      </c>
      <c r="AA865" s="6">
        <f t="shared" si="119"/>
        <v>58</v>
      </c>
      <c r="AB865">
        <v>254</v>
      </c>
      <c r="AC865">
        <v>143</v>
      </c>
      <c r="AD865">
        <v>255</v>
      </c>
    </row>
    <row r="866" spans="1:30" ht="17" x14ac:dyDescent="0.25">
      <c r="A866" s="1" t="s">
        <v>868</v>
      </c>
      <c r="B866" s="1" t="s">
        <v>3520</v>
      </c>
      <c r="C866" s="1" t="s">
        <v>2195</v>
      </c>
      <c r="D866" t="str">
        <f t="shared" si="120"/>
        <v>FD8EFE</v>
      </c>
      <c r="E866" t="str">
        <f t="shared" si="121"/>
        <v>253-142-254</v>
      </c>
      <c r="F866" t="str">
        <f t="shared" si="122"/>
        <v>253142254</v>
      </c>
      <c r="G866">
        <f t="shared" si="123"/>
        <v>253</v>
      </c>
      <c r="H866">
        <f t="shared" si="124"/>
        <v>142</v>
      </c>
      <c r="I866">
        <f t="shared" si="125"/>
        <v>254</v>
      </c>
      <c r="J866" t="str">
        <f t="shared" si="117"/>
        <v>SNl",</v>
      </c>
      <c r="K866" t="str">
        <f t="shared" si="117"/>
        <v>Substantia nigra, lateral part",</v>
      </c>
      <c r="L866" t="str">
        <f t="shared" si="118"/>
        <v>SNl</v>
      </c>
      <c r="M866" t="str">
        <f t="shared" si="118"/>
        <v>Substantia nigra, lateral part</v>
      </c>
      <c r="N866" t="s">
        <v>6190</v>
      </c>
      <c r="O866" t="s">
        <v>6191</v>
      </c>
      <c r="Y866" t="s">
        <v>6190</v>
      </c>
      <c r="Z866" t="s">
        <v>6191</v>
      </c>
      <c r="AA866" s="6" t="str">
        <f t="shared" si="119"/>
        <v/>
      </c>
      <c r="AB866">
        <v>253</v>
      </c>
      <c r="AC866">
        <v>142</v>
      </c>
      <c r="AD866">
        <v>254</v>
      </c>
    </row>
    <row r="867" spans="1:30" ht="17" x14ac:dyDescent="0.25">
      <c r="A867" s="1" t="s">
        <v>869</v>
      </c>
      <c r="B867" s="1" t="s">
        <v>3521</v>
      </c>
      <c r="C867" s="1" t="s">
        <v>2196</v>
      </c>
      <c r="D867" t="str">
        <f t="shared" si="120"/>
        <v>FD8FFE</v>
      </c>
      <c r="E867" t="str">
        <f t="shared" si="121"/>
        <v>253-143-254</v>
      </c>
      <c r="F867" t="str">
        <f t="shared" si="122"/>
        <v>253143254</v>
      </c>
      <c r="G867">
        <f t="shared" si="123"/>
        <v>253</v>
      </c>
      <c r="H867">
        <f t="shared" si="124"/>
        <v>143</v>
      </c>
      <c r="I867">
        <f t="shared" si="125"/>
        <v>254</v>
      </c>
      <c r="J867" t="str">
        <f t="shared" si="117"/>
        <v>MBsta",</v>
      </c>
      <c r="K867" t="str">
        <f t="shared" si="117"/>
        <v>Midbrain, behavioral state related",</v>
      </c>
      <c r="L867" t="str">
        <f t="shared" si="118"/>
        <v>MBsta</v>
      </c>
      <c r="M867" t="str">
        <f t="shared" si="118"/>
        <v>Midbrain, behavioral state related</v>
      </c>
      <c r="N867" t="s">
        <v>6192</v>
      </c>
      <c r="O867" t="s">
        <v>6193</v>
      </c>
      <c r="Y867" t="s">
        <v>6192</v>
      </c>
      <c r="Z867" t="s">
        <v>6193</v>
      </c>
      <c r="AA867" s="6">
        <f t="shared" si="119"/>
        <v>348</v>
      </c>
      <c r="AB867">
        <v>253</v>
      </c>
      <c r="AC867">
        <v>143</v>
      </c>
      <c r="AD867">
        <v>254</v>
      </c>
    </row>
    <row r="868" spans="1:30" ht="17" x14ac:dyDescent="0.25">
      <c r="A868" s="1" t="s">
        <v>870</v>
      </c>
      <c r="B868" s="1" t="s">
        <v>3522</v>
      </c>
      <c r="C868" s="1" t="s">
        <v>2197</v>
      </c>
      <c r="D868" t="str">
        <f t="shared" si="120"/>
        <v>FFA6FD</v>
      </c>
      <c r="E868" t="str">
        <f t="shared" si="121"/>
        <v>255-166-253</v>
      </c>
      <c r="F868" t="str">
        <f t="shared" si="122"/>
        <v>255166253</v>
      </c>
      <c r="G868">
        <f t="shared" si="123"/>
        <v>255</v>
      </c>
      <c r="H868">
        <f t="shared" si="124"/>
        <v>166</v>
      </c>
      <c r="I868">
        <f t="shared" si="125"/>
        <v>253</v>
      </c>
      <c r="J868" t="str">
        <f t="shared" si="117"/>
        <v>SNc",</v>
      </c>
      <c r="K868" t="str">
        <f t="shared" si="117"/>
        <v>Substantia nigra, compact part",</v>
      </c>
      <c r="L868" t="str">
        <f t="shared" si="118"/>
        <v>SNc</v>
      </c>
      <c r="M868" t="str">
        <f t="shared" si="118"/>
        <v>Substantia nigra, compact part</v>
      </c>
      <c r="N868" t="s">
        <v>6194</v>
      </c>
      <c r="O868" t="s">
        <v>6195</v>
      </c>
      <c r="Y868" t="s">
        <v>6194</v>
      </c>
      <c r="Z868" t="s">
        <v>6195</v>
      </c>
      <c r="AA868" s="6">
        <f t="shared" si="119"/>
        <v>374</v>
      </c>
      <c r="AB868">
        <v>255</v>
      </c>
      <c r="AC868">
        <v>166</v>
      </c>
      <c r="AD868">
        <v>253</v>
      </c>
    </row>
    <row r="869" spans="1:30" ht="17" x14ac:dyDescent="0.25">
      <c r="A869" s="1" t="s">
        <v>871</v>
      </c>
      <c r="B869" s="1" t="s">
        <v>3523</v>
      </c>
      <c r="C869" s="1" t="s">
        <v>2198</v>
      </c>
      <c r="D869" t="str">
        <f t="shared" si="120"/>
        <v>FFA5FD</v>
      </c>
      <c r="E869" t="str">
        <f t="shared" si="121"/>
        <v>255-165-253</v>
      </c>
      <c r="F869" t="str">
        <f t="shared" si="122"/>
        <v>255165253</v>
      </c>
      <c r="G869">
        <f t="shared" si="123"/>
        <v>255</v>
      </c>
      <c r="H869">
        <f t="shared" si="124"/>
        <v>165</v>
      </c>
      <c r="I869">
        <f t="shared" si="125"/>
        <v>253</v>
      </c>
      <c r="J869" t="str">
        <f t="shared" si="117"/>
        <v>PPN",</v>
      </c>
      <c r="K869" t="str">
        <f t="shared" si="117"/>
        <v>Pedunculopontine nucleus",</v>
      </c>
      <c r="L869" t="str">
        <f t="shared" si="118"/>
        <v>PPN</v>
      </c>
      <c r="M869" t="str">
        <f t="shared" si="118"/>
        <v>Pedunculopontine nucleus</v>
      </c>
      <c r="N869" t="s">
        <v>6196</v>
      </c>
      <c r="O869" t="s">
        <v>6197</v>
      </c>
      <c r="Y869" t="s">
        <v>6196</v>
      </c>
      <c r="Z869" t="s">
        <v>6197</v>
      </c>
      <c r="AA869" s="6">
        <f t="shared" si="119"/>
        <v>1052</v>
      </c>
      <c r="AB869">
        <v>255</v>
      </c>
      <c r="AC869">
        <v>165</v>
      </c>
      <c r="AD869">
        <v>253</v>
      </c>
    </row>
    <row r="870" spans="1:30" ht="17" x14ac:dyDescent="0.25">
      <c r="A870" s="1" t="s">
        <v>872</v>
      </c>
      <c r="B870" s="1" t="s">
        <v>3524</v>
      </c>
      <c r="C870" s="1" t="s">
        <v>2199</v>
      </c>
      <c r="D870" t="str">
        <f t="shared" si="120"/>
        <v>FFA5FF</v>
      </c>
      <c r="E870" t="str">
        <f t="shared" si="121"/>
        <v>255-165-255</v>
      </c>
      <c r="F870" t="str">
        <f t="shared" si="122"/>
        <v>255165255</v>
      </c>
      <c r="G870">
        <f t="shared" si="123"/>
        <v>255</v>
      </c>
      <c r="H870">
        <f t="shared" si="124"/>
        <v>165</v>
      </c>
      <c r="I870">
        <f t="shared" si="125"/>
        <v>255</v>
      </c>
      <c r="J870" t="str">
        <f t="shared" si="117"/>
        <v>RAmb",</v>
      </c>
      <c r="K870" t="str">
        <f t="shared" si="117"/>
        <v>Midbrain raphe nuclei",</v>
      </c>
      <c r="L870" t="str">
        <f t="shared" si="118"/>
        <v>RAmb</v>
      </c>
      <c r="M870" t="str">
        <f t="shared" si="118"/>
        <v>Midbrain raphe nuclei</v>
      </c>
      <c r="N870" t="s">
        <v>6198</v>
      </c>
      <c r="O870" t="s">
        <v>6199</v>
      </c>
      <c r="Y870" t="s">
        <v>6198</v>
      </c>
      <c r="Z870" t="s">
        <v>6199</v>
      </c>
      <c r="AA870" s="6">
        <f t="shared" si="119"/>
        <v>165</v>
      </c>
      <c r="AB870">
        <v>255</v>
      </c>
      <c r="AC870">
        <v>165</v>
      </c>
      <c r="AD870">
        <v>255</v>
      </c>
    </row>
    <row r="871" spans="1:30" ht="17" x14ac:dyDescent="0.25">
      <c r="A871" s="1" t="s">
        <v>873</v>
      </c>
      <c r="B871" s="1" t="s">
        <v>3525</v>
      </c>
      <c r="C871" s="1" t="s">
        <v>2200</v>
      </c>
      <c r="D871" t="str">
        <f t="shared" si="120"/>
        <v>FFA6FF</v>
      </c>
      <c r="E871" t="str">
        <f t="shared" si="121"/>
        <v>255-166-255</v>
      </c>
      <c r="F871" t="str">
        <f t="shared" si="122"/>
        <v>255166255</v>
      </c>
      <c r="G871">
        <f t="shared" si="123"/>
        <v>255</v>
      </c>
      <c r="H871">
        <f t="shared" si="124"/>
        <v>166</v>
      </c>
      <c r="I871">
        <f t="shared" si="125"/>
        <v>255</v>
      </c>
      <c r="J871" t="str">
        <f t="shared" si="117"/>
        <v>IF",</v>
      </c>
      <c r="K871" t="str">
        <f t="shared" si="117"/>
        <v>Interfascicular nucleus raphe",</v>
      </c>
      <c r="L871" t="str">
        <f t="shared" si="118"/>
        <v>IF</v>
      </c>
      <c r="M871" t="str">
        <f t="shared" si="118"/>
        <v>Interfascicular nucleus raphe</v>
      </c>
      <c r="N871" t="s">
        <v>6200</v>
      </c>
      <c r="O871" t="s">
        <v>6201</v>
      </c>
      <c r="Y871" t="s">
        <v>6200</v>
      </c>
      <c r="Z871" t="s">
        <v>6201</v>
      </c>
      <c r="AA871" s="6">
        <f t="shared" si="119"/>
        <v>12</v>
      </c>
      <c r="AB871">
        <v>255</v>
      </c>
      <c r="AC871">
        <v>166</v>
      </c>
      <c r="AD871">
        <v>255</v>
      </c>
    </row>
    <row r="872" spans="1:30" ht="17" x14ac:dyDescent="0.25">
      <c r="A872" s="1" t="s">
        <v>874</v>
      </c>
      <c r="B872" s="1" t="s">
        <v>3526</v>
      </c>
      <c r="C872" s="1" t="s">
        <v>2201</v>
      </c>
      <c r="D872" t="str">
        <f t="shared" si="120"/>
        <v>FFA6FE</v>
      </c>
      <c r="E872" t="str">
        <f t="shared" si="121"/>
        <v>255-166-254</v>
      </c>
      <c r="F872" t="str">
        <f t="shared" si="122"/>
        <v>255166254</v>
      </c>
      <c r="G872">
        <f t="shared" si="123"/>
        <v>255</v>
      </c>
      <c r="H872">
        <f t="shared" si="124"/>
        <v>166</v>
      </c>
      <c r="I872">
        <f t="shared" si="125"/>
        <v>254</v>
      </c>
      <c r="J872" t="str">
        <f t="shared" si="117"/>
        <v>IPN",</v>
      </c>
      <c r="K872" t="str">
        <f t="shared" si="117"/>
        <v>Interpeduncular nucleus",</v>
      </c>
      <c r="L872" t="str">
        <f t="shared" si="118"/>
        <v>IPN</v>
      </c>
      <c r="M872" t="str">
        <f t="shared" si="118"/>
        <v>Interpeduncular nucleus</v>
      </c>
      <c r="N872" t="s">
        <v>6202</v>
      </c>
      <c r="O872" t="s">
        <v>6203</v>
      </c>
      <c r="Y872" t="s">
        <v>6202</v>
      </c>
      <c r="Z872" t="s">
        <v>6203</v>
      </c>
      <c r="AA872" s="6">
        <f t="shared" si="119"/>
        <v>100</v>
      </c>
      <c r="AB872">
        <v>255</v>
      </c>
      <c r="AC872">
        <v>166</v>
      </c>
      <c r="AD872">
        <v>254</v>
      </c>
    </row>
    <row r="873" spans="1:30" ht="17" x14ac:dyDescent="0.25">
      <c r="A873" s="1" t="s">
        <v>875</v>
      </c>
      <c r="B873" s="1" t="s">
        <v>3527</v>
      </c>
      <c r="C873" s="1" t="s">
        <v>2202</v>
      </c>
      <c r="D873" t="str">
        <f t="shared" si="120"/>
        <v>FFA4FE</v>
      </c>
      <c r="E873" t="str">
        <f t="shared" si="121"/>
        <v>255-164-254</v>
      </c>
      <c r="F873" t="str">
        <f t="shared" si="122"/>
        <v>255164254</v>
      </c>
      <c r="G873">
        <f t="shared" si="123"/>
        <v>255</v>
      </c>
      <c r="H873">
        <f t="shared" si="124"/>
        <v>164</v>
      </c>
      <c r="I873">
        <f t="shared" si="125"/>
        <v>254</v>
      </c>
      <c r="J873" t="str">
        <f t="shared" si="117"/>
        <v>IPR",</v>
      </c>
      <c r="K873" t="str">
        <f t="shared" si="117"/>
        <v>Interpeduncular nucleus, rostral",</v>
      </c>
      <c r="L873" t="str">
        <f t="shared" si="118"/>
        <v>IPR</v>
      </c>
      <c r="M873" t="str">
        <f t="shared" si="118"/>
        <v>Interpeduncular nucleus, rostral</v>
      </c>
      <c r="N873" t="s">
        <v>6204</v>
      </c>
      <c r="O873" t="s">
        <v>6205</v>
      </c>
      <c r="Y873" t="s">
        <v>6204</v>
      </c>
      <c r="Z873" t="s">
        <v>6205</v>
      </c>
      <c r="AA873" s="6">
        <f t="shared" si="119"/>
        <v>607344834</v>
      </c>
      <c r="AB873">
        <v>255</v>
      </c>
      <c r="AC873">
        <v>164</v>
      </c>
      <c r="AD873">
        <v>254</v>
      </c>
    </row>
    <row r="874" spans="1:30" ht="17" x14ac:dyDescent="0.25">
      <c r="A874" s="1" t="s">
        <v>876</v>
      </c>
      <c r="B874" s="1" t="s">
        <v>3528</v>
      </c>
      <c r="C874" s="1" t="s">
        <v>2203</v>
      </c>
      <c r="D874" t="str">
        <f t="shared" si="120"/>
        <v>FFA5FE</v>
      </c>
      <c r="E874" t="str">
        <f t="shared" si="121"/>
        <v>255-165-254</v>
      </c>
      <c r="F874" t="str">
        <f t="shared" si="122"/>
        <v>255165254</v>
      </c>
      <c r="G874">
        <f t="shared" si="123"/>
        <v>255</v>
      </c>
      <c r="H874">
        <f t="shared" si="124"/>
        <v>165</v>
      </c>
      <c r="I874">
        <f t="shared" si="125"/>
        <v>254</v>
      </c>
      <c r="J874" t="str">
        <f t="shared" si="117"/>
        <v>IPC",</v>
      </c>
      <c r="K874" t="str">
        <f t="shared" si="117"/>
        <v>Interpeduncular nucleus, caudal",</v>
      </c>
      <c r="L874" t="str">
        <f t="shared" si="118"/>
        <v>IPC</v>
      </c>
      <c r="M874" t="str">
        <f t="shared" si="118"/>
        <v>Interpeduncular nucleus, caudal</v>
      </c>
      <c r="N874" t="s">
        <v>6206</v>
      </c>
      <c r="O874" t="s">
        <v>6207</v>
      </c>
      <c r="Y874" t="s">
        <v>6206</v>
      </c>
      <c r="Z874" t="s">
        <v>6207</v>
      </c>
      <c r="AA874" s="6">
        <f t="shared" si="119"/>
        <v>607344838</v>
      </c>
      <c r="AB874">
        <v>255</v>
      </c>
      <c r="AC874">
        <v>165</v>
      </c>
      <c r="AD874">
        <v>254</v>
      </c>
    </row>
    <row r="875" spans="1:30" ht="17" x14ac:dyDescent="0.25">
      <c r="A875" s="1" t="s">
        <v>877</v>
      </c>
      <c r="B875" s="1" t="s">
        <v>3529</v>
      </c>
      <c r="C875" s="1" t="s">
        <v>2204</v>
      </c>
      <c r="D875" t="str">
        <f t="shared" si="120"/>
        <v>FEA6FE</v>
      </c>
      <c r="E875" t="str">
        <f t="shared" si="121"/>
        <v>254-166-254</v>
      </c>
      <c r="F875" t="str">
        <f t="shared" si="122"/>
        <v>254166254</v>
      </c>
      <c r="G875">
        <f t="shared" si="123"/>
        <v>254</v>
      </c>
      <c r="H875">
        <f t="shared" si="124"/>
        <v>166</v>
      </c>
      <c r="I875">
        <f t="shared" si="125"/>
        <v>254</v>
      </c>
      <c r="J875" t="str">
        <f t="shared" si="117"/>
        <v>IPA",</v>
      </c>
      <c r="K875" t="str">
        <f t="shared" si="117"/>
        <v>Interpeduncular nucleus, apical",</v>
      </c>
      <c r="L875" t="str">
        <f t="shared" si="118"/>
        <v>IPA</v>
      </c>
      <c r="M875" t="str">
        <f t="shared" si="118"/>
        <v>Interpeduncular nucleus, apical</v>
      </c>
      <c r="N875" t="s">
        <v>6208</v>
      </c>
      <c r="O875" t="s">
        <v>6209</v>
      </c>
      <c r="Y875" t="s">
        <v>6208</v>
      </c>
      <c r="Z875" t="s">
        <v>6209</v>
      </c>
      <c r="AA875" s="6">
        <f t="shared" si="119"/>
        <v>607344842</v>
      </c>
      <c r="AB875">
        <v>254</v>
      </c>
      <c r="AC875">
        <v>166</v>
      </c>
      <c r="AD875">
        <v>254</v>
      </c>
    </row>
    <row r="876" spans="1:30" ht="17" x14ac:dyDescent="0.25">
      <c r="A876" s="1" t="s">
        <v>878</v>
      </c>
      <c r="B876" s="1" t="s">
        <v>3530</v>
      </c>
      <c r="C876" s="1" t="s">
        <v>2205</v>
      </c>
      <c r="D876" t="str">
        <f t="shared" si="120"/>
        <v>FEA5FF</v>
      </c>
      <c r="E876" t="str">
        <f t="shared" si="121"/>
        <v>254-165-255</v>
      </c>
      <c r="F876" t="str">
        <f t="shared" si="122"/>
        <v>254165255</v>
      </c>
      <c r="G876">
        <f t="shared" si="123"/>
        <v>254</v>
      </c>
      <c r="H876">
        <f t="shared" si="124"/>
        <v>165</v>
      </c>
      <c r="I876">
        <f t="shared" si="125"/>
        <v>255</v>
      </c>
      <c r="J876" t="str">
        <f t="shared" si="117"/>
        <v>IPL",</v>
      </c>
      <c r="K876" t="str">
        <f t="shared" si="117"/>
        <v>Interpeduncular nucleus, lateral",</v>
      </c>
      <c r="L876" t="str">
        <f t="shared" si="118"/>
        <v>IPL</v>
      </c>
      <c r="M876" t="str">
        <f t="shared" si="118"/>
        <v>Interpeduncular nucleus, lateral</v>
      </c>
      <c r="N876" t="s">
        <v>6210</v>
      </c>
      <c r="O876" t="s">
        <v>6211</v>
      </c>
      <c r="Y876" t="s">
        <v>6210</v>
      </c>
      <c r="Z876" t="s">
        <v>6211</v>
      </c>
      <c r="AA876" s="6">
        <f t="shared" si="119"/>
        <v>607344846</v>
      </c>
      <c r="AB876">
        <v>254</v>
      </c>
      <c r="AC876">
        <v>165</v>
      </c>
      <c r="AD876">
        <v>255</v>
      </c>
    </row>
    <row r="877" spans="1:30" ht="17" x14ac:dyDescent="0.25">
      <c r="A877" s="1" t="s">
        <v>879</v>
      </c>
      <c r="B877" s="1" t="s">
        <v>3531</v>
      </c>
      <c r="C877" s="1" t="s">
        <v>2206</v>
      </c>
      <c r="D877" t="str">
        <f t="shared" si="120"/>
        <v>FEA6FD</v>
      </c>
      <c r="E877" t="str">
        <f t="shared" si="121"/>
        <v>254-166-253</v>
      </c>
      <c r="F877" t="str">
        <f t="shared" si="122"/>
        <v>254166253</v>
      </c>
      <c r="G877">
        <f t="shared" si="123"/>
        <v>254</v>
      </c>
      <c r="H877">
        <f t="shared" si="124"/>
        <v>166</v>
      </c>
      <c r="I877">
        <f t="shared" si="125"/>
        <v>253</v>
      </c>
      <c r="J877" t="str">
        <f t="shared" si="117"/>
        <v>IPI",</v>
      </c>
      <c r="K877" t="str">
        <f t="shared" si="117"/>
        <v>Interpeduncular nucleus, intermediate",</v>
      </c>
      <c r="L877" t="str">
        <f t="shared" si="118"/>
        <v>IPI</v>
      </c>
      <c r="M877" t="str">
        <f t="shared" si="118"/>
        <v>Interpeduncular nucleus, intermediate</v>
      </c>
      <c r="N877" t="s">
        <v>6212</v>
      </c>
      <c r="O877" t="s">
        <v>6213</v>
      </c>
      <c r="Y877" t="s">
        <v>6212</v>
      </c>
      <c r="Z877" t="s">
        <v>6213</v>
      </c>
      <c r="AA877" s="6">
        <f t="shared" si="119"/>
        <v>607344850</v>
      </c>
      <c r="AB877">
        <v>254</v>
      </c>
      <c r="AC877">
        <v>166</v>
      </c>
      <c r="AD877">
        <v>253</v>
      </c>
    </row>
    <row r="878" spans="1:30" ht="17" x14ac:dyDescent="0.25">
      <c r="A878" s="1" t="s">
        <v>880</v>
      </c>
      <c r="B878" s="1" t="s">
        <v>3532</v>
      </c>
      <c r="C878" s="1" t="s">
        <v>2207</v>
      </c>
      <c r="D878" t="str">
        <f t="shared" si="120"/>
        <v>FEA4FF</v>
      </c>
      <c r="E878" t="str">
        <f t="shared" si="121"/>
        <v>254-164-255</v>
      </c>
      <c r="F878" t="str">
        <f t="shared" si="122"/>
        <v>254164255</v>
      </c>
      <c r="G878">
        <f t="shared" si="123"/>
        <v>254</v>
      </c>
      <c r="H878">
        <f t="shared" si="124"/>
        <v>164</v>
      </c>
      <c r="I878">
        <f t="shared" si="125"/>
        <v>255</v>
      </c>
      <c r="J878" t="str">
        <f t="shared" si="117"/>
        <v>IPDM",</v>
      </c>
      <c r="K878" t="str">
        <f t="shared" si="117"/>
        <v>Interpeduncular nucleus, dorsomedial",</v>
      </c>
      <c r="L878" t="str">
        <f t="shared" si="118"/>
        <v>IPDM</v>
      </c>
      <c r="M878" t="str">
        <f t="shared" si="118"/>
        <v>Interpeduncular nucleus, dorsomedial</v>
      </c>
      <c r="N878" t="s">
        <v>6214</v>
      </c>
      <c r="O878" t="s">
        <v>6215</v>
      </c>
      <c r="Y878" t="s">
        <v>6214</v>
      </c>
      <c r="Z878" t="s">
        <v>6215</v>
      </c>
      <c r="AA878" s="6">
        <f t="shared" si="119"/>
        <v>607344854</v>
      </c>
      <c r="AB878">
        <v>254</v>
      </c>
      <c r="AC878">
        <v>164</v>
      </c>
      <c r="AD878">
        <v>255</v>
      </c>
    </row>
    <row r="879" spans="1:30" ht="17" x14ac:dyDescent="0.25">
      <c r="A879" s="1" t="s">
        <v>881</v>
      </c>
      <c r="B879" s="1" t="s">
        <v>3533</v>
      </c>
      <c r="C879" s="1" t="s">
        <v>2208</v>
      </c>
      <c r="D879" t="str">
        <f t="shared" si="120"/>
        <v>FDA6FE</v>
      </c>
      <c r="E879" t="str">
        <f t="shared" si="121"/>
        <v>253-166-254</v>
      </c>
      <c r="F879" t="str">
        <f t="shared" si="122"/>
        <v>253166254</v>
      </c>
      <c r="G879">
        <f t="shared" si="123"/>
        <v>253</v>
      </c>
      <c r="H879">
        <f t="shared" si="124"/>
        <v>166</v>
      </c>
      <c r="I879">
        <f t="shared" si="125"/>
        <v>254</v>
      </c>
      <c r="J879" t="str">
        <f t="shared" si="117"/>
        <v>IPDL",</v>
      </c>
      <c r="K879" t="str">
        <f t="shared" si="117"/>
        <v>Interpeduncular nucleus, dorsolateral",</v>
      </c>
      <c r="L879" t="str">
        <f t="shared" si="118"/>
        <v>IPDL</v>
      </c>
      <c r="M879" t="str">
        <f t="shared" si="118"/>
        <v>Interpeduncular nucleus, dorsolateral</v>
      </c>
      <c r="N879" t="s">
        <v>6216</v>
      </c>
      <c r="O879" t="s">
        <v>6217</v>
      </c>
      <c r="Y879" t="s">
        <v>6216</v>
      </c>
      <c r="Z879" t="s">
        <v>6217</v>
      </c>
      <c r="AA879" s="6">
        <f t="shared" si="119"/>
        <v>607344858</v>
      </c>
      <c r="AB879">
        <v>253</v>
      </c>
      <c r="AC879">
        <v>166</v>
      </c>
      <c r="AD879">
        <v>254</v>
      </c>
    </row>
    <row r="880" spans="1:30" ht="17" x14ac:dyDescent="0.25">
      <c r="A880" s="1" t="s">
        <v>882</v>
      </c>
      <c r="B880" s="1" t="s">
        <v>3534</v>
      </c>
      <c r="C880" s="1" t="s">
        <v>2209</v>
      </c>
      <c r="D880" t="str">
        <f t="shared" si="120"/>
        <v>FEA5FE</v>
      </c>
      <c r="E880" t="str">
        <f t="shared" si="121"/>
        <v>254-165-254</v>
      </c>
      <c r="F880" t="str">
        <f t="shared" si="122"/>
        <v>254165254</v>
      </c>
      <c r="G880">
        <f t="shared" si="123"/>
        <v>254</v>
      </c>
      <c r="H880">
        <f t="shared" si="124"/>
        <v>165</v>
      </c>
      <c r="I880">
        <f t="shared" si="125"/>
        <v>254</v>
      </c>
      <c r="J880" t="str">
        <f t="shared" si="117"/>
        <v>IPRL",</v>
      </c>
      <c r="K880" t="str">
        <f t="shared" si="117"/>
        <v>Interpeduncular nucleus, rostrolateral",</v>
      </c>
      <c r="L880" t="str">
        <f t="shared" si="118"/>
        <v>IPRL</v>
      </c>
      <c r="M880" t="str">
        <f t="shared" si="118"/>
        <v>Interpeduncular nucleus, rostrolateral</v>
      </c>
      <c r="N880" t="s">
        <v>6218</v>
      </c>
      <c r="O880" t="s">
        <v>6219</v>
      </c>
      <c r="Y880" t="s">
        <v>6218</v>
      </c>
      <c r="Z880" t="s">
        <v>6219</v>
      </c>
      <c r="AA880" s="6">
        <f t="shared" si="119"/>
        <v>607344862</v>
      </c>
      <c r="AB880">
        <v>254</v>
      </c>
      <c r="AC880">
        <v>165</v>
      </c>
      <c r="AD880">
        <v>254</v>
      </c>
    </row>
    <row r="881" spans="1:30" ht="17" x14ac:dyDescent="0.25">
      <c r="A881" s="1" t="s">
        <v>883</v>
      </c>
      <c r="B881" s="1" t="s">
        <v>3535</v>
      </c>
      <c r="C881" s="1" t="s">
        <v>2210</v>
      </c>
      <c r="D881" t="str">
        <f t="shared" si="120"/>
        <v>FEA6FF</v>
      </c>
      <c r="E881" t="str">
        <f t="shared" si="121"/>
        <v>254-166-255</v>
      </c>
      <c r="F881" t="str">
        <f t="shared" si="122"/>
        <v>254166255</v>
      </c>
      <c r="G881">
        <f t="shared" si="123"/>
        <v>254</v>
      </c>
      <c r="H881">
        <f t="shared" si="124"/>
        <v>166</v>
      </c>
      <c r="I881">
        <f t="shared" si="125"/>
        <v>255</v>
      </c>
      <c r="J881" t="str">
        <f t="shared" si="117"/>
        <v>RL",</v>
      </c>
      <c r="K881" t="str">
        <f t="shared" si="117"/>
        <v>Rostral linear nucleus raphe",</v>
      </c>
      <c r="L881" t="str">
        <f t="shared" si="118"/>
        <v>RL</v>
      </c>
      <c r="M881" t="str">
        <f t="shared" si="118"/>
        <v>Rostral linear nucleus raphe</v>
      </c>
      <c r="N881" t="s">
        <v>6220</v>
      </c>
      <c r="O881" t="s">
        <v>6221</v>
      </c>
      <c r="Y881" t="s">
        <v>6220</v>
      </c>
      <c r="Z881" t="s">
        <v>6221</v>
      </c>
      <c r="AA881" s="6">
        <f t="shared" si="119"/>
        <v>197</v>
      </c>
      <c r="AB881">
        <v>254</v>
      </c>
      <c r="AC881">
        <v>166</v>
      </c>
      <c r="AD881">
        <v>255</v>
      </c>
    </row>
    <row r="882" spans="1:30" ht="17" x14ac:dyDescent="0.25">
      <c r="A882" s="1" t="s">
        <v>884</v>
      </c>
      <c r="B882" s="1" t="s">
        <v>3536</v>
      </c>
      <c r="C882" s="1" t="s">
        <v>2211</v>
      </c>
      <c r="D882" t="str">
        <f t="shared" si="120"/>
        <v>FFA4FF</v>
      </c>
      <c r="E882" t="str">
        <f t="shared" si="121"/>
        <v>255-164-255</v>
      </c>
      <c r="F882" t="str">
        <f t="shared" si="122"/>
        <v>255164255</v>
      </c>
      <c r="G882">
        <f t="shared" si="123"/>
        <v>255</v>
      </c>
      <c r="H882">
        <f t="shared" si="124"/>
        <v>164</v>
      </c>
      <c r="I882">
        <f t="shared" si="125"/>
        <v>255</v>
      </c>
      <c r="J882" t="str">
        <f t="shared" si="117"/>
        <v>CLI",</v>
      </c>
      <c r="K882" t="str">
        <f t="shared" si="117"/>
        <v>Central linear nucleus raphe",</v>
      </c>
      <c r="L882" t="str">
        <f t="shared" si="118"/>
        <v>CLI</v>
      </c>
      <c r="M882" t="str">
        <f t="shared" si="118"/>
        <v>Central linear nucleus raphe</v>
      </c>
      <c r="N882" t="s">
        <v>6222</v>
      </c>
      <c r="O882" t="s">
        <v>6223</v>
      </c>
      <c r="Y882" t="s">
        <v>6222</v>
      </c>
      <c r="Z882" t="s">
        <v>6223</v>
      </c>
      <c r="AA882" s="6">
        <f t="shared" si="119"/>
        <v>591</v>
      </c>
      <c r="AB882">
        <v>255</v>
      </c>
      <c r="AC882">
        <v>164</v>
      </c>
      <c r="AD882">
        <v>255</v>
      </c>
    </row>
    <row r="883" spans="1:30" ht="17" x14ac:dyDescent="0.25">
      <c r="A883" s="1" t="s">
        <v>885</v>
      </c>
      <c r="B883" s="1" t="s">
        <v>3537</v>
      </c>
      <c r="C883" s="1" t="s">
        <v>2212</v>
      </c>
      <c r="D883" t="str">
        <f t="shared" si="120"/>
        <v>FDA6FF</v>
      </c>
      <c r="E883" t="str">
        <f t="shared" si="121"/>
        <v>253-166-255</v>
      </c>
      <c r="F883" t="str">
        <f t="shared" si="122"/>
        <v>253166255</v>
      </c>
      <c r="G883">
        <f t="shared" si="123"/>
        <v>253</v>
      </c>
      <c r="H883">
        <f t="shared" si="124"/>
        <v>166</v>
      </c>
      <c r="I883">
        <f t="shared" si="125"/>
        <v>255</v>
      </c>
      <c r="J883" t="str">
        <f t="shared" si="117"/>
        <v>DR",</v>
      </c>
      <c r="K883" t="str">
        <f t="shared" si="117"/>
        <v>Dorsal nucleus raphe",</v>
      </c>
      <c r="L883" t="str">
        <f t="shared" si="118"/>
        <v>DR</v>
      </c>
      <c r="M883" t="str">
        <f t="shared" si="118"/>
        <v>Dorsal nucleus raphe</v>
      </c>
      <c r="N883" t="s">
        <v>6224</v>
      </c>
      <c r="O883" t="s">
        <v>6225</v>
      </c>
      <c r="Y883" t="s">
        <v>6224</v>
      </c>
      <c r="Z883" t="s">
        <v>6225</v>
      </c>
      <c r="AA883" s="6">
        <f t="shared" si="119"/>
        <v>872</v>
      </c>
      <c r="AB883">
        <v>253</v>
      </c>
      <c r="AC883">
        <v>166</v>
      </c>
      <c r="AD883">
        <v>255</v>
      </c>
    </row>
    <row r="884" spans="1:30" ht="17" x14ac:dyDescent="0.25">
      <c r="A884" s="1" t="s">
        <v>886</v>
      </c>
      <c r="B884" s="1" t="s">
        <v>3538</v>
      </c>
      <c r="C884" s="1" t="s">
        <v>2213</v>
      </c>
      <c r="D884" t="str">
        <f t="shared" si="120"/>
        <v>FF9B87</v>
      </c>
      <c r="E884" t="str">
        <f t="shared" si="121"/>
        <v>255-155-135</v>
      </c>
      <c r="F884" t="str">
        <f t="shared" si="122"/>
        <v>255155135</v>
      </c>
      <c r="G884">
        <f t="shared" si="123"/>
        <v>255</v>
      </c>
      <c r="H884">
        <f t="shared" si="124"/>
        <v>155</v>
      </c>
      <c r="I884">
        <f t="shared" si="125"/>
        <v>135</v>
      </c>
      <c r="J884" t="str">
        <f t="shared" si="117"/>
        <v>HB",</v>
      </c>
      <c r="K884" t="str">
        <f t="shared" si="117"/>
        <v>Hindbrain",</v>
      </c>
      <c r="L884" t="str">
        <f t="shared" si="118"/>
        <v>HB</v>
      </c>
      <c r="M884" t="str">
        <f t="shared" si="118"/>
        <v>Hindbrain</v>
      </c>
      <c r="N884" t="s">
        <v>6226</v>
      </c>
      <c r="O884" t="s">
        <v>6227</v>
      </c>
      <c r="Y884" t="s">
        <v>6226</v>
      </c>
      <c r="Z884" t="s">
        <v>6227</v>
      </c>
      <c r="AA884" s="6">
        <f t="shared" si="119"/>
        <v>1065</v>
      </c>
      <c r="AB884">
        <v>255</v>
      </c>
      <c r="AC884">
        <v>155</v>
      </c>
      <c r="AD884">
        <v>135</v>
      </c>
    </row>
    <row r="885" spans="1:30" ht="17" x14ac:dyDescent="0.25">
      <c r="A885" s="1" t="s">
        <v>887</v>
      </c>
      <c r="B885" s="1" t="s">
        <v>3539</v>
      </c>
      <c r="C885" s="1" t="s">
        <v>2214</v>
      </c>
      <c r="D885" t="str">
        <f t="shared" si="120"/>
        <v>FF9B88</v>
      </c>
      <c r="E885" t="str">
        <f t="shared" si="121"/>
        <v>255-155-136</v>
      </c>
      <c r="F885" t="str">
        <f t="shared" si="122"/>
        <v>255155136</v>
      </c>
      <c r="G885">
        <f t="shared" si="123"/>
        <v>255</v>
      </c>
      <c r="H885">
        <f t="shared" si="124"/>
        <v>155</v>
      </c>
      <c r="I885">
        <f t="shared" si="125"/>
        <v>136</v>
      </c>
      <c r="J885" t="str">
        <f t="shared" si="117"/>
        <v>P",</v>
      </c>
      <c r="K885" t="str">
        <f t="shared" si="117"/>
        <v>Pons",</v>
      </c>
      <c r="L885" t="str">
        <f t="shared" si="118"/>
        <v>P</v>
      </c>
      <c r="M885" t="str">
        <f t="shared" si="118"/>
        <v>Pons</v>
      </c>
      <c r="N885" t="s">
        <v>6228</v>
      </c>
      <c r="O885" t="s">
        <v>6229</v>
      </c>
      <c r="Y885" t="s">
        <v>6228</v>
      </c>
      <c r="Z885" t="s">
        <v>6229</v>
      </c>
      <c r="AA885" s="6">
        <f t="shared" si="119"/>
        <v>771</v>
      </c>
      <c r="AB885">
        <v>255</v>
      </c>
      <c r="AC885">
        <v>155</v>
      </c>
      <c r="AD885">
        <v>136</v>
      </c>
    </row>
    <row r="886" spans="1:30" ht="17" x14ac:dyDescent="0.25">
      <c r="A886" s="1" t="s">
        <v>888</v>
      </c>
      <c r="B886" s="1" t="s">
        <v>3540</v>
      </c>
      <c r="C886" s="1" t="s">
        <v>2215</v>
      </c>
      <c r="D886" t="str">
        <f t="shared" si="120"/>
        <v>FFAC6D</v>
      </c>
      <c r="E886" t="str">
        <f t="shared" si="121"/>
        <v>255-172-109</v>
      </c>
      <c r="F886" t="str">
        <f t="shared" si="122"/>
        <v>255172109</v>
      </c>
      <c r="G886">
        <f t="shared" si="123"/>
        <v>255</v>
      </c>
      <c r="H886">
        <f t="shared" si="124"/>
        <v>172</v>
      </c>
      <c r="I886">
        <f t="shared" si="125"/>
        <v>109</v>
      </c>
      <c r="J886" t="str">
        <f t="shared" si="117"/>
        <v>P-sen",</v>
      </c>
      <c r="K886" t="str">
        <f t="shared" si="117"/>
        <v>Pons, sensory related",</v>
      </c>
      <c r="L886" t="str">
        <f t="shared" si="118"/>
        <v>P-sen</v>
      </c>
      <c r="M886" t="str">
        <f t="shared" si="118"/>
        <v>Pons, sensory related</v>
      </c>
      <c r="N886" t="s">
        <v>6230</v>
      </c>
      <c r="O886" t="s">
        <v>6231</v>
      </c>
      <c r="Y886" t="s">
        <v>6230</v>
      </c>
      <c r="Z886" t="s">
        <v>6231</v>
      </c>
      <c r="AA886" s="6">
        <f t="shared" si="119"/>
        <v>1132</v>
      </c>
      <c r="AB886">
        <v>255</v>
      </c>
      <c r="AC886">
        <v>172</v>
      </c>
      <c r="AD886">
        <v>109</v>
      </c>
    </row>
    <row r="887" spans="1:30" ht="17" x14ac:dyDescent="0.25">
      <c r="A887" s="1" t="s">
        <v>889</v>
      </c>
      <c r="B887" s="1" t="s">
        <v>3541</v>
      </c>
      <c r="C887" s="1" t="s">
        <v>2216</v>
      </c>
      <c r="D887" t="str">
        <f t="shared" si="120"/>
        <v>FFAC6F</v>
      </c>
      <c r="E887" t="str">
        <f t="shared" si="121"/>
        <v>255-172-111</v>
      </c>
      <c r="F887" t="str">
        <f t="shared" si="122"/>
        <v>255172111</v>
      </c>
      <c r="G887">
        <f t="shared" si="123"/>
        <v>255</v>
      </c>
      <c r="H887">
        <f t="shared" si="124"/>
        <v>172</v>
      </c>
      <c r="I887">
        <f t="shared" si="125"/>
        <v>111</v>
      </c>
      <c r="J887" t="str">
        <f t="shared" si="117"/>
        <v>NLL",</v>
      </c>
      <c r="K887" t="str">
        <f t="shared" si="117"/>
        <v>Nucleus of the lateral lemniscus",</v>
      </c>
      <c r="L887" t="str">
        <f t="shared" si="118"/>
        <v>NLL</v>
      </c>
      <c r="M887" t="str">
        <f t="shared" si="118"/>
        <v>Nucleus of the lateral lemniscus</v>
      </c>
      <c r="N887" t="s">
        <v>6232</v>
      </c>
      <c r="O887" t="s">
        <v>6233</v>
      </c>
      <c r="Y887" t="s">
        <v>6232</v>
      </c>
      <c r="Z887" t="s">
        <v>6233</v>
      </c>
      <c r="AA887" s="6">
        <f t="shared" si="119"/>
        <v>612</v>
      </c>
      <c r="AB887">
        <v>255</v>
      </c>
      <c r="AC887">
        <v>172</v>
      </c>
      <c r="AD887">
        <v>111</v>
      </c>
    </row>
    <row r="888" spans="1:30" ht="17" x14ac:dyDescent="0.25">
      <c r="A888" s="1" t="s">
        <v>890</v>
      </c>
      <c r="B888" s="1" t="s">
        <v>3542</v>
      </c>
      <c r="C888" s="1" t="s">
        <v>2217</v>
      </c>
      <c r="D888" t="str">
        <f t="shared" si="120"/>
        <v>FFAE6E</v>
      </c>
      <c r="E888" t="str">
        <f t="shared" si="121"/>
        <v>255-174-110</v>
      </c>
      <c r="F888" t="str">
        <f t="shared" si="122"/>
        <v>255174110</v>
      </c>
      <c r="G888">
        <f t="shared" si="123"/>
        <v>255</v>
      </c>
      <c r="H888">
        <f t="shared" si="124"/>
        <v>174</v>
      </c>
      <c r="I888">
        <f t="shared" si="125"/>
        <v>110</v>
      </c>
      <c r="J888" t="str">
        <f t="shared" si="117"/>
        <v>NLLd",</v>
      </c>
      <c r="K888" t="str">
        <f t="shared" si="117"/>
        <v>Nucleus of the lateral lemniscus, dorsal part",</v>
      </c>
      <c r="L888" t="str">
        <f t="shared" si="118"/>
        <v>NLLd</v>
      </c>
      <c r="M888" t="str">
        <f t="shared" si="118"/>
        <v>Nucleus of the lateral lemniscus, dorsal part</v>
      </c>
      <c r="N888" t="s">
        <v>6234</v>
      </c>
      <c r="O888" t="s">
        <v>6235</v>
      </c>
      <c r="Y888" t="s">
        <v>6234</v>
      </c>
      <c r="Z888" t="s">
        <v>6235</v>
      </c>
      <c r="AA888" s="6" t="str">
        <f t="shared" si="119"/>
        <v/>
      </c>
      <c r="AB888">
        <v>255</v>
      </c>
      <c r="AC888">
        <v>174</v>
      </c>
      <c r="AD888">
        <v>110</v>
      </c>
    </row>
    <row r="889" spans="1:30" ht="17" x14ac:dyDescent="0.25">
      <c r="A889" s="1" t="s">
        <v>891</v>
      </c>
      <c r="B889" s="1" t="s">
        <v>3543</v>
      </c>
      <c r="C889" s="1" t="s">
        <v>2218</v>
      </c>
      <c r="D889" t="str">
        <f t="shared" si="120"/>
        <v>FFAD6F</v>
      </c>
      <c r="E889" t="str">
        <f t="shared" si="121"/>
        <v>255-173-111</v>
      </c>
      <c r="F889" t="str">
        <f t="shared" si="122"/>
        <v>255173111</v>
      </c>
      <c r="G889">
        <f t="shared" si="123"/>
        <v>255</v>
      </c>
      <c r="H889">
        <f t="shared" si="124"/>
        <v>173</v>
      </c>
      <c r="I889">
        <f t="shared" si="125"/>
        <v>111</v>
      </c>
      <c r="J889" t="str">
        <f t="shared" si="117"/>
        <v>NLLh",</v>
      </c>
      <c r="K889" t="str">
        <f t="shared" si="117"/>
        <v>Nucleus of the lateral lemniscus, horizontal part",</v>
      </c>
      <c r="L889" t="str">
        <f t="shared" si="118"/>
        <v>NLLh</v>
      </c>
      <c r="M889" t="str">
        <f t="shared" si="118"/>
        <v>Nucleus of the lateral lemniscus, horizontal part</v>
      </c>
      <c r="N889" t="s">
        <v>6236</v>
      </c>
      <c r="O889" t="s">
        <v>6237</v>
      </c>
      <c r="Y889" t="s">
        <v>6236</v>
      </c>
      <c r="Z889" t="s">
        <v>6237</v>
      </c>
      <c r="AA889" s="6" t="str">
        <f t="shared" si="119"/>
        <v/>
      </c>
      <c r="AB889">
        <v>255</v>
      </c>
      <c r="AC889">
        <v>173</v>
      </c>
      <c r="AD889">
        <v>111</v>
      </c>
    </row>
    <row r="890" spans="1:30" ht="17" x14ac:dyDescent="0.25">
      <c r="A890" s="1" t="s">
        <v>892</v>
      </c>
      <c r="B890" s="1" t="s">
        <v>3544</v>
      </c>
      <c r="C890" s="1" t="s">
        <v>2219</v>
      </c>
      <c r="D890" t="str">
        <f t="shared" si="120"/>
        <v>FEAE6F</v>
      </c>
      <c r="E890" t="str">
        <f t="shared" si="121"/>
        <v>254-174-111</v>
      </c>
      <c r="F890" t="str">
        <f t="shared" si="122"/>
        <v>254174111</v>
      </c>
      <c r="G890">
        <f t="shared" si="123"/>
        <v>254</v>
      </c>
      <c r="H890">
        <f t="shared" si="124"/>
        <v>174</v>
      </c>
      <c r="I890">
        <f t="shared" si="125"/>
        <v>111</v>
      </c>
      <c r="J890" t="str">
        <f t="shared" si="117"/>
        <v>NLLv",</v>
      </c>
      <c r="K890" t="str">
        <f t="shared" si="117"/>
        <v>Nucleus of the lateral lemniscus, ventral part",</v>
      </c>
      <c r="L890" t="str">
        <f t="shared" si="118"/>
        <v>NLLv</v>
      </c>
      <c r="M890" t="str">
        <f t="shared" si="118"/>
        <v>Nucleus of the lateral lemniscus, ventral part</v>
      </c>
      <c r="N890" t="s">
        <v>6238</v>
      </c>
      <c r="O890" t="s">
        <v>6239</v>
      </c>
      <c r="Y890" t="s">
        <v>6238</v>
      </c>
      <c r="Z890" t="s">
        <v>6239</v>
      </c>
      <c r="AA890" s="6" t="str">
        <f t="shared" si="119"/>
        <v/>
      </c>
      <c r="AB890">
        <v>254</v>
      </c>
      <c r="AC890">
        <v>174</v>
      </c>
      <c r="AD890">
        <v>111</v>
      </c>
    </row>
    <row r="891" spans="1:30" ht="17" x14ac:dyDescent="0.25">
      <c r="A891" s="1" t="s">
        <v>893</v>
      </c>
      <c r="B891" s="1" t="s">
        <v>3545</v>
      </c>
      <c r="C891" s="1" t="s">
        <v>2220</v>
      </c>
      <c r="D891" t="str">
        <f t="shared" si="120"/>
        <v>FFAE6F</v>
      </c>
      <c r="E891" t="str">
        <f t="shared" si="121"/>
        <v>255-174-111</v>
      </c>
      <c r="F891" t="str">
        <f t="shared" si="122"/>
        <v>255174111</v>
      </c>
      <c r="G891">
        <f t="shared" si="123"/>
        <v>255</v>
      </c>
      <c r="H891">
        <f t="shared" si="124"/>
        <v>174</v>
      </c>
      <c r="I891">
        <f t="shared" si="125"/>
        <v>111</v>
      </c>
      <c r="J891" t="str">
        <f t="shared" si="117"/>
        <v>PSV",</v>
      </c>
      <c r="K891" t="str">
        <f t="shared" si="117"/>
        <v>Principal sensory nucleus of the trigeminal",</v>
      </c>
      <c r="L891" t="str">
        <f t="shared" si="118"/>
        <v>PSV</v>
      </c>
      <c r="M891" t="str">
        <f t="shared" si="118"/>
        <v>Principal sensory nucleus of the trigeminal</v>
      </c>
      <c r="N891" t="s">
        <v>6240</v>
      </c>
      <c r="O891" t="s">
        <v>6241</v>
      </c>
      <c r="Y891" t="s">
        <v>6240</v>
      </c>
      <c r="Z891" t="s">
        <v>6241</v>
      </c>
      <c r="AA891" s="6">
        <f t="shared" si="119"/>
        <v>7</v>
      </c>
      <c r="AB891">
        <v>255</v>
      </c>
      <c r="AC891">
        <v>174</v>
      </c>
      <c r="AD891">
        <v>111</v>
      </c>
    </row>
    <row r="892" spans="1:30" ht="17" x14ac:dyDescent="0.25">
      <c r="A892" s="1" t="s">
        <v>894</v>
      </c>
      <c r="B892" s="1" t="s">
        <v>3546</v>
      </c>
      <c r="C892" s="1" t="s">
        <v>2221</v>
      </c>
      <c r="D892" t="str">
        <f t="shared" si="120"/>
        <v>FFAD6D</v>
      </c>
      <c r="E892" t="str">
        <f t="shared" si="121"/>
        <v>255-173-109</v>
      </c>
      <c r="F892" t="str">
        <f t="shared" si="122"/>
        <v>255173109</v>
      </c>
      <c r="G892">
        <f t="shared" si="123"/>
        <v>255</v>
      </c>
      <c r="H892">
        <f t="shared" si="124"/>
        <v>173</v>
      </c>
      <c r="I892">
        <f t="shared" si="125"/>
        <v>109</v>
      </c>
      <c r="J892" t="str">
        <f t="shared" si="117"/>
        <v>PB",</v>
      </c>
      <c r="K892" t="str">
        <f t="shared" si="117"/>
        <v>Parabrachial nucleus",</v>
      </c>
      <c r="L892" t="str">
        <f t="shared" si="118"/>
        <v>PB</v>
      </c>
      <c r="M892" t="str">
        <f t="shared" si="118"/>
        <v>Parabrachial nucleus</v>
      </c>
      <c r="N892" t="s">
        <v>6242</v>
      </c>
      <c r="O892" t="s">
        <v>6243</v>
      </c>
      <c r="Y892" t="s">
        <v>6242</v>
      </c>
      <c r="Z892" t="s">
        <v>6243</v>
      </c>
      <c r="AA892" s="6">
        <f t="shared" si="119"/>
        <v>867</v>
      </c>
      <c r="AB892">
        <v>255</v>
      </c>
      <c r="AC892">
        <v>173</v>
      </c>
      <c r="AD892">
        <v>109</v>
      </c>
    </row>
    <row r="893" spans="1:30" ht="17" x14ac:dyDescent="0.25">
      <c r="A893" s="1" t="s">
        <v>895</v>
      </c>
      <c r="B893" s="1" t="s">
        <v>3547</v>
      </c>
      <c r="C893" s="1" t="s">
        <v>2222</v>
      </c>
      <c r="D893" t="str">
        <f t="shared" si="120"/>
        <v>FEAD6E</v>
      </c>
      <c r="E893" t="str">
        <f t="shared" si="121"/>
        <v>254-173-110</v>
      </c>
      <c r="F893" t="str">
        <f t="shared" si="122"/>
        <v>254173110</v>
      </c>
      <c r="G893">
        <f t="shared" si="123"/>
        <v>254</v>
      </c>
      <c r="H893">
        <f t="shared" si="124"/>
        <v>173</v>
      </c>
      <c r="I893">
        <f t="shared" si="125"/>
        <v>110</v>
      </c>
      <c r="J893" t="str">
        <f t="shared" si="117"/>
        <v>KF",</v>
      </c>
      <c r="K893" t="str">
        <f t="shared" si="117"/>
        <v>Koelliker-Fuse subnucleus",</v>
      </c>
      <c r="L893" t="str">
        <f t="shared" si="118"/>
        <v>KF</v>
      </c>
      <c r="M893" t="str">
        <f t="shared" si="118"/>
        <v>Koelliker-Fuse subnucleus</v>
      </c>
      <c r="N893" t="s">
        <v>6244</v>
      </c>
      <c r="O893" t="s">
        <v>6245</v>
      </c>
      <c r="Y893" t="s">
        <v>6244</v>
      </c>
      <c r="Z893" t="s">
        <v>6245</v>
      </c>
      <c r="AA893" s="6">
        <f t="shared" si="119"/>
        <v>123</v>
      </c>
      <c r="AB893">
        <v>254</v>
      </c>
      <c r="AC893">
        <v>173</v>
      </c>
      <c r="AD893">
        <v>110</v>
      </c>
    </row>
    <row r="894" spans="1:30" ht="17" x14ac:dyDescent="0.25">
      <c r="A894" s="1" t="s">
        <v>896</v>
      </c>
      <c r="B894" s="1" t="s">
        <v>3548</v>
      </c>
      <c r="C894" s="1" t="s">
        <v>2223</v>
      </c>
      <c r="D894" t="str">
        <f t="shared" si="120"/>
        <v>FEAE6D</v>
      </c>
      <c r="E894" t="str">
        <f t="shared" si="121"/>
        <v>254-174-109</v>
      </c>
      <c r="F894" t="str">
        <f t="shared" si="122"/>
        <v>254174109</v>
      </c>
      <c r="G894">
        <f t="shared" si="123"/>
        <v>254</v>
      </c>
      <c r="H894">
        <f t="shared" si="124"/>
        <v>174</v>
      </c>
      <c r="I894">
        <f t="shared" si="125"/>
        <v>109</v>
      </c>
      <c r="J894" t="str">
        <f t="shared" si="117"/>
        <v>PBl",</v>
      </c>
      <c r="K894" t="str">
        <f t="shared" si="117"/>
        <v>Parabrachial nucleus, lateral division",</v>
      </c>
      <c r="L894" t="str">
        <f t="shared" si="118"/>
        <v>PBl</v>
      </c>
      <c r="M894" t="str">
        <f t="shared" si="118"/>
        <v>Parabrachial nucleus, lateral division</v>
      </c>
      <c r="N894" t="s">
        <v>6246</v>
      </c>
      <c r="O894" t="s">
        <v>6247</v>
      </c>
      <c r="Y894" t="s">
        <v>6246</v>
      </c>
      <c r="Z894" t="s">
        <v>6247</v>
      </c>
      <c r="AA894" s="6" t="str">
        <f t="shared" si="119"/>
        <v/>
      </c>
      <c r="AB894">
        <v>254</v>
      </c>
      <c r="AC894">
        <v>174</v>
      </c>
      <c r="AD894">
        <v>109</v>
      </c>
    </row>
    <row r="895" spans="1:30" ht="17" x14ac:dyDescent="0.25">
      <c r="A895" s="1" t="s">
        <v>897</v>
      </c>
      <c r="B895" s="1" t="s">
        <v>3549</v>
      </c>
      <c r="C895" s="1" t="s">
        <v>2224</v>
      </c>
      <c r="D895" t="str">
        <f t="shared" si="120"/>
        <v>FDAE6F</v>
      </c>
      <c r="E895" t="str">
        <f t="shared" si="121"/>
        <v>253-174-111</v>
      </c>
      <c r="F895" t="str">
        <f t="shared" si="122"/>
        <v>253174111</v>
      </c>
      <c r="G895">
        <f t="shared" si="123"/>
        <v>253</v>
      </c>
      <c r="H895">
        <f t="shared" si="124"/>
        <v>174</v>
      </c>
      <c r="I895">
        <f t="shared" si="125"/>
        <v>111</v>
      </c>
      <c r="J895" t="str">
        <f t="shared" si="117"/>
        <v>PBlc",</v>
      </c>
      <c r="K895" t="str">
        <f t="shared" si="117"/>
        <v>Parabrachial nucleus, lateral division, central lateral part",</v>
      </c>
      <c r="L895" t="str">
        <f t="shared" si="118"/>
        <v>PBlc</v>
      </c>
      <c r="M895" t="str">
        <f t="shared" si="118"/>
        <v>Parabrachial nucleus, lateral division, central lateral part</v>
      </c>
      <c r="N895" t="s">
        <v>6248</v>
      </c>
      <c r="O895" t="s">
        <v>6249</v>
      </c>
      <c r="Y895" t="s">
        <v>6248</v>
      </c>
      <c r="Z895" t="s">
        <v>6249</v>
      </c>
      <c r="AA895" s="6" t="str">
        <f t="shared" si="119"/>
        <v/>
      </c>
      <c r="AB895">
        <v>253</v>
      </c>
      <c r="AC895">
        <v>174</v>
      </c>
      <c r="AD895">
        <v>111</v>
      </c>
    </row>
    <row r="896" spans="1:30" ht="17" x14ac:dyDescent="0.25">
      <c r="A896" s="1" t="s">
        <v>898</v>
      </c>
      <c r="B896" s="1" t="s">
        <v>3550</v>
      </c>
      <c r="C896" s="1" t="s">
        <v>2225</v>
      </c>
      <c r="D896" t="str">
        <f t="shared" si="120"/>
        <v>FFAC6E</v>
      </c>
      <c r="E896" t="str">
        <f t="shared" si="121"/>
        <v>255-172-110</v>
      </c>
      <c r="F896" t="str">
        <f t="shared" si="122"/>
        <v>255172110</v>
      </c>
      <c r="G896">
        <f t="shared" si="123"/>
        <v>255</v>
      </c>
      <c r="H896">
        <f t="shared" si="124"/>
        <v>172</v>
      </c>
      <c r="I896">
        <f t="shared" si="125"/>
        <v>110</v>
      </c>
      <c r="J896" t="str">
        <f t="shared" si="117"/>
        <v>PBld",</v>
      </c>
      <c r="K896" t="str">
        <f t="shared" si="117"/>
        <v>Parabrachial nucleus, lateral division, dorsal lateral part",</v>
      </c>
      <c r="L896" t="str">
        <f t="shared" si="118"/>
        <v>PBld</v>
      </c>
      <c r="M896" t="str">
        <f t="shared" si="118"/>
        <v>Parabrachial nucleus, lateral division, dorsal lateral part</v>
      </c>
      <c r="N896" t="s">
        <v>6250</v>
      </c>
      <c r="O896" t="s">
        <v>6251</v>
      </c>
      <c r="Y896" t="s">
        <v>6250</v>
      </c>
      <c r="Z896" t="s">
        <v>6251</v>
      </c>
      <c r="AA896" s="6" t="str">
        <f t="shared" si="119"/>
        <v/>
      </c>
      <c r="AB896">
        <v>255</v>
      </c>
      <c r="AC896">
        <v>172</v>
      </c>
      <c r="AD896">
        <v>110</v>
      </c>
    </row>
    <row r="897" spans="1:30" ht="17" x14ac:dyDescent="0.25">
      <c r="A897" s="1" t="s">
        <v>899</v>
      </c>
      <c r="B897" s="1" t="s">
        <v>3551</v>
      </c>
      <c r="C897" s="1" t="s">
        <v>2226</v>
      </c>
      <c r="D897" t="str">
        <f t="shared" si="120"/>
        <v>FDAE6D</v>
      </c>
      <c r="E897" t="str">
        <f t="shared" si="121"/>
        <v>253-174-109</v>
      </c>
      <c r="F897" t="str">
        <f t="shared" si="122"/>
        <v>253174109</v>
      </c>
      <c r="G897">
        <f t="shared" si="123"/>
        <v>253</v>
      </c>
      <c r="H897">
        <f t="shared" si="124"/>
        <v>174</v>
      </c>
      <c r="I897">
        <f t="shared" si="125"/>
        <v>109</v>
      </c>
      <c r="J897" t="str">
        <f t="shared" si="117"/>
        <v>PBle",</v>
      </c>
      <c r="K897" t="str">
        <f t="shared" si="117"/>
        <v>Parabrachial nucleus, lateral division, external lateral part",</v>
      </c>
      <c r="L897" t="str">
        <f t="shared" si="118"/>
        <v>PBle</v>
      </c>
      <c r="M897" t="str">
        <f t="shared" si="118"/>
        <v>Parabrachial nucleus, lateral division, external lateral part</v>
      </c>
      <c r="N897" t="s">
        <v>6252</v>
      </c>
      <c r="O897" t="s">
        <v>6253</v>
      </c>
      <c r="Y897" t="s">
        <v>6252</v>
      </c>
      <c r="Z897" t="s">
        <v>6253</v>
      </c>
      <c r="AA897" s="6" t="str">
        <f t="shared" si="119"/>
        <v/>
      </c>
      <c r="AB897">
        <v>253</v>
      </c>
      <c r="AC897">
        <v>174</v>
      </c>
      <c r="AD897">
        <v>109</v>
      </c>
    </row>
    <row r="898" spans="1:30" ht="17" x14ac:dyDescent="0.25">
      <c r="A898" s="1" t="s">
        <v>900</v>
      </c>
      <c r="B898" s="1" t="s">
        <v>3552</v>
      </c>
      <c r="C898" s="1" t="s">
        <v>2227</v>
      </c>
      <c r="D898" t="str">
        <f t="shared" si="120"/>
        <v>FEAC6F</v>
      </c>
      <c r="E898" t="str">
        <f t="shared" si="121"/>
        <v>254-172-111</v>
      </c>
      <c r="F898" t="str">
        <f t="shared" si="122"/>
        <v>254172111</v>
      </c>
      <c r="G898">
        <f t="shared" si="123"/>
        <v>254</v>
      </c>
      <c r="H898">
        <f t="shared" si="124"/>
        <v>172</v>
      </c>
      <c r="I898">
        <f t="shared" si="125"/>
        <v>111</v>
      </c>
      <c r="J898" t="str">
        <f t="shared" si="117"/>
        <v>PBls",</v>
      </c>
      <c r="K898" t="str">
        <f t="shared" si="117"/>
        <v>Parabrachial nucleus, lateral division, superior lateral part",</v>
      </c>
      <c r="L898" t="str">
        <f t="shared" si="118"/>
        <v>PBls</v>
      </c>
      <c r="M898" t="str">
        <f t="shared" si="118"/>
        <v>Parabrachial nucleus, lateral division, superior lateral part</v>
      </c>
      <c r="N898" t="s">
        <v>6254</v>
      </c>
      <c r="O898" t="s">
        <v>6255</v>
      </c>
      <c r="Y898" t="s">
        <v>6254</v>
      </c>
      <c r="Z898" t="s">
        <v>6255</v>
      </c>
      <c r="AA898" s="6" t="str">
        <f t="shared" si="119"/>
        <v/>
      </c>
      <c r="AB898">
        <v>254</v>
      </c>
      <c r="AC898">
        <v>172</v>
      </c>
      <c r="AD898">
        <v>111</v>
      </c>
    </row>
    <row r="899" spans="1:30" ht="17" x14ac:dyDescent="0.25">
      <c r="A899" s="1" t="s">
        <v>901</v>
      </c>
      <c r="B899" s="1" t="s">
        <v>3553</v>
      </c>
      <c r="C899" s="1" t="s">
        <v>2228</v>
      </c>
      <c r="D899" t="str">
        <f t="shared" si="120"/>
        <v>FDAD6F</v>
      </c>
      <c r="E899" t="str">
        <f t="shared" si="121"/>
        <v>253-173-111</v>
      </c>
      <c r="F899" t="str">
        <f t="shared" si="122"/>
        <v>253173111</v>
      </c>
      <c r="G899">
        <f t="shared" si="123"/>
        <v>253</v>
      </c>
      <c r="H899">
        <f t="shared" si="124"/>
        <v>173</v>
      </c>
      <c r="I899">
        <f t="shared" si="125"/>
        <v>111</v>
      </c>
      <c r="J899" t="str">
        <f t="shared" ref="J899:K962" si="126">RIGHT(A899,LEN(A899)-3)</f>
        <v>PBlv",</v>
      </c>
      <c r="K899" t="str">
        <f t="shared" si="126"/>
        <v>Parabrachial nucleus, lateral division, ventral lateral part",</v>
      </c>
      <c r="L899" t="str">
        <f t="shared" ref="L899:M962" si="127">LEFT(J899,LEN(J899)-2)</f>
        <v>PBlv</v>
      </c>
      <c r="M899" t="str">
        <f t="shared" si="127"/>
        <v>Parabrachial nucleus, lateral division, ventral lateral part</v>
      </c>
      <c r="N899" t="s">
        <v>6256</v>
      </c>
      <c r="O899" t="s">
        <v>6257</v>
      </c>
      <c r="Y899" t="s">
        <v>6256</v>
      </c>
      <c r="Z899" t="s">
        <v>6257</v>
      </c>
      <c r="AA899" s="6" t="str">
        <f t="shared" ref="AA899:AA962" si="128">IFERROR(INDEX(R:R,MATCH($Z899,S:S,0)),"")</f>
        <v/>
      </c>
      <c r="AB899">
        <v>253</v>
      </c>
      <c r="AC899">
        <v>173</v>
      </c>
      <c r="AD899">
        <v>111</v>
      </c>
    </row>
    <row r="900" spans="1:30" ht="17" x14ac:dyDescent="0.25">
      <c r="A900" s="1" t="s">
        <v>902</v>
      </c>
      <c r="B900" s="1" t="s">
        <v>3554</v>
      </c>
      <c r="C900" s="1" t="s">
        <v>2229</v>
      </c>
      <c r="D900" t="str">
        <f t="shared" ref="D900:D963" si="129">RIGHT(LEFT(C900,9),6)</f>
        <v>FDAE6E</v>
      </c>
      <c r="E900" t="str">
        <f t="shared" ref="E900:E963" si="130">HEX2DEC(LEFT(D900,2))&amp;"-"&amp;HEX2DEC(MID(D900,3,2))&amp;"-"&amp;HEX2DEC(RIGHT(D900,2))</f>
        <v>253-174-110</v>
      </c>
      <c r="F900" t="str">
        <f t="shared" ref="F900:F963" si="131">HEX2DEC(LEFT(D900,2))&amp;HEX2DEC(MID(D900,3,2))&amp;HEX2DEC(RIGHT(D900,2))</f>
        <v>253174110</v>
      </c>
      <c r="G900">
        <f t="shared" ref="G900:G963" si="132">HEX2DEC(LEFT(D900,2))</f>
        <v>253</v>
      </c>
      <c r="H900">
        <f t="shared" ref="H900:H963" si="133">HEX2DEC(MID(D900,3,2))</f>
        <v>174</v>
      </c>
      <c r="I900">
        <f t="shared" ref="I900:I963" si="134">HEX2DEC(RIGHT(D900,2))</f>
        <v>110</v>
      </c>
      <c r="J900" t="str">
        <f t="shared" si="126"/>
        <v>PBm",</v>
      </c>
      <c r="K900" t="str">
        <f t="shared" si="126"/>
        <v>Parabrachial nucleus, medial division",</v>
      </c>
      <c r="L900" t="str">
        <f t="shared" si="127"/>
        <v>PBm</v>
      </c>
      <c r="M900" t="str">
        <f t="shared" si="127"/>
        <v>Parabrachial nucleus, medial division</v>
      </c>
      <c r="N900" t="s">
        <v>6258</v>
      </c>
      <c r="O900" t="s">
        <v>6259</v>
      </c>
      <c r="Y900" t="s">
        <v>6258</v>
      </c>
      <c r="Z900" t="s">
        <v>6259</v>
      </c>
      <c r="AA900" s="6" t="str">
        <f t="shared" si="128"/>
        <v/>
      </c>
      <c r="AB900">
        <v>253</v>
      </c>
      <c r="AC900">
        <v>174</v>
      </c>
      <c r="AD900">
        <v>110</v>
      </c>
    </row>
    <row r="901" spans="1:30" ht="17" x14ac:dyDescent="0.25">
      <c r="A901" s="1" t="s">
        <v>903</v>
      </c>
      <c r="B901" s="1" t="s">
        <v>3555</v>
      </c>
      <c r="C901" s="1" t="s">
        <v>2230</v>
      </c>
      <c r="D901" t="str">
        <f t="shared" si="129"/>
        <v>FEAD6D</v>
      </c>
      <c r="E901" t="str">
        <f t="shared" si="130"/>
        <v>254-173-109</v>
      </c>
      <c r="F901" t="str">
        <f t="shared" si="131"/>
        <v>254173109</v>
      </c>
      <c r="G901">
        <f t="shared" si="132"/>
        <v>254</v>
      </c>
      <c r="H901">
        <f t="shared" si="133"/>
        <v>173</v>
      </c>
      <c r="I901">
        <f t="shared" si="134"/>
        <v>109</v>
      </c>
      <c r="J901" t="str">
        <f t="shared" si="126"/>
        <v>PBme",</v>
      </c>
      <c r="K901" t="str">
        <f t="shared" si="126"/>
        <v>Parabrachial nucleus, medial division, external medial part",</v>
      </c>
      <c r="L901" t="str">
        <f t="shared" si="127"/>
        <v>PBme</v>
      </c>
      <c r="M901" t="str">
        <f t="shared" si="127"/>
        <v>Parabrachial nucleus, medial division, external medial part</v>
      </c>
      <c r="N901" t="s">
        <v>6260</v>
      </c>
      <c r="O901" t="s">
        <v>6261</v>
      </c>
      <c r="Y901" t="s">
        <v>6260</v>
      </c>
      <c r="Z901" t="s">
        <v>6261</v>
      </c>
      <c r="AA901" s="6" t="str">
        <f t="shared" si="128"/>
        <v/>
      </c>
      <c r="AB901">
        <v>254</v>
      </c>
      <c r="AC901">
        <v>173</v>
      </c>
      <c r="AD901">
        <v>109</v>
      </c>
    </row>
    <row r="902" spans="1:30" ht="17" x14ac:dyDescent="0.25">
      <c r="A902" s="1" t="s">
        <v>904</v>
      </c>
      <c r="B902" s="1" t="s">
        <v>3556</v>
      </c>
      <c r="C902" s="1" t="s">
        <v>2231</v>
      </c>
      <c r="D902" t="str">
        <f t="shared" si="129"/>
        <v>FEAC6E</v>
      </c>
      <c r="E902" t="str">
        <f t="shared" si="130"/>
        <v>254-172-110</v>
      </c>
      <c r="F902" t="str">
        <f t="shared" si="131"/>
        <v>254172110</v>
      </c>
      <c r="G902">
        <f t="shared" si="132"/>
        <v>254</v>
      </c>
      <c r="H902">
        <f t="shared" si="133"/>
        <v>172</v>
      </c>
      <c r="I902">
        <f t="shared" si="134"/>
        <v>110</v>
      </c>
      <c r="J902" t="str">
        <f t="shared" si="126"/>
        <v>PBmm",</v>
      </c>
      <c r="K902" t="str">
        <f t="shared" si="126"/>
        <v>Parabrachial nucleus, medial division, medial medial part",</v>
      </c>
      <c r="L902" t="str">
        <f t="shared" si="127"/>
        <v>PBmm</v>
      </c>
      <c r="M902" t="str">
        <f t="shared" si="127"/>
        <v>Parabrachial nucleus, medial division, medial medial part</v>
      </c>
      <c r="N902" t="s">
        <v>6262</v>
      </c>
      <c r="O902" t="s">
        <v>6263</v>
      </c>
      <c r="Y902" t="s">
        <v>6262</v>
      </c>
      <c r="Z902" t="s">
        <v>6263</v>
      </c>
      <c r="AA902" s="6" t="str">
        <f t="shared" si="128"/>
        <v/>
      </c>
      <c r="AB902">
        <v>254</v>
      </c>
      <c r="AC902">
        <v>172</v>
      </c>
      <c r="AD902">
        <v>110</v>
      </c>
    </row>
    <row r="903" spans="1:30" ht="17" x14ac:dyDescent="0.25">
      <c r="A903" s="1" t="s">
        <v>905</v>
      </c>
      <c r="B903" s="1" t="s">
        <v>3557</v>
      </c>
      <c r="C903" s="1" t="s">
        <v>2232</v>
      </c>
      <c r="D903" t="str">
        <f t="shared" si="129"/>
        <v>FDAD6E</v>
      </c>
      <c r="E903" t="str">
        <f t="shared" si="130"/>
        <v>253-173-110</v>
      </c>
      <c r="F903" t="str">
        <f t="shared" si="131"/>
        <v>253173110</v>
      </c>
      <c r="G903">
        <f t="shared" si="132"/>
        <v>253</v>
      </c>
      <c r="H903">
        <f t="shared" si="133"/>
        <v>173</v>
      </c>
      <c r="I903">
        <f t="shared" si="134"/>
        <v>110</v>
      </c>
      <c r="J903" t="str">
        <f t="shared" si="126"/>
        <v>PBmv",</v>
      </c>
      <c r="K903" t="str">
        <f t="shared" si="126"/>
        <v>Parabrachial nucleus, medial division, ventral medial part",</v>
      </c>
      <c r="L903" t="str">
        <f t="shared" si="127"/>
        <v>PBmv</v>
      </c>
      <c r="M903" t="str">
        <f t="shared" si="127"/>
        <v>Parabrachial nucleus, medial division, ventral medial part</v>
      </c>
      <c r="N903" t="s">
        <v>6264</v>
      </c>
      <c r="O903" t="s">
        <v>6265</v>
      </c>
      <c r="Y903" t="s">
        <v>6264</v>
      </c>
      <c r="Z903" t="s">
        <v>6265</v>
      </c>
      <c r="AA903" s="6" t="str">
        <f t="shared" si="128"/>
        <v/>
      </c>
      <c r="AB903">
        <v>253</v>
      </c>
      <c r="AC903">
        <v>173</v>
      </c>
      <c r="AD903">
        <v>110</v>
      </c>
    </row>
    <row r="904" spans="1:30" ht="17" x14ac:dyDescent="0.25">
      <c r="A904" s="1" t="s">
        <v>906</v>
      </c>
      <c r="B904" s="1" t="s">
        <v>3558</v>
      </c>
      <c r="C904" s="1" t="s">
        <v>2233</v>
      </c>
      <c r="D904" t="str">
        <f t="shared" si="129"/>
        <v>FFAE6D</v>
      </c>
      <c r="E904" t="str">
        <f t="shared" si="130"/>
        <v>255-174-109</v>
      </c>
      <c r="F904" t="str">
        <f t="shared" si="131"/>
        <v>255174109</v>
      </c>
      <c r="G904">
        <f t="shared" si="132"/>
        <v>255</v>
      </c>
      <c r="H904">
        <f t="shared" si="133"/>
        <v>174</v>
      </c>
      <c r="I904">
        <f t="shared" si="134"/>
        <v>109</v>
      </c>
      <c r="J904" t="str">
        <f t="shared" si="126"/>
        <v>SOC",</v>
      </c>
      <c r="K904" t="str">
        <f t="shared" si="126"/>
        <v>Superior olivary complex",</v>
      </c>
      <c r="L904" t="str">
        <f t="shared" si="127"/>
        <v>SOC</v>
      </c>
      <c r="M904" t="str">
        <f t="shared" si="127"/>
        <v>Superior olivary complex</v>
      </c>
      <c r="N904" t="s">
        <v>6266</v>
      </c>
      <c r="O904" t="s">
        <v>6267</v>
      </c>
      <c r="Y904" t="s">
        <v>6266</v>
      </c>
      <c r="Z904" t="s">
        <v>6267</v>
      </c>
      <c r="AA904" s="6">
        <f t="shared" si="128"/>
        <v>398</v>
      </c>
      <c r="AB904">
        <v>255</v>
      </c>
      <c r="AC904">
        <v>174</v>
      </c>
      <c r="AD904">
        <v>109</v>
      </c>
    </row>
    <row r="905" spans="1:30" ht="17" x14ac:dyDescent="0.25">
      <c r="A905" s="1" t="s">
        <v>907</v>
      </c>
      <c r="B905" s="1" t="s">
        <v>3559</v>
      </c>
      <c r="C905" s="1" t="s">
        <v>2234</v>
      </c>
      <c r="D905" t="str">
        <f t="shared" si="129"/>
        <v>FEAD6F</v>
      </c>
      <c r="E905" t="str">
        <f t="shared" si="130"/>
        <v>254-173-111</v>
      </c>
      <c r="F905" t="str">
        <f t="shared" si="131"/>
        <v>254173111</v>
      </c>
      <c r="G905">
        <f t="shared" si="132"/>
        <v>254</v>
      </c>
      <c r="H905">
        <f t="shared" si="133"/>
        <v>173</v>
      </c>
      <c r="I905">
        <f t="shared" si="134"/>
        <v>111</v>
      </c>
      <c r="J905" t="str">
        <f t="shared" si="126"/>
        <v>POR",</v>
      </c>
      <c r="K905" t="str">
        <f t="shared" si="126"/>
        <v>Superior olivary complex, periolivary region",</v>
      </c>
      <c r="L905" t="str">
        <f t="shared" si="127"/>
        <v>POR</v>
      </c>
      <c r="M905" t="str">
        <f t="shared" si="127"/>
        <v>Superior olivary complex, periolivary region</v>
      </c>
      <c r="N905" t="s">
        <v>6268</v>
      </c>
      <c r="O905" t="s">
        <v>6269</v>
      </c>
      <c r="Y905" t="s">
        <v>6268</v>
      </c>
      <c r="Z905" t="s">
        <v>6269</v>
      </c>
      <c r="AA905" s="6">
        <f t="shared" si="128"/>
        <v>122</v>
      </c>
      <c r="AB905">
        <v>254</v>
      </c>
      <c r="AC905">
        <v>173</v>
      </c>
      <c r="AD905">
        <v>111</v>
      </c>
    </row>
    <row r="906" spans="1:30" ht="17" x14ac:dyDescent="0.25">
      <c r="A906" s="1" t="s">
        <v>908</v>
      </c>
      <c r="B906" s="1" t="s">
        <v>3560</v>
      </c>
      <c r="C906" s="1" t="s">
        <v>2235</v>
      </c>
      <c r="D906" t="str">
        <f t="shared" si="129"/>
        <v>FFAD6E</v>
      </c>
      <c r="E906" t="str">
        <f t="shared" si="130"/>
        <v>255-173-110</v>
      </c>
      <c r="F906" t="str">
        <f t="shared" si="131"/>
        <v>255173110</v>
      </c>
      <c r="G906">
        <f t="shared" si="132"/>
        <v>255</v>
      </c>
      <c r="H906">
        <f t="shared" si="133"/>
        <v>173</v>
      </c>
      <c r="I906">
        <f t="shared" si="134"/>
        <v>110</v>
      </c>
      <c r="J906" t="str">
        <f t="shared" si="126"/>
        <v>SOCm",</v>
      </c>
      <c r="K906" t="str">
        <f t="shared" si="126"/>
        <v>Superior olivary complex, medial part",</v>
      </c>
      <c r="L906" t="str">
        <f t="shared" si="127"/>
        <v>SOCm</v>
      </c>
      <c r="M906" t="str">
        <f t="shared" si="127"/>
        <v>Superior olivary complex, medial part</v>
      </c>
      <c r="N906" t="s">
        <v>6270</v>
      </c>
      <c r="O906" t="s">
        <v>6271</v>
      </c>
      <c r="Y906" t="s">
        <v>6270</v>
      </c>
      <c r="Z906" t="s">
        <v>6271</v>
      </c>
      <c r="AA906" s="6">
        <f t="shared" si="128"/>
        <v>105</v>
      </c>
      <c r="AB906">
        <v>255</v>
      </c>
      <c r="AC906">
        <v>173</v>
      </c>
      <c r="AD906">
        <v>110</v>
      </c>
    </row>
    <row r="907" spans="1:30" ht="17" x14ac:dyDescent="0.25">
      <c r="A907" s="1" t="s">
        <v>909</v>
      </c>
      <c r="B907" s="1" t="s">
        <v>3561</v>
      </c>
      <c r="C907" s="1" t="s">
        <v>2236</v>
      </c>
      <c r="D907" t="str">
        <f t="shared" si="129"/>
        <v>FEAE6E</v>
      </c>
      <c r="E907" t="str">
        <f t="shared" si="130"/>
        <v>254-174-110</v>
      </c>
      <c r="F907" t="str">
        <f t="shared" si="131"/>
        <v>254174110</v>
      </c>
      <c r="G907">
        <f t="shared" si="132"/>
        <v>254</v>
      </c>
      <c r="H907">
        <f t="shared" si="133"/>
        <v>174</v>
      </c>
      <c r="I907">
        <f t="shared" si="134"/>
        <v>110</v>
      </c>
      <c r="J907" t="str">
        <f t="shared" si="126"/>
        <v>SOCl",</v>
      </c>
      <c r="K907" t="str">
        <f t="shared" si="126"/>
        <v>Superior olivary complex, lateral part",</v>
      </c>
      <c r="L907" t="str">
        <f t="shared" si="127"/>
        <v>SOCl</v>
      </c>
      <c r="M907" t="str">
        <f t="shared" si="127"/>
        <v>Superior olivary complex, lateral part</v>
      </c>
      <c r="N907" t="s">
        <v>6272</v>
      </c>
      <c r="O907" t="s">
        <v>6273</v>
      </c>
      <c r="Y907" t="s">
        <v>6272</v>
      </c>
      <c r="Z907" t="s">
        <v>6273</v>
      </c>
      <c r="AA907" s="6">
        <f t="shared" si="128"/>
        <v>114</v>
      </c>
      <c r="AB907">
        <v>254</v>
      </c>
      <c r="AC907">
        <v>174</v>
      </c>
      <c r="AD907">
        <v>110</v>
      </c>
    </row>
    <row r="908" spans="1:30" ht="17" x14ac:dyDescent="0.25">
      <c r="A908" s="1" t="s">
        <v>910</v>
      </c>
      <c r="B908" s="1" t="s">
        <v>3562</v>
      </c>
      <c r="C908" s="1" t="s">
        <v>2237</v>
      </c>
      <c r="D908" t="str">
        <f t="shared" si="129"/>
        <v>FFB886</v>
      </c>
      <c r="E908" t="str">
        <f t="shared" si="130"/>
        <v>255-184-134</v>
      </c>
      <c r="F908" t="str">
        <f t="shared" si="131"/>
        <v>255184134</v>
      </c>
      <c r="G908">
        <f t="shared" si="132"/>
        <v>255</v>
      </c>
      <c r="H908">
        <f t="shared" si="133"/>
        <v>184</v>
      </c>
      <c r="I908">
        <f t="shared" si="134"/>
        <v>134</v>
      </c>
      <c r="J908" t="str">
        <f t="shared" si="126"/>
        <v>P-mot",</v>
      </c>
      <c r="K908" t="str">
        <f t="shared" si="126"/>
        <v>Pons, motor related",</v>
      </c>
      <c r="L908" t="str">
        <f t="shared" si="127"/>
        <v>P-mot</v>
      </c>
      <c r="M908" t="str">
        <f t="shared" si="127"/>
        <v>Pons, motor related</v>
      </c>
      <c r="N908" t="s">
        <v>6274</v>
      </c>
      <c r="O908" t="s">
        <v>6275</v>
      </c>
      <c r="Y908" t="s">
        <v>6274</v>
      </c>
      <c r="Z908" t="s">
        <v>6275</v>
      </c>
      <c r="AA908" s="6">
        <f t="shared" si="128"/>
        <v>987</v>
      </c>
      <c r="AB908">
        <v>255</v>
      </c>
      <c r="AC908">
        <v>184</v>
      </c>
      <c r="AD908">
        <v>134</v>
      </c>
    </row>
    <row r="909" spans="1:30" ht="17" x14ac:dyDescent="0.25">
      <c r="A909" s="1" t="s">
        <v>911</v>
      </c>
      <c r="B909" s="1" t="s">
        <v>3563</v>
      </c>
      <c r="C909" s="1" t="s">
        <v>2238</v>
      </c>
      <c r="D909" t="str">
        <f t="shared" si="129"/>
        <v>FFBA86</v>
      </c>
      <c r="E909" t="str">
        <f t="shared" si="130"/>
        <v>255-186-134</v>
      </c>
      <c r="F909" t="str">
        <f t="shared" si="131"/>
        <v>255186134</v>
      </c>
      <c r="G909">
        <f t="shared" si="132"/>
        <v>255</v>
      </c>
      <c r="H909">
        <f t="shared" si="133"/>
        <v>186</v>
      </c>
      <c r="I909">
        <f t="shared" si="134"/>
        <v>134</v>
      </c>
      <c r="J909" t="str">
        <f t="shared" si="126"/>
        <v>B",</v>
      </c>
      <c r="K909" t="str">
        <f t="shared" si="126"/>
        <v>Barrington's nucleus",</v>
      </c>
      <c r="L909" t="str">
        <f t="shared" si="127"/>
        <v>B</v>
      </c>
      <c r="M909" t="str">
        <f t="shared" si="127"/>
        <v>Barrington's nucleus</v>
      </c>
      <c r="N909" t="s">
        <v>3985</v>
      </c>
      <c r="O909" t="s">
        <v>6276</v>
      </c>
      <c r="Y909" t="s">
        <v>3985</v>
      </c>
      <c r="Z909" t="s">
        <v>6276</v>
      </c>
      <c r="AA909" s="6">
        <f t="shared" si="128"/>
        <v>280</v>
      </c>
      <c r="AB909">
        <v>255</v>
      </c>
      <c r="AC909">
        <v>186</v>
      </c>
      <c r="AD909">
        <v>134</v>
      </c>
    </row>
    <row r="910" spans="1:30" ht="17" x14ac:dyDescent="0.25">
      <c r="A910" s="1" t="s">
        <v>912</v>
      </c>
      <c r="B910" s="1" t="s">
        <v>3564</v>
      </c>
      <c r="C910" s="1" t="s">
        <v>2239</v>
      </c>
      <c r="D910" t="str">
        <f t="shared" si="129"/>
        <v>FEB985</v>
      </c>
      <c r="E910" t="str">
        <f t="shared" si="130"/>
        <v>254-185-133</v>
      </c>
      <c r="F910" t="str">
        <f t="shared" si="131"/>
        <v>254185133</v>
      </c>
      <c r="G910">
        <f t="shared" si="132"/>
        <v>254</v>
      </c>
      <c r="H910">
        <f t="shared" si="133"/>
        <v>185</v>
      </c>
      <c r="I910">
        <f t="shared" si="134"/>
        <v>133</v>
      </c>
      <c r="J910" t="str">
        <f t="shared" si="126"/>
        <v>DTN",</v>
      </c>
      <c r="K910" t="str">
        <f t="shared" si="126"/>
        <v>Dorsal tegmental nucleus",</v>
      </c>
      <c r="L910" t="str">
        <f t="shared" si="127"/>
        <v>DTN</v>
      </c>
      <c r="M910" t="str">
        <f t="shared" si="127"/>
        <v>Dorsal tegmental nucleus</v>
      </c>
      <c r="N910" t="s">
        <v>6277</v>
      </c>
      <c r="O910" t="s">
        <v>6278</v>
      </c>
      <c r="Y910" t="s">
        <v>6277</v>
      </c>
      <c r="Z910" t="s">
        <v>6278</v>
      </c>
      <c r="AA910" s="6">
        <f t="shared" si="128"/>
        <v>880</v>
      </c>
      <c r="AB910">
        <v>254</v>
      </c>
      <c r="AC910">
        <v>185</v>
      </c>
      <c r="AD910">
        <v>133</v>
      </c>
    </row>
    <row r="911" spans="1:30" ht="17" x14ac:dyDescent="0.25">
      <c r="A911" s="1" t="s">
        <v>913</v>
      </c>
      <c r="B911" s="1" t="s">
        <v>3565</v>
      </c>
      <c r="C911" s="1" t="s">
        <v>2240</v>
      </c>
      <c r="D911" t="str">
        <f t="shared" si="129"/>
        <v>FFBA85</v>
      </c>
      <c r="E911" t="str">
        <f t="shared" si="130"/>
        <v>255-186-133</v>
      </c>
      <c r="F911" t="str">
        <f t="shared" si="131"/>
        <v>255186133</v>
      </c>
      <c r="G911">
        <f t="shared" si="132"/>
        <v>255</v>
      </c>
      <c r="H911">
        <f t="shared" si="133"/>
        <v>186</v>
      </c>
      <c r="I911">
        <f t="shared" si="134"/>
        <v>133</v>
      </c>
      <c r="J911" t="str">
        <f t="shared" si="126"/>
        <v>LTN",</v>
      </c>
      <c r="K911" t="str">
        <f t="shared" si="126"/>
        <v>Lateral tegmental nucleus",</v>
      </c>
      <c r="L911" t="str">
        <f t="shared" si="127"/>
        <v>LTN</v>
      </c>
      <c r="M911" t="str">
        <f t="shared" si="127"/>
        <v>Lateral tegmental nucleus</v>
      </c>
      <c r="N911" t="s">
        <v>6279</v>
      </c>
      <c r="O911" t="s">
        <v>6280</v>
      </c>
      <c r="Y911" t="s">
        <v>6279</v>
      </c>
      <c r="Z911" t="s">
        <v>6280</v>
      </c>
      <c r="AA911" s="6" t="str">
        <f t="shared" si="128"/>
        <v/>
      </c>
      <c r="AB911">
        <v>255</v>
      </c>
      <c r="AC911">
        <v>186</v>
      </c>
      <c r="AD911">
        <v>133</v>
      </c>
    </row>
    <row r="912" spans="1:30" ht="17" x14ac:dyDescent="0.25">
      <c r="A912" s="1" t="s">
        <v>914</v>
      </c>
      <c r="B912" s="1" t="s">
        <v>3566</v>
      </c>
      <c r="C912" s="1" t="s">
        <v>2241</v>
      </c>
      <c r="D912" t="str">
        <f t="shared" si="129"/>
        <v>FFB984</v>
      </c>
      <c r="E912" t="str">
        <f t="shared" si="130"/>
        <v>255-185-132</v>
      </c>
      <c r="F912" t="str">
        <f t="shared" si="131"/>
        <v>255185132</v>
      </c>
      <c r="G912">
        <f t="shared" si="132"/>
        <v>255</v>
      </c>
      <c r="H912">
        <f t="shared" si="133"/>
        <v>185</v>
      </c>
      <c r="I912">
        <f t="shared" si="134"/>
        <v>132</v>
      </c>
      <c r="J912" t="str">
        <f t="shared" si="126"/>
        <v>PDTg",</v>
      </c>
      <c r="K912" t="str">
        <f t="shared" si="126"/>
        <v>Posterodorsal tegmental nucleus",</v>
      </c>
      <c r="L912" t="str">
        <f t="shared" si="127"/>
        <v>PDTg</v>
      </c>
      <c r="M912" t="str">
        <f t="shared" si="127"/>
        <v>Posterodorsal tegmental nucleus</v>
      </c>
      <c r="N912" t="s">
        <v>6281</v>
      </c>
      <c r="O912" t="s">
        <v>6282</v>
      </c>
      <c r="Y912" t="s">
        <v>6281</v>
      </c>
      <c r="Z912" t="s">
        <v>6282</v>
      </c>
      <c r="AA912" s="6">
        <f t="shared" si="128"/>
        <v>599626927</v>
      </c>
      <c r="AB912">
        <v>255</v>
      </c>
      <c r="AC912">
        <v>185</v>
      </c>
      <c r="AD912">
        <v>132</v>
      </c>
    </row>
    <row r="913" spans="1:30" ht="17" x14ac:dyDescent="0.25">
      <c r="A913" s="1" t="s">
        <v>915</v>
      </c>
      <c r="B913" s="1" t="s">
        <v>3567</v>
      </c>
      <c r="C913" s="1" t="s">
        <v>2242</v>
      </c>
      <c r="D913" t="str">
        <f t="shared" si="129"/>
        <v>FFBA84</v>
      </c>
      <c r="E913" t="str">
        <f t="shared" si="130"/>
        <v>255-186-132</v>
      </c>
      <c r="F913" t="str">
        <f t="shared" si="131"/>
        <v>255186132</v>
      </c>
      <c r="G913">
        <f t="shared" si="132"/>
        <v>255</v>
      </c>
      <c r="H913">
        <f t="shared" si="133"/>
        <v>186</v>
      </c>
      <c r="I913">
        <f t="shared" si="134"/>
        <v>132</v>
      </c>
      <c r="J913" t="str">
        <f t="shared" si="126"/>
        <v>PCG",</v>
      </c>
      <c r="K913" t="str">
        <f t="shared" si="126"/>
        <v>Pontine central gray",</v>
      </c>
      <c r="L913" t="str">
        <f t="shared" si="127"/>
        <v>PCG</v>
      </c>
      <c r="M913" t="str">
        <f t="shared" si="127"/>
        <v>Pontine central gray</v>
      </c>
      <c r="N913" t="s">
        <v>6283</v>
      </c>
      <c r="O913" t="s">
        <v>6284</v>
      </c>
      <c r="Y913" t="s">
        <v>6283</v>
      </c>
      <c r="Z913" t="s">
        <v>6284</v>
      </c>
      <c r="AA913" s="6">
        <f t="shared" si="128"/>
        <v>898</v>
      </c>
      <c r="AB913">
        <v>255</v>
      </c>
      <c r="AC913">
        <v>186</v>
      </c>
      <c r="AD913">
        <v>132</v>
      </c>
    </row>
    <row r="914" spans="1:30" ht="17" x14ac:dyDescent="0.25">
      <c r="A914" s="1" t="s">
        <v>916</v>
      </c>
      <c r="B914" s="1" t="s">
        <v>3568</v>
      </c>
      <c r="C914" s="1" t="s">
        <v>2243</v>
      </c>
      <c r="D914" t="str">
        <f t="shared" si="129"/>
        <v>FFB885</v>
      </c>
      <c r="E914" t="str">
        <f t="shared" si="130"/>
        <v>255-184-133</v>
      </c>
      <c r="F914" t="str">
        <f t="shared" si="131"/>
        <v>255184133</v>
      </c>
      <c r="G914">
        <f t="shared" si="132"/>
        <v>255</v>
      </c>
      <c r="H914">
        <f t="shared" si="133"/>
        <v>184</v>
      </c>
      <c r="I914">
        <f t="shared" si="134"/>
        <v>133</v>
      </c>
      <c r="J914" t="str">
        <f t="shared" si="126"/>
        <v>PG",</v>
      </c>
      <c r="K914" t="str">
        <f t="shared" si="126"/>
        <v>Pontine gray",</v>
      </c>
      <c r="L914" t="str">
        <f t="shared" si="127"/>
        <v>PG</v>
      </c>
      <c r="M914" t="str">
        <f t="shared" si="127"/>
        <v>Pontine gray</v>
      </c>
      <c r="N914" t="s">
        <v>6285</v>
      </c>
      <c r="O914" t="s">
        <v>6286</v>
      </c>
      <c r="Y914" t="s">
        <v>6285</v>
      </c>
      <c r="Z914" t="s">
        <v>6286</v>
      </c>
      <c r="AA914" s="6">
        <f t="shared" si="128"/>
        <v>931</v>
      </c>
      <c r="AB914">
        <v>255</v>
      </c>
      <c r="AC914">
        <v>184</v>
      </c>
      <c r="AD914">
        <v>133</v>
      </c>
    </row>
    <row r="915" spans="1:30" ht="17" x14ac:dyDescent="0.25">
      <c r="A915" s="1" t="s">
        <v>917</v>
      </c>
      <c r="B915" s="1" t="s">
        <v>3569</v>
      </c>
      <c r="C915" s="1" t="s">
        <v>2244</v>
      </c>
      <c r="D915" t="str">
        <f t="shared" si="129"/>
        <v>FDBA86</v>
      </c>
      <c r="E915" t="str">
        <f t="shared" si="130"/>
        <v>253-186-134</v>
      </c>
      <c r="F915" t="str">
        <f t="shared" si="131"/>
        <v>253186134</v>
      </c>
      <c r="G915">
        <f t="shared" si="132"/>
        <v>253</v>
      </c>
      <c r="H915">
        <f t="shared" si="133"/>
        <v>186</v>
      </c>
      <c r="I915">
        <f t="shared" si="134"/>
        <v>134</v>
      </c>
      <c r="J915" t="str">
        <f t="shared" si="126"/>
        <v>PRNc",</v>
      </c>
      <c r="K915" t="str">
        <f t="shared" si="126"/>
        <v>Pontine reticular nucleus, caudal part",</v>
      </c>
      <c r="L915" t="str">
        <f t="shared" si="127"/>
        <v>PRNc</v>
      </c>
      <c r="M915" t="str">
        <f t="shared" si="127"/>
        <v>Pontine reticular nucleus, caudal part</v>
      </c>
      <c r="N915" t="s">
        <v>6287</v>
      </c>
      <c r="O915" t="s">
        <v>6288</v>
      </c>
      <c r="Y915" t="s">
        <v>6287</v>
      </c>
      <c r="Z915" t="s">
        <v>6288</v>
      </c>
      <c r="AA915" s="6">
        <f t="shared" si="128"/>
        <v>1093</v>
      </c>
      <c r="AB915">
        <v>253</v>
      </c>
      <c r="AC915">
        <v>186</v>
      </c>
      <c r="AD915">
        <v>134</v>
      </c>
    </row>
    <row r="916" spans="1:30" ht="17" x14ac:dyDescent="0.25">
      <c r="A916" s="1" t="s">
        <v>918</v>
      </c>
      <c r="B916" s="1" t="s">
        <v>3570</v>
      </c>
      <c r="C916" s="1" t="s">
        <v>2245</v>
      </c>
      <c r="D916" t="str">
        <f t="shared" si="129"/>
        <v>FFB985</v>
      </c>
      <c r="E916" t="str">
        <f t="shared" si="130"/>
        <v>255-185-133</v>
      </c>
      <c r="F916" t="str">
        <f t="shared" si="131"/>
        <v>255185133</v>
      </c>
      <c r="G916">
        <f t="shared" si="132"/>
        <v>255</v>
      </c>
      <c r="H916">
        <f t="shared" si="133"/>
        <v>185</v>
      </c>
      <c r="I916">
        <f t="shared" si="134"/>
        <v>133</v>
      </c>
      <c r="J916" t="str">
        <f t="shared" si="126"/>
        <v>PRNv",</v>
      </c>
      <c r="K916" t="str">
        <f t="shared" si="126"/>
        <v>Pontine reticular nucleus, ventral part",</v>
      </c>
      <c r="L916" t="str">
        <f t="shared" si="127"/>
        <v>PRNv</v>
      </c>
      <c r="M916" t="str">
        <f t="shared" si="127"/>
        <v>Pontine reticular nucleus, ventral part</v>
      </c>
      <c r="N916" t="s">
        <v>6289</v>
      </c>
      <c r="O916" t="s">
        <v>6290</v>
      </c>
      <c r="Y916" t="s">
        <v>6289</v>
      </c>
      <c r="Z916" t="s">
        <v>6290</v>
      </c>
      <c r="AA916" s="6" t="str">
        <f t="shared" si="128"/>
        <v/>
      </c>
      <c r="AB916">
        <v>255</v>
      </c>
      <c r="AC916">
        <v>185</v>
      </c>
      <c r="AD916">
        <v>133</v>
      </c>
    </row>
    <row r="917" spans="1:30" ht="17" x14ac:dyDescent="0.25">
      <c r="A917" s="1" t="s">
        <v>919</v>
      </c>
      <c r="B917" s="1" t="s">
        <v>3571</v>
      </c>
      <c r="C917" s="1" t="s">
        <v>2246</v>
      </c>
      <c r="D917" t="str">
        <f t="shared" si="129"/>
        <v>FFB986</v>
      </c>
      <c r="E917" t="str">
        <f t="shared" si="130"/>
        <v>255-185-134</v>
      </c>
      <c r="F917" t="str">
        <f t="shared" si="131"/>
        <v>255185134</v>
      </c>
      <c r="G917">
        <f t="shared" si="132"/>
        <v>255</v>
      </c>
      <c r="H917">
        <f t="shared" si="133"/>
        <v>185</v>
      </c>
      <c r="I917">
        <f t="shared" si="134"/>
        <v>134</v>
      </c>
      <c r="J917" t="str">
        <f t="shared" si="126"/>
        <v>SG",</v>
      </c>
      <c r="K917" t="str">
        <f t="shared" si="126"/>
        <v>Supragenual nucleus",</v>
      </c>
      <c r="L917" t="str">
        <f t="shared" si="127"/>
        <v>SG</v>
      </c>
      <c r="M917" t="str">
        <f t="shared" si="127"/>
        <v>Supragenual nucleus</v>
      </c>
      <c r="N917" t="s">
        <v>6291</v>
      </c>
      <c r="O917" t="s">
        <v>6292</v>
      </c>
      <c r="Y917" t="s">
        <v>6291</v>
      </c>
      <c r="Z917" t="s">
        <v>6292</v>
      </c>
      <c r="AA917" s="6">
        <f t="shared" si="128"/>
        <v>318</v>
      </c>
      <c r="AB917">
        <v>255</v>
      </c>
      <c r="AC917">
        <v>185</v>
      </c>
      <c r="AD917">
        <v>134</v>
      </c>
    </row>
    <row r="918" spans="1:30" ht="17" x14ac:dyDescent="0.25">
      <c r="A918" s="1" t="s">
        <v>920</v>
      </c>
      <c r="B918" s="1" t="s">
        <v>3572</v>
      </c>
      <c r="C918" s="1" t="s">
        <v>2247</v>
      </c>
      <c r="D918" t="str">
        <f t="shared" si="129"/>
        <v>FEBA84</v>
      </c>
      <c r="E918" t="str">
        <f t="shared" si="130"/>
        <v>254-186-132</v>
      </c>
      <c r="F918" t="str">
        <f t="shared" si="131"/>
        <v>254186132</v>
      </c>
      <c r="G918">
        <f t="shared" si="132"/>
        <v>254</v>
      </c>
      <c r="H918">
        <f t="shared" si="133"/>
        <v>186</v>
      </c>
      <c r="I918">
        <f t="shared" si="134"/>
        <v>132</v>
      </c>
      <c r="J918" t="str">
        <f t="shared" si="126"/>
        <v>SSN",</v>
      </c>
      <c r="K918" t="str">
        <f t="shared" si="126"/>
        <v>Superior salivatory nucleus",</v>
      </c>
      <c r="L918" t="str">
        <f t="shared" si="127"/>
        <v>SSN</v>
      </c>
      <c r="M918" t="str">
        <f t="shared" si="127"/>
        <v>Superior salivatory nucleus</v>
      </c>
      <c r="N918" t="s">
        <v>6293</v>
      </c>
      <c r="O918" t="s">
        <v>6294</v>
      </c>
      <c r="Y918" t="s">
        <v>6293</v>
      </c>
      <c r="Z918" t="s">
        <v>6294</v>
      </c>
      <c r="AA918" s="6" t="str">
        <f t="shared" si="128"/>
        <v/>
      </c>
      <c r="AB918">
        <v>254</v>
      </c>
      <c r="AC918">
        <v>186</v>
      </c>
      <c r="AD918">
        <v>132</v>
      </c>
    </row>
    <row r="919" spans="1:30" ht="17" x14ac:dyDescent="0.25">
      <c r="A919" s="1" t="s">
        <v>921</v>
      </c>
      <c r="B919" s="1" t="s">
        <v>3573</v>
      </c>
      <c r="C919" s="1" t="s">
        <v>2248</v>
      </c>
      <c r="D919" t="str">
        <f t="shared" si="129"/>
        <v>FEBA86</v>
      </c>
      <c r="E919" t="str">
        <f t="shared" si="130"/>
        <v>254-186-134</v>
      </c>
      <c r="F919" t="str">
        <f t="shared" si="131"/>
        <v>254186134</v>
      </c>
      <c r="G919">
        <f t="shared" si="132"/>
        <v>254</v>
      </c>
      <c r="H919">
        <f t="shared" si="133"/>
        <v>186</v>
      </c>
      <c r="I919">
        <f t="shared" si="134"/>
        <v>134</v>
      </c>
      <c r="J919" t="str">
        <f t="shared" si="126"/>
        <v>SUT",</v>
      </c>
      <c r="K919" t="str">
        <f t="shared" si="126"/>
        <v>Supratrigeminal nucleus",</v>
      </c>
      <c r="L919" t="str">
        <f t="shared" si="127"/>
        <v>SUT</v>
      </c>
      <c r="M919" t="str">
        <f t="shared" si="127"/>
        <v>Supratrigeminal nucleus</v>
      </c>
      <c r="N919" t="s">
        <v>6295</v>
      </c>
      <c r="O919" t="s">
        <v>6296</v>
      </c>
      <c r="Y919" t="s">
        <v>6295</v>
      </c>
      <c r="Z919" t="s">
        <v>6296</v>
      </c>
      <c r="AA919" s="6">
        <f t="shared" si="128"/>
        <v>534</v>
      </c>
      <c r="AB919">
        <v>254</v>
      </c>
      <c r="AC919">
        <v>186</v>
      </c>
      <c r="AD919">
        <v>134</v>
      </c>
    </row>
    <row r="920" spans="1:30" ht="17" x14ac:dyDescent="0.25">
      <c r="A920" s="1" t="s">
        <v>922</v>
      </c>
      <c r="B920" s="1" t="s">
        <v>3574</v>
      </c>
      <c r="C920" s="1" t="s">
        <v>2249</v>
      </c>
      <c r="D920" t="str">
        <f t="shared" si="129"/>
        <v>FEBA85</v>
      </c>
      <c r="E920" t="str">
        <f t="shared" si="130"/>
        <v>254-186-133</v>
      </c>
      <c r="F920" t="str">
        <f t="shared" si="131"/>
        <v>254186133</v>
      </c>
      <c r="G920">
        <f t="shared" si="132"/>
        <v>254</v>
      </c>
      <c r="H920">
        <f t="shared" si="133"/>
        <v>186</v>
      </c>
      <c r="I920">
        <f t="shared" si="134"/>
        <v>133</v>
      </c>
      <c r="J920" t="str">
        <f t="shared" si="126"/>
        <v>TRN",</v>
      </c>
      <c r="K920" t="str">
        <f t="shared" si="126"/>
        <v>Tegmental reticular nucleus",</v>
      </c>
      <c r="L920" t="str">
        <f t="shared" si="127"/>
        <v>TRN</v>
      </c>
      <c r="M920" t="str">
        <f t="shared" si="127"/>
        <v>Tegmental reticular nucleus</v>
      </c>
      <c r="N920" t="s">
        <v>6297</v>
      </c>
      <c r="O920" t="s">
        <v>6298</v>
      </c>
      <c r="Y920" t="s">
        <v>6297</v>
      </c>
      <c r="Z920" t="s">
        <v>6298</v>
      </c>
      <c r="AA920" s="6">
        <f t="shared" si="128"/>
        <v>574</v>
      </c>
      <c r="AB920">
        <v>254</v>
      </c>
      <c r="AC920">
        <v>186</v>
      </c>
      <c r="AD920">
        <v>133</v>
      </c>
    </row>
    <row r="921" spans="1:30" ht="17" x14ac:dyDescent="0.25">
      <c r="A921" s="1" t="s">
        <v>923</v>
      </c>
      <c r="B921" s="1" t="s">
        <v>3575</v>
      </c>
      <c r="C921" s="1" t="s">
        <v>2250</v>
      </c>
      <c r="D921" t="str">
        <f t="shared" si="129"/>
        <v>FEB986</v>
      </c>
      <c r="E921" t="str">
        <f t="shared" si="130"/>
        <v>254-185-134</v>
      </c>
      <c r="F921" t="str">
        <f t="shared" si="131"/>
        <v>254185134</v>
      </c>
      <c r="G921">
        <f t="shared" si="132"/>
        <v>254</v>
      </c>
      <c r="H921">
        <f t="shared" si="133"/>
        <v>185</v>
      </c>
      <c r="I921">
        <f t="shared" si="134"/>
        <v>134</v>
      </c>
      <c r="J921" t="str">
        <f t="shared" si="126"/>
        <v>V",</v>
      </c>
      <c r="K921" t="str">
        <f t="shared" si="126"/>
        <v>Motor nucleus of trigeminal",</v>
      </c>
      <c r="L921" t="str">
        <f t="shared" si="127"/>
        <v>V</v>
      </c>
      <c r="M921" t="str">
        <f t="shared" si="127"/>
        <v>Motor nucleus of trigeminal</v>
      </c>
      <c r="N921" t="s">
        <v>6299</v>
      </c>
      <c r="O921" t="s">
        <v>6300</v>
      </c>
      <c r="Y921" t="s">
        <v>6299</v>
      </c>
      <c r="Z921" t="s">
        <v>6300</v>
      </c>
      <c r="AA921" s="6">
        <f t="shared" si="128"/>
        <v>621</v>
      </c>
      <c r="AB921">
        <v>254</v>
      </c>
      <c r="AC921">
        <v>185</v>
      </c>
      <c r="AD921">
        <v>134</v>
      </c>
    </row>
    <row r="922" spans="1:30" ht="17" x14ac:dyDescent="0.25">
      <c r="A922" s="1" t="s">
        <v>924</v>
      </c>
      <c r="B922" s="1" t="s">
        <v>3576</v>
      </c>
      <c r="C922" s="1" t="s">
        <v>2251</v>
      </c>
      <c r="D922" t="str">
        <f t="shared" si="129"/>
        <v>FEB886</v>
      </c>
      <c r="E922" t="str">
        <f t="shared" si="130"/>
        <v>254-184-134</v>
      </c>
      <c r="F922" t="str">
        <f t="shared" si="131"/>
        <v>254184134</v>
      </c>
      <c r="G922">
        <f t="shared" si="132"/>
        <v>254</v>
      </c>
      <c r="H922">
        <f t="shared" si="133"/>
        <v>184</v>
      </c>
      <c r="I922">
        <f t="shared" si="134"/>
        <v>134</v>
      </c>
      <c r="J922" t="str">
        <f t="shared" si="126"/>
        <v>P5",</v>
      </c>
      <c r="K922" t="str">
        <f t="shared" si="126"/>
        <v>Peritrigeminal zone",</v>
      </c>
      <c r="L922" t="str">
        <f t="shared" si="127"/>
        <v>P5</v>
      </c>
      <c r="M922" t="str">
        <f t="shared" si="127"/>
        <v>Peritrigeminal zone</v>
      </c>
      <c r="N922" t="s">
        <v>6301</v>
      </c>
      <c r="O922" t="s">
        <v>6302</v>
      </c>
      <c r="Y922" t="s">
        <v>6301</v>
      </c>
      <c r="Z922" t="s">
        <v>6302</v>
      </c>
      <c r="AA922" s="6">
        <f t="shared" si="128"/>
        <v>549009215</v>
      </c>
      <c r="AB922">
        <v>254</v>
      </c>
      <c r="AC922">
        <v>184</v>
      </c>
      <c r="AD922">
        <v>134</v>
      </c>
    </row>
    <row r="923" spans="1:30" ht="17" x14ac:dyDescent="0.25">
      <c r="A923" s="1" t="s">
        <v>925</v>
      </c>
      <c r="B923" s="1" t="s">
        <v>3577</v>
      </c>
      <c r="C923" s="1" t="s">
        <v>2252</v>
      </c>
      <c r="D923" t="str">
        <f t="shared" si="129"/>
        <v>FDBA85</v>
      </c>
      <c r="E923" t="str">
        <f t="shared" si="130"/>
        <v>253-186-133</v>
      </c>
      <c r="F923" t="str">
        <f t="shared" si="131"/>
        <v>253186133</v>
      </c>
      <c r="G923">
        <f t="shared" si="132"/>
        <v>253</v>
      </c>
      <c r="H923">
        <f t="shared" si="133"/>
        <v>186</v>
      </c>
      <c r="I923">
        <f t="shared" si="134"/>
        <v>133</v>
      </c>
      <c r="J923" t="str">
        <f t="shared" si="126"/>
        <v>Acs5",</v>
      </c>
      <c r="K923" t="str">
        <f t="shared" si="126"/>
        <v>Accessory trigeminal nucleus",</v>
      </c>
      <c r="L923" t="str">
        <f t="shared" si="127"/>
        <v>Acs5</v>
      </c>
      <c r="M923" t="str">
        <f t="shared" si="127"/>
        <v>Accessory trigeminal nucleus</v>
      </c>
      <c r="N923" t="s">
        <v>6303</v>
      </c>
      <c r="O923" t="s">
        <v>6304</v>
      </c>
      <c r="Y923" t="s">
        <v>6303</v>
      </c>
      <c r="Z923" t="s">
        <v>6304</v>
      </c>
      <c r="AA923" s="6">
        <f t="shared" si="128"/>
        <v>549009219</v>
      </c>
      <c r="AB923">
        <v>253</v>
      </c>
      <c r="AC923">
        <v>186</v>
      </c>
      <c r="AD923">
        <v>133</v>
      </c>
    </row>
    <row r="924" spans="1:30" ht="17" x14ac:dyDescent="0.25">
      <c r="A924" s="1" t="s">
        <v>926</v>
      </c>
      <c r="B924" s="1" t="s">
        <v>3578</v>
      </c>
      <c r="C924" s="1" t="s">
        <v>2253</v>
      </c>
      <c r="D924" t="str">
        <f t="shared" si="129"/>
        <v>FDB986</v>
      </c>
      <c r="E924" t="str">
        <f t="shared" si="130"/>
        <v>253-185-134</v>
      </c>
      <c r="F924" t="str">
        <f t="shared" si="131"/>
        <v>253185134</v>
      </c>
      <c r="G924">
        <f t="shared" si="132"/>
        <v>253</v>
      </c>
      <c r="H924">
        <f t="shared" si="133"/>
        <v>185</v>
      </c>
      <c r="I924">
        <f t="shared" si="134"/>
        <v>134</v>
      </c>
      <c r="J924" t="str">
        <f t="shared" si="126"/>
        <v>PC5",</v>
      </c>
      <c r="K924" t="str">
        <f t="shared" si="126"/>
        <v>Parvicellular motor 5 nucleus",</v>
      </c>
      <c r="L924" t="str">
        <f t="shared" si="127"/>
        <v>PC5</v>
      </c>
      <c r="M924" t="str">
        <f t="shared" si="127"/>
        <v>Parvicellular motor 5 nucleus</v>
      </c>
      <c r="N924" t="s">
        <v>6305</v>
      </c>
      <c r="O924" t="s">
        <v>6306</v>
      </c>
      <c r="Y924" t="s">
        <v>6305</v>
      </c>
      <c r="Z924" t="s">
        <v>6306</v>
      </c>
      <c r="AA924" s="6">
        <f t="shared" si="128"/>
        <v>549009223</v>
      </c>
      <c r="AB924">
        <v>253</v>
      </c>
      <c r="AC924">
        <v>185</v>
      </c>
      <c r="AD924">
        <v>134</v>
      </c>
    </row>
    <row r="925" spans="1:30" ht="17" x14ac:dyDescent="0.25">
      <c r="A925" s="1" t="s">
        <v>927</v>
      </c>
      <c r="B925" s="1" t="s">
        <v>3579</v>
      </c>
      <c r="C925" s="1" t="s">
        <v>2254</v>
      </c>
      <c r="D925" t="str">
        <f t="shared" si="129"/>
        <v>FEB984</v>
      </c>
      <c r="E925" t="str">
        <f t="shared" si="130"/>
        <v>254-185-132</v>
      </c>
      <c r="F925" t="str">
        <f t="shared" si="131"/>
        <v>254185132</v>
      </c>
      <c r="G925">
        <f t="shared" si="132"/>
        <v>254</v>
      </c>
      <c r="H925">
        <f t="shared" si="133"/>
        <v>185</v>
      </c>
      <c r="I925">
        <f t="shared" si="134"/>
        <v>132</v>
      </c>
      <c r="J925" t="str">
        <f t="shared" si="126"/>
        <v>I5",</v>
      </c>
      <c r="K925" t="str">
        <f t="shared" si="126"/>
        <v>Intertrigeminal nucleus",</v>
      </c>
      <c r="L925" t="str">
        <f t="shared" si="127"/>
        <v>I5</v>
      </c>
      <c r="M925" t="str">
        <f t="shared" si="127"/>
        <v>Intertrigeminal nucleus</v>
      </c>
      <c r="N925" t="s">
        <v>6307</v>
      </c>
      <c r="O925" t="s">
        <v>6308</v>
      </c>
      <c r="Y925" t="s">
        <v>6307</v>
      </c>
      <c r="Z925" t="s">
        <v>6308</v>
      </c>
      <c r="AA925" s="6">
        <f t="shared" si="128"/>
        <v>549009227</v>
      </c>
      <c r="AB925">
        <v>254</v>
      </c>
      <c r="AC925">
        <v>185</v>
      </c>
      <c r="AD925">
        <v>132</v>
      </c>
    </row>
    <row r="926" spans="1:30" ht="17" x14ac:dyDescent="0.25">
      <c r="A926" s="1" t="s">
        <v>928</v>
      </c>
      <c r="B926" s="1" t="s">
        <v>3580</v>
      </c>
      <c r="C926" s="1" t="s">
        <v>2255</v>
      </c>
      <c r="D926" t="str">
        <f t="shared" si="129"/>
        <v>FFC195</v>
      </c>
      <c r="E926" t="str">
        <f t="shared" si="130"/>
        <v>255-193-149</v>
      </c>
      <c r="F926" t="str">
        <f t="shared" si="131"/>
        <v>255193149</v>
      </c>
      <c r="G926">
        <f t="shared" si="132"/>
        <v>255</v>
      </c>
      <c r="H926">
        <f t="shared" si="133"/>
        <v>193</v>
      </c>
      <c r="I926">
        <f t="shared" si="134"/>
        <v>149</v>
      </c>
      <c r="J926" t="str">
        <f t="shared" si="126"/>
        <v>P-sat",</v>
      </c>
      <c r="K926" t="str">
        <f t="shared" si="126"/>
        <v>Pons, behavioral state related",</v>
      </c>
      <c r="L926" t="str">
        <f t="shared" si="127"/>
        <v>P-sat</v>
      </c>
      <c r="M926" t="str">
        <f t="shared" si="127"/>
        <v>Pons, behavioral state related</v>
      </c>
      <c r="N926" t="s">
        <v>6309</v>
      </c>
      <c r="O926" t="s">
        <v>6310</v>
      </c>
      <c r="Y926" t="s">
        <v>6309</v>
      </c>
      <c r="Z926" t="s">
        <v>6310</v>
      </c>
      <c r="AA926" s="6">
        <f t="shared" si="128"/>
        <v>1117</v>
      </c>
      <c r="AB926">
        <v>255</v>
      </c>
      <c r="AC926">
        <v>193</v>
      </c>
      <c r="AD926">
        <v>149</v>
      </c>
    </row>
    <row r="927" spans="1:30" ht="17" x14ac:dyDescent="0.25">
      <c r="A927" s="1" t="s">
        <v>929</v>
      </c>
      <c r="B927" s="1" t="s">
        <v>3581</v>
      </c>
      <c r="C927" s="1" t="s">
        <v>2256</v>
      </c>
      <c r="D927" t="str">
        <f t="shared" si="129"/>
        <v>FFC393</v>
      </c>
      <c r="E927" t="str">
        <f t="shared" si="130"/>
        <v>255-195-147</v>
      </c>
      <c r="F927" t="str">
        <f t="shared" si="131"/>
        <v>255195147</v>
      </c>
      <c r="G927">
        <f t="shared" si="132"/>
        <v>255</v>
      </c>
      <c r="H927">
        <f t="shared" si="133"/>
        <v>195</v>
      </c>
      <c r="I927">
        <f t="shared" si="134"/>
        <v>147</v>
      </c>
      <c r="J927" t="str">
        <f t="shared" si="126"/>
        <v>CS",</v>
      </c>
      <c r="K927" t="str">
        <f t="shared" si="126"/>
        <v>Superior central nucleus raphe",</v>
      </c>
      <c r="L927" t="str">
        <f t="shared" si="127"/>
        <v>CS</v>
      </c>
      <c r="M927" t="str">
        <f t="shared" si="127"/>
        <v>Superior central nucleus raphe</v>
      </c>
      <c r="N927" t="s">
        <v>6311</v>
      </c>
      <c r="O927" t="s">
        <v>6312</v>
      </c>
      <c r="Y927" t="s">
        <v>6311</v>
      </c>
      <c r="Z927" t="s">
        <v>6312</v>
      </c>
      <c r="AA927" s="6">
        <f t="shared" si="128"/>
        <v>679</v>
      </c>
      <c r="AB927">
        <v>255</v>
      </c>
      <c r="AC927">
        <v>195</v>
      </c>
      <c r="AD927">
        <v>147</v>
      </c>
    </row>
    <row r="928" spans="1:30" ht="17" x14ac:dyDescent="0.25">
      <c r="A928" s="1" t="s">
        <v>930</v>
      </c>
      <c r="B928" s="1" t="s">
        <v>3582</v>
      </c>
      <c r="C928" s="1" t="s">
        <v>2257</v>
      </c>
      <c r="D928" t="str">
        <f t="shared" si="129"/>
        <v>FFC394</v>
      </c>
      <c r="E928" t="str">
        <f t="shared" si="130"/>
        <v>255-195-148</v>
      </c>
      <c r="F928" t="str">
        <f t="shared" si="131"/>
        <v>255195148</v>
      </c>
      <c r="G928">
        <f t="shared" si="132"/>
        <v>255</v>
      </c>
      <c r="H928">
        <f t="shared" si="133"/>
        <v>195</v>
      </c>
      <c r="I928">
        <f t="shared" si="134"/>
        <v>148</v>
      </c>
      <c r="J928" t="str">
        <f t="shared" si="126"/>
        <v>CSl",</v>
      </c>
      <c r="K928" t="str">
        <f t="shared" si="126"/>
        <v>Superior central nucleus raphe, lateral part",</v>
      </c>
      <c r="L928" t="str">
        <f t="shared" si="127"/>
        <v>CSl</v>
      </c>
      <c r="M928" t="str">
        <f t="shared" si="127"/>
        <v>Superior central nucleus raphe, lateral part</v>
      </c>
      <c r="N928" t="s">
        <v>6313</v>
      </c>
      <c r="O928" t="s">
        <v>6314</v>
      </c>
      <c r="Y928" t="s">
        <v>6313</v>
      </c>
      <c r="Z928" t="s">
        <v>6314</v>
      </c>
      <c r="AA928" s="6" t="str">
        <f t="shared" si="128"/>
        <v/>
      </c>
      <c r="AB928">
        <v>255</v>
      </c>
      <c r="AC928">
        <v>195</v>
      </c>
      <c r="AD928">
        <v>148</v>
      </c>
    </row>
    <row r="929" spans="1:30" ht="17" x14ac:dyDescent="0.25">
      <c r="A929" s="1" t="s">
        <v>931</v>
      </c>
      <c r="B929" s="1" t="s">
        <v>3583</v>
      </c>
      <c r="C929" s="1" t="s">
        <v>2258</v>
      </c>
      <c r="D929" t="str">
        <f t="shared" si="129"/>
        <v>FFC395</v>
      </c>
      <c r="E929" t="str">
        <f t="shared" si="130"/>
        <v>255-195-149</v>
      </c>
      <c r="F929" t="str">
        <f t="shared" si="131"/>
        <v>255195149</v>
      </c>
      <c r="G929">
        <f t="shared" si="132"/>
        <v>255</v>
      </c>
      <c r="H929">
        <f t="shared" si="133"/>
        <v>195</v>
      </c>
      <c r="I929">
        <f t="shared" si="134"/>
        <v>149</v>
      </c>
      <c r="J929" t="str">
        <f t="shared" si="126"/>
        <v>CSm",</v>
      </c>
      <c r="K929" t="str">
        <f t="shared" si="126"/>
        <v>Superior central nucleus raphe, medial part",</v>
      </c>
      <c r="L929" t="str">
        <f t="shared" si="127"/>
        <v>CSm</v>
      </c>
      <c r="M929" t="str">
        <f t="shared" si="127"/>
        <v>Superior central nucleus raphe, medial part</v>
      </c>
      <c r="N929" t="s">
        <v>6315</v>
      </c>
      <c r="O929" t="s">
        <v>6316</v>
      </c>
      <c r="Y929" t="s">
        <v>6315</v>
      </c>
      <c r="Z929" t="s">
        <v>6316</v>
      </c>
      <c r="AA929" s="6" t="str">
        <f t="shared" si="128"/>
        <v/>
      </c>
      <c r="AB929">
        <v>255</v>
      </c>
      <c r="AC929">
        <v>195</v>
      </c>
      <c r="AD929">
        <v>149</v>
      </c>
    </row>
    <row r="930" spans="1:30" ht="17" x14ac:dyDescent="0.25">
      <c r="A930" s="1" t="s">
        <v>932</v>
      </c>
      <c r="B930" s="1" t="s">
        <v>3584</v>
      </c>
      <c r="C930" s="1" t="s">
        <v>2259</v>
      </c>
      <c r="D930" t="str">
        <f t="shared" si="129"/>
        <v>FDC395</v>
      </c>
      <c r="E930" t="str">
        <f t="shared" si="130"/>
        <v>253-195-149</v>
      </c>
      <c r="F930" t="str">
        <f t="shared" si="131"/>
        <v>253195149</v>
      </c>
      <c r="G930">
        <f t="shared" si="132"/>
        <v>253</v>
      </c>
      <c r="H930">
        <f t="shared" si="133"/>
        <v>195</v>
      </c>
      <c r="I930">
        <f t="shared" si="134"/>
        <v>149</v>
      </c>
      <c r="J930" t="str">
        <f t="shared" si="126"/>
        <v>LC",</v>
      </c>
      <c r="K930" t="str">
        <f t="shared" si="126"/>
        <v>Locus ceruleus",</v>
      </c>
      <c r="L930" t="str">
        <f t="shared" si="127"/>
        <v>LC</v>
      </c>
      <c r="M930" t="str">
        <f t="shared" si="127"/>
        <v>Locus ceruleus</v>
      </c>
      <c r="N930" t="s">
        <v>6317</v>
      </c>
      <c r="O930" t="s">
        <v>6318</v>
      </c>
      <c r="Y930" t="s">
        <v>6317</v>
      </c>
      <c r="Z930" t="s">
        <v>6318</v>
      </c>
      <c r="AA930" s="6">
        <f t="shared" si="128"/>
        <v>147</v>
      </c>
      <c r="AB930">
        <v>253</v>
      </c>
      <c r="AC930">
        <v>195</v>
      </c>
      <c r="AD930">
        <v>149</v>
      </c>
    </row>
    <row r="931" spans="1:30" ht="17" x14ac:dyDescent="0.25">
      <c r="A931" s="1" t="s">
        <v>933</v>
      </c>
      <c r="B931" s="1" t="s">
        <v>3585</v>
      </c>
      <c r="C931" s="1" t="s">
        <v>2260</v>
      </c>
      <c r="D931" t="str">
        <f t="shared" si="129"/>
        <v>FEC395</v>
      </c>
      <c r="E931" t="str">
        <f t="shared" si="130"/>
        <v>254-195-149</v>
      </c>
      <c r="F931" t="str">
        <f t="shared" si="131"/>
        <v>254195149</v>
      </c>
      <c r="G931">
        <f t="shared" si="132"/>
        <v>254</v>
      </c>
      <c r="H931">
        <f t="shared" si="133"/>
        <v>195</v>
      </c>
      <c r="I931">
        <f t="shared" si="134"/>
        <v>149</v>
      </c>
      <c r="J931" t="str">
        <f t="shared" si="126"/>
        <v>LDT",</v>
      </c>
      <c r="K931" t="str">
        <f t="shared" si="126"/>
        <v>Laterodorsal tegmental nucleus",</v>
      </c>
      <c r="L931" t="str">
        <f t="shared" si="127"/>
        <v>LDT</v>
      </c>
      <c r="M931" t="str">
        <f t="shared" si="127"/>
        <v>Laterodorsal tegmental nucleus</v>
      </c>
      <c r="N931" t="s">
        <v>6319</v>
      </c>
      <c r="O931" t="s">
        <v>6320</v>
      </c>
      <c r="Y931" t="s">
        <v>6319</v>
      </c>
      <c r="Z931" t="s">
        <v>6320</v>
      </c>
      <c r="AA931" s="6">
        <f t="shared" si="128"/>
        <v>162</v>
      </c>
      <c r="AB931">
        <v>254</v>
      </c>
      <c r="AC931">
        <v>195</v>
      </c>
      <c r="AD931">
        <v>149</v>
      </c>
    </row>
    <row r="932" spans="1:30" ht="17" x14ac:dyDescent="0.25">
      <c r="A932" s="1" t="s">
        <v>934</v>
      </c>
      <c r="B932" s="1" t="s">
        <v>3586</v>
      </c>
      <c r="C932" s="1" t="s">
        <v>2261</v>
      </c>
      <c r="D932" t="str">
        <f t="shared" si="129"/>
        <v>FEC294</v>
      </c>
      <c r="E932" t="str">
        <f t="shared" si="130"/>
        <v>254-194-148</v>
      </c>
      <c r="F932" t="str">
        <f t="shared" si="131"/>
        <v>254194148</v>
      </c>
      <c r="G932">
        <f t="shared" si="132"/>
        <v>254</v>
      </c>
      <c r="H932">
        <f t="shared" si="133"/>
        <v>194</v>
      </c>
      <c r="I932">
        <f t="shared" si="134"/>
        <v>148</v>
      </c>
      <c r="J932" t="str">
        <f t="shared" si="126"/>
        <v>NI",</v>
      </c>
      <c r="K932" t="str">
        <f t="shared" si="126"/>
        <v>Nucleus incertus",</v>
      </c>
      <c r="L932" t="str">
        <f t="shared" si="127"/>
        <v>NI</v>
      </c>
      <c r="M932" t="str">
        <f t="shared" si="127"/>
        <v>Nucleus incertus</v>
      </c>
      <c r="N932" t="s">
        <v>6321</v>
      </c>
      <c r="O932" t="s">
        <v>6322</v>
      </c>
      <c r="Y932" t="s">
        <v>6321</v>
      </c>
      <c r="Z932" t="s">
        <v>6322</v>
      </c>
      <c r="AA932" s="6">
        <f t="shared" si="128"/>
        <v>604</v>
      </c>
      <c r="AB932">
        <v>254</v>
      </c>
      <c r="AC932">
        <v>194</v>
      </c>
      <c r="AD932">
        <v>148</v>
      </c>
    </row>
    <row r="933" spans="1:30" ht="17" x14ac:dyDescent="0.25">
      <c r="A933" s="1" t="s">
        <v>935</v>
      </c>
      <c r="B933" s="1" t="s">
        <v>3587</v>
      </c>
      <c r="C933" s="1" t="s">
        <v>2262</v>
      </c>
      <c r="D933" t="str">
        <f t="shared" si="129"/>
        <v>FFC295</v>
      </c>
      <c r="E933" t="str">
        <f t="shared" si="130"/>
        <v>255-194-149</v>
      </c>
      <c r="F933" t="str">
        <f t="shared" si="131"/>
        <v>255194149</v>
      </c>
      <c r="G933">
        <f t="shared" si="132"/>
        <v>255</v>
      </c>
      <c r="H933">
        <f t="shared" si="133"/>
        <v>194</v>
      </c>
      <c r="I933">
        <f t="shared" si="134"/>
        <v>149</v>
      </c>
      <c r="J933" t="str">
        <f t="shared" si="126"/>
        <v>PRNr",</v>
      </c>
      <c r="K933" t="str">
        <f t="shared" si="126"/>
        <v>Pontine reticular nucleus",</v>
      </c>
      <c r="L933" t="str">
        <f t="shared" si="127"/>
        <v>PRNr</v>
      </c>
      <c r="M933" t="str">
        <f t="shared" si="127"/>
        <v>Pontine reticular nucleus</v>
      </c>
      <c r="N933" t="s">
        <v>6323</v>
      </c>
      <c r="O933" t="s">
        <v>6324</v>
      </c>
      <c r="Y933" t="s">
        <v>6323</v>
      </c>
      <c r="Z933" t="s">
        <v>6324</v>
      </c>
      <c r="AA933" s="6">
        <f t="shared" si="128"/>
        <v>146</v>
      </c>
      <c r="AB933">
        <v>255</v>
      </c>
      <c r="AC933">
        <v>194</v>
      </c>
      <c r="AD933">
        <v>149</v>
      </c>
    </row>
    <row r="934" spans="1:30" ht="17" x14ac:dyDescent="0.25">
      <c r="A934" s="1" t="s">
        <v>936</v>
      </c>
      <c r="B934" s="1" t="s">
        <v>3588</v>
      </c>
      <c r="C934" s="1" t="s">
        <v>2263</v>
      </c>
      <c r="D934" t="str">
        <f t="shared" si="129"/>
        <v>FFC294</v>
      </c>
      <c r="E934" t="str">
        <f t="shared" si="130"/>
        <v>255-194-148</v>
      </c>
      <c r="F934" t="str">
        <f t="shared" si="131"/>
        <v>255194148</v>
      </c>
      <c r="G934">
        <f t="shared" si="132"/>
        <v>255</v>
      </c>
      <c r="H934">
        <f t="shared" si="133"/>
        <v>194</v>
      </c>
      <c r="I934">
        <f t="shared" si="134"/>
        <v>148</v>
      </c>
      <c r="J934" t="str">
        <f t="shared" si="126"/>
        <v>RPO",</v>
      </c>
      <c r="K934" t="str">
        <f t="shared" si="126"/>
        <v>Nucleus raphe pontis",</v>
      </c>
      <c r="L934" t="str">
        <f t="shared" si="127"/>
        <v>RPO</v>
      </c>
      <c r="M934" t="str">
        <f t="shared" si="127"/>
        <v>Nucleus raphe pontis</v>
      </c>
      <c r="N934" t="s">
        <v>6325</v>
      </c>
      <c r="O934" t="s">
        <v>6326</v>
      </c>
      <c r="Y934" t="s">
        <v>6325</v>
      </c>
      <c r="Z934" t="s">
        <v>6326</v>
      </c>
      <c r="AA934" s="6">
        <f t="shared" si="128"/>
        <v>238</v>
      </c>
      <c r="AB934">
        <v>255</v>
      </c>
      <c r="AC934">
        <v>194</v>
      </c>
      <c r="AD934">
        <v>148</v>
      </c>
    </row>
    <row r="935" spans="1:30" ht="17" x14ac:dyDescent="0.25">
      <c r="A935" s="1" t="s">
        <v>937</v>
      </c>
      <c r="B935" s="1" t="s">
        <v>3589</v>
      </c>
      <c r="C935" s="1" t="s">
        <v>2264</v>
      </c>
      <c r="D935" t="str">
        <f t="shared" si="129"/>
        <v>FEC394</v>
      </c>
      <c r="E935" t="str">
        <f t="shared" si="130"/>
        <v>254-195-148</v>
      </c>
      <c r="F935" t="str">
        <f t="shared" si="131"/>
        <v>254195148</v>
      </c>
      <c r="G935">
        <f t="shared" si="132"/>
        <v>254</v>
      </c>
      <c r="H935">
        <f t="shared" si="133"/>
        <v>195</v>
      </c>
      <c r="I935">
        <f t="shared" si="134"/>
        <v>148</v>
      </c>
      <c r="J935" t="str">
        <f t="shared" si="126"/>
        <v>SLC",</v>
      </c>
      <c r="K935" t="str">
        <f t="shared" si="126"/>
        <v>Subceruleus nucleus",</v>
      </c>
      <c r="L935" t="str">
        <f t="shared" si="127"/>
        <v>SLC</v>
      </c>
      <c r="M935" t="str">
        <f t="shared" si="127"/>
        <v>Subceruleus nucleus</v>
      </c>
      <c r="N935" t="s">
        <v>6327</v>
      </c>
      <c r="O935" t="s">
        <v>6328</v>
      </c>
      <c r="Y935" t="s">
        <v>6327</v>
      </c>
      <c r="Z935" t="s">
        <v>6328</v>
      </c>
      <c r="AA935" s="6">
        <f t="shared" si="128"/>
        <v>350</v>
      </c>
      <c r="AB935">
        <v>254</v>
      </c>
      <c r="AC935">
        <v>195</v>
      </c>
      <c r="AD935">
        <v>148</v>
      </c>
    </row>
    <row r="936" spans="1:30" ht="17" x14ac:dyDescent="0.25">
      <c r="A936" s="1" t="s">
        <v>938</v>
      </c>
      <c r="B936" s="1" t="s">
        <v>3590</v>
      </c>
      <c r="C936" s="1" t="s">
        <v>2265</v>
      </c>
      <c r="D936" t="str">
        <f t="shared" si="129"/>
        <v>FEC295</v>
      </c>
      <c r="E936" t="str">
        <f t="shared" si="130"/>
        <v>254-194-149</v>
      </c>
      <c r="F936" t="str">
        <f t="shared" si="131"/>
        <v>254194149</v>
      </c>
      <c r="G936">
        <f t="shared" si="132"/>
        <v>254</v>
      </c>
      <c r="H936">
        <f t="shared" si="133"/>
        <v>194</v>
      </c>
      <c r="I936">
        <f t="shared" si="134"/>
        <v>149</v>
      </c>
      <c r="J936" t="str">
        <f t="shared" si="126"/>
        <v>SLD",</v>
      </c>
      <c r="K936" t="str">
        <f t="shared" si="126"/>
        <v>Sublaterodorsal nucleus",</v>
      </c>
      <c r="L936" t="str">
        <f t="shared" si="127"/>
        <v>SLD</v>
      </c>
      <c r="M936" t="str">
        <f t="shared" si="127"/>
        <v>Sublaterodorsal nucleus</v>
      </c>
      <c r="N936" t="s">
        <v>6329</v>
      </c>
      <c r="O936" t="s">
        <v>6330</v>
      </c>
      <c r="Y936" t="s">
        <v>6329</v>
      </c>
      <c r="Z936" t="s">
        <v>6330</v>
      </c>
      <c r="AA936" s="6">
        <f t="shared" si="128"/>
        <v>358</v>
      </c>
      <c r="AB936">
        <v>254</v>
      </c>
      <c r="AC936">
        <v>194</v>
      </c>
      <c r="AD936">
        <v>149</v>
      </c>
    </row>
    <row r="937" spans="1:30" ht="17" x14ac:dyDescent="0.25">
      <c r="A937" s="1" t="s">
        <v>939</v>
      </c>
      <c r="B937" s="1" t="s">
        <v>3591</v>
      </c>
      <c r="C937" s="1" t="s">
        <v>2266</v>
      </c>
      <c r="D937" t="str">
        <f t="shared" si="129"/>
        <v>FF9BCD</v>
      </c>
      <c r="E937" t="str">
        <f t="shared" si="130"/>
        <v>255-155-205</v>
      </c>
      <c r="F937" t="str">
        <f t="shared" si="131"/>
        <v>255155205</v>
      </c>
      <c r="G937">
        <f t="shared" si="132"/>
        <v>255</v>
      </c>
      <c r="H937">
        <f t="shared" si="133"/>
        <v>155</v>
      </c>
      <c r="I937">
        <f t="shared" si="134"/>
        <v>205</v>
      </c>
      <c r="J937" t="str">
        <f t="shared" si="126"/>
        <v>MY",</v>
      </c>
      <c r="K937" t="str">
        <f t="shared" si="126"/>
        <v>Medulla",</v>
      </c>
      <c r="L937" t="str">
        <f t="shared" si="127"/>
        <v>MY</v>
      </c>
      <c r="M937" t="str">
        <f t="shared" si="127"/>
        <v>Medulla</v>
      </c>
      <c r="N937" t="s">
        <v>6331</v>
      </c>
      <c r="O937" t="s">
        <v>6332</v>
      </c>
      <c r="Y937" t="s">
        <v>6331</v>
      </c>
      <c r="Z937" t="s">
        <v>6332</v>
      </c>
      <c r="AA937" s="6">
        <f t="shared" si="128"/>
        <v>354</v>
      </c>
      <c r="AB937">
        <v>255</v>
      </c>
      <c r="AC937">
        <v>155</v>
      </c>
      <c r="AD937">
        <v>205</v>
      </c>
    </row>
    <row r="938" spans="1:30" ht="17" x14ac:dyDescent="0.25">
      <c r="A938" s="1" t="s">
        <v>940</v>
      </c>
      <c r="B938" s="1" t="s">
        <v>3592</v>
      </c>
      <c r="C938" s="1" t="s">
        <v>2267</v>
      </c>
      <c r="D938" t="str">
        <f t="shared" si="129"/>
        <v>FFA3D2</v>
      </c>
      <c r="E938" t="str">
        <f t="shared" si="130"/>
        <v>255-163-210</v>
      </c>
      <c r="F938" t="str">
        <f t="shared" si="131"/>
        <v>255163210</v>
      </c>
      <c r="G938">
        <f t="shared" si="132"/>
        <v>255</v>
      </c>
      <c r="H938">
        <f t="shared" si="133"/>
        <v>163</v>
      </c>
      <c r="I938">
        <f t="shared" si="134"/>
        <v>210</v>
      </c>
      <c r="J938" t="str">
        <f t="shared" si="126"/>
        <v>MY-sen",</v>
      </c>
      <c r="K938" t="str">
        <f t="shared" si="126"/>
        <v>Medulla, sensory related",</v>
      </c>
      <c r="L938" t="str">
        <f t="shared" si="127"/>
        <v>MY-sen</v>
      </c>
      <c r="M938" t="str">
        <f t="shared" si="127"/>
        <v>Medulla, sensory related</v>
      </c>
      <c r="N938" t="s">
        <v>6333</v>
      </c>
      <c r="O938" t="s">
        <v>6334</v>
      </c>
      <c r="Y938" t="s">
        <v>6333</v>
      </c>
      <c r="Z938" t="s">
        <v>6334</v>
      </c>
      <c r="AA938" s="6">
        <f t="shared" si="128"/>
        <v>386</v>
      </c>
      <c r="AB938">
        <v>255</v>
      </c>
      <c r="AC938">
        <v>163</v>
      </c>
      <c r="AD938">
        <v>210</v>
      </c>
    </row>
    <row r="939" spans="1:30" ht="17" x14ac:dyDescent="0.25">
      <c r="A939" s="1" t="s">
        <v>941</v>
      </c>
      <c r="B939" s="1" t="s">
        <v>3593</v>
      </c>
      <c r="C939" s="1" t="s">
        <v>2268</v>
      </c>
      <c r="D939" t="str">
        <f t="shared" si="129"/>
        <v>FFA5D0</v>
      </c>
      <c r="E939" t="str">
        <f t="shared" si="130"/>
        <v>255-165-208</v>
      </c>
      <c r="F939" t="str">
        <f t="shared" si="131"/>
        <v>255165208</v>
      </c>
      <c r="G939">
        <f t="shared" si="132"/>
        <v>255</v>
      </c>
      <c r="H939">
        <f t="shared" si="133"/>
        <v>165</v>
      </c>
      <c r="I939">
        <f t="shared" si="134"/>
        <v>208</v>
      </c>
      <c r="J939" t="str">
        <f t="shared" si="126"/>
        <v>AP",</v>
      </c>
      <c r="K939" t="str">
        <f t="shared" si="126"/>
        <v>Area postrema",</v>
      </c>
      <c r="L939" t="str">
        <f t="shared" si="127"/>
        <v>AP</v>
      </c>
      <c r="M939" t="str">
        <f t="shared" si="127"/>
        <v>Area postrema</v>
      </c>
      <c r="N939" t="s">
        <v>6335</v>
      </c>
      <c r="O939" t="s">
        <v>6336</v>
      </c>
      <c r="Y939" t="s">
        <v>6335</v>
      </c>
      <c r="Z939" t="s">
        <v>6336</v>
      </c>
      <c r="AA939" s="6">
        <f t="shared" si="128"/>
        <v>207</v>
      </c>
      <c r="AB939">
        <v>255</v>
      </c>
      <c r="AC939">
        <v>165</v>
      </c>
      <c r="AD939">
        <v>208</v>
      </c>
    </row>
    <row r="940" spans="1:30" ht="17" x14ac:dyDescent="0.25">
      <c r="A940" s="1" t="s">
        <v>942</v>
      </c>
      <c r="B940" s="1" t="s">
        <v>3594</v>
      </c>
      <c r="C940" s="1" t="s">
        <v>2269</v>
      </c>
      <c r="D940" t="str">
        <f t="shared" si="129"/>
        <v>FEA5D0</v>
      </c>
      <c r="E940" t="str">
        <f t="shared" si="130"/>
        <v>254-165-208</v>
      </c>
      <c r="F940" t="str">
        <f t="shared" si="131"/>
        <v>254165208</v>
      </c>
      <c r="G940">
        <f t="shared" si="132"/>
        <v>254</v>
      </c>
      <c r="H940">
        <f t="shared" si="133"/>
        <v>165</v>
      </c>
      <c r="I940">
        <f t="shared" si="134"/>
        <v>208</v>
      </c>
      <c r="J940" t="str">
        <f t="shared" si="126"/>
        <v>CN",</v>
      </c>
      <c r="K940" t="str">
        <f t="shared" si="126"/>
        <v>Cochlear nuclei",</v>
      </c>
      <c r="L940" t="str">
        <f t="shared" si="127"/>
        <v>CN</v>
      </c>
      <c r="M940" t="str">
        <f t="shared" si="127"/>
        <v>Cochlear nuclei</v>
      </c>
      <c r="N940" t="s">
        <v>6337</v>
      </c>
      <c r="O940" t="s">
        <v>6338</v>
      </c>
      <c r="Y940" t="s">
        <v>6337</v>
      </c>
      <c r="Z940" t="s">
        <v>6338</v>
      </c>
      <c r="AA940" s="6">
        <f t="shared" si="128"/>
        <v>607</v>
      </c>
      <c r="AB940">
        <v>254</v>
      </c>
      <c r="AC940">
        <v>165</v>
      </c>
      <c r="AD940">
        <v>208</v>
      </c>
    </row>
    <row r="941" spans="1:30" ht="17" x14ac:dyDescent="0.25">
      <c r="A941" s="1" t="s">
        <v>943</v>
      </c>
      <c r="B941" s="1" t="s">
        <v>3595</v>
      </c>
      <c r="C941" s="1" t="s">
        <v>2270</v>
      </c>
      <c r="D941" t="str">
        <f t="shared" si="129"/>
        <v>FEA4D1</v>
      </c>
      <c r="E941" t="str">
        <f t="shared" si="130"/>
        <v>254-164-209</v>
      </c>
      <c r="F941" t="str">
        <f t="shared" si="131"/>
        <v>254164209</v>
      </c>
      <c r="G941">
        <f t="shared" si="132"/>
        <v>254</v>
      </c>
      <c r="H941">
        <f t="shared" si="133"/>
        <v>164</v>
      </c>
      <c r="I941">
        <f t="shared" si="134"/>
        <v>209</v>
      </c>
      <c r="J941" t="str">
        <f t="shared" si="126"/>
        <v>CNlam",</v>
      </c>
      <c r="K941" t="str">
        <f t="shared" si="126"/>
        <v>Granular lamina of the cochlear nuclei",</v>
      </c>
      <c r="L941" t="str">
        <f t="shared" si="127"/>
        <v>CNlam</v>
      </c>
      <c r="M941" t="str">
        <f t="shared" si="127"/>
        <v>Granular lamina of the cochlear nuclei</v>
      </c>
      <c r="N941" t="s">
        <v>6339</v>
      </c>
      <c r="O941" t="s">
        <v>6340</v>
      </c>
      <c r="Y941" t="s">
        <v>6339</v>
      </c>
      <c r="Z941" t="s">
        <v>6340</v>
      </c>
      <c r="AA941" s="6" t="str">
        <f t="shared" si="128"/>
        <v/>
      </c>
      <c r="AB941">
        <v>254</v>
      </c>
      <c r="AC941">
        <v>164</v>
      </c>
      <c r="AD941">
        <v>209</v>
      </c>
    </row>
    <row r="942" spans="1:30" ht="17" x14ac:dyDescent="0.25">
      <c r="A942" s="1" t="s">
        <v>944</v>
      </c>
      <c r="B942" s="1" t="s">
        <v>3596</v>
      </c>
      <c r="C942" s="1" t="s">
        <v>2271</v>
      </c>
      <c r="D942" t="str">
        <f t="shared" si="129"/>
        <v>FFA3D1</v>
      </c>
      <c r="E942" t="str">
        <f t="shared" si="130"/>
        <v>255-163-209</v>
      </c>
      <c r="F942" t="str">
        <f t="shared" si="131"/>
        <v>255163209</v>
      </c>
      <c r="G942">
        <f t="shared" si="132"/>
        <v>255</v>
      </c>
      <c r="H942">
        <f t="shared" si="133"/>
        <v>163</v>
      </c>
      <c r="I942">
        <f t="shared" si="134"/>
        <v>209</v>
      </c>
      <c r="J942" t="str">
        <f t="shared" si="126"/>
        <v>CNspg",</v>
      </c>
      <c r="K942" t="str">
        <f t="shared" si="126"/>
        <v>Cochlear nucleus, subpedunclular granular region",</v>
      </c>
      <c r="L942" t="str">
        <f t="shared" si="127"/>
        <v>CNspg</v>
      </c>
      <c r="M942" t="str">
        <f t="shared" si="127"/>
        <v>Cochlear nucleus, subpedunclular granular region</v>
      </c>
      <c r="N942" t="s">
        <v>6341</v>
      </c>
      <c r="O942" t="s">
        <v>6342</v>
      </c>
      <c r="Y942" t="s">
        <v>6341</v>
      </c>
      <c r="Z942" t="s">
        <v>6342</v>
      </c>
      <c r="AA942" s="6" t="str">
        <f t="shared" si="128"/>
        <v/>
      </c>
      <c r="AB942">
        <v>255</v>
      </c>
      <c r="AC942">
        <v>163</v>
      </c>
      <c r="AD942">
        <v>209</v>
      </c>
    </row>
    <row r="943" spans="1:30" ht="17" x14ac:dyDescent="0.25">
      <c r="A943" s="1" t="s">
        <v>945</v>
      </c>
      <c r="B943" s="1" t="s">
        <v>3597</v>
      </c>
      <c r="C943" s="1" t="s">
        <v>2272</v>
      </c>
      <c r="D943" t="str">
        <f t="shared" si="129"/>
        <v>FEA5D1</v>
      </c>
      <c r="E943" t="str">
        <f t="shared" si="130"/>
        <v>254-165-209</v>
      </c>
      <c r="F943" t="str">
        <f t="shared" si="131"/>
        <v>254165209</v>
      </c>
      <c r="G943">
        <f t="shared" si="132"/>
        <v>254</v>
      </c>
      <c r="H943">
        <f t="shared" si="133"/>
        <v>165</v>
      </c>
      <c r="I943">
        <f t="shared" si="134"/>
        <v>209</v>
      </c>
      <c r="J943" t="str">
        <f t="shared" si="126"/>
        <v>DCO",</v>
      </c>
      <c r="K943" t="str">
        <f t="shared" si="126"/>
        <v>Dorsal cochlear nucleus",</v>
      </c>
      <c r="L943" t="str">
        <f t="shared" si="127"/>
        <v>DCO</v>
      </c>
      <c r="M943" t="str">
        <f t="shared" si="127"/>
        <v>Dorsal cochlear nucleus</v>
      </c>
      <c r="N943" t="s">
        <v>6343</v>
      </c>
      <c r="O943" t="s">
        <v>6344</v>
      </c>
      <c r="Y943" t="s">
        <v>6343</v>
      </c>
      <c r="Z943" t="s">
        <v>6344</v>
      </c>
      <c r="AA943" s="6">
        <f t="shared" si="128"/>
        <v>96</v>
      </c>
      <c r="AB943">
        <v>254</v>
      </c>
      <c r="AC943">
        <v>165</v>
      </c>
      <c r="AD943">
        <v>209</v>
      </c>
    </row>
    <row r="944" spans="1:30" ht="17" x14ac:dyDescent="0.25">
      <c r="A944" s="1" t="s">
        <v>946</v>
      </c>
      <c r="B944" s="1" t="s">
        <v>3598</v>
      </c>
      <c r="C944" s="1" t="s">
        <v>2273</v>
      </c>
      <c r="D944" t="str">
        <f t="shared" si="129"/>
        <v>FEA4D2</v>
      </c>
      <c r="E944" t="str">
        <f t="shared" si="130"/>
        <v>254-164-210</v>
      </c>
      <c r="F944" t="str">
        <f t="shared" si="131"/>
        <v>254164210</v>
      </c>
      <c r="G944">
        <f t="shared" si="132"/>
        <v>254</v>
      </c>
      <c r="H944">
        <f t="shared" si="133"/>
        <v>164</v>
      </c>
      <c r="I944">
        <f t="shared" si="134"/>
        <v>210</v>
      </c>
      <c r="J944" t="str">
        <f t="shared" si="126"/>
        <v>VCO",</v>
      </c>
      <c r="K944" t="str">
        <f t="shared" si="126"/>
        <v>Ventral cochlear nucleus",</v>
      </c>
      <c r="L944" t="str">
        <f t="shared" si="127"/>
        <v>VCO</v>
      </c>
      <c r="M944" t="str">
        <f t="shared" si="127"/>
        <v>Ventral cochlear nucleus</v>
      </c>
      <c r="N944" t="s">
        <v>6345</v>
      </c>
      <c r="O944" t="s">
        <v>6346</v>
      </c>
      <c r="Y944" t="s">
        <v>6345</v>
      </c>
      <c r="Z944" t="s">
        <v>6346</v>
      </c>
      <c r="AA944" s="6">
        <f t="shared" si="128"/>
        <v>101</v>
      </c>
      <c r="AB944">
        <v>254</v>
      </c>
      <c r="AC944">
        <v>164</v>
      </c>
      <c r="AD944">
        <v>210</v>
      </c>
    </row>
    <row r="945" spans="1:30" ht="17" x14ac:dyDescent="0.25">
      <c r="A945" s="1" t="s">
        <v>947</v>
      </c>
      <c r="B945" s="1" t="s">
        <v>3599</v>
      </c>
      <c r="C945" s="1" t="s">
        <v>2274</v>
      </c>
      <c r="D945" t="str">
        <f t="shared" si="129"/>
        <v>FDA3D2</v>
      </c>
      <c r="E945" t="str">
        <f t="shared" si="130"/>
        <v>253-163-210</v>
      </c>
      <c r="F945" t="str">
        <f t="shared" si="131"/>
        <v>253163210</v>
      </c>
      <c r="G945">
        <f t="shared" si="132"/>
        <v>253</v>
      </c>
      <c r="H945">
        <f t="shared" si="133"/>
        <v>163</v>
      </c>
      <c r="I945">
        <f t="shared" si="134"/>
        <v>210</v>
      </c>
      <c r="J945" t="str">
        <f t="shared" si="126"/>
        <v>DCN",</v>
      </c>
      <c r="K945" t="str">
        <f t="shared" si="126"/>
        <v>Dorsal column nuclei",</v>
      </c>
      <c r="L945" t="str">
        <f t="shared" si="127"/>
        <v>DCN</v>
      </c>
      <c r="M945" t="str">
        <f t="shared" si="127"/>
        <v>Dorsal column nuclei</v>
      </c>
      <c r="N945" t="s">
        <v>6347</v>
      </c>
      <c r="O945" t="s">
        <v>6348</v>
      </c>
      <c r="Y945" t="s">
        <v>6347</v>
      </c>
      <c r="Z945" t="s">
        <v>6348</v>
      </c>
      <c r="AA945" s="6">
        <f t="shared" si="128"/>
        <v>720</v>
      </c>
      <c r="AB945">
        <v>253</v>
      </c>
      <c r="AC945">
        <v>163</v>
      </c>
      <c r="AD945">
        <v>210</v>
      </c>
    </row>
    <row r="946" spans="1:30" ht="17" x14ac:dyDescent="0.25">
      <c r="A946" s="1" t="s">
        <v>948</v>
      </c>
      <c r="B946" s="1" t="s">
        <v>3600</v>
      </c>
      <c r="C946" s="1" t="s">
        <v>2275</v>
      </c>
      <c r="D946" t="str">
        <f t="shared" si="129"/>
        <v>FDA5D0</v>
      </c>
      <c r="E946" t="str">
        <f t="shared" si="130"/>
        <v>253-165-208</v>
      </c>
      <c r="F946" t="str">
        <f t="shared" si="131"/>
        <v>253165208</v>
      </c>
      <c r="G946">
        <f t="shared" si="132"/>
        <v>253</v>
      </c>
      <c r="H946">
        <f t="shared" si="133"/>
        <v>165</v>
      </c>
      <c r="I946">
        <f t="shared" si="134"/>
        <v>208</v>
      </c>
      <c r="J946" t="str">
        <f t="shared" si="126"/>
        <v>CU",</v>
      </c>
      <c r="K946" t="str">
        <f t="shared" si="126"/>
        <v>Cuneate nucleus",</v>
      </c>
      <c r="L946" t="str">
        <f t="shared" si="127"/>
        <v>CU</v>
      </c>
      <c r="M946" t="str">
        <f t="shared" si="127"/>
        <v>Cuneate nucleus</v>
      </c>
      <c r="N946" t="s">
        <v>6349</v>
      </c>
      <c r="O946" t="s">
        <v>6350</v>
      </c>
      <c r="Y946" t="s">
        <v>6349</v>
      </c>
      <c r="Z946" t="s">
        <v>6350</v>
      </c>
      <c r="AA946" s="6">
        <f t="shared" si="128"/>
        <v>711</v>
      </c>
      <c r="AB946">
        <v>253</v>
      </c>
      <c r="AC946">
        <v>165</v>
      </c>
      <c r="AD946">
        <v>208</v>
      </c>
    </row>
    <row r="947" spans="1:30" ht="17" x14ac:dyDescent="0.25">
      <c r="A947" s="1" t="s">
        <v>949</v>
      </c>
      <c r="B947" s="1" t="s">
        <v>3601</v>
      </c>
      <c r="C947" s="1" t="s">
        <v>2276</v>
      </c>
      <c r="D947" t="str">
        <f t="shared" si="129"/>
        <v>FEA3D0</v>
      </c>
      <c r="E947" t="str">
        <f t="shared" si="130"/>
        <v>254-163-208</v>
      </c>
      <c r="F947" t="str">
        <f t="shared" si="131"/>
        <v>254163208</v>
      </c>
      <c r="G947">
        <f t="shared" si="132"/>
        <v>254</v>
      </c>
      <c r="H947">
        <f t="shared" si="133"/>
        <v>163</v>
      </c>
      <c r="I947">
        <f t="shared" si="134"/>
        <v>208</v>
      </c>
      <c r="J947" t="str">
        <f t="shared" si="126"/>
        <v>GR",</v>
      </c>
      <c r="K947" t="str">
        <f t="shared" si="126"/>
        <v>Gracile nucleus",</v>
      </c>
      <c r="L947" t="str">
        <f t="shared" si="127"/>
        <v>GR</v>
      </c>
      <c r="M947" t="str">
        <f t="shared" si="127"/>
        <v>Gracile nucleus</v>
      </c>
      <c r="N947" t="s">
        <v>6351</v>
      </c>
      <c r="O947" t="s">
        <v>6352</v>
      </c>
      <c r="Y947" t="s">
        <v>6351</v>
      </c>
      <c r="Z947" t="s">
        <v>6352</v>
      </c>
      <c r="AA947" s="6">
        <f t="shared" si="128"/>
        <v>1039</v>
      </c>
      <c r="AB947">
        <v>254</v>
      </c>
      <c r="AC947">
        <v>163</v>
      </c>
      <c r="AD947">
        <v>208</v>
      </c>
    </row>
    <row r="948" spans="1:30" ht="17" x14ac:dyDescent="0.25">
      <c r="A948" s="1" t="s">
        <v>950</v>
      </c>
      <c r="B948" s="1" t="s">
        <v>3602</v>
      </c>
      <c r="C948" s="1" t="s">
        <v>2277</v>
      </c>
      <c r="D948" t="str">
        <f t="shared" si="129"/>
        <v>FFA2D2</v>
      </c>
      <c r="E948" t="str">
        <f t="shared" si="130"/>
        <v>255-162-210</v>
      </c>
      <c r="F948" t="str">
        <f t="shared" si="131"/>
        <v>255162210</v>
      </c>
      <c r="G948">
        <f t="shared" si="132"/>
        <v>255</v>
      </c>
      <c r="H948">
        <f t="shared" si="133"/>
        <v>162</v>
      </c>
      <c r="I948">
        <f t="shared" si="134"/>
        <v>210</v>
      </c>
      <c r="J948" t="str">
        <f t="shared" si="126"/>
        <v>ECU",</v>
      </c>
      <c r="K948" t="str">
        <f t="shared" si="126"/>
        <v>External cuneate nucleus",</v>
      </c>
      <c r="L948" t="str">
        <f t="shared" si="127"/>
        <v>ECU</v>
      </c>
      <c r="M948" t="str">
        <f t="shared" si="127"/>
        <v>External cuneate nucleus</v>
      </c>
      <c r="N948" t="s">
        <v>6353</v>
      </c>
      <c r="O948" t="s">
        <v>6354</v>
      </c>
      <c r="Y948" t="s">
        <v>6353</v>
      </c>
      <c r="Z948" t="s">
        <v>6354</v>
      </c>
      <c r="AA948" s="6">
        <f t="shared" si="128"/>
        <v>903</v>
      </c>
      <c r="AB948">
        <v>255</v>
      </c>
      <c r="AC948">
        <v>162</v>
      </c>
      <c r="AD948">
        <v>210</v>
      </c>
    </row>
    <row r="949" spans="1:30" ht="17" x14ac:dyDescent="0.25">
      <c r="A949" s="1" t="s">
        <v>951</v>
      </c>
      <c r="B949" s="1" t="s">
        <v>3603</v>
      </c>
      <c r="C949" s="1" t="s">
        <v>2278</v>
      </c>
      <c r="D949" t="str">
        <f t="shared" si="129"/>
        <v>FEA3D2</v>
      </c>
      <c r="E949" t="str">
        <f t="shared" si="130"/>
        <v>254-163-210</v>
      </c>
      <c r="F949" t="str">
        <f t="shared" si="131"/>
        <v>254163210</v>
      </c>
      <c r="G949">
        <f t="shared" si="132"/>
        <v>254</v>
      </c>
      <c r="H949">
        <f t="shared" si="133"/>
        <v>163</v>
      </c>
      <c r="I949">
        <f t="shared" si="134"/>
        <v>210</v>
      </c>
      <c r="J949" t="str">
        <f t="shared" si="126"/>
        <v>NTB",</v>
      </c>
      <c r="K949" t="str">
        <f t="shared" si="126"/>
        <v>Nucleus of the trapezoid body",</v>
      </c>
      <c r="L949" t="str">
        <f t="shared" si="127"/>
        <v>NTB</v>
      </c>
      <c r="M949" t="str">
        <f t="shared" si="127"/>
        <v>Nucleus of the trapezoid body</v>
      </c>
      <c r="N949" t="s">
        <v>6355</v>
      </c>
      <c r="O949" t="s">
        <v>6356</v>
      </c>
      <c r="Y949" t="s">
        <v>6355</v>
      </c>
      <c r="Z949" t="s">
        <v>6356</v>
      </c>
      <c r="AA949" s="6">
        <f t="shared" si="128"/>
        <v>642</v>
      </c>
      <c r="AB949">
        <v>254</v>
      </c>
      <c r="AC949">
        <v>163</v>
      </c>
      <c r="AD949">
        <v>210</v>
      </c>
    </row>
    <row r="950" spans="1:30" ht="17" x14ac:dyDescent="0.25">
      <c r="A950" s="1" t="s">
        <v>952</v>
      </c>
      <c r="B950" s="1" t="s">
        <v>3604</v>
      </c>
      <c r="C950" s="1" t="s">
        <v>2279</v>
      </c>
      <c r="D950" t="str">
        <f t="shared" si="129"/>
        <v>FDA5D1</v>
      </c>
      <c r="E950" t="str">
        <f t="shared" si="130"/>
        <v>253-165-209</v>
      </c>
      <c r="F950" t="str">
        <f t="shared" si="131"/>
        <v>253165209</v>
      </c>
      <c r="G950">
        <f t="shared" si="132"/>
        <v>253</v>
      </c>
      <c r="H950">
        <f t="shared" si="133"/>
        <v>165</v>
      </c>
      <c r="I950">
        <f t="shared" si="134"/>
        <v>209</v>
      </c>
      <c r="J950" t="str">
        <f t="shared" si="126"/>
        <v>NTS",</v>
      </c>
      <c r="K950" t="str">
        <f t="shared" si="126"/>
        <v>Nucleus of the solitary tract",</v>
      </c>
      <c r="L950" t="str">
        <f t="shared" si="127"/>
        <v>NTS</v>
      </c>
      <c r="M950" t="str">
        <f t="shared" si="127"/>
        <v>Nucleus of the solitary tract</v>
      </c>
      <c r="N950" t="s">
        <v>6357</v>
      </c>
      <c r="O950" t="s">
        <v>6358</v>
      </c>
      <c r="Y950" t="s">
        <v>6357</v>
      </c>
      <c r="Z950" t="s">
        <v>6358</v>
      </c>
      <c r="AA950" s="6">
        <f t="shared" si="128"/>
        <v>651</v>
      </c>
      <c r="AB950">
        <v>253</v>
      </c>
      <c r="AC950">
        <v>165</v>
      </c>
      <c r="AD950">
        <v>209</v>
      </c>
    </row>
    <row r="951" spans="1:30" ht="17" x14ac:dyDescent="0.25">
      <c r="A951" s="1" t="s">
        <v>953</v>
      </c>
      <c r="B951" s="1" t="s">
        <v>3605</v>
      </c>
      <c r="C951" s="1" t="s">
        <v>2280</v>
      </c>
      <c r="D951" t="str">
        <f t="shared" si="129"/>
        <v>FDA4D2</v>
      </c>
      <c r="E951" t="str">
        <f t="shared" si="130"/>
        <v>253-164-210</v>
      </c>
      <c r="F951" t="str">
        <f t="shared" si="131"/>
        <v>253164210</v>
      </c>
      <c r="G951">
        <f t="shared" si="132"/>
        <v>253</v>
      </c>
      <c r="H951">
        <f t="shared" si="133"/>
        <v>164</v>
      </c>
      <c r="I951">
        <f t="shared" si="134"/>
        <v>210</v>
      </c>
      <c r="J951" t="str">
        <f t="shared" si="126"/>
        <v>NTSce",</v>
      </c>
      <c r="K951" t="str">
        <f t="shared" si="126"/>
        <v>Nucleus of the solitary tract, central part",</v>
      </c>
      <c r="L951" t="str">
        <f t="shared" si="127"/>
        <v>NTSce</v>
      </c>
      <c r="M951" t="str">
        <f t="shared" si="127"/>
        <v>Nucleus of the solitary tract, central part</v>
      </c>
      <c r="N951" t="s">
        <v>6359</v>
      </c>
      <c r="O951" t="s">
        <v>6360</v>
      </c>
      <c r="Y951" t="s">
        <v>6359</v>
      </c>
      <c r="Z951" t="s">
        <v>6360</v>
      </c>
      <c r="AA951" s="6" t="str">
        <f t="shared" si="128"/>
        <v/>
      </c>
      <c r="AB951">
        <v>253</v>
      </c>
      <c r="AC951">
        <v>164</v>
      </c>
      <c r="AD951">
        <v>210</v>
      </c>
    </row>
    <row r="952" spans="1:30" ht="17" x14ac:dyDescent="0.25">
      <c r="A952" s="1" t="s">
        <v>954</v>
      </c>
      <c r="B952" s="1" t="s">
        <v>3606</v>
      </c>
      <c r="C952" s="1" t="s">
        <v>2281</v>
      </c>
      <c r="D952" t="str">
        <f t="shared" si="129"/>
        <v>FEA4D0</v>
      </c>
      <c r="E952" t="str">
        <f t="shared" si="130"/>
        <v>254-164-208</v>
      </c>
      <c r="F952" t="str">
        <f t="shared" si="131"/>
        <v>254164208</v>
      </c>
      <c r="G952">
        <f t="shared" si="132"/>
        <v>254</v>
      </c>
      <c r="H952">
        <f t="shared" si="133"/>
        <v>164</v>
      </c>
      <c r="I952">
        <f t="shared" si="134"/>
        <v>208</v>
      </c>
      <c r="J952" t="str">
        <f t="shared" si="126"/>
        <v>NTSco",</v>
      </c>
      <c r="K952" t="str">
        <f t="shared" si="126"/>
        <v>Nucleus of the solitary tract, commissural part",</v>
      </c>
      <c r="L952" t="str">
        <f t="shared" si="127"/>
        <v>NTSco</v>
      </c>
      <c r="M952" t="str">
        <f t="shared" si="127"/>
        <v>Nucleus of the solitary tract, commissural part</v>
      </c>
      <c r="N952" t="s">
        <v>6361</v>
      </c>
      <c r="O952" t="s">
        <v>6362</v>
      </c>
      <c r="Y952" t="s">
        <v>6361</v>
      </c>
      <c r="Z952" t="s">
        <v>6362</v>
      </c>
      <c r="AA952" s="6" t="str">
        <f t="shared" si="128"/>
        <v/>
      </c>
      <c r="AB952">
        <v>254</v>
      </c>
      <c r="AC952">
        <v>164</v>
      </c>
      <c r="AD952">
        <v>208</v>
      </c>
    </row>
    <row r="953" spans="1:30" ht="17" x14ac:dyDescent="0.25">
      <c r="A953" s="1" t="s">
        <v>955</v>
      </c>
      <c r="B953" s="1" t="s">
        <v>3607</v>
      </c>
      <c r="C953" s="1" t="s">
        <v>2282</v>
      </c>
      <c r="D953" t="str">
        <f t="shared" si="129"/>
        <v>FEA3D1</v>
      </c>
      <c r="E953" t="str">
        <f t="shared" si="130"/>
        <v>254-163-209</v>
      </c>
      <c r="F953" t="str">
        <f t="shared" si="131"/>
        <v>254163209</v>
      </c>
      <c r="G953">
        <f t="shared" si="132"/>
        <v>254</v>
      </c>
      <c r="H953">
        <f t="shared" si="133"/>
        <v>163</v>
      </c>
      <c r="I953">
        <f t="shared" si="134"/>
        <v>209</v>
      </c>
      <c r="J953" t="str">
        <f t="shared" si="126"/>
        <v>NTSge",</v>
      </c>
      <c r="K953" t="str">
        <f t="shared" si="126"/>
        <v>Nucleus of the solitary tract, gelatinous part",</v>
      </c>
      <c r="L953" t="str">
        <f t="shared" si="127"/>
        <v>NTSge</v>
      </c>
      <c r="M953" t="str">
        <f t="shared" si="127"/>
        <v>Nucleus of the solitary tract, gelatinous part</v>
      </c>
      <c r="N953" t="s">
        <v>6363</v>
      </c>
      <c r="O953" t="s">
        <v>6364</v>
      </c>
      <c r="Y953" t="s">
        <v>6363</v>
      </c>
      <c r="Z953" t="s">
        <v>6364</v>
      </c>
      <c r="AA953" s="6" t="str">
        <f t="shared" si="128"/>
        <v/>
      </c>
      <c r="AB953">
        <v>254</v>
      </c>
      <c r="AC953">
        <v>163</v>
      </c>
      <c r="AD953">
        <v>209</v>
      </c>
    </row>
    <row r="954" spans="1:30" ht="17" x14ac:dyDescent="0.25">
      <c r="A954" s="1" t="s">
        <v>956</v>
      </c>
      <c r="B954" s="1" t="s">
        <v>3608</v>
      </c>
      <c r="C954" s="1" t="s">
        <v>2283</v>
      </c>
      <c r="D954" t="str">
        <f t="shared" si="129"/>
        <v>FDA4D1</v>
      </c>
      <c r="E954" t="str">
        <f t="shared" si="130"/>
        <v>253-164-209</v>
      </c>
      <c r="F954" t="str">
        <f t="shared" si="131"/>
        <v>253164209</v>
      </c>
      <c r="G954">
        <f t="shared" si="132"/>
        <v>253</v>
      </c>
      <c r="H954">
        <f t="shared" si="133"/>
        <v>164</v>
      </c>
      <c r="I954">
        <f t="shared" si="134"/>
        <v>209</v>
      </c>
      <c r="J954" t="str">
        <f t="shared" si="126"/>
        <v>NTSl",</v>
      </c>
      <c r="K954" t="str">
        <f t="shared" si="126"/>
        <v>Nucleus of the solitary tract, lateral part",</v>
      </c>
      <c r="L954" t="str">
        <f t="shared" si="127"/>
        <v>NTSl</v>
      </c>
      <c r="M954" t="str">
        <f t="shared" si="127"/>
        <v>Nucleus of the solitary tract, lateral part</v>
      </c>
      <c r="N954" t="s">
        <v>6365</v>
      </c>
      <c r="O954" t="s">
        <v>6366</v>
      </c>
      <c r="Y954" t="s">
        <v>6365</v>
      </c>
      <c r="Z954" t="s">
        <v>6366</v>
      </c>
      <c r="AA954" s="6" t="str">
        <f t="shared" si="128"/>
        <v/>
      </c>
      <c r="AB954">
        <v>253</v>
      </c>
      <c r="AC954">
        <v>164</v>
      </c>
      <c r="AD954">
        <v>209</v>
      </c>
    </row>
    <row r="955" spans="1:30" ht="17" x14ac:dyDescent="0.25">
      <c r="A955" s="1" t="s">
        <v>957</v>
      </c>
      <c r="B955" s="1" t="s">
        <v>3609</v>
      </c>
      <c r="C955" s="1" t="s">
        <v>2284</v>
      </c>
      <c r="D955" t="str">
        <f t="shared" si="129"/>
        <v>FFA3D0</v>
      </c>
      <c r="E955" t="str">
        <f t="shared" si="130"/>
        <v>255-163-208</v>
      </c>
      <c r="F955" t="str">
        <f t="shared" si="131"/>
        <v>255163208</v>
      </c>
      <c r="G955">
        <f t="shared" si="132"/>
        <v>255</v>
      </c>
      <c r="H955">
        <f t="shared" si="133"/>
        <v>163</v>
      </c>
      <c r="I955">
        <f t="shared" si="134"/>
        <v>208</v>
      </c>
      <c r="J955" t="str">
        <f t="shared" si="126"/>
        <v>NTSm",</v>
      </c>
      <c r="K955" t="str">
        <f t="shared" si="126"/>
        <v>Nucleus of the solitary tract, medial part",</v>
      </c>
      <c r="L955" t="str">
        <f t="shared" si="127"/>
        <v>NTSm</v>
      </c>
      <c r="M955" t="str">
        <f t="shared" si="127"/>
        <v>Nucleus of the solitary tract, medial part</v>
      </c>
      <c r="N955" t="s">
        <v>6367</v>
      </c>
      <c r="O955" t="s">
        <v>6368</v>
      </c>
      <c r="Y955" t="s">
        <v>6367</v>
      </c>
      <c r="Z955" t="s">
        <v>6368</v>
      </c>
      <c r="AA955" s="6" t="str">
        <f t="shared" si="128"/>
        <v/>
      </c>
      <c r="AB955">
        <v>255</v>
      </c>
      <c r="AC955">
        <v>163</v>
      </c>
      <c r="AD955">
        <v>208</v>
      </c>
    </row>
    <row r="956" spans="1:30" ht="17" x14ac:dyDescent="0.25">
      <c r="A956" s="1" t="s">
        <v>958</v>
      </c>
      <c r="B956" s="1" t="s">
        <v>3610</v>
      </c>
      <c r="C956" s="1" t="s">
        <v>2285</v>
      </c>
      <c r="D956" t="str">
        <f t="shared" si="129"/>
        <v>FDA4D0</v>
      </c>
      <c r="E956" t="str">
        <f t="shared" si="130"/>
        <v>253-164-208</v>
      </c>
      <c r="F956" t="str">
        <f t="shared" si="131"/>
        <v>253164208</v>
      </c>
      <c r="G956">
        <f t="shared" si="132"/>
        <v>253</v>
      </c>
      <c r="H956">
        <f t="shared" si="133"/>
        <v>164</v>
      </c>
      <c r="I956">
        <f t="shared" si="134"/>
        <v>208</v>
      </c>
      <c r="J956" t="str">
        <f t="shared" si="126"/>
        <v>SPVC",</v>
      </c>
      <c r="K956" t="str">
        <f t="shared" si="126"/>
        <v>Spinal nucleus of the trigeminal, caudal part",</v>
      </c>
      <c r="L956" t="str">
        <f t="shared" si="127"/>
        <v>SPVC</v>
      </c>
      <c r="M956" t="str">
        <f t="shared" si="127"/>
        <v>Spinal nucleus of the trigeminal, caudal part</v>
      </c>
      <c r="N956" t="s">
        <v>6369</v>
      </c>
      <c r="O956" t="s">
        <v>6370</v>
      </c>
      <c r="Y956" t="s">
        <v>6369</v>
      </c>
      <c r="Z956" t="s">
        <v>6370</v>
      </c>
      <c r="AA956" s="6">
        <f t="shared" si="128"/>
        <v>429</v>
      </c>
      <c r="AB956">
        <v>253</v>
      </c>
      <c r="AC956">
        <v>164</v>
      </c>
      <c r="AD956">
        <v>208</v>
      </c>
    </row>
    <row r="957" spans="1:30" ht="17" x14ac:dyDescent="0.25">
      <c r="A957" s="1" t="s">
        <v>959</v>
      </c>
      <c r="B957" s="1" t="s">
        <v>3611</v>
      </c>
      <c r="C957" s="1" t="s">
        <v>2286</v>
      </c>
      <c r="D957" t="str">
        <f t="shared" si="129"/>
        <v>FDA5D2</v>
      </c>
      <c r="E957" t="str">
        <f t="shared" si="130"/>
        <v>253-165-210</v>
      </c>
      <c r="F957" t="str">
        <f t="shared" si="131"/>
        <v>253165210</v>
      </c>
      <c r="G957">
        <f t="shared" si="132"/>
        <v>253</v>
      </c>
      <c r="H957">
        <f t="shared" si="133"/>
        <v>165</v>
      </c>
      <c r="I957">
        <f t="shared" si="134"/>
        <v>210</v>
      </c>
      <c r="J957" t="str">
        <f t="shared" si="126"/>
        <v>SPVI",</v>
      </c>
      <c r="K957" t="str">
        <f t="shared" si="126"/>
        <v>Spinal nucleus of the trigeminal, interpolar part",</v>
      </c>
      <c r="L957" t="str">
        <f t="shared" si="127"/>
        <v>SPVI</v>
      </c>
      <c r="M957" t="str">
        <f t="shared" si="127"/>
        <v>Spinal nucleus of the trigeminal, interpolar part</v>
      </c>
      <c r="N957" t="s">
        <v>6371</v>
      </c>
      <c r="O957" t="s">
        <v>6372</v>
      </c>
      <c r="Y957" t="s">
        <v>6371</v>
      </c>
      <c r="Z957" t="s">
        <v>6372</v>
      </c>
      <c r="AA957" s="6">
        <f t="shared" si="128"/>
        <v>437</v>
      </c>
      <c r="AB957">
        <v>253</v>
      </c>
      <c r="AC957">
        <v>165</v>
      </c>
      <c r="AD957">
        <v>210</v>
      </c>
    </row>
    <row r="958" spans="1:30" ht="17" x14ac:dyDescent="0.25">
      <c r="A958" s="1" t="s">
        <v>960</v>
      </c>
      <c r="B958" s="1" t="s">
        <v>3612</v>
      </c>
      <c r="C958" s="1" t="s">
        <v>2287</v>
      </c>
      <c r="D958" t="str">
        <f t="shared" si="129"/>
        <v>FFA4D0</v>
      </c>
      <c r="E958" t="str">
        <f t="shared" si="130"/>
        <v>255-164-208</v>
      </c>
      <c r="F958" t="str">
        <f t="shared" si="131"/>
        <v>255164208</v>
      </c>
      <c r="G958">
        <f t="shared" si="132"/>
        <v>255</v>
      </c>
      <c r="H958">
        <f t="shared" si="133"/>
        <v>164</v>
      </c>
      <c r="I958">
        <f t="shared" si="134"/>
        <v>208</v>
      </c>
      <c r="J958" t="str">
        <f t="shared" si="126"/>
        <v>SPVO",</v>
      </c>
      <c r="K958" t="str">
        <f t="shared" si="126"/>
        <v>Spinal nucleus of the trigeminal, oral part",</v>
      </c>
      <c r="L958" t="str">
        <f t="shared" si="127"/>
        <v>SPVO</v>
      </c>
      <c r="M958" t="str">
        <f t="shared" si="127"/>
        <v>Spinal nucleus of the trigeminal, oral part</v>
      </c>
      <c r="N958" t="s">
        <v>6373</v>
      </c>
      <c r="O958" t="s">
        <v>6374</v>
      </c>
      <c r="Y958" t="s">
        <v>6373</v>
      </c>
      <c r="Z958" t="s">
        <v>6374</v>
      </c>
      <c r="AA958" s="6">
        <f t="shared" si="128"/>
        <v>445</v>
      </c>
      <c r="AB958">
        <v>255</v>
      </c>
      <c r="AC958">
        <v>164</v>
      </c>
      <c r="AD958">
        <v>208</v>
      </c>
    </row>
    <row r="959" spans="1:30" ht="17" x14ac:dyDescent="0.25">
      <c r="A959" s="1" t="s">
        <v>961</v>
      </c>
      <c r="B959" s="1" t="s">
        <v>3613</v>
      </c>
      <c r="C959" s="1" t="s">
        <v>2288</v>
      </c>
      <c r="D959" t="str">
        <f t="shared" si="129"/>
        <v>FFA4D1</v>
      </c>
      <c r="E959" t="str">
        <f t="shared" si="130"/>
        <v>255-164-209</v>
      </c>
      <c r="F959" t="str">
        <f t="shared" si="131"/>
        <v>255164209</v>
      </c>
      <c r="G959">
        <f t="shared" si="132"/>
        <v>255</v>
      </c>
      <c r="H959">
        <f t="shared" si="133"/>
        <v>164</v>
      </c>
      <c r="I959">
        <f t="shared" si="134"/>
        <v>209</v>
      </c>
      <c r="J959" t="str">
        <f t="shared" si="126"/>
        <v>SPVOcdm",</v>
      </c>
      <c r="K959" t="str">
        <f t="shared" si="126"/>
        <v>Spinal nucleus of the trigeminal, oral part, caudal dorsomedial part",</v>
      </c>
      <c r="L959" t="str">
        <f t="shared" si="127"/>
        <v>SPVOcdm</v>
      </c>
      <c r="M959" t="str">
        <f t="shared" si="127"/>
        <v>Spinal nucleus of the trigeminal, oral part, caudal dorsomedial part</v>
      </c>
      <c r="N959" t="s">
        <v>6375</v>
      </c>
      <c r="O959" t="s">
        <v>6376</v>
      </c>
      <c r="Y959" t="s">
        <v>6375</v>
      </c>
      <c r="Z959" t="s">
        <v>6376</v>
      </c>
      <c r="AA959" s="6" t="str">
        <f t="shared" si="128"/>
        <v/>
      </c>
      <c r="AB959">
        <v>255</v>
      </c>
      <c r="AC959">
        <v>164</v>
      </c>
      <c r="AD959">
        <v>209</v>
      </c>
    </row>
    <row r="960" spans="1:30" ht="17" x14ac:dyDescent="0.25">
      <c r="A960" s="1" t="s">
        <v>962</v>
      </c>
      <c r="B960" s="1" t="s">
        <v>3614</v>
      </c>
      <c r="C960" s="1" t="s">
        <v>2289</v>
      </c>
      <c r="D960" t="str">
        <f t="shared" si="129"/>
        <v>FFA5D1</v>
      </c>
      <c r="E960" t="str">
        <f t="shared" si="130"/>
        <v>255-165-209</v>
      </c>
      <c r="F960" t="str">
        <f t="shared" si="131"/>
        <v>255165209</v>
      </c>
      <c r="G960">
        <f t="shared" si="132"/>
        <v>255</v>
      </c>
      <c r="H960">
        <f t="shared" si="133"/>
        <v>165</v>
      </c>
      <c r="I960">
        <f t="shared" si="134"/>
        <v>209</v>
      </c>
      <c r="J960" t="str">
        <f t="shared" si="126"/>
        <v>SPVOmdmd",</v>
      </c>
      <c r="K960" t="str">
        <f t="shared" si="126"/>
        <v>Spinal nucleus of the trigeminal, oral part, middle dorsomedial part, dorsal zone",</v>
      </c>
      <c r="L960" t="str">
        <f t="shared" si="127"/>
        <v>SPVOmdmd</v>
      </c>
      <c r="M960" t="str">
        <f t="shared" si="127"/>
        <v>Spinal nucleus of the trigeminal, oral part, middle dorsomedial part, dorsal zone</v>
      </c>
      <c r="N960" t="s">
        <v>6377</v>
      </c>
      <c r="O960" t="s">
        <v>6378</v>
      </c>
      <c r="Y960" t="s">
        <v>6377</v>
      </c>
      <c r="Z960" t="s">
        <v>6378</v>
      </c>
      <c r="AA960" s="6" t="str">
        <f t="shared" si="128"/>
        <v/>
      </c>
      <c r="AB960">
        <v>255</v>
      </c>
      <c r="AC960">
        <v>165</v>
      </c>
      <c r="AD960">
        <v>209</v>
      </c>
    </row>
    <row r="961" spans="1:30" ht="17" x14ac:dyDescent="0.25">
      <c r="A961" s="1" t="s">
        <v>963</v>
      </c>
      <c r="B961" s="1" t="s">
        <v>3615</v>
      </c>
      <c r="C961" s="1" t="s">
        <v>2290</v>
      </c>
      <c r="D961" t="str">
        <f t="shared" si="129"/>
        <v>FFA4D2</v>
      </c>
      <c r="E961" t="str">
        <f t="shared" si="130"/>
        <v>255-164-210</v>
      </c>
      <c r="F961" t="str">
        <f t="shared" si="131"/>
        <v>255164210</v>
      </c>
      <c r="G961">
        <f t="shared" si="132"/>
        <v>255</v>
      </c>
      <c r="H961">
        <f t="shared" si="133"/>
        <v>164</v>
      </c>
      <c r="I961">
        <f t="shared" si="134"/>
        <v>210</v>
      </c>
      <c r="J961" t="str">
        <f t="shared" si="126"/>
        <v>SPVOmdmv",</v>
      </c>
      <c r="K961" t="str">
        <f t="shared" si="126"/>
        <v>Spinal nucleus of the trigeminal, oral part, middle dorsomedial part, ventral zone",</v>
      </c>
      <c r="L961" t="str">
        <f t="shared" si="127"/>
        <v>SPVOmdmv</v>
      </c>
      <c r="M961" t="str">
        <f t="shared" si="127"/>
        <v>Spinal nucleus of the trigeminal, oral part, middle dorsomedial part, ventral zone</v>
      </c>
      <c r="N961" t="s">
        <v>6379</v>
      </c>
      <c r="O961" t="s">
        <v>6380</v>
      </c>
      <c r="Y961" t="s">
        <v>6379</v>
      </c>
      <c r="Z961" t="s">
        <v>6380</v>
      </c>
      <c r="AA961" s="6" t="str">
        <f t="shared" si="128"/>
        <v/>
      </c>
      <c r="AB961">
        <v>255</v>
      </c>
      <c r="AC961">
        <v>164</v>
      </c>
      <c r="AD961">
        <v>210</v>
      </c>
    </row>
    <row r="962" spans="1:30" ht="17" x14ac:dyDescent="0.25">
      <c r="A962" s="1" t="s">
        <v>964</v>
      </c>
      <c r="B962" s="1" t="s">
        <v>3616</v>
      </c>
      <c r="C962" s="1" t="s">
        <v>2291</v>
      </c>
      <c r="D962" t="str">
        <f t="shared" si="129"/>
        <v>FFA5D2</v>
      </c>
      <c r="E962" t="str">
        <f t="shared" si="130"/>
        <v>255-165-210</v>
      </c>
      <c r="F962" t="str">
        <f t="shared" si="131"/>
        <v>255165210</v>
      </c>
      <c r="G962">
        <f t="shared" si="132"/>
        <v>255</v>
      </c>
      <c r="H962">
        <f t="shared" si="133"/>
        <v>165</v>
      </c>
      <c r="I962">
        <f t="shared" si="134"/>
        <v>210</v>
      </c>
      <c r="J962" t="str">
        <f t="shared" si="126"/>
        <v>SPVOrdm",</v>
      </c>
      <c r="K962" t="str">
        <f t="shared" si="126"/>
        <v>Spinal nucleus of the trigeminal, oral part, rostral dorsomedial part",</v>
      </c>
      <c r="L962" t="str">
        <f t="shared" si="127"/>
        <v>SPVOrdm</v>
      </c>
      <c r="M962" t="str">
        <f t="shared" si="127"/>
        <v>Spinal nucleus of the trigeminal, oral part, rostral dorsomedial part</v>
      </c>
      <c r="N962" t="s">
        <v>6381</v>
      </c>
      <c r="O962" t="s">
        <v>6382</v>
      </c>
      <c r="Y962" t="s">
        <v>6381</v>
      </c>
      <c r="Z962" t="s">
        <v>6382</v>
      </c>
      <c r="AA962" s="6" t="str">
        <f t="shared" si="128"/>
        <v/>
      </c>
      <c r="AB962">
        <v>255</v>
      </c>
      <c r="AC962">
        <v>165</v>
      </c>
      <c r="AD962">
        <v>210</v>
      </c>
    </row>
    <row r="963" spans="1:30" ht="17" x14ac:dyDescent="0.25">
      <c r="A963" s="1" t="s">
        <v>965</v>
      </c>
      <c r="B963" s="1" t="s">
        <v>3617</v>
      </c>
      <c r="C963" s="1" t="s">
        <v>2292</v>
      </c>
      <c r="D963" t="str">
        <f t="shared" si="129"/>
        <v>FEA5D2</v>
      </c>
      <c r="E963" t="str">
        <f t="shared" si="130"/>
        <v>254-165-210</v>
      </c>
      <c r="F963" t="str">
        <f t="shared" si="131"/>
        <v>254165210</v>
      </c>
      <c r="G963">
        <f t="shared" si="132"/>
        <v>254</v>
      </c>
      <c r="H963">
        <f t="shared" si="133"/>
        <v>165</v>
      </c>
      <c r="I963">
        <f t="shared" si="134"/>
        <v>210</v>
      </c>
      <c r="J963" t="str">
        <f t="shared" ref="J963:K1026" si="135">RIGHT(A963,LEN(A963)-3)</f>
        <v>SPVOvl",</v>
      </c>
      <c r="K963" t="str">
        <f t="shared" si="135"/>
        <v>Spinal nucleus of the trigeminal, oral part, ventrolateral part",</v>
      </c>
      <c r="L963" t="str">
        <f t="shared" ref="L963:M1026" si="136">LEFT(J963,LEN(J963)-2)</f>
        <v>SPVOvl</v>
      </c>
      <c r="M963" t="str">
        <f t="shared" si="136"/>
        <v>Spinal nucleus of the trigeminal, oral part, ventrolateral part</v>
      </c>
      <c r="N963" t="s">
        <v>6383</v>
      </c>
      <c r="O963" t="s">
        <v>6384</v>
      </c>
      <c r="Y963" t="s">
        <v>6383</v>
      </c>
      <c r="Z963" t="s">
        <v>6384</v>
      </c>
      <c r="AA963" s="6" t="str">
        <f t="shared" ref="AA963:AA1026" si="137">IFERROR(INDEX(R:R,MATCH($Z963,S:S,0)),"")</f>
        <v/>
      </c>
      <c r="AB963">
        <v>254</v>
      </c>
      <c r="AC963">
        <v>165</v>
      </c>
      <c r="AD963">
        <v>210</v>
      </c>
    </row>
    <row r="964" spans="1:30" ht="17" x14ac:dyDescent="0.25">
      <c r="A964" s="1" t="s">
        <v>966</v>
      </c>
      <c r="B964" s="1" t="s">
        <v>3618</v>
      </c>
      <c r="C964" s="1" t="s">
        <v>2293</v>
      </c>
      <c r="D964" t="str">
        <f t="shared" ref="D964:D1027" si="138">RIGHT(LEFT(C964,9),6)</f>
        <v>FDA3D1</v>
      </c>
      <c r="E964" t="str">
        <f t="shared" ref="E964:E1027" si="139">HEX2DEC(LEFT(D964,2))&amp;"-"&amp;HEX2DEC(MID(D964,3,2))&amp;"-"&amp;HEX2DEC(RIGHT(D964,2))</f>
        <v>253-163-209</v>
      </c>
      <c r="F964" t="str">
        <f t="shared" ref="F964:F1027" si="140">HEX2DEC(LEFT(D964,2))&amp;HEX2DEC(MID(D964,3,2))&amp;HEX2DEC(RIGHT(D964,2))</f>
        <v>253163209</v>
      </c>
      <c r="G964">
        <f t="shared" ref="G964:G1027" si="141">HEX2DEC(LEFT(D964,2))</f>
        <v>253</v>
      </c>
      <c r="H964">
        <f t="shared" ref="H964:H1027" si="142">HEX2DEC(MID(D964,3,2))</f>
        <v>163</v>
      </c>
      <c r="I964">
        <f t="shared" ref="I964:I1027" si="143">HEX2DEC(RIGHT(D964,2))</f>
        <v>209</v>
      </c>
      <c r="J964" t="str">
        <f t="shared" si="135"/>
        <v>Pa5",</v>
      </c>
      <c r="K964" t="str">
        <f t="shared" si="135"/>
        <v>Paratrigeminal nucleus",</v>
      </c>
      <c r="L964" t="str">
        <f t="shared" si="136"/>
        <v>Pa5</v>
      </c>
      <c r="M964" t="str">
        <f t="shared" si="136"/>
        <v>Paratrigeminal nucleus</v>
      </c>
      <c r="N964" t="s">
        <v>6385</v>
      </c>
      <c r="O964" t="s">
        <v>6386</v>
      </c>
      <c r="Y964" t="s">
        <v>6385</v>
      </c>
      <c r="Z964" t="s">
        <v>6386</v>
      </c>
      <c r="AA964" s="6">
        <f t="shared" si="137"/>
        <v>589508451</v>
      </c>
      <c r="AB964">
        <v>253</v>
      </c>
      <c r="AC964">
        <v>163</v>
      </c>
      <c r="AD964">
        <v>209</v>
      </c>
    </row>
    <row r="965" spans="1:30" ht="17" x14ac:dyDescent="0.25">
      <c r="A965" s="1" t="s">
        <v>967</v>
      </c>
      <c r="B965" s="1" t="s">
        <v>3619</v>
      </c>
      <c r="C965" s="1" t="s">
        <v>2294</v>
      </c>
      <c r="D965" t="str">
        <f t="shared" si="138"/>
        <v>FFA5CF</v>
      </c>
      <c r="E965" t="str">
        <f t="shared" si="139"/>
        <v>255-165-207</v>
      </c>
      <c r="F965" t="str">
        <f t="shared" si="140"/>
        <v>255165207</v>
      </c>
      <c r="G965">
        <f t="shared" si="141"/>
        <v>255</v>
      </c>
      <c r="H965">
        <f t="shared" si="142"/>
        <v>165</v>
      </c>
      <c r="I965">
        <f t="shared" si="143"/>
        <v>207</v>
      </c>
      <c r="J965" t="str">
        <f t="shared" si="135"/>
        <v>z",</v>
      </c>
      <c r="K965" t="str">
        <f t="shared" si="135"/>
        <v>Nucleus z",</v>
      </c>
      <c r="L965" t="str">
        <f t="shared" si="136"/>
        <v>z</v>
      </c>
      <c r="M965" t="str">
        <f t="shared" si="136"/>
        <v>Nucleus z</v>
      </c>
      <c r="N965" t="s">
        <v>6387</v>
      </c>
      <c r="O965" t="s">
        <v>6388</v>
      </c>
      <c r="Y965" t="s">
        <v>6387</v>
      </c>
      <c r="Z965" t="s">
        <v>6388</v>
      </c>
      <c r="AA965" s="6" t="str">
        <f t="shared" si="137"/>
        <v/>
      </c>
      <c r="AB965">
        <v>255</v>
      </c>
      <c r="AC965">
        <v>165</v>
      </c>
      <c r="AD965">
        <v>207</v>
      </c>
    </row>
    <row r="966" spans="1:30" ht="17" x14ac:dyDescent="0.25">
      <c r="A966" s="1" t="s">
        <v>968</v>
      </c>
      <c r="B966" s="1" t="s">
        <v>3620</v>
      </c>
      <c r="C966" s="1" t="s">
        <v>2295</v>
      </c>
      <c r="D966" t="str">
        <f t="shared" si="138"/>
        <v>FEB2D7</v>
      </c>
      <c r="E966" t="str">
        <f t="shared" si="139"/>
        <v>254-178-215</v>
      </c>
      <c r="F966" t="str">
        <f t="shared" si="140"/>
        <v>254178215</v>
      </c>
      <c r="G966">
        <f t="shared" si="141"/>
        <v>254</v>
      </c>
      <c r="H966">
        <f t="shared" si="142"/>
        <v>178</v>
      </c>
      <c r="I966">
        <f t="shared" si="143"/>
        <v>215</v>
      </c>
      <c r="J966" t="str">
        <f t="shared" si="135"/>
        <v>MY-mot",</v>
      </c>
      <c r="K966" t="str">
        <f t="shared" si="135"/>
        <v>Medulla, motor related",</v>
      </c>
      <c r="L966" t="str">
        <f t="shared" si="136"/>
        <v>MY-mot</v>
      </c>
      <c r="M966" t="str">
        <f t="shared" si="136"/>
        <v>Medulla, motor related</v>
      </c>
      <c r="N966" t="s">
        <v>6389</v>
      </c>
      <c r="O966" t="s">
        <v>6390</v>
      </c>
      <c r="Y966" t="s">
        <v>6389</v>
      </c>
      <c r="Z966" t="s">
        <v>6390</v>
      </c>
      <c r="AA966" s="6">
        <f t="shared" si="137"/>
        <v>370</v>
      </c>
      <c r="AB966">
        <v>254</v>
      </c>
      <c r="AC966">
        <v>178</v>
      </c>
      <c r="AD966">
        <v>215</v>
      </c>
    </row>
    <row r="967" spans="1:30" ht="17" x14ac:dyDescent="0.25">
      <c r="A967" s="1" t="s">
        <v>969</v>
      </c>
      <c r="B967" s="1" t="s">
        <v>3621</v>
      </c>
      <c r="C967" s="1" t="s">
        <v>2296</v>
      </c>
      <c r="D967" t="str">
        <f t="shared" si="138"/>
        <v>FDB1D9</v>
      </c>
      <c r="E967" t="str">
        <f t="shared" si="139"/>
        <v>253-177-217</v>
      </c>
      <c r="F967" t="str">
        <f t="shared" si="140"/>
        <v>253177217</v>
      </c>
      <c r="G967">
        <f t="shared" si="141"/>
        <v>253</v>
      </c>
      <c r="H967">
        <f t="shared" si="142"/>
        <v>177</v>
      </c>
      <c r="I967">
        <f t="shared" si="143"/>
        <v>217</v>
      </c>
      <c r="J967" t="str">
        <f t="shared" si="135"/>
        <v>VI",</v>
      </c>
      <c r="K967" t="str">
        <f t="shared" si="135"/>
        <v>Abducens nucleus",</v>
      </c>
      <c r="L967" t="str">
        <f t="shared" si="136"/>
        <v>VI</v>
      </c>
      <c r="M967" t="str">
        <f t="shared" si="136"/>
        <v>Abducens nucleus</v>
      </c>
      <c r="N967" t="s">
        <v>6391</v>
      </c>
      <c r="O967" t="s">
        <v>6392</v>
      </c>
      <c r="Y967" t="s">
        <v>6391</v>
      </c>
      <c r="Z967" t="s">
        <v>6392</v>
      </c>
      <c r="AA967" s="6">
        <f t="shared" si="137"/>
        <v>653</v>
      </c>
      <c r="AB967">
        <v>253</v>
      </c>
      <c r="AC967">
        <v>177</v>
      </c>
      <c r="AD967">
        <v>217</v>
      </c>
    </row>
    <row r="968" spans="1:30" ht="17" x14ac:dyDescent="0.25">
      <c r="A968" s="1" t="s">
        <v>970</v>
      </c>
      <c r="B968" s="1" t="s">
        <v>3622</v>
      </c>
      <c r="C968" s="1" t="s">
        <v>2297</v>
      </c>
      <c r="D968" t="str">
        <f t="shared" si="138"/>
        <v>FFB1D7</v>
      </c>
      <c r="E968" t="str">
        <f t="shared" si="139"/>
        <v>255-177-215</v>
      </c>
      <c r="F968" t="str">
        <f t="shared" si="140"/>
        <v>255177215</v>
      </c>
      <c r="G968">
        <f t="shared" si="141"/>
        <v>255</v>
      </c>
      <c r="H968">
        <f t="shared" si="142"/>
        <v>177</v>
      </c>
      <c r="I968">
        <f t="shared" si="143"/>
        <v>215</v>
      </c>
      <c r="J968" t="str">
        <f t="shared" si="135"/>
        <v>ACVI",</v>
      </c>
      <c r="K968" t="str">
        <f t="shared" si="135"/>
        <v>Accessory abducens nucleus",</v>
      </c>
      <c r="L968" t="str">
        <f t="shared" si="136"/>
        <v>ACVI</v>
      </c>
      <c r="M968" t="str">
        <f t="shared" si="136"/>
        <v>Accessory abducens nucleus</v>
      </c>
      <c r="N968" t="s">
        <v>6393</v>
      </c>
      <c r="O968" t="s">
        <v>6394</v>
      </c>
      <c r="Y968" t="s">
        <v>6393</v>
      </c>
      <c r="Z968" t="s">
        <v>6394</v>
      </c>
      <c r="AA968" s="6" t="str">
        <f t="shared" si="137"/>
        <v/>
      </c>
      <c r="AB968">
        <v>255</v>
      </c>
      <c r="AC968">
        <v>177</v>
      </c>
      <c r="AD968">
        <v>215</v>
      </c>
    </row>
    <row r="969" spans="1:30" ht="17" x14ac:dyDescent="0.25">
      <c r="A969" s="1" t="s">
        <v>971</v>
      </c>
      <c r="B969" s="1" t="s">
        <v>3623</v>
      </c>
      <c r="C969" s="1" t="s">
        <v>2298</v>
      </c>
      <c r="D969" t="str">
        <f t="shared" si="138"/>
        <v>FFB3D6</v>
      </c>
      <c r="E969" t="str">
        <f t="shared" si="139"/>
        <v>255-179-214</v>
      </c>
      <c r="F969" t="str">
        <f t="shared" si="140"/>
        <v>255179214</v>
      </c>
      <c r="G969">
        <f t="shared" si="141"/>
        <v>255</v>
      </c>
      <c r="H969">
        <f t="shared" si="142"/>
        <v>179</v>
      </c>
      <c r="I969">
        <f t="shared" si="143"/>
        <v>214</v>
      </c>
      <c r="J969" t="str">
        <f t="shared" si="135"/>
        <v>VII",</v>
      </c>
      <c r="K969" t="str">
        <f t="shared" si="135"/>
        <v>Facial motor nucleus",</v>
      </c>
      <c r="L969" t="str">
        <f t="shared" si="136"/>
        <v>VII</v>
      </c>
      <c r="M969" t="str">
        <f t="shared" si="136"/>
        <v>Facial motor nucleus</v>
      </c>
      <c r="N969" t="s">
        <v>6395</v>
      </c>
      <c r="O969" t="s">
        <v>6396</v>
      </c>
      <c r="Y969" t="s">
        <v>6395</v>
      </c>
      <c r="Z969" t="s">
        <v>6396</v>
      </c>
      <c r="AA969" s="6">
        <f t="shared" si="137"/>
        <v>661</v>
      </c>
      <c r="AB969">
        <v>255</v>
      </c>
      <c r="AC969">
        <v>179</v>
      </c>
      <c r="AD969">
        <v>214</v>
      </c>
    </row>
    <row r="970" spans="1:30" ht="17" x14ac:dyDescent="0.25">
      <c r="A970" s="1" t="s">
        <v>972</v>
      </c>
      <c r="B970" s="1" t="s">
        <v>3624</v>
      </c>
      <c r="C970" s="1" t="s">
        <v>2299</v>
      </c>
      <c r="D970" t="str">
        <f t="shared" si="138"/>
        <v>FDB0D9</v>
      </c>
      <c r="E970" t="str">
        <f t="shared" si="139"/>
        <v>253-176-217</v>
      </c>
      <c r="F970" t="str">
        <f t="shared" si="140"/>
        <v>253176217</v>
      </c>
      <c r="G970">
        <f t="shared" si="141"/>
        <v>253</v>
      </c>
      <c r="H970">
        <f t="shared" si="142"/>
        <v>176</v>
      </c>
      <c r="I970">
        <f t="shared" si="143"/>
        <v>217</v>
      </c>
      <c r="J970" t="str">
        <f t="shared" si="135"/>
        <v>ACVII",</v>
      </c>
      <c r="K970" t="str">
        <f t="shared" si="135"/>
        <v>Accessory facial motor nucleus",</v>
      </c>
      <c r="L970" t="str">
        <f t="shared" si="136"/>
        <v>ACVII</v>
      </c>
      <c r="M970" t="str">
        <f t="shared" si="136"/>
        <v>Accessory facial motor nucleus</v>
      </c>
      <c r="N970" t="s">
        <v>6397</v>
      </c>
      <c r="O970" t="s">
        <v>6398</v>
      </c>
      <c r="Y970" t="s">
        <v>6397</v>
      </c>
      <c r="Z970" t="s">
        <v>6398</v>
      </c>
      <c r="AA970" s="6">
        <f t="shared" si="137"/>
        <v>576</v>
      </c>
      <c r="AB970">
        <v>253</v>
      </c>
      <c r="AC970">
        <v>176</v>
      </c>
      <c r="AD970">
        <v>217</v>
      </c>
    </row>
    <row r="971" spans="1:30" ht="17" x14ac:dyDescent="0.25">
      <c r="A971" s="1" t="s">
        <v>973</v>
      </c>
      <c r="B971" s="1" t="s">
        <v>3625</v>
      </c>
      <c r="C971" s="1" t="s">
        <v>2300</v>
      </c>
      <c r="D971" t="str">
        <f t="shared" si="138"/>
        <v>FDB3D7</v>
      </c>
      <c r="E971" t="str">
        <f t="shared" si="139"/>
        <v>253-179-215</v>
      </c>
      <c r="F971" t="str">
        <f t="shared" si="140"/>
        <v>253179215</v>
      </c>
      <c r="G971">
        <f t="shared" si="141"/>
        <v>253</v>
      </c>
      <c r="H971">
        <f t="shared" si="142"/>
        <v>179</v>
      </c>
      <c r="I971">
        <f t="shared" si="143"/>
        <v>215</v>
      </c>
      <c r="J971" t="str">
        <f t="shared" si="135"/>
        <v>EV",</v>
      </c>
      <c r="K971" t="str">
        <f t="shared" si="135"/>
        <v>Efferent vestibular nucleus",</v>
      </c>
      <c r="L971" t="str">
        <f t="shared" si="136"/>
        <v>EV</v>
      </c>
      <c r="M971" t="str">
        <f t="shared" si="136"/>
        <v>Efferent vestibular nucleus</v>
      </c>
      <c r="N971" t="s">
        <v>6399</v>
      </c>
      <c r="O971" t="s">
        <v>6400</v>
      </c>
      <c r="Y971" t="s">
        <v>6399</v>
      </c>
      <c r="Z971" t="s">
        <v>6400</v>
      </c>
      <c r="AA971" s="6" t="str">
        <f t="shared" si="137"/>
        <v/>
      </c>
      <c r="AB971">
        <v>253</v>
      </c>
      <c r="AC971">
        <v>179</v>
      </c>
      <c r="AD971">
        <v>215</v>
      </c>
    </row>
    <row r="972" spans="1:30" ht="17" x14ac:dyDescent="0.25">
      <c r="A972" s="1" t="s">
        <v>974</v>
      </c>
      <c r="B972" s="1" t="s">
        <v>3626</v>
      </c>
      <c r="C972" s="1" t="s">
        <v>2301</v>
      </c>
      <c r="D972" t="str">
        <f t="shared" si="138"/>
        <v>FEB3D9</v>
      </c>
      <c r="E972" t="str">
        <f t="shared" si="139"/>
        <v>254-179-217</v>
      </c>
      <c r="F972" t="str">
        <f t="shared" si="140"/>
        <v>254179217</v>
      </c>
      <c r="G972">
        <f t="shared" si="141"/>
        <v>254</v>
      </c>
      <c r="H972">
        <f t="shared" si="142"/>
        <v>179</v>
      </c>
      <c r="I972">
        <f t="shared" si="143"/>
        <v>217</v>
      </c>
      <c r="J972" t="str">
        <f t="shared" si="135"/>
        <v>AMB",</v>
      </c>
      <c r="K972" t="str">
        <f t="shared" si="135"/>
        <v>Nucleus ambiguus",</v>
      </c>
      <c r="L972" t="str">
        <f t="shared" si="136"/>
        <v>AMB</v>
      </c>
      <c r="M972" t="str">
        <f t="shared" si="136"/>
        <v>Nucleus ambiguus</v>
      </c>
      <c r="N972" t="s">
        <v>6401</v>
      </c>
      <c r="O972" t="s">
        <v>6402</v>
      </c>
      <c r="Y972" t="s">
        <v>6401</v>
      </c>
      <c r="Z972" t="s">
        <v>6402</v>
      </c>
      <c r="AA972" s="6">
        <f t="shared" si="137"/>
        <v>135</v>
      </c>
      <c r="AB972">
        <v>254</v>
      </c>
      <c r="AC972">
        <v>179</v>
      </c>
      <c r="AD972">
        <v>217</v>
      </c>
    </row>
    <row r="973" spans="1:30" ht="17" x14ac:dyDescent="0.25">
      <c r="A973" s="1" t="s">
        <v>975</v>
      </c>
      <c r="B973" s="1" t="s">
        <v>3627</v>
      </c>
      <c r="C973" s="1" t="s">
        <v>2302</v>
      </c>
      <c r="D973" t="str">
        <f t="shared" si="138"/>
        <v>FEB3D6</v>
      </c>
      <c r="E973" t="str">
        <f t="shared" si="139"/>
        <v>254-179-214</v>
      </c>
      <c r="F973" t="str">
        <f t="shared" si="140"/>
        <v>254179214</v>
      </c>
      <c r="G973">
        <f t="shared" si="141"/>
        <v>254</v>
      </c>
      <c r="H973">
        <f t="shared" si="142"/>
        <v>179</v>
      </c>
      <c r="I973">
        <f t="shared" si="143"/>
        <v>214</v>
      </c>
      <c r="J973" t="str">
        <f t="shared" si="135"/>
        <v>AMBd",</v>
      </c>
      <c r="K973" t="str">
        <f t="shared" si="135"/>
        <v>Nucleus ambiguus, dorsal division",</v>
      </c>
      <c r="L973" t="str">
        <f t="shared" si="136"/>
        <v>AMBd</v>
      </c>
      <c r="M973" t="str">
        <f t="shared" si="136"/>
        <v>Nucleus ambiguus, dorsal division</v>
      </c>
      <c r="N973" t="s">
        <v>6403</v>
      </c>
      <c r="O973" t="s">
        <v>6404</v>
      </c>
      <c r="Y973" t="s">
        <v>6403</v>
      </c>
      <c r="Z973" t="s">
        <v>6404</v>
      </c>
      <c r="AA973" s="6">
        <f t="shared" si="137"/>
        <v>939</v>
      </c>
      <c r="AB973">
        <v>254</v>
      </c>
      <c r="AC973">
        <v>179</v>
      </c>
      <c r="AD973">
        <v>214</v>
      </c>
    </row>
    <row r="974" spans="1:30" ht="17" x14ac:dyDescent="0.25">
      <c r="A974" s="1" t="s">
        <v>976</v>
      </c>
      <c r="B974" s="1" t="s">
        <v>3628</v>
      </c>
      <c r="C974" s="1" t="s">
        <v>2303</v>
      </c>
      <c r="D974" t="str">
        <f t="shared" si="138"/>
        <v>FEB3D8</v>
      </c>
      <c r="E974" t="str">
        <f t="shared" si="139"/>
        <v>254-179-216</v>
      </c>
      <c r="F974" t="str">
        <f t="shared" si="140"/>
        <v>254179216</v>
      </c>
      <c r="G974">
        <f t="shared" si="141"/>
        <v>254</v>
      </c>
      <c r="H974">
        <f t="shared" si="142"/>
        <v>179</v>
      </c>
      <c r="I974">
        <f t="shared" si="143"/>
        <v>216</v>
      </c>
      <c r="J974" t="str">
        <f t="shared" si="135"/>
        <v>AMBv",</v>
      </c>
      <c r="K974" t="str">
        <f t="shared" si="135"/>
        <v>Nucleus ambiguus, ventral division",</v>
      </c>
      <c r="L974" t="str">
        <f t="shared" si="136"/>
        <v>AMBv</v>
      </c>
      <c r="M974" t="str">
        <f t="shared" si="136"/>
        <v>Nucleus ambiguus, ventral division</v>
      </c>
      <c r="N974" t="s">
        <v>6405</v>
      </c>
      <c r="O974" t="s">
        <v>6406</v>
      </c>
      <c r="Y974" t="s">
        <v>6405</v>
      </c>
      <c r="Z974" t="s">
        <v>6406</v>
      </c>
      <c r="AA974" s="6">
        <f t="shared" si="137"/>
        <v>143</v>
      </c>
      <c r="AB974">
        <v>254</v>
      </c>
      <c r="AC974">
        <v>179</v>
      </c>
      <c r="AD974">
        <v>216</v>
      </c>
    </row>
    <row r="975" spans="1:30" ht="17" x14ac:dyDescent="0.25">
      <c r="A975" s="1" t="s">
        <v>977</v>
      </c>
      <c r="B975" s="1" t="s">
        <v>3629</v>
      </c>
      <c r="C975" s="1" t="s">
        <v>2304</v>
      </c>
      <c r="D975" t="str">
        <f t="shared" si="138"/>
        <v>FDB1D8</v>
      </c>
      <c r="E975" t="str">
        <f t="shared" si="139"/>
        <v>253-177-216</v>
      </c>
      <c r="F975" t="str">
        <f t="shared" si="140"/>
        <v>253177216</v>
      </c>
      <c r="G975">
        <f t="shared" si="141"/>
        <v>253</v>
      </c>
      <c r="H975">
        <f t="shared" si="142"/>
        <v>177</v>
      </c>
      <c r="I975">
        <f t="shared" si="143"/>
        <v>216</v>
      </c>
      <c r="J975" t="str">
        <f t="shared" si="135"/>
        <v>DMX",</v>
      </c>
      <c r="K975" t="str">
        <f t="shared" si="135"/>
        <v>Dorsal motor nucleus of the vagus nerve",</v>
      </c>
      <c r="L975" t="str">
        <f t="shared" si="136"/>
        <v>DMX</v>
      </c>
      <c r="M975" t="str">
        <f t="shared" si="136"/>
        <v>Dorsal motor nucleus of the vagus nerve</v>
      </c>
      <c r="N975" t="s">
        <v>6407</v>
      </c>
      <c r="O975" t="s">
        <v>6408</v>
      </c>
      <c r="Y975" t="s">
        <v>6407</v>
      </c>
      <c r="Z975" t="s">
        <v>6408</v>
      </c>
      <c r="AA975" s="6">
        <f t="shared" si="137"/>
        <v>839</v>
      </c>
      <c r="AB975">
        <v>253</v>
      </c>
      <c r="AC975">
        <v>177</v>
      </c>
      <c r="AD975">
        <v>216</v>
      </c>
    </row>
    <row r="976" spans="1:30" ht="17" x14ac:dyDescent="0.25">
      <c r="A976" s="1" t="s">
        <v>978</v>
      </c>
      <c r="B976" s="1" t="s">
        <v>3630</v>
      </c>
      <c r="C976" s="1" t="s">
        <v>2305</v>
      </c>
      <c r="D976" t="str">
        <f t="shared" si="138"/>
        <v>FEB1D6</v>
      </c>
      <c r="E976" t="str">
        <f t="shared" si="139"/>
        <v>254-177-214</v>
      </c>
      <c r="F976" t="str">
        <f t="shared" si="140"/>
        <v>254177214</v>
      </c>
      <c r="G976">
        <f t="shared" si="141"/>
        <v>254</v>
      </c>
      <c r="H976">
        <f t="shared" si="142"/>
        <v>177</v>
      </c>
      <c r="I976">
        <f t="shared" si="143"/>
        <v>214</v>
      </c>
      <c r="J976" t="str">
        <f t="shared" si="135"/>
        <v>ECO",</v>
      </c>
      <c r="K976" t="str">
        <f t="shared" si="135"/>
        <v>Efferent cochlear group",</v>
      </c>
      <c r="L976" t="str">
        <f t="shared" si="136"/>
        <v>ECO</v>
      </c>
      <c r="M976" t="str">
        <f t="shared" si="136"/>
        <v>Efferent cochlear group</v>
      </c>
      <c r="N976" t="s">
        <v>6409</v>
      </c>
      <c r="O976" t="s">
        <v>6410</v>
      </c>
      <c r="Y976" t="s">
        <v>6409</v>
      </c>
      <c r="Z976" t="s">
        <v>6410</v>
      </c>
      <c r="AA976" s="6" t="str">
        <f t="shared" si="137"/>
        <v/>
      </c>
      <c r="AB976">
        <v>254</v>
      </c>
      <c r="AC976">
        <v>177</v>
      </c>
      <c r="AD976">
        <v>214</v>
      </c>
    </row>
    <row r="977" spans="1:30" ht="17" x14ac:dyDescent="0.25">
      <c r="A977" s="1" t="s">
        <v>979</v>
      </c>
      <c r="B977" s="1" t="s">
        <v>3631</v>
      </c>
      <c r="C977" s="1" t="s">
        <v>2306</v>
      </c>
      <c r="D977" t="str">
        <f t="shared" si="138"/>
        <v>FEB0D8</v>
      </c>
      <c r="E977" t="str">
        <f t="shared" si="139"/>
        <v>254-176-216</v>
      </c>
      <c r="F977" t="str">
        <f t="shared" si="140"/>
        <v>254176216</v>
      </c>
      <c r="G977">
        <f t="shared" si="141"/>
        <v>254</v>
      </c>
      <c r="H977">
        <f t="shared" si="142"/>
        <v>176</v>
      </c>
      <c r="I977">
        <f t="shared" si="143"/>
        <v>216</v>
      </c>
      <c r="J977" t="str">
        <f t="shared" si="135"/>
        <v>GRN",</v>
      </c>
      <c r="K977" t="str">
        <f t="shared" si="135"/>
        <v>Gigantocellular reticular nucleus",</v>
      </c>
      <c r="L977" t="str">
        <f t="shared" si="136"/>
        <v>GRN</v>
      </c>
      <c r="M977" t="str">
        <f t="shared" si="136"/>
        <v>Gigantocellular reticular nucleus</v>
      </c>
      <c r="N977" t="s">
        <v>6411</v>
      </c>
      <c r="O977" t="s">
        <v>6412</v>
      </c>
      <c r="Y977" t="s">
        <v>6411</v>
      </c>
      <c r="Z977" t="s">
        <v>6412</v>
      </c>
      <c r="AA977" s="6">
        <f t="shared" si="137"/>
        <v>1048</v>
      </c>
      <c r="AB977">
        <v>254</v>
      </c>
      <c r="AC977">
        <v>176</v>
      </c>
      <c r="AD977">
        <v>216</v>
      </c>
    </row>
    <row r="978" spans="1:30" ht="17" x14ac:dyDescent="0.25">
      <c r="A978" s="1" t="s">
        <v>980</v>
      </c>
      <c r="B978" s="1" t="s">
        <v>3632</v>
      </c>
      <c r="C978" s="1" t="s">
        <v>2307</v>
      </c>
      <c r="D978" t="str">
        <f t="shared" si="138"/>
        <v>FEB1D8</v>
      </c>
      <c r="E978" t="str">
        <f t="shared" si="139"/>
        <v>254-177-216</v>
      </c>
      <c r="F978" t="str">
        <f t="shared" si="140"/>
        <v>254177216</v>
      </c>
      <c r="G978">
        <f t="shared" si="141"/>
        <v>254</v>
      </c>
      <c r="H978">
        <f t="shared" si="142"/>
        <v>177</v>
      </c>
      <c r="I978">
        <f t="shared" si="143"/>
        <v>216</v>
      </c>
      <c r="J978" t="str">
        <f t="shared" si="135"/>
        <v>ICB",</v>
      </c>
      <c r="K978" t="str">
        <f t="shared" si="135"/>
        <v>Infracerebellar nucleus",</v>
      </c>
      <c r="L978" t="str">
        <f t="shared" si="136"/>
        <v>ICB</v>
      </c>
      <c r="M978" t="str">
        <f t="shared" si="136"/>
        <v>Infracerebellar nucleus</v>
      </c>
      <c r="N978" t="s">
        <v>6413</v>
      </c>
      <c r="O978" t="s">
        <v>6414</v>
      </c>
      <c r="Y978" t="s">
        <v>6413</v>
      </c>
      <c r="Z978" t="s">
        <v>6414</v>
      </c>
      <c r="AA978" s="6">
        <f t="shared" si="137"/>
        <v>372</v>
      </c>
      <c r="AB978">
        <v>254</v>
      </c>
      <c r="AC978">
        <v>177</v>
      </c>
      <c r="AD978">
        <v>216</v>
      </c>
    </row>
    <row r="979" spans="1:30" ht="17" x14ac:dyDescent="0.25">
      <c r="A979" s="1" t="s">
        <v>981</v>
      </c>
      <c r="B979" s="1" t="s">
        <v>3633</v>
      </c>
      <c r="C979" s="1" t="s">
        <v>2308</v>
      </c>
      <c r="D979" t="str">
        <f t="shared" si="138"/>
        <v>FFB3D8</v>
      </c>
      <c r="E979" t="str">
        <f t="shared" si="139"/>
        <v>255-179-216</v>
      </c>
      <c r="F979" t="str">
        <f t="shared" si="140"/>
        <v>255179216</v>
      </c>
      <c r="G979">
        <f t="shared" si="141"/>
        <v>255</v>
      </c>
      <c r="H979">
        <f t="shared" si="142"/>
        <v>179</v>
      </c>
      <c r="I979">
        <f t="shared" si="143"/>
        <v>216</v>
      </c>
      <c r="J979" t="str">
        <f t="shared" si="135"/>
        <v>IO",</v>
      </c>
      <c r="K979" t="str">
        <f t="shared" si="135"/>
        <v>Inferior olivary complex",</v>
      </c>
      <c r="L979" t="str">
        <f t="shared" si="136"/>
        <v>IO</v>
      </c>
      <c r="M979" t="str">
        <f t="shared" si="136"/>
        <v>Inferior olivary complex</v>
      </c>
      <c r="N979" t="s">
        <v>6415</v>
      </c>
      <c r="O979" t="s">
        <v>6416</v>
      </c>
      <c r="Y979" t="s">
        <v>6415</v>
      </c>
      <c r="Z979" t="s">
        <v>6416</v>
      </c>
      <c r="AA979" s="6">
        <f t="shared" si="137"/>
        <v>83</v>
      </c>
      <c r="AB979">
        <v>255</v>
      </c>
      <c r="AC979">
        <v>179</v>
      </c>
      <c r="AD979">
        <v>216</v>
      </c>
    </row>
    <row r="980" spans="1:30" ht="17" x14ac:dyDescent="0.25">
      <c r="A980" s="1" t="s">
        <v>982</v>
      </c>
      <c r="B980" s="1" t="s">
        <v>3634</v>
      </c>
      <c r="C980" s="1" t="s">
        <v>2309</v>
      </c>
      <c r="D980" t="str">
        <f t="shared" si="138"/>
        <v>FFB2D8</v>
      </c>
      <c r="E980" t="str">
        <f t="shared" si="139"/>
        <v>255-178-216</v>
      </c>
      <c r="F980" t="str">
        <f t="shared" si="140"/>
        <v>255178216</v>
      </c>
      <c r="G980">
        <f t="shared" si="141"/>
        <v>255</v>
      </c>
      <c r="H980">
        <f t="shared" si="142"/>
        <v>178</v>
      </c>
      <c r="I980">
        <f t="shared" si="143"/>
        <v>216</v>
      </c>
      <c r="J980" t="str">
        <f t="shared" si="135"/>
        <v>IRN",</v>
      </c>
      <c r="K980" t="str">
        <f t="shared" si="135"/>
        <v>Intermediate reticular nucleus",</v>
      </c>
      <c r="L980" t="str">
        <f t="shared" si="136"/>
        <v>IRN</v>
      </c>
      <c r="M980" t="str">
        <f t="shared" si="136"/>
        <v>Intermediate reticular nucleus</v>
      </c>
      <c r="N980" t="s">
        <v>6417</v>
      </c>
      <c r="O980" t="s">
        <v>6418</v>
      </c>
      <c r="Y980" t="s">
        <v>6417</v>
      </c>
      <c r="Z980" t="s">
        <v>6418</v>
      </c>
      <c r="AA980" s="6">
        <f t="shared" si="137"/>
        <v>136</v>
      </c>
      <c r="AB980">
        <v>255</v>
      </c>
      <c r="AC980">
        <v>178</v>
      </c>
      <c r="AD980">
        <v>216</v>
      </c>
    </row>
    <row r="981" spans="1:30" ht="17" x14ac:dyDescent="0.25">
      <c r="A981" s="1" t="s">
        <v>983</v>
      </c>
      <c r="B981" s="1" t="s">
        <v>3635</v>
      </c>
      <c r="C981" s="1" t="s">
        <v>2310</v>
      </c>
      <c r="D981" t="str">
        <f t="shared" si="138"/>
        <v>FFB2D9</v>
      </c>
      <c r="E981" t="str">
        <f t="shared" si="139"/>
        <v>255-178-217</v>
      </c>
      <c r="F981" t="str">
        <f t="shared" si="140"/>
        <v>255178217</v>
      </c>
      <c r="G981">
        <f t="shared" si="141"/>
        <v>255</v>
      </c>
      <c r="H981">
        <f t="shared" si="142"/>
        <v>178</v>
      </c>
      <c r="I981">
        <f t="shared" si="143"/>
        <v>217</v>
      </c>
      <c r="J981" t="str">
        <f t="shared" si="135"/>
        <v>ISN",</v>
      </c>
      <c r="K981" t="str">
        <f t="shared" si="135"/>
        <v>Inferior salivatory nucleus",</v>
      </c>
      <c r="L981" t="str">
        <f t="shared" si="136"/>
        <v>ISN</v>
      </c>
      <c r="M981" t="str">
        <f t="shared" si="136"/>
        <v>Inferior salivatory nucleus</v>
      </c>
      <c r="N981" t="s">
        <v>6419</v>
      </c>
      <c r="O981" t="s">
        <v>6420</v>
      </c>
      <c r="Y981" t="s">
        <v>6419</v>
      </c>
      <c r="Z981" t="s">
        <v>6420</v>
      </c>
      <c r="AA981" s="6">
        <f t="shared" si="137"/>
        <v>106</v>
      </c>
      <c r="AB981">
        <v>255</v>
      </c>
      <c r="AC981">
        <v>178</v>
      </c>
      <c r="AD981">
        <v>217</v>
      </c>
    </row>
    <row r="982" spans="1:30" ht="17" x14ac:dyDescent="0.25">
      <c r="A982" s="1" t="s">
        <v>984</v>
      </c>
      <c r="B982" s="1" t="s">
        <v>3636</v>
      </c>
      <c r="C982" s="1" t="s">
        <v>2311</v>
      </c>
      <c r="D982" t="str">
        <f t="shared" si="138"/>
        <v>FFB1D8</v>
      </c>
      <c r="E982" t="str">
        <f t="shared" si="139"/>
        <v>255-177-216</v>
      </c>
      <c r="F982" t="str">
        <f t="shared" si="140"/>
        <v>255177216</v>
      </c>
      <c r="G982">
        <f t="shared" si="141"/>
        <v>255</v>
      </c>
      <c r="H982">
        <f t="shared" si="142"/>
        <v>177</v>
      </c>
      <c r="I982">
        <f t="shared" si="143"/>
        <v>216</v>
      </c>
      <c r="J982" t="str">
        <f t="shared" si="135"/>
        <v>LIN",</v>
      </c>
      <c r="K982" t="str">
        <f t="shared" si="135"/>
        <v>Linear nucleus of the medulla",</v>
      </c>
      <c r="L982" t="str">
        <f t="shared" si="136"/>
        <v>LIN</v>
      </c>
      <c r="M982" t="str">
        <f t="shared" si="136"/>
        <v>Linear nucleus of the medulla</v>
      </c>
      <c r="N982" t="s">
        <v>6421</v>
      </c>
      <c r="O982" t="s">
        <v>6422</v>
      </c>
      <c r="Y982" t="s">
        <v>6421</v>
      </c>
      <c r="Z982" t="s">
        <v>6422</v>
      </c>
      <c r="AA982" s="6">
        <f t="shared" si="137"/>
        <v>203</v>
      </c>
      <c r="AB982">
        <v>255</v>
      </c>
      <c r="AC982">
        <v>177</v>
      </c>
      <c r="AD982">
        <v>216</v>
      </c>
    </row>
    <row r="983" spans="1:30" ht="17" x14ac:dyDescent="0.25">
      <c r="A983" s="1" t="s">
        <v>985</v>
      </c>
      <c r="B983" s="1" t="s">
        <v>3637</v>
      </c>
      <c r="C983" s="1" t="s">
        <v>2312</v>
      </c>
      <c r="D983" t="str">
        <f t="shared" si="138"/>
        <v>FDB3D8</v>
      </c>
      <c r="E983" t="str">
        <f t="shared" si="139"/>
        <v>253-179-216</v>
      </c>
      <c r="F983" t="str">
        <f t="shared" si="140"/>
        <v>253179216</v>
      </c>
      <c r="G983">
        <f t="shared" si="141"/>
        <v>253</v>
      </c>
      <c r="H983">
        <f t="shared" si="142"/>
        <v>179</v>
      </c>
      <c r="I983">
        <f t="shared" si="143"/>
        <v>216</v>
      </c>
      <c r="J983" t="str">
        <f t="shared" si="135"/>
        <v>LRN",</v>
      </c>
      <c r="K983" t="str">
        <f t="shared" si="135"/>
        <v>Lateral reticular nucleus",</v>
      </c>
      <c r="L983" t="str">
        <f t="shared" si="136"/>
        <v>LRN</v>
      </c>
      <c r="M983" t="str">
        <f t="shared" si="136"/>
        <v>Lateral reticular nucleus</v>
      </c>
      <c r="N983" t="s">
        <v>6423</v>
      </c>
      <c r="O983" t="s">
        <v>6424</v>
      </c>
      <c r="Y983" t="s">
        <v>6423</v>
      </c>
      <c r="Z983" t="s">
        <v>6424</v>
      </c>
      <c r="AA983" s="6">
        <f t="shared" si="137"/>
        <v>235</v>
      </c>
      <c r="AB983">
        <v>253</v>
      </c>
      <c r="AC983">
        <v>179</v>
      </c>
      <c r="AD983">
        <v>216</v>
      </c>
    </row>
    <row r="984" spans="1:30" ht="17" x14ac:dyDescent="0.25">
      <c r="A984" s="1" t="s">
        <v>986</v>
      </c>
      <c r="B984" s="1" t="s">
        <v>3638</v>
      </c>
      <c r="C984" s="1" t="s">
        <v>2313</v>
      </c>
      <c r="D984" t="str">
        <f t="shared" si="138"/>
        <v>FCB3D7</v>
      </c>
      <c r="E984" t="str">
        <f t="shared" si="139"/>
        <v>252-179-215</v>
      </c>
      <c r="F984" t="str">
        <f t="shared" si="140"/>
        <v>252179215</v>
      </c>
      <c r="G984">
        <f t="shared" si="141"/>
        <v>252</v>
      </c>
      <c r="H984">
        <f t="shared" si="142"/>
        <v>179</v>
      </c>
      <c r="I984">
        <f t="shared" si="143"/>
        <v>215</v>
      </c>
      <c r="J984" t="str">
        <f t="shared" si="135"/>
        <v>LRNm",</v>
      </c>
      <c r="K984" t="str">
        <f t="shared" si="135"/>
        <v>Lateral reticular nucleus, magnocellular part",</v>
      </c>
      <c r="L984" t="str">
        <f t="shared" si="136"/>
        <v>LRNm</v>
      </c>
      <c r="M984" t="str">
        <f t="shared" si="136"/>
        <v>Lateral reticular nucleus, magnocellular part</v>
      </c>
      <c r="N984" t="s">
        <v>6425</v>
      </c>
      <c r="O984" t="s">
        <v>6426</v>
      </c>
      <c r="Y984" t="s">
        <v>6425</v>
      </c>
      <c r="Z984" t="s">
        <v>6426</v>
      </c>
      <c r="AA984" s="6">
        <f t="shared" si="137"/>
        <v>955</v>
      </c>
      <c r="AB984">
        <v>252</v>
      </c>
      <c r="AC984">
        <v>179</v>
      </c>
      <c r="AD984">
        <v>215</v>
      </c>
    </row>
    <row r="985" spans="1:30" ht="17" x14ac:dyDescent="0.25">
      <c r="A985" s="1" t="s">
        <v>987</v>
      </c>
      <c r="B985" s="1" t="s">
        <v>3639</v>
      </c>
      <c r="C985" s="1" t="s">
        <v>2314</v>
      </c>
      <c r="D985" t="str">
        <f t="shared" si="138"/>
        <v>FEB0D9</v>
      </c>
      <c r="E985" t="str">
        <f t="shared" si="139"/>
        <v>254-176-217</v>
      </c>
      <c r="F985" t="str">
        <f t="shared" si="140"/>
        <v>254176217</v>
      </c>
      <c r="G985">
        <f t="shared" si="141"/>
        <v>254</v>
      </c>
      <c r="H985">
        <f t="shared" si="142"/>
        <v>176</v>
      </c>
      <c r="I985">
        <f t="shared" si="143"/>
        <v>217</v>
      </c>
      <c r="J985" t="str">
        <f t="shared" si="135"/>
        <v>LRNp",</v>
      </c>
      <c r="K985" t="str">
        <f t="shared" si="135"/>
        <v>Lateral reticular nucleus, parvicellular part",</v>
      </c>
      <c r="L985" t="str">
        <f t="shared" si="136"/>
        <v>LRNp</v>
      </c>
      <c r="M985" t="str">
        <f t="shared" si="136"/>
        <v>Lateral reticular nucleus, parvicellular part</v>
      </c>
      <c r="N985" t="s">
        <v>6427</v>
      </c>
      <c r="O985" t="s">
        <v>6428</v>
      </c>
      <c r="Y985" t="s">
        <v>6427</v>
      </c>
      <c r="Z985" t="s">
        <v>6428</v>
      </c>
      <c r="AA985" s="6">
        <f t="shared" si="137"/>
        <v>963</v>
      </c>
      <c r="AB985">
        <v>254</v>
      </c>
      <c r="AC985">
        <v>176</v>
      </c>
      <c r="AD985">
        <v>217</v>
      </c>
    </row>
    <row r="986" spans="1:30" ht="17" x14ac:dyDescent="0.25">
      <c r="A986" s="1" t="s">
        <v>988</v>
      </c>
      <c r="B986" s="1" t="s">
        <v>3640</v>
      </c>
      <c r="C986" s="1" t="s">
        <v>2315</v>
      </c>
      <c r="D986" t="str">
        <f t="shared" si="138"/>
        <v>FDB2D9</v>
      </c>
      <c r="E986" t="str">
        <f t="shared" si="139"/>
        <v>253-178-217</v>
      </c>
      <c r="F986" t="str">
        <f t="shared" si="140"/>
        <v>253178217</v>
      </c>
      <c r="G986">
        <f t="shared" si="141"/>
        <v>253</v>
      </c>
      <c r="H986">
        <f t="shared" si="142"/>
        <v>178</v>
      </c>
      <c r="I986">
        <f t="shared" si="143"/>
        <v>217</v>
      </c>
      <c r="J986" t="str">
        <f t="shared" si="135"/>
        <v>MARN",</v>
      </c>
      <c r="K986" t="str">
        <f t="shared" si="135"/>
        <v>Magnocellular reticular nucleus",</v>
      </c>
      <c r="L986" t="str">
        <f t="shared" si="136"/>
        <v>MARN</v>
      </c>
      <c r="M986" t="str">
        <f t="shared" si="136"/>
        <v>Magnocellular reticular nucleus</v>
      </c>
      <c r="N986" t="s">
        <v>6429</v>
      </c>
      <c r="O986" t="s">
        <v>6430</v>
      </c>
      <c r="Y986" t="s">
        <v>6429</v>
      </c>
      <c r="Z986" t="s">
        <v>6430</v>
      </c>
      <c r="AA986" s="6">
        <f t="shared" si="137"/>
        <v>307</v>
      </c>
      <c r="AB986">
        <v>253</v>
      </c>
      <c r="AC986">
        <v>178</v>
      </c>
      <c r="AD986">
        <v>217</v>
      </c>
    </row>
    <row r="987" spans="1:30" ht="17" x14ac:dyDescent="0.25">
      <c r="A987" s="1" t="s">
        <v>989</v>
      </c>
      <c r="B987" s="1" t="s">
        <v>3641</v>
      </c>
      <c r="C987" s="1" t="s">
        <v>2316</v>
      </c>
      <c r="D987" t="str">
        <f t="shared" si="138"/>
        <v>FDB2D8</v>
      </c>
      <c r="E987" t="str">
        <f t="shared" si="139"/>
        <v>253-178-216</v>
      </c>
      <c r="F987" t="str">
        <f t="shared" si="140"/>
        <v>253178216</v>
      </c>
      <c r="G987">
        <f t="shared" si="141"/>
        <v>253</v>
      </c>
      <c r="H987">
        <f t="shared" si="142"/>
        <v>178</v>
      </c>
      <c r="I987">
        <f t="shared" si="143"/>
        <v>216</v>
      </c>
      <c r="J987" t="str">
        <f t="shared" si="135"/>
        <v>MDRN",</v>
      </c>
      <c r="K987" t="str">
        <f t="shared" si="135"/>
        <v>Medullary reticular nucleus",</v>
      </c>
      <c r="L987" t="str">
        <f t="shared" si="136"/>
        <v>MDRN</v>
      </c>
      <c r="M987" t="str">
        <f t="shared" si="136"/>
        <v>Medullary reticular nucleus</v>
      </c>
      <c r="N987" t="s">
        <v>6431</v>
      </c>
      <c r="O987" t="s">
        <v>6432</v>
      </c>
      <c r="Y987" t="s">
        <v>6431</v>
      </c>
      <c r="Z987" t="s">
        <v>6432</v>
      </c>
      <c r="AA987" s="6">
        <f t="shared" si="137"/>
        <v>395</v>
      </c>
      <c r="AB987">
        <v>253</v>
      </c>
      <c r="AC987">
        <v>178</v>
      </c>
      <c r="AD987">
        <v>216</v>
      </c>
    </row>
    <row r="988" spans="1:30" ht="17" x14ac:dyDescent="0.25">
      <c r="A988" s="1" t="s">
        <v>990</v>
      </c>
      <c r="B988" s="1" t="s">
        <v>3642</v>
      </c>
      <c r="C988" s="1" t="s">
        <v>2317</v>
      </c>
      <c r="D988" t="str">
        <f t="shared" si="138"/>
        <v>FDB1D7</v>
      </c>
      <c r="E988" t="str">
        <f t="shared" si="139"/>
        <v>253-177-215</v>
      </c>
      <c r="F988" t="str">
        <f t="shared" si="140"/>
        <v>253177215</v>
      </c>
      <c r="G988">
        <f t="shared" si="141"/>
        <v>253</v>
      </c>
      <c r="H988">
        <f t="shared" si="142"/>
        <v>177</v>
      </c>
      <c r="I988">
        <f t="shared" si="143"/>
        <v>215</v>
      </c>
      <c r="J988" t="str">
        <f t="shared" si="135"/>
        <v>MDRNd",</v>
      </c>
      <c r="K988" t="str">
        <f t="shared" si="135"/>
        <v>Medullary reticular nucleus, dorsal part",</v>
      </c>
      <c r="L988" t="str">
        <f t="shared" si="136"/>
        <v>MDRNd</v>
      </c>
      <c r="M988" t="str">
        <f t="shared" si="136"/>
        <v>Medullary reticular nucleus, dorsal part</v>
      </c>
      <c r="N988" t="s">
        <v>6433</v>
      </c>
      <c r="O988" t="s">
        <v>6434</v>
      </c>
      <c r="Y988" t="s">
        <v>6433</v>
      </c>
      <c r="Z988" t="s">
        <v>6434</v>
      </c>
      <c r="AA988" s="6">
        <f t="shared" si="137"/>
        <v>1098</v>
      </c>
      <c r="AB988">
        <v>253</v>
      </c>
      <c r="AC988">
        <v>177</v>
      </c>
      <c r="AD988">
        <v>215</v>
      </c>
    </row>
    <row r="989" spans="1:30" ht="17" x14ac:dyDescent="0.25">
      <c r="A989" s="1" t="s">
        <v>991</v>
      </c>
      <c r="B989" s="1" t="s">
        <v>3643</v>
      </c>
      <c r="C989" s="1" t="s">
        <v>2318</v>
      </c>
      <c r="D989" t="str">
        <f t="shared" si="138"/>
        <v>FFB1D6</v>
      </c>
      <c r="E989" t="str">
        <f t="shared" si="139"/>
        <v>255-177-214</v>
      </c>
      <c r="F989" t="str">
        <f t="shared" si="140"/>
        <v>255177214</v>
      </c>
      <c r="G989">
        <f t="shared" si="141"/>
        <v>255</v>
      </c>
      <c r="H989">
        <f t="shared" si="142"/>
        <v>177</v>
      </c>
      <c r="I989">
        <f t="shared" si="143"/>
        <v>214</v>
      </c>
      <c r="J989" t="str">
        <f t="shared" si="135"/>
        <v>MDRNv",</v>
      </c>
      <c r="K989" t="str">
        <f t="shared" si="135"/>
        <v>Medullary reticular nucleus, ventral part",</v>
      </c>
      <c r="L989" t="str">
        <f t="shared" si="136"/>
        <v>MDRNv</v>
      </c>
      <c r="M989" t="str">
        <f t="shared" si="136"/>
        <v>Medullary reticular nucleus, ventral part</v>
      </c>
      <c r="N989" t="s">
        <v>6435</v>
      </c>
      <c r="O989" t="s">
        <v>6436</v>
      </c>
      <c r="Y989" t="s">
        <v>6435</v>
      </c>
      <c r="Z989" t="s">
        <v>6436</v>
      </c>
      <c r="AA989" s="6">
        <f t="shared" si="137"/>
        <v>1107</v>
      </c>
      <c r="AB989">
        <v>255</v>
      </c>
      <c r="AC989">
        <v>177</v>
      </c>
      <c r="AD989">
        <v>214</v>
      </c>
    </row>
    <row r="990" spans="1:30" ht="17" x14ac:dyDescent="0.25">
      <c r="A990" s="1" t="s">
        <v>992</v>
      </c>
      <c r="B990" s="1" t="s">
        <v>3644</v>
      </c>
      <c r="C990" s="1" t="s">
        <v>2319</v>
      </c>
      <c r="D990" t="str">
        <f t="shared" si="138"/>
        <v>FCB3D9</v>
      </c>
      <c r="E990" t="str">
        <f t="shared" si="139"/>
        <v>252-179-217</v>
      </c>
      <c r="F990" t="str">
        <f t="shared" si="140"/>
        <v>252179217</v>
      </c>
      <c r="G990">
        <f t="shared" si="141"/>
        <v>252</v>
      </c>
      <c r="H990">
        <f t="shared" si="142"/>
        <v>179</v>
      </c>
      <c r="I990">
        <f t="shared" si="143"/>
        <v>217</v>
      </c>
      <c r="J990" t="str">
        <f t="shared" si="135"/>
        <v>PARN",</v>
      </c>
      <c r="K990" t="str">
        <f t="shared" si="135"/>
        <v>Parvicellular reticular nucleus",</v>
      </c>
      <c r="L990" t="str">
        <f t="shared" si="136"/>
        <v>PARN</v>
      </c>
      <c r="M990" t="str">
        <f t="shared" si="136"/>
        <v>Parvicellular reticular nucleus</v>
      </c>
      <c r="N990" t="s">
        <v>6437</v>
      </c>
      <c r="O990" t="s">
        <v>6438</v>
      </c>
      <c r="Y990" t="s">
        <v>6437</v>
      </c>
      <c r="Z990" t="s">
        <v>6438</v>
      </c>
      <c r="AA990" s="6">
        <f t="shared" si="137"/>
        <v>852</v>
      </c>
      <c r="AB990">
        <v>252</v>
      </c>
      <c r="AC990">
        <v>179</v>
      </c>
      <c r="AD990">
        <v>217</v>
      </c>
    </row>
    <row r="991" spans="1:30" ht="17" x14ac:dyDescent="0.25">
      <c r="A991" s="1" t="s">
        <v>993</v>
      </c>
      <c r="B991" s="1" t="s">
        <v>3645</v>
      </c>
      <c r="C991" s="1" t="s">
        <v>2320</v>
      </c>
      <c r="D991" t="str">
        <f t="shared" si="138"/>
        <v>FFB2D6</v>
      </c>
      <c r="E991" t="str">
        <f t="shared" si="139"/>
        <v>255-178-214</v>
      </c>
      <c r="F991" t="str">
        <f t="shared" si="140"/>
        <v>255178214</v>
      </c>
      <c r="G991">
        <f t="shared" si="141"/>
        <v>255</v>
      </c>
      <c r="H991">
        <f t="shared" si="142"/>
        <v>178</v>
      </c>
      <c r="I991">
        <f t="shared" si="143"/>
        <v>214</v>
      </c>
      <c r="J991" t="str">
        <f t="shared" si="135"/>
        <v>PAS",</v>
      </c>
      <c r="K991" t="str">
        <f t="shared" si="135"/>
        <v>Parasolitary nucleus",</v>
      </c>
      <c r="L991" t="str">
        <f t="shared" si="136"/>
        <v>PAS</v>
      </c>
      <c r="M991" t="str">
        <f t="shared" si="136"/>
        <v>Parasolitary nucleus</v>
      </c>
      <c r="N991" t="s">
        <v>6439</v>
      </c>
      <c r="O991" t="s">
        <v>6440</v>
      </c>
      <c r="Y991" t="s">
        <v>6439</v>
      </c>
      <c r="Z991" t="s">
        <v>6440</v>
      </c>
      <c r="AA991" s="6">
        <f t="shared" si="137"/>
        <v>859</v>
      </c>
      <c r="AB991">
        <v>255</v>
      </c>
      <c r="AC991">
        <v>178</v>
      </c>
      <c r="AD991">
        <v>214</v>
      </c>
    </row>
    <row r="992" spans="1:30" ht="17" x14ac:dyDescent="0.25">
      <c r="A992" s="1" t="s">
        <v>994</v>
      </c>
      <c r="B992" s="1" t="s">
        <v>3646</v>
      </c>
      <c r="C992" s="1" t="s">
        <v>2321</v>
      </c>
      <c r="D992" t="str">
        <f t="shared" si="138"/>
        <v>FFB0D8</v>
      </c>
      <c r="E992" t="str">
        <f t="shared" si="139"/>
        <v>255-176-216</v>
      </c>
      <c r="F992" t="str">
        <f t="shared" si="140"/>
        <v>255176216</v>
      </c>
      <c r="G992">
        <f t="shared" si="141"/>
        <v>255</v>
      </c>
      <c r="H992">
        <f t="shared" si="142"/>
        <v>176</v>
      </c>
      <c r="I992">
        <f t="shared" si="143"/>
        <v>216</v>
      </c>
      <c r="J992" t="str">
        <f t="shared" si="135"/>
        <v>PGRN",</v>
      </c>
      <c r="K992" t="str">
        <f t="shared" si="135"/>
        <v>Paragigantocellular reticular nucleus",</v>
      </c>
      <c r="L992" t="str">
        <f t="shared" si="136"/>
        <v>PGRN</v>
      </c>
      <c r="M992" t="str">
        <f t="shared" si="136"/>
        <v>Paragigantocellular reticular nucleus</v>
      </c>
      <c r="N992" t="s">
        <v>6441</v>
      </c>
      <c r="O992" t="s">
        <v>6442</v>
      </c>
      <c r="Y992" t="s">
        <v>6441</v>
      </c>
      <c r="Z992" t="s">
        <v>6442</v>
      </c>
      <c r="AA992" s="6">
        <f t="shared" si="137"/>
        <v>938</v>
      </c>
      <c r="AB992">
        <v>255</v>
      </c>
      <c r="AC992">
        <v>176</v>
      </c>
      <c r="AD992">
        <v>216</v>
      </c>
    </row>
    <row r="993" spans="1:30" ht="17" x14ac:dyDescent="0.25">
      <c r="A993" s="1" t="s">
        <v>995</v>
      </c>
      <c r="B993" s="1" t="s">
        <v>3647</v>
      </c>
      <c r="C993" s="1" t="s">
        <v>2322</v>
      </c>
      <c r="D993" t="str">
        <f t="shared" si="138"/>
        <v>FCB3D8</v>
      </c>
      <c r="E993" t="str">
        <f t="shared" si="139"/>
        <v>252-179-216</v>
      </c>
      <c r="F993" t="str">
        <f t="shared" si="140"/>
        <v>252179216</v>
      </c>
      <c r="G993">
        <f t="shared" si="141"/>
        <v>252</v>
      </c>
      <c r="H993">
        <f t="shared" si="142"/>
        <v>179</v>
      </c>
      <c r="I993">
        <f t="shared" si="143"/>
        <v>216</v>
      </c>
      <c r="J993" t="str">
        <f t="shared" si="135"/>
        <v>PGRNd",</v>
      </c>
      <c r="K993" t="str">
        <f t="shared" si="135"/>
        <v>Paragigantocellular reticular nucleus, dorsal part",</v>
      </c>
      <c r="L993" t="str">
        <f t="shared" si="136"/>
        <v>PGRNd</v>
      </c>
      <c r="M993" t="str">
        <f t="shared" si="136"/>
        <v>Paragigantocellular reticular nucleus, dorsal part</v>
      </c>
      <c r="N993" t="s">
        <v>6443</v>
      </c>
      <c r="O993" t="s">
        <v>6444</v>
      </c>
      <c r="Y993" t="s">
        <v>6443</v>
      </c>
      <c r="Z993" t="s">
        <v>6444</v>
      </c>
      <c r="AA993" s="6">
        <f t="shared" si="137"/>
        <v>970</v>
      </c>
      <c r="AB993">
        <v>252</v>
      </c>
      <c r="AC993">
        <v>179</v>
      </c>
      <c r="AD993">
        <v>216</v>
      </c>
    </row>
    <row r="994" spans="1:30" ht="17" x14ac:dyDescent="0.25">
      <c r="A994" s="1" t="s">
        <v>996</v>
      </c>
      <c r="B994" s="1" t="s">
        <v>3648</v>
      </c>
      <c r="C994" s="1" t="s">
        <v>2323</v>
      </c>
      <c r="D994" t="str">
        <f t="shared" si="138"/>
        <v>FCB2D9</v>
      </c>
      <c r="E994" t="str">
        <f t="shared" si="139"/>
        <v>252-178-217</v>
      </c>
      <c r="F994" t="str">
        <f t="shared" si="140"/>
        <v>252178217</v>
      </c>
      <c r="G994">
        <f t="shared" si="141"/>
        <v>252</v>
      </c>
      <c r="H994">
        <f t="shared" si="142"/>
        <v>178</v>
      </c>
      <c r="I994">
        <f t="shared" si="143"/>
        <v>217</v>
      </c>
      <c r="J994" t="str">
        <f t="shared" si="135"/>
        <v>PGRNl",</v>
      </c>
      <c r="K994" t="str">
        <f t="shared" si="135"/>
        <v>Paragigantocellular reticular nucleus, lateral part",</v>
      </c>
      <c r="L994" t="str">
        <f t="shared" si="136"/>
        <v>PGRNl</v>
      </c>
      <c r="M994" t="str">
        <f t="shared" si="136"/>
        <v>Paragigantocellular reticular nucleus, lateral part</v>
      </c>
      <c r="N994" t="s">
        <v>6445</v>
      </c>
      <c r="O994" t="s">
        <v>6446</v>
      </c>
      <c r="Y994" t="s">
        <v>6445</v>
      </c>
      <c r="Z994" t="s">
        <v>6446</v>
      </c>
      <c r="AA994" s="6">
        <f t="shared" si="137"/>
        <v>978</v>
      </c>
      <c r="AB994">
        <v>252</v>
      </c>
      <c r="AC994">
        <v>178</v>
      </c>
      <c r="AD994">
        <v>217</v>
      </c>
    </row>
    <row r="995" spans="1:30" ht="17" x14ac:dyDescent="0.25">
      <c r="A995" s="1" t="s">
        <v>997</v>
      </c>
      <c r="B995" s="1" t="s">
        <v>3649</v>
      </c>
      <c r="C995" s="1" t="s">
        <v>2324</v>
      </c>
      <c r="D995" t="str">
        <f t="shared" si="138"/>
        <v>FEB2D9</v>
      </c>
      <c r="E995" t="str">
        <f t="shared" si="139"/>
        <v>254-178-217</v>
      </c>
      <c r="F995" t="str">
        <f t="shared" si="140"/>
        <v>254178217</v>
      </c>
      <c r="G995">
        <f t="shared" si="141"/>
        <v>254</v>
      </c>
      <c r="H995">
        <f t="shared" si="142"/>
        <v>178</v>
      </c>
      <c r="I995">
        <f t="shared" si="143"/>
        <v>217</v>
      </c>
      <c r="J995" t="str">
        <f t="shared" si="135"/>
        <v>PHY",</v>
      </c>
      <c r="K995" t="str">
        <f t="shared" si="135"/>
        <v>Perihypoglossal nuclei",</v>
      </c>
      <c r="L995" t="str">
        <f t="shared" si="136"/>
        <v>PHY</v>
      </c>
      <c r="M995" t="str">
        <f t="shared" si="136"/>
        <v>Perihypoglossal nuclei</v>
      </c>
      <c r="N995" t="s">
        <v>6447</v>
      </c>
      <c r="O995" t="s">
        <v>6448</v>
      </c>
      <c r="Y995" t="s">
        <v>6447</v>
      </c>
      <c r="Z995" t="s">
        <v>6448</v>
      </c>
      <c r="AA995" s="6">
        <f t="shared" si="137"/>
        <v>154</v>
      </c>
      <c r="AB995">
        <v>254</v>
      </c>
      <c r="AC995">
        <v>178</v>
      </c>
      <c r="AD995">
        <v>217</v>
      </c>
    </row>
    <row r="996" spans="1:30" ht="17" x14ac:dyDescent="0.25">
      <c r="A996" s="1" t="s">
        <v>998</v>
      </c>
      <c r="B996" s="1" t="s">
        <v>3650</v>
      </c>
      <c r="C996" s="1" t="s">
        <v>2325</v>
      </c>
      <c r="D996" t="str">
        <f t="shared" si="138"/>
        <v>FEB2D8</v>
      </c>
      <c r="E996" t="str">
        <f t="shared" si="139"/>
        <v>254-178-216</v>
      </c>
      <c r="F996" t="str">
        <f t="shared" si="140"/>
        <v>254178216</v>
      </c>
      <c r="G996">
        <f t="shared" si="141"/>
        <v>254</v>
      </c>
      <c r="H996">
        <f t="shared" si="142"/>
        <v>178</v>
      </c>
      <c r="I996">
        <f t="shared" si="143"/>
        <v>216</v>
      </c>
      <c r="J996" t="str">
        <f t="shared" si="135"/>
        <v>NIS",</v>
      </c>
      <c r="K996" t="str">
        <f t="shared" si="135"/>
        <v>Nucleus intercalatus",</v>
      </c>
      <c r="L996" t="str">
        <f t="shared" si="136"/>
        <v>NIS</v>
      </c>
      <c r="M996" t="str">
        <f t="shared" si="136"/>
        <v>Nucleus intercalatus</v>
      </c>
      <c r="N996" t="s">
        <v>6449</v>
      </c>
      <c r="O996" t="s">
        <v>6450</v>
      </c>
      <c r="Y996" t="s">
        <v>6449</v>
      </c>
      <c r="Z996" t="s">
        <v>6450</v>
      </c>
      <c r="AA996" s="6" t="str">
        <f t="shared" si="137"/>
        <v/>
      </c>
      <c r="AB996">
        <v>254</v>
      </c>
      <c r="AC996">
        <v>178</v>
      </c>
      <c r="AD996">
        <v>216</v>
      </c>
    </row>
    <row r="997" spans="1:30" ht="17" x14ac:dyDescent="0.25">
      <c r="A997" s="1" t="s">
        <v>999</v>
      </c>
      <c r="B997" s="1" t="s">
        <v>3651</v>
      </c>
      <c r="C997" s="1" t="s">
        <v>2326</v>
      </c>
      <c r="D997" t="str">
        <f t="shared" si="138"/>
        <v>FFB1D9</v>
      </c>
      <c r="E997" t="str">
        <f t="shared" si="139"/>
        <v>255-177-217</v>
      </c>
      <c r="F997" t="str">
        <f t="shared" si="140"/>
        <v>255177217</v>
      </c>
      <c r="G997">
        <f t="shared" si="141"/>
        <v>255</v>
      </c>
      <c r="H997">
        <f t="shared" si="142"/>
        <v>177</v>
      </c>
      <c r="I997">
        <f t="shared" si="143"/>
        <v>217</v>
      </c>
      <c r="J997" t="str">
        <f t="shared" si="135"/>
        <v>NR",</v>
      </c>
      <c r="K997" t="str">
        <f t="shared" si="135"/>
        <v>Nucleus of Roller",</v>
      </c>
      <c r="L997" t="str">
        <f t="shared" si="136"/>
        <v>NR</v>
      </c>
      <c r="M997" t="str">
        <f t="shared" si="136"/>
        <v>Nucleus of Roller</v>
      </c>
      <c r="N997" t="s">
        <v>6451</v>
      </c>
      <c r="O997" t="s">
        <v>6452</v>
      </c>
      <c r="Y997" t="s">
        <v>6451</v>
      </c>
      <c r="Z997" t="s">
        <v>6452</v>
      </c>
      <c r="AA997" s="6">
        <f t="shared" si="137"/>
        <v>177</v>
      </c>
      <c r="AB997">
        <v>255</v>
      </c>
      <c r="AC997">
        <v>177</v>
      </c>
      <c r="AD997">
        <v>217</v>
      </c>
    </row>
    <row r="998" spans="1:30" ht="17" x14ac:dyDescent="0.25">
      <c r="A998" s="1" t="s">
        <v>1000</v>
      </c>
      <c r="B998" s="1" t="s">
        <v>3652</v>
      </c>
      <c r="C998" s="1" t="s">
        <v>2327</v>
      </c>
      <c r="D998" t="str">
        <f t="shared" si="138"/>
        <v>FFB3D7</v>
      </c>
      <c r="E998" t="str">
        <f t="shared" si="139"/>
        <v>255-179-215</v>
      </c>
      <c r="F998" t="str">
        <f t="shared" si="140"/>
        <v>255179215</v>
      </c>
      <c r="G998">
        <f t="shared" si="141"/>
        <v>255</v>
      </c>
      <c r="H998">
        <f t="shared" si="142"/>
        <v>179</v>
      </c>
      <c r="I998">
        <f t="shared" si="143"/>
        <v>215</v>
      </c>
      <c r="J998" t="str">
        <f t="shared" si="135"/>
        <v>PRP",</v>
      </c>
      <c r="K998" t="str">
        <f t="shared" si="135"/>
        <v>Nucleus prepositus",</v>
      </c>
      <c r="L998" t="str">
        <f t="shared" si="136"/>
        <v>PRP</v>
      </c>
      <c r="M998" t="str">
        <f t="shared" si="136"/>
        <v>Nucleus prepositus</v>
      </c>
      <c r="N998" t="s">
        <v>6453</v>
      </c>
      <c r="O998" t="s">
        <v>6454</v>
      </c>
      <c r="Y998" t="s">
        <v>6453</v>
      </c>
      <c r="Z998" t="s">
        <v>6454</v>
      </c>
      <c r="AA998" s="6">
        <f t="shared" si="137"/>
        <v>169</v>
      </c>
      <c r="AB998">
        <v>255</v>
      </c>
      <c r="AC998">
        <v>179</v>
      </c>
      <c r="AD998">
        <v>215</v>
      </c>
    </row>
    <row r="999" spans="1:30" ht="17" x14ac:dyDescent="0.25">
      <c r="A999" s="1" t="s">
        <v>1001</v>
      </c>
      <c r="B999" s="1" t="s">
        <v>3653</v>
      </c>
      <c r="C999" s="1" t="s">
        <v>2328</v>
      </c>
      <c r="D999" t="str">
        <f t="shared" si="138"/>
        <v>FEB2D6</v>
      </c>
      <c r="E999" t="str">
        <f t="shared" si="139"/>
        <v>254-178-214</v>
      </c>
      <c r="F999" t="str">
        <f t="shared" si="140"/>
        <v>254178214</v>
      </c>
      <c r="G999">
        <f t="shared" si="141"/>
        <v>254</v>
      </c>
      <c r="H999">
        <f t="shared" si="142"/>
        <v>178</v>
      </c>
      <c r="I999">
        <f t="shared" si="143"/>
        <v>214</v>
      </c>
      <c r="J999" t="str">
        <f t="shared" si="135"/>
        <v>PMR",</v>
      </c>
      <c r="K999" t="str">
        <f t="shared" si="135"/>
        <v>Paramedian reticular nucleus",</v>
      </c>
      <c r="L999" t="str">
        <f t="shared" si="136"/>
        <v>PMR</v>
      </c>
      <c r="M999" t="str">
        <f t="shared" si="136"/>
        <v>Paramedian reticular nucleus</v>
      </c>
      <c r="N999" t="s">
        <v>6455</v>
      </c>
      <c r="O999" t="s">
        <v>6456</v>
      </c>
      <c r="Y999" t="s">
        <v>6455</v>
      </c>
      <c r="Z999" t="s">
        <v>6456</v>
      </c>
      <c r="AA999" s="6" t="str">
        <f t="shared" si="137"/>
        <v/>
      </c>
      <c r="AB999">
        <v>254</v>
      </c>
      <c r="AC999">
        <v>178</v>
      </c>
      <c r="AD999">
        <v>214</v>
      </c>
    </row>
    <row r="1000" spans="1:30" ht="17" x14ac:dyDescent="0.25">
      <c r="A1000" s="1" t="s">
        <v>1002</v>
      </c>
      <c r="B1000" s="1" t="s">
        <v>3654</v>
      </c>
      <c r="C1000" s="1" t="s">
        <v>2329</v>
      </c>
      <c r="D1000" t="str">
        <f t="shared" si="138"/>
        <v>FCB2D8</v>
      </c>
      <c r="E1000" t="str">
        <f t="shared" si="139"/>
        <v>252-178-216</v>
      </c>
      <c r="F1000" t="str">
        <f t="shared" si="140"/>
        <v>252178216</v>
      </c>
      <c r="G1000">
        <f t="shared" si="141"/>
        <v>252</v>
      </c>
      <c r="H1000">
        <f t="shared" si="142"/>
        <v>178</v>
      </c>
      <c r="I1000">
        <f t="shared" si="143"/>
        <v>216</v>
      </c>
      <c r="J1000" t="str">
        <f t="shared" si="135"/>
        <v>PPY",</v>
      </c>
      <c r="K1000" t="str">
        <f t="shared" si="135"/>
        <v>Parapyramidal nucleus",</v>
      </c>
      <c r="L1000" t="str">
        <f t="shared" si="136"/>
        <v>PPY</v>
      </c>
      <c r="M1000" t="str">
        <f t="shared" si="136"/>
        <v>Parapyramidal nucleus</v>
      </c>
      <c r="N1000" t="s">
        <v>6457</v>
      </c>
      <c r="O1000" t="s">
        <v>6458</v>
      </c>
      <c r="Y1000" t="s">
        <v>6457</v>
      </c>
      <c r="Z1000" t="s">
        <v>6458</v>
      </c>
      <c r="AA1000" s="6">
        <f t="shared" si="137"/>
        <v>1069</v>
      </c>
      <c r="AB1000">
        <v>252</v>
      </c>
      <c r="AC1000">
        <v>178</v>
      </c>
      <c r="AD1000">
        <v>216</v>
      </c>
    </row>
    <row r="1001" spans="1:30" ht="17" x14ac:dyDescent="0.25">
      <c r="A1001" s="1" t="s">
        <v>1003</v>
      </c>
      <c r="B1001" s="1" t="s">
        <v>3655</v>
      </c>
      <c r="C1001" s="1" t="s">
        <v>2330</v>
      </c>
      <c r="D1001" t="str">
        <f t="shared" si="138"/>
        <v>FDB3D9</v>
      </c>
      <c r="E1001" t="str">
        <f t="shared" si="139"/>
        <v>253-179-217</v>
      </c>
      <c r="F1001" t="str">
        <f t="shared" si="140"/>
        <v>253179217</v>
      </c>
      <c r="G1001">
        <f t="shared" si="141"/>
        <v>253</v>
      </c>
      <c r="H1001">
        <f t="shared" si="142"/>
        <v>179</v>
      </c>
      <c r="I1001">
        <f t="shared" si="143"/>
        <v>217</v>
      </c>
      <c r="J1001" t="str">
        <f t="shared" si="135"/>
        <v>PPYd",</v>
      </c>
      <c r="K1001" t="str">
        <f t="shared" si="135"/>
        <v>Parapyramidal nucleus, deep part",</v>
      </c>
      <c r="L1001" t="str">
        <f t="shared" si="136"/>
        <v>PPYd</v>
      </c>
      <c r="M1001" t="str">
        <f t="shared" si="136"/>
        <v>Parapyramidal nucleus, deep part</v>
      </c>
      <c r="N1001" t="s">
        <v>6459</v>
      </c>
      <c r="O1001" t="s">
        <v>6460</v>
      </c>
      <c r="Y1001" t="s">
        <v>6459</v>
      </c>
      <c r="Z1001" t="s">
        <v>6460</v>
      </c>
      <c r="AA1001" s="6" t="str">
        <f t="shared" si="137"/>
        <v/>
      </c>
      <c r="AB1001">
        <v>253</v>
      </c>
      <c r="AC1001">
        <v>179</v>
      </c>
      <c r="AD1001">
        <v>217</v>
      </c>
    </row>
    <row r="1002" spans="1:30" ht="17" x14ac:dyDescent="0.25">
      <c r="A1002" s="1" t="s">
        <v>1004</v>
      </c>
      <c r="B1002" s="1" t="s">
        <v>3656</v>
      </c>
      <c r="C1002" s="1" t="s">
        <v>2331</v>
      </c>
      <c r="D1002" t="str">
        <f t="shared" si="138"/>
        <v>FFB2D7</v>
      </c>
      <c r="E1002" t="str">
        <f t="shared" si="139"/>
        <v>255-178-215</v>
      </c>
      <c r="F1002" t="str">
        <f t="shared" si="140"/>
        <v>255178215</v>
      </c>
      <c r="G1002">
        <f t="shared" si="141"/>
        <v>255</v>
      </c>
      <c r="H1002">
        <f t="shared" si="142"/>
        <v>178</v>
      </c>
      <c r="I1002">
        <f t="shared" si="143"/>
        <v>215</v>
      </c>
      <c r="J1002" t="str">
        <f t="shared" si="135"/>
        <v>PPYs",</v>
      </c>
      <c r="K1002" t="str">
        <f t="shared" si="135"/>
        <v>Parapyramidal nucleus, superficial part",</v>
      </c>
      <c r="L1002" t="str">
        <f t="shared" si="136"/>
        <v>PPYs</v>
      </c>
      <c r="M1002" t="str">
        <f t="shared" si="136"/>
        <v>Parapyramidal nucleus, superficial part</v>
      </c>
      <c r="N1002" t="s">
        <v>6461</v>
      </c>
      <c r="O1002" t="s">
        <v>6462</v>
      </c>
      <c r="Y1002" t="s">
        <v>6461</v>
      </c>
      <c r="Z1002" t="s">
        <v>6462</v>
      </c>
      <c r="AA1002" s="6" t="str">
        <f t="shared" si="137"/>
        <v/>
      </c>
      <c r="AB1002">
        <v>255</v>
      </c>
      <c r="AC1002">
        <v>178</v>
      </c>
      <c r="AD1002">
        <v>215</v>
      </c>
    </row>
    <row r="1003" spans="1:30" ht="17" x14ac:dyDescent="0.25">
      <c r="A1003" s="1" t="s">
        <v>1005</v>
      </c>
      <c r="B1003" s="1" t="s">
        <v>3657</v>
      </c>
      <c r="C1003" s="1" t="s">
        <v>2332</v>
      </c>
      <c r="D1003" t="str">
        <f t="shared" si="138"/>
        <v>FCB1D9</v>
      </c>
      <c r="E1003" t="str">
        <f t="shared" si="139"/>
        <v>252-177-217</v>
      </c>
      <c r="F1003" t="str">
        <f t="shared" si="140"/>
        <v>252177217</v>
      </c>
      <c r="G1003">
        <f t="shared" si="141"/>
        <v>252</v>
      </c>
      <c r="H1003">
        <f t="shared" si="142"/>
        <v>177</v>
      </c>
      <c r="I1003">
        <f t="shared" si="143"/>
        <v>217</v>
      </c>
      <c r="J1003" t="str">
        <f t="shared" si="135"/>
        <v>VNC",</v>
      </c>
      <c r="K1003" t="str">
        <f t="shared" si="135"/>
        <v>Vestibular nuclei",</v>
      </c>
      <c r="L1003" t="str">
        <f t="shared" si="136"/>
        <v>VNC</v>
      </c>
      <c r="M1003" t="str">
        <f t="shared" si="136"/>
        <v>Vestibular nuclei</v>
      </c>
      <c r="N1003" t="s">
        <v>6463</v>
      </c>
      <c r="O1003" t="s">
        <v>6464</v>
      </c>
      <c r="Y1003" t="s">
        <v>6463</v>
      </c>
      <c r="Z1003" t="s">
        <v>6464</v>
      </c>
      <c r="AA1003" s="6">
        <f t="shared" si="137"/>
        <v>701</v>
      </c>
      <c r="AB1003">
        <v>252</v>
      </c>
      <c r="AC1003">
        <v>177</v>
      </c>
      <c r="AD1003">
        <v>217</v>
      </c>
    </row>
    <row r="1004" spans="1:30" ht="17" x14ac:dyDescent="0.25">
      <c r="A1004" s="1" t="s">
        <v>1006</v>
      </c>
      <c r="B1004" s="1" t="s">
        <v>3658</v>
      </c>
      <c r="C1004" s="1" t="s">
        <v>2333</v>
      </c>
      <c r="D1004" t="str">
        <f t="shared" si="138"/>
        <v>FEB3D7</v>
      </c>
      <c r="E1004" t="str">
        <f t="shared" si="139"/>
        <v>254-179-215</v>
      </c>
      <c r="F1004" t="str">
        <f t="shared" si="140"/>
        <v>254179215</v>
      </c>
      <c r="G1004">
        <f t="shared" si="141"/>
        <v>254</v>
      </c>
      <c r="H1004">
        <f t="shared" si="142"/>
        <v>179</v>
      </c>
      <c r="I1004">
        <f t="shared" si="143"/>
        <v>215</v>
      </c>
      <c r="J1004" t="str">
        <f t="shared" si="135"/>
        <v>LAV",</v>
      </c>
      <c r="K1004" t="str">
        <f t="shared" si="135"/>
        <v>Lateral vestibular nucleus",</v>
      </c>
      <c r="L1004" t="str">
        <f t="shared" si="136"/>
        <v>LAV</v>
      </c>
      <c r="M1004" t="str">
        <f t="shared" si="136"/>
        <v>Lateral vestibular nucleus</v>
      </c>
      <c r="N1004" t="s">
        <v>6465</v>
      </c>
      <c r="O1004" t="s">
        <v>6466</v>
      </c>
      <c r="Y1004" t="s">
        <v>6465</v>
      </c>
      <c r="Z1004" t="s">
        <v>6466</v>
      </c>
      <c r="AA1004" s="6">
        <f t="shared" si="137"/>
        <v>209</v>
      </c>
      <c r="AB1004">
        <v>254</v>
      </c>
      <c r="AC1004">
        <v>179</v>
      </c>
      <c r="AD1004">
        <v>215</v>
      </c>
    </row>
    <row r="1005" spans="1:30" ht="17" x14ac:dyDescent="0.25">
      <c r="A1005" s="1" t="s">
        <v>1007</v>
      </c>
      <c r="B1005" s="1" t="s">
        <v>3659</v>
      </c>
      <c r="C1005" s="1" t="s">
        <v>2334</v>
      </c>
      <c r="D1005" t="str">
        <f t="shared" si="138"/>
        <v>FFB0D7</v>
      </c>
      <c r="E1005" t="str">
        <f t="shared" si="139"/>
        <v>255-176-215</v>
      </c>
      <c r="F1005" t="str">
        <f t="shared" si="140"/>
        <v>255176215</v>
      </c>
      <c r="G1005">
        <f t="shared" si="141"/>
        <v>255</v>
      </c>
      <c r="H1005">
        <f t="shared" si="142"/>
        <v>176</v>
      </c>
      <c r="I1005">
        <f t="shared" si="143"/>
        <v>215</v>
      </c>
      <c r="J1005" t="str">
        <f t="shared" si="135"/>
        <v>MV",</v>
      </c>
      <c r="K1005" t="str">
        <f t="shared" si="135"/>
        <v>Medial vestibular nucleus",</v>
      </c>
      <c r="L1005" t="str">
        <f t="shared" si="136"/>
        <v>MV</v>
      </c>
      <c r="M1005" t="str">
        <f t="shared" si="136"/>
        <v>Medial vestibular nucleus</v>
      </c>
      <c r="N1005" t="s">
        <v>6467</v>
      </c>
      <c r="O1005" t="s">
        <v>6468</v>
      </c>
      <c r="Y1005" t="s">
        <v>6467</v>
      </c>
      <c r="Z1005" t="s">
        <v>6468</v>
      </c>
      <c r="AA1005" s="6">
        <f t="shared" si="137"/>
        <v>202</v>
      </c>
      <c r="AB1005">
        <v>255</v>
      </c>
      <c r="AC1005">
        <v>176</v>
      </c>
      <c r="AD1005">
        <v>215</v>
      </c>
    </row>
    <row r="1006" spans="1:30" ht="17" x14ac:dyDescent="0.25">
      <c r="A1006" s="1" t="s">
        <v>1008</v>
      </c>
      <c r="B1006" s="1" t="s">
        <v>3660</v>
      </c>
      <c r="C1006" s="1" t="s">
        <v>2335</v>
      </c>
      <c r="D1006" t="str">
        <f t="shared" si="138"/>
        <v>FEB1D9</v>
      </c>
      <c r="E1006" t="str">
        <f t="shared" si="139"/>
        <v>254-177-217</v>
      </c>
      <c r="F1006" t="str">
        <f t="shared" si="140"/>
        <v>254177217</v>
      </c>
      <c r="G1006">
        <f t="shared" si="141"/>
        <v>254</v>
      </c>
      <c r="H1006">
        <f t="shared" si="142"/>
        <v>177</v>
      </c>
      <c r="I1006">
        <f t="shared" si="143"/>
        <v>217</v>
      </c>
      <c r="J1006" t="str">
        <f t="shared" si="135"/>
        <v>SPIV",</v>
      </c>
      <c r="K1006" t="str">
        <f t="shared" si="135"/>
        <v>Spinal vestibular nucleus",</v>
      </c>
      <c r="L1006" t="str">
        <f t="shared" si="136"/>
        <v>SPIV</v>
      </c>
      <c r="M1006" t="str">
        <f t="shared" si="136"/>
        <v>Spinal vestibular nucleus</v>
      </c>
      <c r="N1006" t="s">
        <v>6469</v>
      </c>
      <c r="O1006" t="s">
        <v>6470</v>
      </c>
      <c r="Y1006" t="s">
        <v>6469</v>
      </c>
      <c r="Z1006" t="s">
        <v>6470</v>
      </c>
      <c r="AA1006" s="6">
        <f t="shared" si="137"/>
        <v>225</v>
      </c>
      <c r="AB1006">
        <v>254</v>
      </c>
      <c r="AC1006">
        <v>177</v>
      </c>
      <c r="AD1006">
        <v>217</v>
      </c>
    </row>
    <row r="1007" spans="1:30" ht="17" x14ac:dyDescent="0.25">
      <c r="A1007" s="1" t="s">
        <v>1009</v>
      </c>
      <c r="B1007" s="1" t="s">
        <v>3661</v>
      </c>
      <c r="C1007" s="1" t="s">
        <v>2336</v>
      </c>
      <c r="D1007" t="str">
        <f t="shared" si="138"/>
        <v>FDB3D6</v>
      </c>
      <c r="E1007" t="str">
        <f t="shared" si="139"/>
        <v>253-179-214</v>
      </c>
      <c r="F1007" t="str">
        <f t="shared" si="140"/>
        <v>253179214</v>
      </c>
      <c r="G1007">
        <f t="shared" si="141"/>
        <v>253</v>
      </c>
      <c r="H1007">
        <f t="shared" si="142"/>
        <v>179</v>
      </c>
      <c r="I1007">
        <f t="shared" si="143"/>
        <v>214</v>
      </c>
      <c r="J1007" t="str">
        <f t="shared" si="135"/>
        <v>SUV",</v>
      </c>
      <c r="K1007" t="str">
        <f t="shared" si="135"/>
        <v>Superior vestibular nucleus",</v>
      </c>
      <c r="L1007" t="str">
        <f t="shared" si="136"/>
        <v>SUV</v>
      </c>
      <c r="M1007" t="str">
        <f t="shared" si="136"/>
        <v>Superior vestibular nucleus</v>
      </c>
      <c r="N1007" t="s">
        <v>6471</v>
      </c>
      <c r="O1007" t="s">
        <v>6472</v>
      </c>
      <c r="Y1007" t="s">
        <v>6471</v>
      </c>
      <c r="Z1007" t="s">
        <v>6472</v>
      </c>
      <c r="AA1007" s="6">
        <f t="shared" si="137"/>
        <v>217</v>
      </c>
      <c r="AB1007">
        <v>253</v>
      </c>
      <c r="AC1007">
        <v>179</v>
      </c>
      <c r="AD1007">
        <v>214</v>
      </c>
    </row>
    <row r="1008" spans="1:30" ht="17" x14ac:dyDescent="0.25">
      <c r="A1008" s="1" t="s">
        <v>1010</v>
      </c>
      <c r="B1008" s="1" t="s">
        <v>3662</v>
      </c>
      <c r="C1008" s="1" t="s">
        <v>2337</v>
      </c>
      <c r="D1008" t="str">
        <f t="shared" si="138"/>
        <v>FFB0D9</v>
      </c>
      <c r="E1008" t="str">
        <f t="shared" si="139"/>
        <v>255-176-217</v>
      </c>
      <c r="F1008" t="str">
        <f t="shared" si="140"/>
        <v>255176217</v>
      </c>
      <c r="G1008">
        <f t="shared" si="141"/>
        <v>255</v>
      </c>
      <c r="H1008">
        <f t="shared" si="142"/>
        <v>176</v>
      </c>
      <c r="I1008">
        <f t="shared" si="143"/>
        <v>217</v>
      </c>
      <c r="J1008" t="str">
        <f t="shared" si="135"/>
        <v>x",</v>
      </c>
      <c r="K1008" t="str">
        <f t="shared" si="135"/>
        <v>Nucleus x",</v>
      </c>
      <c r="L1008" t="str">
        <f t="shared" si="136"/>
        <v>x</v>
      </c>
      <c r="M1008" t="str">
        <f t="shared" si="136"/>
        <v>Nucleus x</v>
      </c>
      <c r="N1008" t="s">
        <v>6473</v>
      </c>
      <c r="O1008" t="s">
        <v>6474</v>
      </c>
      <c r="Y1008" t="s">
        <v>6473</v>
      </c>
      <c r="Z1008" t="s">
        <v>6474</v>
      </c>
      <c r="AA1008" s="6">
        <f t="shared" si="137"/>
        <v>765</v>
      </c>
      <c r="AB1008">
        <v>255</v>
      </c>
      <c r="AC1008">
        <v>176</v>
      </c>
      <c r="AD1008">
        <v>217</v>
      </c>
    </row>
    <row r="1009" spans="1:30" ht="17" x14ac:dyDescent="0.25">
      <c r="A1009" s="1" t="s">
        <v>1011</v>
      </c>
      <c r="B1009" s="1" t="s">
        <v>3663</v>
      </c>
      <c r="C1009" s="1" t="s">
        <v>2338</v>
      </c>
      <c r="D1009" t="str">
        <f t="shared" si="138"/>
        <v>FEB1D7</v>
      </c>
      <c r="E1009" t="str">
        <f t="shared" si="139"/>
        <v>254-177-215</v>
      </c>
      <c r="F1009" t="str">
        <f t="shared" si="140"/>
        <v>254177215</v>
      </c>
      <c r="G1009">
        <f t="shared" si="141"/>
        <v>254</v>
      </c>
      <c r="H1009">
        <f t="shared" si="142"/>
        <v>177</v>
      </c>
      <c r="I1009">
        <f t="shared" si="143"/>
        <v>215</v>
      </c>
      <c r="J1009" t="str">
        <f t="shared" si="135"/>
        <v>XII",</v>
      </c>
      <c r="K1009" t="str">
        <f t="shared" si="135"/>
        <v>Hypoglossal nucleus",</v>
      </c>
      <c r="L1009" t="str">
        <f t="shared" si="136"/>
        <v>XII</v>
      </c>
      <c r="M1009" t="str">
        <f t="shared" si="136"/>
        <v>Hypoglossal nucleus</v>
      </c>
      <c r="N1009" t="s">
        <v>6475</v>
      </c>
      <c r="O1009" t="s">
        <v>6476</v>
      </c>
      <c r="Y1009" t="s">
        <v>6475</v>
      </c>
      <c r="Z1009" t="s">
        <v>6476</v>
      </c>
      <c r="AA1009" s="6">
        <f>IFERROR(INDEX(R:R,MATCH($Z1009,S:S,0)),"")</f>
        <v>773</v>
      </c>
      <c r="AB1009">
        <v>254</v>
      </c>
      <c r="AC1009">
        <v>177</v>
      </c>
      <c r="AD1009">
        <v>215</v>
      </c>
    </row>
    <row r="1010" spans="1:30" ht="17" x14ac:dyDescent="0.25">
      <c r="A1010" s="1" t="s">
        <v>1012</v>
      </c>
      <c r="B1010" s="1" t="s">
        <v>3664</v>
      </c>
      <c r="C1010" s="1" t="s">
        <v>2339</v>
      </c>
      <c r="D1010" t="str">
        <f t="shared" si="138"/>
        <v>FDB2D7</v>
      </c>
      <c r="E1010" t="str">
        <f t="shared" si="139"/>
        <v>253-178-215</v>
      </c>
      <c r="F1010" t="str">
        <f t="shared" si="140"/>
        <v>253178215</v>
      </c>
      <c r="G1010">
        <f t="shared" si="141"/>
        <v>253</v>
      </c>
      <c r="H1010">
        <f t="shared" si="142"/>
        <v>178</v>
      </c>
      <c r="I1010">
        <f t="shared" si="143"/>
        <v>215</v>
      </c>
      <c r="J1010" t="str">
        <f t="shared" si="135"/>
        <v>y",</v>
      </c>
      <c r="K1010" t="str">
        <f t="shared" si="135"/>
        <v>Nucleus y",</v>
      </c>
      <c r="L1010" t="str">
        <f t="shared" si="136"/>
        <v>y</v>
      </c>
      <c r="M1010" t="str">
        <f t="shared" si="136"/>
        <v>Nucleus y</v>
      </c>
      <c r="N1010" t="s">
        <v>6477</v>
      </c>
      <c r="O1010" t="s">
        <v>6478</v>
      </c>
      <c r="Y1010" t="s">
        <v>6477</v>
      </c>
      <c r="Z1010" t="s">
        <v>6478</v>
      </c>
      <c r="AA1010" s="6">
        <f t="shared" si="137"/>
        <v>781</v>
      </c>
      <c r="AB1010">
        <v>253</v>
      </c>
      <c r="AC1010">
        <v>178</v>
      </c>
      <c r="AD1010">
        <v>215</v>
      </c>
    </row>
    <row r="1011" spans="1:30" ht="17" x14ac:dyDescent="0.25">
      <c r="A1011" s="1" t="s">
        <v>1013</v>
      </c>
      <c r="B1011" s="1" t="s">
        <v>3665</v>
      </c>
      <c r="C1011" s="1" t="s">
        <v>2340</v>
      </c>
      <c r="D1011" t="str">
        <f t="shared" si="138"/>
        <v>FFB3D9</v>
      </c>
      <c r="E1011" t="str">
        <f t="shared" si="139"/>
        <v>255-179-217</v>
      </c>
      <c r="F1011" t="str">
        <f t="shared" si="140"/>
        <v>255179217</v>
      </c>
      <c r="G1011">
        <f t="shared" si="141"/>
        <v>255</v>
      </c>
      <c r="H1011">
        <f t="shared" si="142"/>
        <v>179</v>
      </c>
      <c r="I1011">
        <f t="shared" si="143"/>
        <v>217</v>
      </c>
      <c r="J1011" t="str">
        <f t="shared" si="135"/>
        <v>INV",</v>
      </c>
      <c r="K1011" t="str">
        <f t="shared" si="135"/>
        <v>Interstitial nucleus of the vestibular nerve",</v>
      </c>
      <c r="L1011" t="str">
        <f t="shared" si="136"/>
        <v>INV</v>
      </c>
      <c r="M1011" t="str">
        <f t="shared" si="136"/>
        <v>Interstitial nucleus of the vestibular nerve</v>
      </c>
      <c r="N1011" t="s">
        <v>6479</v>
      </c>
      <c r="O1011" t="s">
        <v>6480</v>
      </c>
      <c r="Y1011" t="s">
        <v>6479</v>
      </c>
      <c r="Z1011" t="s">
        <v>6480</v>
      </c>
      <c r="AA1011" s="6" t="str">
        <f t="shared" si="137"/>
        <v/>
      </c>
      <c r="AB1011">
        <v>255</v>
      </c>
      <c r="AC1011">
        <v>179</v>
      </c>
      <c r="AD1011">
        <v>217</v>
      </c>
    </row>
    <row r="1012" spans="1:30" ht="17" x14ac:dyDescent="0.25">
      <c r="A1012" s="1" t="s">
        <v>1014</v>
      </c>
      <c r="B1012" s="1" t="s">
        <v>3666</v>
      </c>
      <c r="C1012" s="1" t="s">
        <v>2341</v>
      </c>
      <c r="D1012" t="str">
        <f t="shared" si="138"/>
        <v>FFC6E1</v>
      </c>
      <c r="E1012" t="str">
        <f t="shared" si="139"/>
        <v>255-198-225</v>
      </c>
      <c r="F1012" t="str">
        <f t="shared" si="140"/>
        <v>255198225</v>
      </c>
      <c r="G1012">
        <f t="shared" si="141"/>
        <v>255</v>
      </c>
      <c r="H1012">
        <f t="shared" si="142"/>
        <v>198</v>
      </c>
      <c r="I1012">
        <f t="shared" si="143"/>
        <v>225</v>
      </c>
      <c r="J1012" t="str">
        <f t="shared" si="135"/>
        <v>MY-sat",</v>
      </c>
      <c r="K1012" t="str">
        <f t="shared" si="135"/>
        <v>Medulla, behavioral state related",</v>
      </c>
      <c r="L1012" t="str">
        <f t="shared" si="136"/>
        <v>MY-sat</v>
      </c>
      <c r="M1012" t="str">
        <f t="shared" si="136"/>
        <v>Medulla, behavioral state related</v>
      </c>
      <c r="N1012" t="s">
        <v>6481</v>
      </c>
      <c r="O1012" t="s">
        <v>6482</v>
      </c>
      <c r="Y1012" t="s">
        <v>6481</v>
      </c>
      <c r="Z1012" t="s">
        <v>6482</v>
      </c>
      <c r="AA1012" s="6">
        <f t="shared" si="137"/>
        <v>379</v>
      </c>
      <c r="AB1012">
        <v>255</v>
      </c>
      <c r="AC1012">
        <v>198</v>
      </c>
      <c r="AD1012">
        <v>225</v>
      </c>
    </row>
    <row r="1013" spans="1:30" ht="17" x14ac:dyDescent="0.25">
      <c r="A1013" s="1" t="s">
        <v>1015</v>
      </c>
      <c r="B1013" s="1" t="s">
        <v>3667</v>
      </c>
      <c r="C1013" s="1" t="s">
        <v>2342</v>
      </c>
      <c r="D1013" t="str">
        <f t="shared" si="138"/>
        <v>FFC5E2</v>
      </c>
      <c r="E1013" t="str">
        <f t="shared" si="139"/>
        <v>255-197-226</v>
      </c>
      <c r="F1013" t="str">
        <f t="shared" si="140"/>
        <v>255197226</v>
      </c>
      <c r="G1013">
        <f t="shared" si="141"/>
        <v>255</v>
      </c>
      <c r="H1013">
        <f t="shared" si="142"/>
        <v>197</v>
      </c>
      <c r="I1013">
        <f t="shared" si="143"/>
        <v>226</v>
      </c>
      <c r="J1013" t="str">
        <f t="shared" si="135"/>
        <v>RM",</v>
      </c>
      <c r="K1013" t="str">
        <f t="shared" si="135"/>
        <v>Nucleus raphe magnus",</v>
      </c>
      <c r="L1013" t="str">
        <f t="shared" si="136"/>
        <v>RM</v>
      </c>
      <c r="M1013" t="str">
        <f t="shared" si="136"/>
        <v>Nucleus raphe magnus</v>
      </c>
      <c r="N1013" t="s">
        <v>6483</v>
      </c>
      <c r="O1013" t="s">
        <v>6484</v>
      </c>
      <c r="Y1013" t="s">
        <v>6483</v>
      </c>
      <c r="Z1013" t="s">
        <v>6484</v>
      </c>
      <c r="AA1013" s="6">
        <f t="shared" si="137"/>
        <v>206</v>
      </c>
      <c r="AB1013">
        <v>255</v>
      </c>
      <c r="AC1013">
        <v>197</v>
      </c>
      <c r="AD1013">
        <v>226</v>
      </c>
    </row>
    <row r="1014" spans="1:30" ht="17" x14ac:dyDescent="0.25">
      <c r="A1014" s="1" t="s">
        <v>1016</v>
      </c>
      <c r="B1014" s="1" t="s">
        <v>3668</v>
      </c>
      <c r="C1014" s="1" t="s">
        <v>2343</v>
      </c>
      <c r="D1014" t="str">
        <f t="shared" si="138"/>
        <v>FFC6E2</v>
      </c>
      <c r="E1014" t="str">
        <f t="shared" si="139"/>
        <v>255-198-226</v>
      </c>
      <c r="F1014" t="str">
        <f t="shared" si="140"/>
        <v>255198226</v>
      </c>
      <c r="G1014">
        <f t="shared" si="141"/>
        <v>255</v>
      </c>
      <c r="H1014">
        <f t="shared" si="142"/>
        <v>198</v>
      </c>
      <c r="I1014">
        <f t="shared" si="143"/>
        <v>226</v>
      </c>
      <c r="J1014" t="str">
        <f t="shared" si="135"/>
        <v>RPA",</v>
      </c>
      <c r="K1014" t="str">
        <f t="shared" si="135"/>
        <v>Nucleus raphe pallidus",</v>
      </c>
      <c r="L1014" t="str">
        <f t="shared" si="136"/>
        <v>RPA</v>
      </c>
      <c r="M1014" t="str">
        <f t="shared" si="136"/>
        <v>Nucleus raphe pallidus</v>
      </c>
      <c r="N1014" t="s">
        <v>6485</v>
      </c>
      <c r="O1014" t="s">
        <v>6486</v>
      </c>
      <c r="Y1014" t="s">
        <v>6485</v>
      </c>
      <c r="Z1014" t="s">
        <v>6486</v>
      </c>
      <c r="AA1014" s="6">
        <f t="shared" si="137"/>
        <v>230</v>
      </c>
      <c r="AB1014">
        <v>255</v>
      </c>
      <c r="AC1014">
        <v>198</v>
      </c>
      <c r="AD1014">
        <v>226</v>
      </c>
    </row>
    <row r="1015" spans="1:30" ht="17" x14ac:dyDescent="0.25">
      <c r="A1015" s="1" t="s">
        <v>1017</v>
      </c>
      <c r="B1015" s="1" t="s">
        <v>3669</v>
      </c>
      <c r="C1015" s="1" t="s">
        <v>2344</v>
      </c>
      <c r="D1015" t="str">
        <f t="shared" si="138"/>
        <v>FEC6E2</v>
      </c>
      <c r="E1015" t="str">
        <f t="shared" si="139"/>
        <v>254-198-226</v>
      </c>
      <c r="F1015" t="str">
        <f t="shared" si="140"/>
        <v>254198226</v>
      </c>
      <c r="G1015">
        <f t="shared" si="141"/>
        <v>254</v>
      </c>
      <c r="H1015">
        <f t="shared" si="142"/>
        <v>198</v>
      </c>
      <c r="I1015">
        <f t="shared" si="143"/>
        <v>226</v>
      </c>
      <c r="J1015" t="str">
        <f t="shared" si="135"/>
        <v>RO",</v>
      </c>
      <c r="K1015" t="str">
        <f t="shared" si="135"/>
        <v>Nucleus raphe obscurus",</v>
      </c>
      <c r="L1015" t="str">
        <f t="shared" si="136"/>
        <v>RO</v>
      </c>
      <c r="M1015" t="str">
        <f t="shared" si="136"/>
        <v>Nucleus raphe obscurus</v>
      </c>
      <c r="N1015" t="s">
        <v>6487</v>
      </c>
      <c r="O1015" t="s">
        <v>6488</v>
      </c>
      <c r="Y1015" t="s">
        <v>6487</v>
      </c>
      <c r="Z1015" t="s">
        <v>6488</v>
      </c>
      <c r="AA1015" s="6">
        <f t="shared" si="137"/>
        <v>222</v>
      </c>
      <c r="AB1015">
        <v>254</v>
      </c>
      <c r="AC1015">
        <v>198</v>
      </c>
      <c r="AD1015">
        <v>226</v>
      </c>
    </row>
    <row r="1016" spans="1:30" ht="17" x14ac:dyDescent="0.25">
      <c r="A1016" s="1" t="s">
        <v>1018</v>
      </c>
      <c r="B1016" s="1" t="s">
        <v>3670</v>
      </c>
      <c r="C1016" s="1" t="s">
        <v>2345</v>
      </c>
      <c r="D1016" t="str">
        <f t="shared" si="138"/>
        <v>F0F080</v>
      </c>
      <c r="E1016" t="str">
        <f t="shared" si="139"/>
        <v>240-240-128</v>
      </c>
      <c r="F1016" t="str">
        <f t="shared" si="140"/>
        <v>240240128</v>
      </c>
      <c r="G1016">
        <f t="shared" si="141"/>
        <v>240</v>
      </c>
      <c r="H1016">
        <f t="shared" si="142"/>
        <v>240</v>
      </c>
      <c r="I1016">
        <f t="shared" si="143"/>
        <v>128</v>
      </c>
      <c r="J1016" t="str">
        <f t="shared" si="135"/>
        <v>CB",</v>
      </c>
      <c r="K1016" t="str">
        <f t="shared" si="135"/>
        <v>Cerebellum",</v>
      </c>
      <c r="L1016" t="str">
        <f t="shared" si="136"/>
        <v>CB</v>
      </c>
      <c r="M1016" t="str">
        <f t="shared" si="136"/>
        <v>Cerebellum</v>
      </c>
      <c r="N1016" t="s">
        <v>6489</v>
      </c>
      <c r="O1016" t="s">
        <v>6490</v>
      </c>
      <c r="Y1016" t="s">
        <v>6489</v>
      </c>
      <c r="Z1016" t="s">
        <v>6490</v>
      </c>
      <c r="AA1016" s="6">
        <f t="shared" si="137"/>
        <v>512</v>
      </c>
      <c r="AB1016">
        <v>240</v>
      </c>
      <c r="AC1016">
        <v>240</v>
      </c>
      <c r="AD1016">
        <v>128</v>
      </c>
    </row>
    <row r="1017" spans="1:30" ht="17" x14ac:dyDescent="0.25">
      <c r="A1017" s="1" t="s">
        <v>1019</v>
      </c>
      <c r="B1017" s="1" t="s">
        <v>3671</v>
      </c>
      <c r="C1017" s="1" t="s">
        <v>2346</v>
      </c>
      <c r="D1017" t="str">
        <f t="shared" si="138"/>
        <v>F0EF80</v>
      </c>
      <c r="E1017" t="str">
        <f t="shared" si="139"/>
        <v>240-239-128</v>
      </c>
      <c r="F1017" t="str">
        <f t="shared" si="140"/>
        <v>240239128</v>
      </c>
      <c r="G1017">
        <f t="shared" si="141"/>
        <v>240</v>
      </c>
      <c r="H1017">
        <f t="shared" si="142"/>
        <v>239</v>
      </c>
      <c r="I1017">
        <f t="shared" si="143"/>
        <v>128</v>
      </c>
      <c r="J1017" t="str">
        <f t="shared" si="135"/>
        <v>CBX",</v>
      </c>
      <c r="K1017" t="str">
        <f t="shared" si="135"/>
        <v>Cerebellar cortex",</v>
      </c>
      <c r="L1017" t="str">
        <f t="shared" si="136"/>
        <v>CBX</v>
      </c>
      <c r="M1017" t="str">
        <f t="shared" si="136"/>
        <v>Cerebellar cortex</v>
      </c>
      <c r="N1017" t="s">
        <v>6491</v>
      </c>
      <c r="O1017" t="s">
        <v>6492</v>
      </c>
      <c r="Y1017" t="s">
        <v>6491</v>
      </c>
      <c r="Z1017" t="s">
        <v>6492</v>
      </c>
      <c r="AA1017" s="6">
        <f t="shared" si="137"/>
        <v>528</v>
      </c>
      <c r="AB1017">
        <v>240</v>
      </c>
      <c r="AC1017">
        <v>239</v>
      </c>
      <c r="AD1017">
        <v>128</v>
      </c>
    </row>
    <row r="1018" spans="1:30" ht="17" x14ac:dyDescent="0.25">
      <c r="A1018" s="1" t="s">
        <v>1020</v>
      </c>
      <c r="B1018" s="1" t="s">
        <v>3672</v>
      </c>
      <c r="C1018" s="1" t="s">
        <v>2347</v>
      </c>
      <c r="D1018" t="str">
        <f t="shared" si="138"/>
        <v>FFFA8E</v>
      </c>
      <c r="E1018" t="str">
        <f t="shared" si="139"/>
        <v>255-250-142</v>
      </c>
      <c r="F1018" t="str">
        <f t="shared" si="140"/>
        <v>255250142</v>
      </c>
      <c r="G1018">
        <f t="shared" si="141"/>
        <v>255</v>
      </c>
      <c r="H1018">
        <f t="shared" si="142"/>
        <v>250</v>
      </c>
      <c r="I1018">
        <f t="shared" si="143"/>
        <v>142</v>
      </c>
      <c r="J1018" t="str">
        <f t="shared" si="135"/>
        <v>CBXmo",</v>
      </c>
      <c r="K1018" t="str">
        <f t="shared" si="135"/>
        <v>Cerebellar cortex, molecular layer",</v>
      </c>
      <c r="L1018" t="str">
        <f t="shared" si="136"/>
        <v>CBXmo</v>
      </c>
      <c r="M1018" t="str">
        <f t="shared" si="136"/>
        <v>Cerebellar cortex, molecular layer</v>
      </c>
      <c r="N1018" t="s">
        <v>6493</v>
      </c>
      <c r="O1018" t="s">
        <v>6494</v>
      </c>
      <c r="Y1018" t="s">
        <v>6493</v>
      </c>
      <c r="Z1018" t="s">
        <v>6494</v>
      </c>
      <c r="AA1018" s="6" t="str">
        <f t="shared" si="137"/>
        <v/>
      </c>
      <c r="AB1018">
        <v>255</v>
      </c>
      <c r="AC1018">
        <v>250</v>
      </c>
      <c r="AD1018">
        <v>142</v>
      </c>
    </row>
    <row r="1019" spans="1:30" ht="17" x14ac:dyDescent="0.25">
      <c r="A1019" s="1" t="s">
        <v>1021</v>
      </c>
      <c r="B1019" s="1" t="s">
        <v>3673</v>
      </c>
      <c r="C1019" s="1" t="s">
        <v>2348</v>
      </c>
      <c r="D1019" t="str">
        <f t="shared" si="138"/>
        <v>FFF98F</v>
      </c>
      <c r="E1019" t="str">
        <f t="shared" si="139"/>
        <v>255-249-143</v>
      </c>
      <c r="F1019" t="str">
        <f t="shared" si="140"/>
        <v>255249143</v>
      </c>
      <c r="G1019">
        <f t="shared" si="141"/>
        <v>255</v>
      </c>
      <c r="H1019">
        <f t="shared" si="142"/>
        <v>249</v>
      </c>
      <c r="I1019">
        <f t="shared" si="143"/>
        <v>143</v>
      </c>
      <c r="J1019" t="str">
        <f t="shared" si="135"/>
        <v>CBXpu",</v>
      </c>
      <c r="K1019" t="str">
        <f t="shared" si="135"/>
        <v>Cerebellar cortex, Purkinje layer",</v>
      </c>
      <c r="L1019" t="str">
        <f t="shared" si="136"/>
        <v>CBXpu</v>
      </c>
      <c r="M1019" t="str">
        <f t="shared" si="136"/>
        <v>Cerebellar cortex, Purkinje layer</v>
      </c>
      <c r="N1019" t="s">
        <v>6495</v>
      </c>
      <c r="O1019" t="s">
        <v>6496</v>
      </c>
      <c r="Y1019" t="s">
        <v>6495</v>
      </c>
      <c r="Z1019" t="s">
        <v>6496</v>
      </c>
      <c r="AA1019" s="6" t="str">
        <f t="shared" si="137"/>
        <v/>
      </c>
      <c r="AB1019">
        <v>255</v>
      </c>
      <c r="AC1019">
        <v>249</v>
      </c>
      <c r="AD1019">
        <v>143</v>
      </c>
    </row>
    <row r="1020" spans="1:30" ht="17" x14ac:dyDescent="0.25">
      <c r="A1020" s="1" t="s">
        <v>1022</v>
      </c>
      <c r="B1020" s="1" t="s">
        <v>3674</v>
      </c>
      <c r="C1020" s="1" t="s">
        <v>2349</v>
      </c>
      <c r="D1020" t="str">
        <f t="shared" si="138"/>
        <v>EBE753</v>
      </c>
      <c r="E1020" t="str">
        <f t="shared" si="139"/>
        <v>235-231-83</v>
      </c>
      <c r="F1020" t="str">
        <f t="shared" si="140"/>
        <v>23523183</v>
      </c>
      <c r="G1020">
        <f t="shared" si="141"/>
        <v>235</v>
      </c>
      <c r="H1020">
        <f t="shared" si="142"/>
        <v>231</v>
      </c>
      <c r="I1020">
        <f t="shared" si="143"/>
        <v>83</v>
      </c>
      <c r="J1020" t="str">
        <f t="shared" si="135"/>
        <v>CBXgr",</v>
      </c>
      <c r="K1020" t="str">
        <f t="shared" si="135"/>
        <v>Cerebellar cortex, granular layer",</v>
      </c>
      <c r="L1020" t="str">
        <f t="shared" si="136"/>
        <v>CBXgr</v>
      </c>
      <c r="M1020" t="str">
        <f t="shared" si="136"/>
        <v>Cerebellar cortex, granular layer</v>
      </c>
      <c r="N1020" t="s">
        <v>6497</v>
      </c>
      <c r="O1020" t="s">
        <v>6498</v>
      </c>
      <c r="Y1020" t="s">
        <v>6497</v>
      </c>
      <c r="Z1020" t="s">
        <v>6498</v>
      </c>
      <c r="AA1020" s="6" t="str">
        <f t="shared" si="137"/>
        <v/>
      </c>
      <c r="AB1020">
        <v>235</v>
      </c>
      <c r="AC1020">
        <v>231</v>
      </c>
      <c r="AD1020">
        <v>83</v>
      </c>
    </row>
    <row r="1021" spans="1:30" ht="17" x14ac:dyDescent="0.25">
      <c r="A1021" s="1" t="s">
        <v>1023</v>
      </c>
      <c r="B1021" s="1" t="s">
        <v>3675</v>
      </c>
      <c r="C1021" s="1" t="s">
        <v>2350</v>
      </c>
      <c r="D1021" t="str">
        <f t="shared" si="138"/>
        <v>FFFA91</v>
      </c>
      <c r="E1021" t="str">
        <f t="shared" si="139"/>
        <v>255-250-145</v>
      </c>
      <c r="F1021" t="str">
        <f t="shared" si="140"/>
        <v>255250145</v>
      </c>
      <c r="G1021">
        <f t="shared" si="141"/>
        <v>255</v>
      </c>
      <c r="H1021">
        <f t="shared" si="142"/>
        <v>250</v>
      </c>
      <c r="I1021">
        <f t="shared" si="143"/>
        <v>145</v>
      </c>
      <c r="J1021" t="str">
        <f t="shared" si="135"/>
        <v>VERM",</v>
      </c>
      <c r="K1021" t="str">
        <f t="shared" si="135"/>
        <v>Vermal regions",</v>
      </c>
      <c r="L1021" t="str">
        <f t="shared" si="136"/>
        <v>VERM</v>
      </c>
      <c r="M1021" t="str">
        <f t="shared" si="136"/>
        <v>Vermal regions</v>
      </c>
      <c r="N1021" t="s">
        <v>6499</v>
      </c>
      <c r="O1021" t="s">
        <v>6500</v>
      </c>
      <c r="Y1021" t="s">
        <v>6499</v>
      </c>
      <c r="Z1021" t="s">
        <v>6500</v>
      </c>
      <c r="AA1021" s="6">
        <f t="shared" si="137"/>
        <v>645</v>
      </c>
      <c r="AB1021">
        <v>255</v>
      </c>
      <c r="AC1021">
        <v>250</v>
      </c>
      <c r="AD1021">
        <v>145</v>
      </c>
    </row>
    <row r="1022" spans="1:30" ht="17" x14ac:dyDescent="0.25">
      <c r="A1022" s="1" t="s">
        <v>1024</v>
      </c>
      <c r="B1022" s="1" t="s">
        <v>3676</v>
      </c>
      <c r="C1022" s="1" t="s">
        <v>2351</v>
      </c>
      <c r="D1022" t="str">
        <f t="shared" si="138"/>
        <v>FEFA91</v>
      </c>
      <c r="E1022" t="str">
        <f t="shared" si="139"/>
        <v>254-250-145</v>
      </c>
      <c r="F1022" t="str">
        <f t="shared" si="140"/>
        <v>254250145</v>
      </c>
      <c r="G1022">
        <f t="shared" si="141"/>
        <v>254</v>
      </c>
      <c r="H1022">
        <f t="shared" si="142"/>
        <v>250</v>
      </c>
      <c r="I1022">
        <f t="shared" si="143"/>
        <v>145</v>
      </c>
      <c r="J1022" t="str">
        <f t="shared" si="135"/>
        <v>LING",</v>
      </c>
      <c r="K1022" t="str">
        <f t="shared" si="135"/>
        <v>Lingula (I)",</v>
      </c>
      <c r="L1022" t="str">
        <f t="shared" si="136"/>
        <v>LING</v>
      </c>
      <c r="M1022" t="str">
        <f t="shared" si="136"/>
        <v>Lingula (I)</v>
      </c>
      <c r="N1022" t="s">
        <v>6501</v>
      </c>
      <c r="O1022" t="s">
        <v>6502</v>
      </c>
      <c r="Y1022" t="s">
        <v>6501</v>
      </c>
      <c r="Z1022" t="s">
        <v>6502</v>
      </c>
      <c r="AA1022" s="6">
        <f t="shared" si="137"/>
        <v>912</v>
      </c>
      <c r="AB1022">
        <v>254</v>
      </c>
      <c r="AC1022">
        <v>250</v>
      </c>
      <c r="AD1022">
        <v>145</v>
      </c>
    </row>
    <row r="1023" spans="1:30" ht="17" x14ac:dyDescent="0.25">
      <c r="A1023" s="1" t="s">
        <v>1025</v>
      </c>
      <c r="B1023" s="1" t="s">
        <v>3677</v>
      </c>
      <c r="C1023" s="1" t="s">
        <v>2352</v>
      </c>
      <c r="D1023" t="str">
        <f t="shared" si="138"/>
        <v>FFFC91</v>
      </c>
      <c r="E1023" t="str">
        <f t="shared" si="139"/>
        <v>255-252-145</v>
      </c>
      <c r="F1023" t="str">
        <f t="shared" si="140"/>
        <v>255252145</v>
      </c>
      <c r="G1023">
        <f t="shared" si="141"/>
        <v>255</v>
      </c>
      <c r="H1023">
        <f t="shared" si="142"/>
        <v>252</v>
      </c>
      <c r="I1023">
        <f t="shared" si="143"/>
        <v>145</v>
      </c>
      <c r="J1023" t="str">
        <f t="shared" si="135"/>
        <v>LINGmo",</v>
      </c>
      <c r="K1023" t="str">
        <f t="shared" si="135"/>
        <v>Lingula (I), molecular layer",</v>
      </c>
      <c r="L1023" t="str">
        <f t="shared" si="136"/>
        <v>LINGmo</v>
      </c>
      <c r="M1023" t="str">
        <f t="shared" si="136"/>
        <v>Lingula (I), molecular layer</v>
      </c>
      <c r="N1023" t="s">
        <v>6503</v>
      </c>
      <c r="O1023" t="s">
        <v>6504</v>
      </c>
      <c r="Y1023" t="s">
        <v>6503</v>
      </c>
      <c r="Z1023" t="s">
        <v>6504</v>
      </c>
      <c r="AA1023" s="6" t="str">
        <f t="shared" si="137"/>
        <v/>
      </c>
      <c r="AB1023">
        <v>255</v>
      </c>
      <c r="AC1023">
        <v>252</v>
      </c>
      <c r="AD1023">
        <v>145</v>
      </c>
    </row>
    <row r="1024" spans="1:30" ht="17" x14ac:dyDescent="0.25">
      <c r="A1024" s="1" t="s">
        <v>1026</v>
      </c>
      <c r="B1024" s="1" t="s">
        <v>3678</v>
      </c>
      <c r="C1024" s="1" t="s">
        <v>2353</v>
      </c>
      <c r="D1024" t="str">
        <f t="shared" si="138"/>
        <v>FEFC90</v>
      </c>
      <c r="E1024" t="str">
        <f t="shared" si="139"/>
        <v>254-252-144</v>
      </c>
      <c r="F1024" t="str">
        <f t="shared" si="140"/>
        <v>254252144</v>
      </c>
      <c r="G1024">
        <f t="shared" si="141"/>
        <v>254</v>
      </c>
      <c r="H1024">
        <f t="shared" si="142"/>
        <v>252</v>
      </c>
      <c r="I1024">
        <f t="shared" si="143"/>
        <v>144</v>
      </c>
      <c r="J1024" t="str">
        <f t="shared" si="135"/>
        <v>LINGpu",</v>
      </c>
      <c r="K1024" t="str">
        <f t="shared" si="135"/>
        <v>Lingula (I), Purkinje layer",</v>
      </c>
      <c r="L1024" t="str">
        <f t="shared" si="136"/>
        <v>LINGpu</v>
      </c>
      <c r="M1024" t="str">
        <f t="shared" si="136"/>
        <v>Lingula (I), Purkinje layer</v>
      </c>
      <c r="N1024" t="s">
        <v>6505</v>
      </c>
      <c r="O1024" t="s">
        <v>6506</v>
      </c>
      <c r="Y1024" t="s">
        <v>6505</v>
      </c>
      <c r="Z1024" t="s">
        <v>6506</v>
      </c>
      <c r="AA1024" s="6" t="str">
        <f t="shared" si="137"/>
        <v/>
      </c>
      <c r="AB1024">
        <v>254</v>
      </c>
      <c r="AC1024">
        <v>252</v>
      </c>
      <c r="AD1024">
        <v>144</v>
      </c>
    </row>
    <row r="1025" spans="1:30" ht="17" x14ac:dyDescent="0.25">
      <c r="A1025" s="1" t="s">
        <v>1027</v>
      </c>
      <c r="B1025" s="1" t="s">
        <v>3679</v>
      </c>
      <c r="C1025" s="1" t="s">
        <v>2354</v>
      </c>
      <c r="D1025" t="str">
        <f t="shared" si="138"/>
        <v>EBE553</v>
      </c>
      <c r="E1025" t="str">
        <f t="shared" si="139"/>
        <v>235-229-83</v>
      </c>
      <c r="F1025" t="str">
        <f t="shared" si="140"/>
        <v>23522983</v>
      </c>
      <c r="G1025">
        <f t="shared" si="141"/>
        <v>235</v>
      </c>
      <c r="H1025">
        <f t="shared" si="142"/>
        <v>229</v>
      </c>
      <c r="I1025">
        <f t="shared" si="143"/>
        <v>83</v>
      </c>
      <c r="J1025" t="str">
        <f t="shared" si="135"/>
        <v>LINGgr",</v>
      </c>
      <c r="K1025" t="str">
        <f t="shared" si="135"/>
        <v>Lingula (I), granular layer",</v>
      </c>
      <c r="L1025" t="str">
        <f t="shared" si="136"/>
        <v>LINGgr</v>
      </c>
      <c r="M1025" t="str">
        <f t="shared" si="136"/>
        <v>Lingula (I), granular layer</v>
      </c>
      <c r="N1025" t="s">
        <v>6507</v>
      </c>
      <c r="O1025" t="s">
        <v>6508</v>
      </c>
      <c r="Y1025" t="s">
        <v>6507</v>
      </c>
      <c r="Z1025" t="s">
        <v>6508</v>
      </c>
      <c r="AA1025" s="6" t="str">
        <f t="shared" si="137"/>
        <v/>
      </c>
      <c r="AB1025">
        <v>235</v>
      </c>
      <c r="AC1025">
        <v>229</v>
      </c>
      <c r="AD1025">
        <v>83</v>
      </c>
    </row>
    <row r="1026" spans="1:30" ht="17" x14ac:dyDescent="0.25">
      <c r="A1026" s="1" t="s">
        <v>1028</v>
      </c>
      <c r="B1026" s="1" t="s">
        <v>3680</v>
      </c>
      <c r="C1026" s="1" t="s">
        <v>2355</v>
      </c>
      <c r="D1026" t="str">
        <f t="shared" si="138"/>
        <v>FDFB91</v>
      </c>
      <c r="E1026" t="str">
        <f t="shared" si="139"/>
        <v>253-251-145</v>
      </c>
      <c r="F1026" t="str">
        <f t="shared" si="140"/>
        <v>253251145</v>
      </c>
      <c r="G1026">
        <f t="shared" si="141"/>
        <v>253</v>
      </c>
      <c r="H1026">
        <f t="shared" si="142"/>
        <v>251</v>
      </c>
      <c r="I1026">
        <f t="shared" si="143"/>
        <v>145</v>
      </c>
      <c r="J1026" t="str">
        <f t="shared" si="135"/>
        <v>CENT",</v>
      </c>
      <c r="K1026" t="str">
        <f t="shared" si="135"/>
        <v>Central lobule",</v>
      </c>
      <c r="L1026" t="str">
        <f t="shared" si="136"/>
        <v>CENT</v>
      </c>
      <c r="M1026" t="str">
        <f t="shared" si="136"/>
        <v>Central lobule</v>
      </c>
      <c r="N1026" t="s">
        <v>6509</v>
      </c>
      <c r="O1026" t="s">
        <v>6510</v>
      </c>
      <c r="Y1026" t="s">
        <v>6509</v>
      </c>
      <c r="Z1026" t="s">
        <v>6510</v>
      </c>
      <c r="AA1026" s="6">
        <f t="shared" si="137"/>
        <v>920</v>
      </c>
      <c r="AB1026">
        <v>253</v>
      </c>
      <c r="AC1026">
        <v>251</v>
      </c>
      <c r="AD1026">
        <v>145</v>
      </c>
    </row>
    <row r="1027" spans="1:30" ht="17" x14ac:dyDescent="0.25">
      <c r="A1027" s="1" t="s">
        <v>1029</v>
      </c>
      <c r="B1027" s="1" t="s">
        <v>3681</v>
      </c>
      <c r="C1027" s="1" t="s">
        <v>2356</v>
      </c>
      <c r="D1027" t="str">
        <f t="shared" si="138"/>
        <v>FDFA91</v>
      </c>
      <c r="E1027" t="str">
        <f t="shared" si="139"/>
        <v>253-250-145</v>
      </c>
      <c r="F1027" t="str">
        <f t="shared" si="140"/>
        <v>253250145</v>
      </c>
      <c r="G1027">
        <f t="shared" si="141"/>
        <v>253</v>
      </c>
      <c r="H1027">
        <f t="shared" si="142"/>
        <v>250</v>
      </c>
      <c r="I1027">
        <f t="shared" si="143"/>
        <v>145</v>
      </c>
      <c r="J1027" t="str">
        <f t="shared" ref="J1027:K1090" si="144">RIGHT(A1027,LEN(A1027)-3)</f>
        <v>CENT2",</v>
      </c>
      <c r="K1027" t="str">
        <f t="shared" si="144"/>
        <v>Lobule II",</v>
      </c>
      <c r="L1027" t="str">
        <f t="shared" ref="L1027:M1090" si="145">LEFT(J1027,LEN(J1027)-2)</f>
        <v>CENT2</v>
      </c>
      <c r="M1027" t="str">
        <f t="shared" si="145"/>
        <v>Lobule II</v>
      </c>
      <c r="N1027" t="s">
        <v>6511</v>
      </c>
      <c r="O1027" t="s">
        <v>6512</v>
      </c>
      <c r="Y1027" t="s">
        <v>6511</v>
      </c>
      <c r="Z1027" t="s">
        <v>6512</v>
      </c>
      <c r="AA1027" s="6">
        <f t="shared" ref="AA1027:AA1090" si="146">IFERROR(INDEX(R:R,MATCH($Z1027,S:S,0)),"")</f>
        <v>976</v>
      </c>
      <c r="AB1027">
        <v>253</v>
      </c>
      <c r="AC1027">
        <v>250</v>
      </c>
      <c r="AD1027">
        <v>145</v>
      </c>
    </row>
    <row r="1028" spans="1:30" ht="17" x14ac:dyDescent="0.25">
      <c r="A1028" s="1" t="s">
        <v>1030</v>
      </c>
      <c r="B1028" s="1" t="s">
        <v>3682</v>
      </c>
      <c r="C1028" s="1" t="s">
        <v>2357</v>
      </c>
      <c r="D1028" t="str">
        <f t="shared" ref="D1028:D1091" si="147">RIGHT(LEFT(C1028,9),6)</f>
        <v>FEF98F</v>
      </c>
      <c r="E1028" t="str">
        <f t="shared" ref="E1028:E1091" si="148">HEX2DEC(LEFT(D1028,2))&amp;"-"&amp;HEX2DEC(MID(D1028,3,2))&amp;"-"&amp;HEX2DEC(RIGHT(D1028,2))</f>
        <v>254-249-143</v>
      </c>
      <c r="F1028" t="str">
        <f t="shared" ref="F1028:F1091" si="149">HEX2DEC(LEFT(D1028,2))&amp;HEX2DEC(MID(D1028,3,2))&amp;HEX2DEC(RIGHT(D1028,2))</f>
        <v>254249143</v>
      </c>
      <c r="G1028">
        <f t="shared" ref="G1028:G1091" si="150">HEX2DEC(LEFT(D1028,2))</f>
        <v>254</v>
      </c>
      <c r="H1028">
        <f t="shared" ref="H1028:H1091" si="151">HEX2DEC(MID(D1028,3,2))</f>
        <v>249</v>
      </c>
      <c r="I1028">
        <f t="shared" ref="I1028:I1091" si="152">HEX2DEC(RIGHT(D1028,2))</f>
        <v>143</v>
      </c>
      <c r="J1028" t="str">
        <f t="shared" si="144"/>
        <v>CENT2mo",</v>
      </c>
      <c r="K1028" t="str">
        <f t="shared" si="144"/>
        <v>Lobule II, molecular layer",</v>
      </c>
      <c r="L1028" t="str">
        <f t="shared" si="145"/>
        <v>CENT2mo</v>
      </c>
      <c r="M1028" t="str">
        <f t="shared" si="145"/>
        <v>Lobule II, molecular layer</v>
      </c>
      <c r="N1028" t="s">
        <v>6513</v>
      </c>
      <c r="O1028" t="s">
        <v>6514</v>
      </c>
      <c r="Y1028" t="s">
        <v>6513</v>
      </c>
      <c r="Z1028" t="s">
        <v>6514</v>
      </c>
      <c r="AA1028" s="6" t="str">
        <f t="shared" si="146"/>
        <v/>
      </c>
      <c r="AB1028">
        <v>254</v>
      </c>
      <c r="AC1028">
        <v>249</v>
      </c>
      <c r="AD1028">
        <v>143</v>
      </c>
    </row>
    <row r="1029" spans="1:30" ht="17" x14ac:dyDescent="0.25">
      <c r="A1029" s="1" t="s">
        <v>1031</v>
      </c>
      <c r="B1029" s="1" t="s">
        <v>3683</v>
      </c>
      <c r="C1029" s="1" t="s">
        <v>2358</v>
      </c>
      <c r="D1029" t="str">
        <f t="shared" si="147"/>
        <v>FEF891</v>
      </c>
      <c r="E1029" t="str">
        <f t="shared" si="148"/>
        <v>254-248-145</v>
      </c>
      <c r="F1029" t="str">
        <f t="shared" si="149"/>
        <v>254248145</v>
      </c>
      <c r="G1029">
        <f t="shared" si="150"/>
        <v>254</v>
      </c>
      <c r="H1029">
        <f t="shared" si="151"/>
        <v>248</v>
      </c>
      <c r="I1029">
        <f t="shared" si="152"/>
        <v>145</v>
      </c>
      <c r="J1029" t="str">
        <f t="shared" si="144"/>
        <v>CENT2pu",</v>
      </c>
      <c r="K1029" t="str">
        <f t="shared" si="144"/>
        <v>Lobule II, Purkinje layer",</v>
      </c>
      <c r="L1029" t="str">
        <f t="shared" si="145"/>
        <v>CENT2pu</v>
      </c>
      <c r="M1029" t="str">
        <f t="shared" si="145"/>
        <v>Lobule II, Purkinje layer</v>
      </c>
      <c r="N1029" t="s">
        <v>6515</v>
      </c>
      <c r="O1029" t="s">
        <v>6516</v>
      </c>
      <c r="Y1029" t="s">
        <v>6515</v>
      </c>
      <c r="Z1029" t="s">
        <v>6516</v>
      </c>
      <c r="AA1029" s="6" t="str">
        <f t="shared" si="146"/>
        <v/>
      </c>
      <c r="AB1029">
        <v>254</v>
      </c>
      <c r="AC1029">
        <v>248</v>
      </c>
      <c r="AD1029">
        <v>145</v>
      </c>
    </row>
    <row r="1030" spans="1:30" ht="17" x14ac:dyDescent="0.25">
      <c r="A1030" s="1" t="s">
        <v>1032</v>
      </c>
      <c r="B1030" s="1" t="s">
        <v>3684</v>
      </c>
      <c r="C1030" s="1" t="s">
        <v>2359</v>
      </c>
      <c r="D1030" t="str">
        <f t="shared" si="147"/>
        <v>EBE654</v>
      </c>
      <c r="E1030" t="str">
        <f t="shared" si="148"/>
        <v>235-230-84</v>
      </c>
      <c r="F1030" t="str">
        <f t="shared" si="149"/>
        <v>23523084</v>
      </c>
      <c r="G1030">
        <f t="shared" si="150"/>
        <v>235</v>
      </c>
      <c r="H1030">
        <f t="shared" si="151"/>
        <v>230</v>
      </c>
      <c r="I1030">
        <f t="shared" si="152"/>
        <v>84</v>
      </c>
      <c r="J1030" t="str">
        <f t="shared" si="144"/>
        <v>CENT2gr",</v>
      </c>
      <c r="K1030" t="str">
        <f t="shared" si="144"/>
        <v>Lobule II, granular layer",</v>
      </c>
      <c r="L1030" t="str">
        <f t="shared" si="145"/>
        <v>CENT2gr</v>
      </c>
      <c r="M1030" t="str">
        <f t="shared" si="145"/>
        <v>Lobule II, granular layer</v>
      </c>
      <c r="N1030" t="s">
        <v>6517</v>
      </c>
      <c r="O1030" t="s">
        <v>6518</v>
      </c>
      <c r="Y1030" t="s">
        <v>6517</v>
      </c>
      <c r="Z1030" t="s">
        <v>6518</v>
      </c>
      <c r="AA1030" s="6" t="str">
        <f t="shared" si="146"/>
        <v/>
      </c>
      <c r="AB1030">
        <v>235</v>
      </c>
      <c r="AC1030">
        <v>230</v>
      </c>
      <c r="AD1030">
        <v>84</v>
      </c>
    </row>
    <row r="1031" spans="1:30" ht="17" x14ac:dyDescent="0.25">
      <c r="A1031" s="1" t="s">
        <v>1033</v>
      </c>
      <c r="B1031" s="1" t="s">
        <v>3685</v>
      </c>
      <c r="C1031" s="1" t="s">
        <v>2360</v>
      </c>
      <c r="D1031" t="str">
        <f t="shared" si="147"/>
        <v>FFFC8E</v>
      </c>
      <c r="E1031" t="str">
        <f t="shared" si="148"/>
        <v>255-252-142</v>
      </c>
      <c r="F1031" t="str">
        <f t="shared" si="149"/>
        <v>255252142</v>
      </c>
      <c r="G1031">
        <f t="shared" si="150"/>
        <v>255</v>
      </c>
      <c r="H1031">
        <f t="shared" si="151"/>
        <v>252</v>
      </c>
      <c r="I1031">
        <f t="shared" si="152"/>
        <v>142</v>
      </c>
      <c r="J1031" t="str">
        <f t="shared" si="144"/>
        <v>CENT3",</v>
      </c>
      <c r="K1031" t="str">
        <f t="shared" si="144"/>
        <v>Lobule III",</v>
      </c>
      <c r="L1031" t="str">
        <f t="shared" si="145"/>
        <v>CENT3</v>
      </c>
      <c r="M1031" t="str">
        <f t="shared" si="145"/>
        <v>Lobule III</v>
      </c>
      <c r="N1031" t="s">
        <v>6519</v>
      </c>
      <c r="O1031" t="s">
        <v>6520</v>
      </c>
      <c r="Y1031" t="s">
        <v>6519</v>
      </c>
      <c r="Z1031" t="s">
        <v>6520</v>
      </c>
      <c r="AA1031" s="6">
        <f t="shared" si="146"/>
        <v>984</v>
      </c>
      <c r="AB1031">
        <v>255</v>
      </c>
      <c r="AC1031">
        <v>252</v>
      </c>
      <c r="AD1031">
        <v>142</v>
      </c>
    </row>
    <row r="1032" spans="1:30" ht="17" x14ac:dyDescent="0.25">
      <c r="A1032" s="1" t="s">
        <v>1034</v>
      </c>
      <c r="B1032" s="1" t="s">
        <v>3686</v>
      </c>
      <c r="C1032" s="1" t="s">
        <v>2361</v>
      </c>
      <c r="D1032" t="str">
        <f t="shared" si="147"/>
        <v>FDF98F</v>
      </c>
      <c r="E1032" t="str">
        <f t="shared" si="148"/>
        <v>253-249-143</v>
      </c>
      <c r="F1032" t="str">
        <f t="shared" si="149"/>
        <v>253249143</v>
      </c>
      <c r="G1032">
        <f t="shared" si="150"/>
        <v>253</v>
      </c>
      <c r="H1032">
        <f t="shared" si="151"/>
        <v>249</v>
      </c>
      <c r="I1032">
        <f t="shared" si="152"/>
        <v>143</v>
      </c>
      <c r="J1032" t="str">
        <f t="shared" si="144"/>
        <v>CENT3mo",</v>
      </c>
      <c r="K1032" t="str">
        <f t="shared" si="144"/>
        <v>Lobule III, molecular layer",</v>
      </c>
      <c r="L1032" t="str">
        <f t="shared" si="145"/>
        <v>CENT3mo</v>
      </c>
      <c r="M1032" t="str">
        <f t="shared" si="145"/>
        <v>Lobule III, molecular layer</v>
      </c>
      <c r="N1032" t="s">
        <v>6521</v>
      </c>
      <c r="O1032" t="s">
        <v>6522</v>
      </c>
      <c r="Y1032" t="s">
        <v>6521</v>
      </c>
      <c r="Z1032" t="s">
        <v>6522</v>
      </c>
      <c r="AA1032" s="6" t="str">
        <f t="shared" si="146"/>
        <v/>
      </c>
      <c r="AB1032">
        <v>253</v>
      </c>
      <c r="AC1032">
        <v>249</v>
      </c>
      <c r="AD1032">
        <v>143</v>
      </c>
    </row>
    <row r="1033" spans="1:30" ht="17" x14ac:dyDescent="0.25">
      <c r="A1033" s="1" t="s">
        <v>1035</v>
      </c>
      <c r="B1033" s="1" t="s">
        <v>3687</v>
      </c>
      <c r="C1033" s="1" t="s">
        <v>2362</v>
      </c>
      <c r="D1033" t="str">
        <f t="shared" si="147"/>
        <v>FFFC90</v>
      </c>
      <c r="E1033" t="str">
        <f t="shared" si="148"/>
        <v>255-252-144</v>
      </c>
      <c r="F1033" t="str">
        <f t="shared" si="149"/>
        <v>255252144</v>
      </c>
      <c r="G1033">
        <f t="shared" si="150"/>
        <v>255</v>
      </c>
      <c r="H1033">
        <f t="shared" si="151"/>
        <v>252</v>
      </c>
      <c r="I1033">
        <f t="shared" si="152"/>
        <v>144</v>
      </c>
      <c r="J1033" t="str">
        <f t="shared" si="144"/>
        <v>CENT3pu",</v>
      </c>
      <c r="K1033" t="str">
        <f t="shared" si="144"/>
        <v>Lobule III, Purkinje layer",</v>
      </c>
      <c r="L1033" t="str">
        <f t="shared" si="145"/>
        <v>CENT3pu</v>
      </c>
      <c r="M1033" t="str">
        <f t="shared" si="145"/>
        <v>Lobule III, Purkinje layer</v>
      </c>
      <c r="N1033" t="s">
        <v>6523</v>
      </c>
      <c r="O1033" t="s">
        <v>6524</v>
      </c>
      <c r="Y1033" t="s">
        <v>6523</v>
      </c>
      <c r="Z1033" t="s">
        <v>6524</v>
      </c>
      <c r="AA1033" s="6" t="str">
        <f t="shared" si="146"/>
        <v/>
      </c>
      <c r="AB1033">
        <v>255</v>
      </c>
      <c r="AC1033">
        <v>252</v>
      </c>
      <c r="AD1033">
        <v>144</v>
      </c>
    </row>
    <row r="1034" spans="1:30" ht="17" x14ac:dyDescent="0.25">
      <c r="A1034" s="1" t="s">
        <v>1036</v>
      </c>
      <c r="B1034" s="1" t="s">
        <v>3688</v>
      </c>
      <c r="C1034" s="1" t="s">
        <v>2363</v>
      </c>
      <c r="D1034" t="str">
        <f t="shared" si="147"/>
        <v>ECE654</v>
      </c>
      <c r="E1034" t="str">
        <f t="shared" si="148"/>
        <v>236-230-84</v>
      </c>
      <c r="F1034" t="str">
        <f t="shared" si="149"/>
        <v>23623084</v>
      </c>
      <c r="G1034">
        <f t="shared" si="150"/>
        <v>236</v>
      </c>
      <c r="H1034">
        <f t="shared" si="151"/>
        <v>230</v>
      </c>
      <c r="I1034">
        <f t="shared" si="152"/>
        <v>84</v>
      </c>
      <c r="J1034" t="str">
        <f t="shared" si="144"/>
        <v>CENT3gr",</v>
      </c>
      <c r="K1034" t="str">
        <f t="shared" si="144"/>
        <v>Lobule III, granular layer",</v>
      </c>
      <c r="L1034" t="str">
        <f t="shared" si="145"/>
        <v>CENT3gr</v>
      </c>
      <c r="M1034" t="str">
        <f t="shared" si="145"/>
        <v>Lobule III, granular layer</v>
      </c>
      <c r="N1034" t="s">
        <v>6525</v>
      </c>
      <c r="O1034" t="s">
        <v>6526</v>
      </c>
      <c r="Y1034" t="s">
        <v>6525</v>
      </c>
      <c r="Z1034" t="s">
        <v>6526</v>
      </c>
      <c r="AA1034" s="6" t="str">
        <f t="shared" si="146"/>
        <v/>
      </c>
      <c r="AB1034">
        <v>236</v>
      </c>
      <c r="AC1034">
        <v>230</v>
      </c>
      <c r="AD1034">
        <v>84</v>
      </c>
    </row>
    <row r="1035" spans="1:30" ht="17" x14ac:dyDescent="0.25">
      <c r="A1035" s="1" t="s">
        <v>1037</v>
      </c>
      <c r="B1035" s="1" t="s">
        <v>3689</v>
      </c>
      <c r="C1035" s="1" t="s">
        <v>2364</v>
      </c>
      <c r="D1035" t="str">
        <f t="shared" si="147"/>
        <v>FEFB8F</v>
      </c>
      <c r="E1035" t="str">
        <f t="shared" si="148"/>
        <v>254-251-143</v>
      </c>
      <c r="F1035" t="str">
        <f t="shared" si="149"/>
        <v>254251143</v>
      </c>
      <c r="G1035">
        <f t="shared" si="150"/>
        <v>254</v>
      </c>
      <c r="H1035">
        <f t="shared" si="151"/>
        <v>251</v>
      </c>
      <c r="I1035">
        <f t="shared" si="152"/>
        <v>143</v>
      </c>
      <c r="J1035" t="str">
        <f t="shared" si="144"/>
        <v>CUL",</v>
      </c>
      <c r="K1035" t="str">
        <f t="shared" si="144"/>
        <v>Culmen",</v>
      </c>
      <c r="L1035" t="str">
        <f t="shared" si="145"/>
        <v>CUL</v>
      </c>
      <c r="M1035" t="str">
        <f t="shared" si="145"/>
        <v>Culmen</v>
      </c>
      <c r="N1035" t="s">
        <v>6527</v>
      </c>
      <c r="O1035" t="s">
        <v>6528</v>
      </c>
      <c r="Y1035" t="s">
        <v>6527</v>
      </c>
      <c r="Z1035" t="s">
        <v>6528</v>
      </c>
      <c r="AA1035" s="6">
        <f t="shared" si="146"/>
        <v>928</v>
      </c>
      <c r="AB1035">
        <v>254</v>
      </c>
      <c r="AC1035">
        <v>251</v>
      </c>
      <c r="AD1035">
        <v>143</v>
      </c>
    </row>
    <row r="1036" spans="1:30" ht="17" x14ac:dyDescent="0.25">
      <c r="A1036" s="1" t="s">
        <v>1038</v>
      </c>
      <c r="B1036" s="1" t="s">
        <v>3690</v>
      </c>
      <c r="C1036" s="1" t="s">
        <v>2365</v>
      </c>
      <c r="D1036" t="str">
        <f t="shared" si="147"/>
        <v>FFF991</v>
      </c>
      <c r="E1036" t="str">
        <f t="shared" si="148"/>
        <v>255-249-145</v>
      </c>
      <c r="F1036" t="str">
        <f t="shared" si="149"/>
        <v>255249145</v>
      </c>
      <c r="G1036">
        <f t="shared" si="150"/>
        <v>255</v>
      </c>
      <c r="H1036">
        <f t="shared" si="151"/>
        <v>249</v>
      </c>
      <c r="I1036">
        <f t="shared" si="152"/>
        <v>145</v>
      </c>
      <c r="J1036" t="str">
        <f t="shared" si="144"/>
        <v>CUL4",</v>
      </c>
      <c r="K1036" t="str">
        <f t="shared" si="144"/>
        <v>Lobule IV",</v>
      </c>
      <c r="L1036" t="str">
        <f t="shared" si="145"/>
        <v>CUL4</v>
      </c>
      <c r="M1036" t="str">
        <f t="shared" si="145"/>
        <v>Lobule IV</v>
      </c>
      <c r="N1036" t="s">
        <v>6529</v>
      </c>
      <c r="O1036" t="s">
        <v>6530</v>
      </c>
      <c r="Y1036" t="s">
        <v>6529</v>
      </c>
      <c r="Z1036" t="s">
        <v>6530</v>
      </c>
      <c r="AA1036" s="6" t="str">
        <f t="shared" si="146"/>
        <v/>
      </c>
      <c r="AB1036">
        <v>255</v>
      </c>
      <c r="AC1036">
        <v>249</v>
      </c>
      <c r="AD1036">
        <v>145</v>
      </c>
    </row>
    <row r="1037" spans="1:30" ht="17" x14ac:dyDescent="0.25">
      <c r="A1037" s="1" t="s">
        <v>1039</v>
      </c>
      <c r="B1037" s="1" t="s">
        <v>3691</v>
      </c>
      <c r="C1037" s="1" t="s">
        <v>2366</v>
      </c>
      <c r="D1037" t="str">
        <f t="shared" si="147"/>
        <v>FDFA90</v>
      </c>
      <c r="E1037" t="str">
        <f t="shared" si="148"/>
        <v>253-250-144</v>
      </c>
      <c r="F1037" t="str">
        <f t="shared" si="149"/>
        <v>253250144</v>
      </c>
      <c r="G1037">
        <f t="shared" si="150"/>
        <v>253</v>
      </c>
      <c r="H1037">
        <f t="shared" si="151"/>
        <v>250</v>
      </c>
      <c r="I1037">
        <f t="shared" si="152"/>
        <v>144</v>
      </c>
      <c r="J1037" t="str">
        <f t="shared" si="144"/>
        <v>CUL4mo",</v>
      </c>
      <c r="K1037" t="str">
        <f t="shared" si="144"/>
        <v>Lobule IV, molecular layer",</v>
      </c>
      <c r="L1037" t="str">
        <f t="shared" si="145"/>
        <v>CUL4mo</v>
      </c>
      <c r="M1037" t="str">
        <f t="shared" si="145"/>
        <v>Lobule IV, molecular layer</v>
      </c>
      <c r="N1037" t="s">
        <v>6531</v>
      </c>
      <c r="O1037" t="s">
        <v>6532</v>
      </c>
      <c r="Y1037" t="s">
        <v>6531</v>
      </c>
      <c r="Z1037" t="s">
        <v>6532</v>
      </c>
      <c r="AA1037" s="6" t="str">
        <f t="shared" si="146"/>
        <v/>
      </c>
      <c r="AB1037">
        <v>253</v>
      </c>
      <c r="AC1037">
        <v>250</v>
      </c>
      <c r="AD1037">
        <v>144</v>
      </c>
    </row>
    <row r="1038" spans="1:30" ht="17" x14ac:dyDescent="0.25">
      <c r="A1038" s="1" t="s">
        <v>1040</v>
      </c>
      <c r="B1038" s="1" t="s">
        <v>3692</v>
      </c>
      <c r="C1038" s="1" t="s">
        <v>2367</v>
      </c>
      <c r="D1038" t="str">
        <f t="shared" si="147"/>
        <v>FDFB8E</v>
      </c>
      <c r="E1038" t="str">
        <f t="shared" si="148"/>
        <v>253-251-142</v>
      </c>
      <c r="F1038" t="str">
        <f t="shared" si="149"/>
        <v>253251142</v>
      </c>
      <c r="G1038">
        <f t="shared" si="150"/>
        <v>253</v>
      </c>
      <c r="H1038">
        <f t="shared" si="151"/>
        <v>251</v>
      </c>
      <c r="I1038">
        <f t="shared" si="152"/>
        <v>142</v>
      </c>
      <c r="J1038" t="str">
        <f t="shared" si="144"/>
        <v>CUL4pu",</v>
      </c>
      <c r="K1038" t="str">
        <f t="shared" si="144"/>
        <v>Lobule IV, Purkinje layer",</v>
      </c>
      <c r="L1038" t="str">
        <f t="shared" si="145"/>
        <v>CUL4pu</v>
      </c>
      <c r="M1038" t="str">
        <f t="shared" si="145"/>
        <v>Lobule IV, Purkinje layer</v>
      </c>
      <c r="N1038" t="s">
        <v>6533</v>
      </c>
      <c r="O1038" t="s">
        <v>6534</v>
      </c>
      <c r="Y1038" t="s">
        <v>6533</v>
      </c>
      <c r="Z1038" t="s">
        <v>6534</v>
      </c>
      <c r="AA1038" s="6" t="str">
        <f t="shared" si="146"/>
        <v/>
      </c>
      <c r="AB1038">
        <v>253</v>
      </c>
      <c r="AC1038">
        <v>251</v>
      </c>
      <c r="AD1038">
        <v>142</v>
      </c>
    </row>
    <row r="1039" spans="1:30" ht="17" x14ac:dyDescent="0.25">
      <c r="A1039" s="1" t="s">
        <v>1041</v>
      </c>
      <c r="B1039" s="1" t="s">
        <v>3693</v>
      </c>
      <c r="C1039" s="1" t="s">
        <v>2368</v>
      </c>
      <c r="D1039" t="str">
        <f t="shared" si="147"/>
        <v>ECE754</v>
      </c>
      <c r="E1039" t="str">
        <f t="shared" si="148"/>
        <v>236-231-84</v>
      </c>
      <c r="F1039" t="str">
        <f t="shared" si="149"/>
        <v>23623184</v>
      </c>
      <c r="G1039">
        <f t="shared" si="150"/>
        <v>236</v>
      </c>
      <c r="H1039">
        <f t="shared" si="151"/>
        <v>231</v>
      </c>
      <c r="I1039">
        <f t="shared" si="152"/>
        <v>84</v>
      </c>
      <c r="J1039" t="str">
        <f t="shared" si="144"/>
        <v>CUL4gr",</v>
      </c>
      <c r="K1039" t="str">
        <f t="shared" si="144"/>
        <v>Lobule IV, granular layer",</v>
      </c>
      <c r="L1039" t="str">
        <f t="shared" si="145"/>
        <v>CUL4gr</v>
      </c>
      <c r="M1039" t="str">
        <f t="shared" si="145"/>
        <v>Lobule IV, granular layer</v>
      </c>
      <c r="N1039" t="s">
        <v>6535</v>
      </c>
      <c r="O1039" t="s">
        <v>6536</v>
      </c>
      <c r="Y1039" t="s">
        <v>6535</v>
      </c>
      <c r="Z1039" t="s">
        <v>6536</v>
      </c>
      <c r="AA1039" s="6" t="str">
        <f t="shared" si="146"/>
        <v/>
      </c>
      <c r="AB1039">
        <v>236</v>
      </c>
      <c r="AC1039">
        <v>231</v>
      </c>
      <c r="AD1039">
        <v>84</v>
      </c>
    </row>
    <row r="1040" spans="1:30" ht="17" x14ac:dyDescent="0.25">
      <c r="A1040" s="1" t="s">
        <v>1042</v>
      </c>
      <c r="B1040" s="1" t="s">
        <v>3694</v>
      </c>
      <c r="C1040" s="1" t="s">
        <v>2369</v>
      </c>
      <c r="D1040" t="str">
        <f t="shared" si="147"/>
        <v>FEFA8F</v>
      </c>
      <c r="E1040" t="str">
        <f t="shared" si="148"/>
        <v>254-250-143</v>
      </c>
      <c r="F1040" t="str">
        <f t="shared" si="149"/>
        <v>254250143</v>
      </c>
      <c r="G1040">
        <f t="shared" si="150"/>
        <v>254</v>
      </c>
      <c r="H1040">
        <f t="shared" si="151"/>
        <v>250</v>
      </c>
      <c r="I1040">
        <f t="shared" si="152"/>
        <v>143</v>
      </c>
      <c r="J1040" t="str">
        <f t="shared" si="144"/>
        <v>CUL5",</v>
      </c>
      <c r="K1040" t="str">
        <f t="shared" si="144"/>
        <v>Lobule V",</v>
      </c>
      <c r="L1040" t="str">
        <f t="shared" si="145"/>
        <v>CUL5</v>
      </c>
      <c r="M1040" t="str">
        <f t="shared" si="145"/>
        <v>Lobule V</v>
      </c>
      <c r="N1040" t="s">
        <v>6537</v>
      </c>
      <c r="O1040" t="s">
        <v>6538</v>
      </c>
      <c r="Y1040" t="s">
        <v>6537</v>
      </c>
      <c r="Z1040" t="s">
        <v>6538</v>
      </c>
      <c r="AA1040" s="6" t="str">
        <f t="shared" si="146"/>
        <v/>
      </c>
      <c r="AB1040">
        <v>254</v>
      </c>
      <c r="AC1040">
        <v>250</v>
      </c>
      <c r="AD1040">
        <v>143</v>
      </c>
    </row>
    <row r="1041" spans="1:30" ht="17" x14ac:dyDescent="0.25">
      <c r="A1041" s="1" t="s">
        <v>1043</v>
      </c>
      <c r="B1041" s="1" t="s">
        <v>3695</v>
      </c>
      <c r="C1041" s="1" t="s">
        <v>2370</v>
      </c>
      <c r="D1041" t="str">
        <f t="shared" si="147"/>
        <v>FEFC8D</v>
      </c>
      <c r="E1041" t="str">
        <f t="shared" si="148"/>
        <v>254-252-141</v>
      </c>
      <c r="F1041" t="str">
        <f t="shared" si="149"/>
        <v>254252141</v>
      </c>
      <c r="G1041">
        <f t="shared" si="150"/>
        <v>254</v>
      </c>
      <c r="H1041">
        <f t="shared" si="151"/>
        <v>252</v>
      </c>
      <c r="I1041">
        <f t="shared" si="152"/>
        <v>141</v>
      </c>
      <c r="J1041" t="str">
        <f t="shared" si="144"/>
        <v>CUL5mo",</v>
      </c>
      <c r="K1041" t="str">
        <f t="shared" si="144"/>
        <v>Lobule V, molecular layer",</v>
      </c>
      <c r="L1041" t="str">
        <f t="shared" si="145"/>
        <v>CUL5mo</v>
      </c>
      <c r="M1041" t="str">
        <f t="shared" si="145"/>
        <v>Lobule V, molecular layer</v>
      </c>
      <c r="N1041" t="s">
        <v>6539</v>
      </c>
      <c r="O1041" t="s">
        <v>6540</v>
      </c>
      <c r="Y1041" t="s">
        <v>6539</v>
      </c>
      <c r="Z1041" t="s">
        <v>6540</v>
      </c>
      <c r="AA1041" s="6" t="str">
        <f t="shared" si="146"/>
        <v/>
      </c>
      <c r="AB1041">
        <v>254</v>
      </c>
      <c r="AC1041">
        <v>252</v>
      </c>
      <c r="AD1041">
        <v>141</v>
      </c>
    </row>
    <row r="1042" spans="1:30" ht="17" x14ac:dyDescent="0.25">
      <c r="A1042" s="1" t="s">
        <v>1044</v>
      </c>
      <c r="B1042" s="1" t="s">
        <v>3696</v>
      </c>
      <c r="C1042" s="1" t="s">
        <v>2371</v>
      </c>
      <c r="D1042" t="str">
        <f t="shared" si="147"/>
        <v>FFF890</v>
      </c>
      <c r="E1042" t="str">
        <f t="shared" si="148"/>
        <v>255-248-144</v>
      </c>
      <c r="F1042" t="str">
        <f t="shared" si="149"/>
        <v>255248144</v>
      </c>
      <c r="G1042">
        <f t="shared" si="150"/>
        <v>255</v>
      </c>
      <c r="H1042">
        <f t="shared" si="151"/>
        <v>248</v>
      </c>
      <c r="I1042">
        <f t="shared" si="152"/>
        <v>144</v>
      </c>
      <c r="J1042" t="str">
        <f t="shared" si="144"/>
        <v>CUL5pu",</v>
      </c>
      <c r="K1042" t="str">
        <f t="shared" si="144"/>
        <v>Lobule V, Purkinje layer",</v>
      </c>
      <c r="L1042" t="str">
        <f t="shared" si="145"/>
        <v>CUL5pu</v>
      </c>
      <c r="M1042" t="str">
        <f t="shared" si="145"/>
        <v>Lobule V, Purkinje layer</v>
      </c>
      <c r="N1042" t="s">
        <v>6541</v>
      </c>
      <c r="O1042" t="s">
        <v>6542</v>
      </c>
      <c r="Y1042" t="s">
        <v>6541</v>
      </c>
      <c r="Z1042" t="s">
        <v>6542</v>
      </c>
      <c r="AA1042" s="6" t="str">
        <f t="shared" si="146"/>
        <v/>
      </c>
      <c r="AB1042">
        <v>255</v>
      </c>
      <c r="AC1042">
        <v>248</v>
      </c>
      <c r="AD1042">
        <v>144</v>
      </c>
    </row>
    <row r="1043" spans="1:30" ht="17" x14ac:dyDescent="0.25">
      <c r="A1043" s="1" t="s">
        <v>1045</v>
      </c>
      <c r="B1043" s="1" t="s">
        <v>3697</v>
      </c>
      <c r="C1043" s="1" t="s">
        <v>2372</v>
      </c>
      <c r="D1043" t="str">
        <f t="shared" si="147"/>
        <v>EBE554</v>
      </c>
      <c r="E1043" t="str">
        <f t="shared" si="148"/>
        <v>235-229-84</v>
      </c>
      <c r="F1043" t="str">
        <f t="shared" si="149"/>
        <v>23522984</v>
      </c>
      <c r="G1043">
        <f t="shared" si="150"/>
        <v>235</v>
      </c>
      <c r="H1043">
        <f t="shared" si="151"/>
        <v>229</v>
      </c>
      <c r="I1043">
        <f t="shared" si="152"/>
        <v>84</v>
      </c>
      <c r="J1043" t="str">
        <f t="shared" si="144"/>
        <v>CUL5gr",</v>
      </c>
      <c r="K1043" t="str">
        <f t="shared" si="144"/>
        <v>Lobule V, granular layer",</v>
      </c>
      <c r="L1043" t="str">
        <f t="shared" si="145"/>
        <v>CUL5gr</v>
      </c>
      <c r="M1043" t="str">
        <f t="shared" si="145"/>
        <v>Lobule V, granular layer</v>
      </c>
      <c r="N1043" t="s">
        <v>6543</v>
      </c>
      <c r="O1043" t="s">
        <v>6544</v>
      </c>
      <c r="Y1043" t="s">
        <v>6543</v>
      </c>
      <c r="Z1043" t="s">
        <v>6544</v>
      </c>
      <c r="AA1043" s="6" t="str">
        <f t="shared" si="146"/>
        <v/>
      </c>
      <c r="AB1043">
        <v>235</v>
      </c>
      <c r="AC1043">
        <v>229</v>
      </c>
      <c r="AD1043">
        <v>84</v>
      </c>
    </row>
    <row r="1044" spans="1:30" ht="17" x14ac:dyDescent="0.25">
      <c r="A1044" s="1" t="s">
        <v>1046</v>
      </c>
      <c r="B1044" s="1" t="s">
        <v>3698</v>
      </c>
      <c r="C1044" s="1" t="s">
        <v>2373</v>
      </c>
      <c r="D1044" t="str">
        <f t="shared" si="147"/>
        <v>FCFB90</v>
      </c>
      <c r="E1044" t="str">
        <f t="shared" si="148"/>
        <v>252-251-144</v>
      </c>
      <c r="F1044" t="str">
        <f t="shared" si="149"/>
        <v>252251144</v>
      </c>
      <c r="G1044">
        <f t="shared" si="150"/>
        <v>252</v>
      </c>
      <c r="H1044">
        <f t="shared" si="151"/>
        <v>251</v>
      </c>
      <c r="I1044">
        <f t="shared" si="152"/>
        <v>144</v>
      </c>
      <c r="J1044" t="str">
        <f t="shared" si="144"/>
        <v>CUL4, 5",</v>
      </c>
      <c r="K1044" t="str">
        <f t="shared" si="144"/>
        <v>Lobules IV-V",</v>
      </c>
      <c r="L1044" t="str">
        <f t="shared" si="145"/>
        <v>CUL4, 5</v>
      </c>
      <c r="M1044" t="str">
        <f t="shared" si="145"/>
        <v>Lobules IV-V</v>
      </c>
      <c r="N1044" t="s">
        <v>6545</v>
      </c>
      <c r="O1044" t="s">
        <v>6546</v>
      </c>
      <c r="Y1044" t="s">
        <v>6545</v>
      </c>
      <c r="Z1044" t="s">
        <v>6546</v>
      </c>
      <c r="AA1044" s="6">
        <f t="shared" si="146"/>
        <v>1091</v>
      </c>
      <c r="AB1044">
        <v>252</v>
      </c>
      <c r="AC1044">
        <v>251</v>
      </c>
      <c r="AD1044">
        <v>144</v>
      </c>
    </row>
    <row r="1045" spans="1:30" ht="17" x14ac:dyDescent="0.25">
      <c r="A1045" s="1" t="s">
        <v>1047</v>
      </c>
      <c r="B1045" s="1" t="s">
        <v>3699</v>
      </c>
      <c r="C1045" s="1" t="s">
        <v>2374</v>
      </c>
      <c r="D1045" t="str">
        <f t="shared" si="147"/>
        <v>FEFB91</v>
      </c>
      <c r="E1045" t="str">
        <f t="shared" si="148"/>
        <v>254-251-145</v>
      </c>
      <c r="F1045" t="str">
        <f t="shared" si="149"/>
        <v>254251145</v>
      </c>
      <c r="G1045">
        <f t="shared" si="150"/>
        <v>254</v>
      </c>
      <c r="H1045">
        <f t="shared" si="151"/>
        <v>251</v>
      </c>
      <c r="I1045">
        <f t="shared" si="152"/>
        <v>145</v>
      </c>
      <c r="J1045" t="str">
        <f t="shared" si="144"/>
        <v>CUL4, 5mo",</v>
      </c>
      <c r="K1045" t="str">
        <f t="shared" si="144"/>
        <v>Lobules IV-V, molecular layer",</v>
      </c>
      <c r="L1045" t="str">
        <f t="shared" si="145"/>
        <v>CUL4, 5mo</v>
      </c>
      <c r="M1045" t="str">
        <f t="shared" si="145"/>
        <v>Lobules IV-V, molecular layer</v>
      </c>
      <c r="N1045" t="s">
        <v>6547</v>
      </c>
      <c r="O1045" t="s">
        <v>6548</v>
      </c>
      <c r="Y1045" t="s">
        <v>6547</v>
      </c>
      <c r="Z1045" t="s">
        <v>6548</v>
      </c>
      <c r="AA1045" s="6" t="str">
        <f t="shared" si="146"/>
        <v/>
      </c>
      <c r="AB1045">
        <v>254</v>
      </c>
      <c r="AC1045">
        <v>251</v>
      </c>
      <c r="AD1045">
        <v>145</v>
      </c>
    </row>
    <row r="1046" spans="1:30" ht="17" x14ac:dyDescent="0.25">
      <c r="A1046" s="1" t="s">
        <v>1048</v>
      </c>
      <c r="B1046" s="1" t="s">
        <v>3700</v>
      </c>
      <c r="C1046" s="1" t="s">
        <v>2375</v>
      </c>
      <c r="D1046" t="str">
        <f t="shared" si="147"/>
        <v>FCFA90</v>
      </c>
      <c r="E1046" t="str">
        <f t="shared" si="148"/>
        <v>252-250-144</v>
      </c>
      <c r="F1046" t="str">
        <f t="shared" si="149"/>
        <v>252250144</v>
      </c>
      <c r="G1046">
        <f t="shared" si="150"/>
        <v>252</v>
      </c>
      <c r="H1046">
        <f t="shared" si="151"/>
        <v>250</v>
      </c>
      <c r="I1046">
        <f t="shared" si="152"/>
        <v>144</v>
      </c>
      <c r="J1046" t="str">
        <f t="shared" si="144"/>
        <v>CUL4, 5pu",</v>
      </c>
      <c r="K1046" t="str">
        <f t="shared" si="144"/>
        <v>Lobules IV-V, Purkinje layer",</v>
      </c>
      <c r="L1046" t="str">
        <f t="shared" si="145"/>
        <v>CUL4, 5pu</v>
      </c>
      <c r="M1046" t="str">
        <f t="shared" si="145"/>
        <v>Lobules IV-V, Purkinje layer</v>
      </c>
      <c r="N1046" t="s">
        <v>6549</v>
      </c>
      <c r="O1046" t="s">
        <v>6550</v>
      </c>
      <c r="Y1046" t="s">
        <v>6549</v>
      </c>
      <c r="Z1046" t="s">
        <v>6550</v>
      </c>
      <c r="AA1046" s="6" t="str">
        <f t="shared" si="146"/>
        <v/>
      </c>
      <c r="AB1046">
        <v>252</v>
      </c>
      <c r="AC1046">
        <v>250</v>
      </c>
      <c r="AD1046">
        <v>144</v>
      </c>
    </row>
    <row r="1047" spans="1:30" ht="17" x14ac:dyDescent="0.25">
      <c r="A1047" s="1" t="s">
        <v>1049</v>
      </c>
      <c r="B1047" s="1" t="s">
        <v>3701</v>
      </c>
      <c r="C1047" s="1" t="s">
        <v>2376</v>
      </c>
      <c r="D1047" t="str">
        <f t="shared" si="147"/>
        <v>EBE754</v>
      </c>
      <c r="E1047" t="str">
        <f t="shared" si="148"/>
        <v>235-231-84</v>
      </c>
      <c r="F1047" t="str">
        <f t="shared" si="149"/>
        <v>23523184</v>
      </c>
      <c r="G1047">
        <f t="shared" si="150"/>
        <v>235</v>
      </c>
      <c r="H1047">
        <f t="shared" si="151"/>
        <v>231</v>
      </c>
      <c r="I1047">
        <f t="shared" si="152"/>
        <v>84</v>
      </c>
      <c r="J1047" t="str">
        <f t="shared" si="144"/>
        <v>CUL4, 5gr",</v>
      </c>
      <c r="K1047" t="str">
        <f t="shared" si="144"/>
        <v>Lobules IV-V, granular layer",</v>
      </c>
      <c r="L1047" t="str">
        <f t="shared" si="145"/>
        <v>CUL4, 5gr</v>
      </c>
      <c r="M1047" t="str">
        <f t="shared" si="145"/>
        <v>Lobules IV-V, granular layer</v>
      </c>
      <c r="N1047" t="s">
        <v>6551</v>
      </c>
      <c r="O1047" t="s">
        <v>6552</v>
      </c>
      <c r="Y1047" t="s">
        <v>6551</v>
      </c>
      <c r="Z1047" t="s">
        <v>6552</v>
      </c>
      <c r="AA1047" s="6" t="str">
        <f t="shared" si="146"/>
        <v/>
      </c>
      <c r="AB1047">
        <v>235</v>
      </c>
      <c r="AC1047">
        <v>231</v>
      </c>
      <c r="AD1047">
        <v>84</v>
      </c>
    </row>
    <row r="1048" spans="1:30" ht="17" x14ac:dyDescent="0.25">
      <c r="A1048" s="1" t="s">
        <v>1050</v>
      </c>
      <c r="B1048" s="1" t="s">
        <v>3702</v>
      </c>
      <c r="C1048" s="1" t="s">
        <v>2377</v>
      </c>
      <c r="D1048" t="str">
        <f t="shared" si="147"/>
        <v>FEFA90</v>
      </c>
      <c r="E1048" t="str">
        <f t="shared" si="148"/>
        <v>254-250-144</v>
      </c>
      <c r="F1048" t="str">
        <f t="shared" si="149"/>
        <v>254250144</v>
      </c>
      <c r="G1048">
        <f t="shared" si="150"/>
        <v>254</v>
      </c>
      <c r="H1048">
        <f t="shared" si="151"/>
        <v>250</v>
      </c>
      <c r="I1048">
        <f t="shared" si="152"/>
        <v>144</v>
      </c>
      <c r="J1048" t="str">
        <f t="shared" si="144"/>
        <v>DEC",</v>
      </c>
      <c r="K1048" t="str">
        <f t="shared" si="144"/>
        <v>Declive (VI)",</v>
      </c>
      <c r="L1048" t="str">
        <f t="shared" si="145"/>
        <v>DEC</v>
      </c>
      <c r="M1048" t="str">
        <f t="shared" si="145"/>
        <v>Declive (VI)</v>
      </c>
      <c r="N1048" t="s">
        <v>6553</v>
      </c>
      <c r="O1048" t="s">
        <v>6554</v>
      </c>
      <c r="Y1048" t="s">
        <v>6553</v>
      </c>
      <c r="Z1048" t="s">
        <v>6554</v>
      </c>
      <c r="AA1048" s="6">
        <f t="shared" si="146"/>
        <v>936</v>
      </c>
      <c r="AB1048">
        <v>254</v>
      </c>
      <c r="AC1048">
        <v>250</v>
      </c>
      <c r="AD1048">
        <v>144</v>
      </c>
    </row>
    <row r="1049" spans="1:30" ht="17" x14ac:dyDescent="0.25">
      <c r="A1049" s="1" t="s">
        <v>1051</v>
      </c>
      <c r="B1049" s="1" t="s">
        <v>3703</v>
      </c>
      <c r="C1049" s="1" t="s">
        <v>2378</v>
      </c>
      <c r="D1049" t="str">
        <f t="shared" si="147"/>
        <v>FFFB8F</v>
      </c>
      <c r="E1049" t="str">
        <f t="shared" si="148"/>
        <v>255-251-143</v>
      </c>
      <c r="F1049" t="str">
        <f t="shared" si="149"/>
        <v>255251143</v>
      </c>
      <c r="G1049">
        <f t="shared" si="150"/>
        <v>255</v>
      </c>
      <c r="H1049">
        <f t="shared" si="151"/>
        <v>251</v>
      </c>
      <c r="I1049">
        <f t="shared" si="152"/>
        <v>143</v>
      </c>
      <c r="J1049" t="str">
        <f t="shared" si="144"/>
        <v>DECmo",</v>
      </c>
      <c r="K1049" t="str">
        <f t="shared" si="144"/>
        <v>Declive (VI), molecular layer",</v>
      </c>
      <c r="L1049" t="str">
        <f t="shared" si="145"/>
        <v>DECmo</v>
      </c>
      <c r="M1049" t="str">
        <f t="shared" si="145"/>
        <v>Declive (VI), molecular layer</v>
      </c>
      <c r="N1049" t="s">
        <v>6555</v>
      </c>
      <c r="O1049" t="s">
        <v>6556</v>
      </c>
      <c r="Y1049" t="s">
        <v>6555</v>
      </c>
      <c r="Z1049" t="s">
        <v>6556</v>
      </c>
      <c r="AA1049" s="6" t="str">
        <f t="shared" si="146"/>
        <v/>
      </c>
      <c r="AB1049">
        <v>255</v>
      </c>
      <c r="AC1049">
        <v>251</v>
      </c>
      <c r="AD1049">
        <v>143</v>
      </c>
    </row>
    <row r="1050" spans="1:30" ht="17" x14ac:dyDescent="0.25">
      <c r="A1050" s="1" t="s">
        <v>1052</v>
      </c>
      <c r="B1050" s="1" t="s">
        <v>3704</v>
      </c>
      <c r="C1050" s="1" t="s">
        <v>2379</v>
      </c>
      <c r="D1050" t="str">
        <f t="shared" si="147"/>
        <v>FCFB91</v>
      </c>
      <c r="E1050" t="str">
        <f t="shared" si="148"/>
        <v>252-251-145</v>
      </c>
      <c r="F1050" t="str">
        <f t="shared" si="149"/>
        <v>252251145</v>
      </c>
      <c r="G1050">
        <f t="shared" si="150"/>
        <v>252</v>
      </c>
      <c r="H1050">
        <f t="shared" si="151"/>
        <v>251</v>
      </c>
      <c r="I1050">
        <f t="shared" si="152"/>
        <v>145</v>
      </c>
      <c r="J1050" t="str">
        <f t="shared" si="144"/>
        <v>DECpu",</v>
      </c>
      <c r="K1050" t="str">
        <f t="shared" si="144"/>
        <v>Declive (VI), Purkinje layer",</v>
      </c>
      <c r="L1050" t="str">
        <f t="shared" si="145"/>
        <v>DECpu</v>
      </c>
      <c r="M1050" t="str">
        <f t="shared" si="145"/>
        <v>Declive (VI), Purkinje layer</v>
      </c>
      <c r="N1050" t="s">
        <v>6557</v>
      </c>
      <c r="O1050" t="s">
        <v>6558</v>
      </c>
      <c r="Y1050" t="s">
        <v>6557</v>
      </c>
      <c r="Z1050" t="s">
        <v>6558</v>
      </c>
      <c r="AA1050" s="6" t="str">
        <f t="shared" si="146"/>
        <v/>
      </c>
      <c r="AB1050">
        <v>252</v>
      </c>
      <c r="AC1050">
        <v>251</v>
      </c>
      <c r="AD1050">
        <v>145</v>
      </c>
    </row>
    <row r="1051" spans="1:30" ht="17" x14ac:dyDescent="0.25">
      <c r="A1051" s="1" t="s">
        <v>1053</v>
      </c>
      <c r="B1051" s="1" t="s">
        <v>3705</v>
      </c>
      <c r="C1051" s="1" t="s">
        <v>2380</v>
      </c>
      <c r="D1051" t="str">
        <f t="shared" si="147"/>
        <v>ECE553</v>
      </c>
      <c r="E1051" t="str">
        <f t="shared" si="148"/>
        <v>236-229-83</v>
      </c>
      <c r="F1051" t="str">
        <f t="shared" si="149"/>
        <v>23622983</v>
      </c>
      <c r="G1051">
        <f t="shared" si="150"/>
        <v>236</v>
      </c>
      <c r="H1051">
        <f t="shared" si="151"/>
        <v>229</v>
      </c>
      <c r="I1051">
        <f t="shared" si="152"/>
        <v>83</v>
      </c>
      <c r="J1051" t="str">
        <f t="shared" si="144"/>
        <v>DECgr",</v>
      </c>
      <c r="K1051" t="str">
        <f t="shared" si="144"/>
        <v>Declive (VI), granular layer",</v>
      </c>
      <c r="L1051" t="str">
        <f t="shared" si="145"/>
        <v>DECgr</v>
      </c>
      <c r="M1051" t="str">
        <f t="shared" si="145"/>
        <v>Declive (VI), granular layer</v>
      </c>
      <c r="N1051" t="s">
        <v>6559</v>
      </c>
      <c r="O1051" t="s">
        <v>6560</v>
      </c>
      <c r="Y1051" t="s">
        <v>6559</v>
      </c>
      <c r="Z1051" t="s">
        <v>6560</v>
      </c>
      <c r="AA1051" s="6" t="str">
        <f t="shared" si="146"/>
        <v/>
      </c>
      <c r="AB1051">
        <v>236</v>
      </c>
      <c r="AC1051">
        <v>229</v>
      </c>
      <c r="AD1051">
        <v>83</v>
      </c>
    </row>
    <row r="1052" spans="1:30" ht="17" x14ac:dyDescent="0.25">
      <c r="A1052" s="1" t="s">
        <v>1054</v>
      </c>
      <c r="B1052" s="1" t="s">
        <v>3706</v>
      </c>
      <c r="C1052" s="1" t="s">
        <v>2381</v>
      </c>
      <c r="D1052" t="str">
        <f t="shared" si="147"/>
        <v>FDFB90</v>
      </c>
      <c r="E1052" t="str">
        <f t="shared" si="148"/>
        <v>253-251-144</v>
      </c>
      <c r="F1052" t="str">
        <f t="shared" si="149"/>
        <v>253251144</v>
      </c>
      <c r="G1052">
        <f t="shared" si="150"/>
        <v>253</v>
      </c>
      <c r="H1052">
        <f t="shared" si="151"/>
        <v>251</v>
      </c>
      <c r="I1052">
        <f t="shared" si="152"/>
        <v>144</v>
      </c>
      <c r="J1052" t="str">
        <f t="shared" si="144"/>
        <v>FOTU",</v>
      </c>
      <c r="K1052" t="str">
        <f t="shared" si="144"/>
        <v>Folium-tuber vermis (VII)",</v>
      </c>
      <c r="L1052" t="str">
        <f t="shared" si="145"/>
        <v>FOTU</v>
      </c>
      <c r="M1052" t="str">
        <f t="shared" si="145"/>
        <v>Folium-tuber vermis (VII)</v>
      </c>
      <c r="N1052" t="s">
        <v>6561</v>
      </c>
      <c r="O1052" t="s">
        <v>6562</v>
      </c>
      <c r="Y1052" t="s">
        <v>6561</v>
      </c>
      <c r="Z1052" t="s">
        <v>6562</v>
      </c>
      <c r="AA1052" s="6">
        <f t="shared" si="146"/>
        <v>944</v>
      </c>
      <c r="AB1052">
        <v>253</v>
      </c>
      <c r="AC1052">
        <v>251</v>
      </c>
      <c r="AD1052">
        <v>144</v>
      </c>
    </row>
    <row r="1053" spans="1:30" ht="17" x14ac:dyDescent="0.25">
      <c r="A1053" s="1" t="s">
        <v>1055</v>
      </c>
      <c r="B1053" s="1" t="s">
        <v>3707</v>
      </c>
      <c r="C1053" s="1" t="s">
        <v>2382</v>
      </c>
      <c r="D1053" t="str">
        <f t="shared" si="147"/>
        <v>FDF991</v>
      </c>
      <c r="E1053" t="str">
        <f t="shared" si="148"/>
        <v>253-249-145</v>
      </c>
      <c r="F1053" t="str">
        <f t="shared" si="149"/>
        <v>253249145</v>
      </c>
      <c r="G1053">
        <f t="shared" si="150"/>
        <v>253</v>
      </c>
      <c r="H1053">
        <f t="shared" si="151"/>
        <v>249</v>
      </c>
      <c r="I1053">
        <f t="shared" si="152"/>
        <v>145</v>
      </c>
      <c r="J1053" t="str">
        <f t="shared" si="144"/>
        <v>FOTUmo",</v>
      </c>
      <c r="K1053" t="str">
        <f t="shared" si="144"/>
        <v>Folium-tuber vermis (VII), molecular layer",</v>
      </c>
      <c r="L1053" t="str">
        <f t="shared" si="145"/>
        <v>FOTUmo</v>
      </c>
      <c r="M1053" t="str">
        <f t="shared" si="145"/>
        <v>Folium-tuber vermis (VII), molecular layer</v>
      </c>
      <c r="N1053" t="s">
        <v>6563</v>
      </c>
      <c r="O1053" t="s">
        <v>6564</v>
      </c>
      <c r="Y1053" t="s">
        <v>6563</v>
      </c>
      <c r="Z1053" t="s">
        <v>6564</v>
      </c>
      <c r="AA1053" s="6" t="str">
        <f t="shared" si="146"/>
        <v/>
      </c>
      <c r="AB1053">
        <v>253</v>
      </c>
      <c r="AC1053">
        <v>249</v>
      </c>
      <c r="AD1053">
        <v>145</v>
      </c>
    </row>
    <row r="1054" spans="1:30" ht="17" x14ac:dyDescent="0.25">
      <c r="A1054" s="1" t="s">
        <v>1056</v>
      </c>
      <c r="B1054" s="1" t="s">
        <v>3708</v>
      </c>
      <c r="C1054" s="1" t="s">
        <v>2383</v>
      </c>
      <c r="D1054" t="str">
        <f t="shared" si="147"/>
        <v>FDFA8F</v>
      </c>
      <c r="E1054" t="str">
        <f t="shared" si="148"/>
        <v>253-250-143</v>
      </c>
      <c r="F1054" t="str">
        <f t="shared" si="149"/>
        <v>253250143</v>
      </c>
      <c r="G1054">
        <f t="shared" si="150"/>
        <v>253</v>
      </c>
      <c r="H1054">
        <f t="shared" si="151"/>
        <v>250</v>
      </c>
      <c r="I1054">
        <f t="shared" si="152"/>
        <v>143</v>
      </c>
      <c r="J1054" t="str">
        <f t="shared" si="144"/>
        <v>FOTUpu",</v>
      </c>
      <c r="K1054" t="str">
        <f t="shared" si="144"/>
        <v>Folium-tuber vermis (VII), Purkinje layer",</v>
      </c>
      <c r="L1054" t="str">
        <f t="shared" si="145"/>
        <v>FOTUpu</v>
      </c>
      <c r="M1054" t="str">
        <f t="shared" si="145"/>
        <v>Folium-tuber vermis (VII), Purkinje layer</v>
      </c>
      <c r="N1054" t="s">
        <v>6565</v>
      </c>
      <c r="O1054" t="s">
        <v>6566</v>
      </c>
      <c r="Y1054" t="s">
        <v>6565</v>
      </c>
      <c r="Z1054" t="s">
        <v>6566</v>
      </c>
      <c r="AA1054" s="6" t="str">
        <f t="shared" si="146"/>
        <v/>
      </c>
      <c r="AB1054">
        <v>253</v>
      </c>
      <c r="AC1054">
        <v>250</v>
      </c>
      <c r="AD1054">
        <v>143</v>
      </c>
    </row>
    <row r="1055" spans="1:30" ht="17" x14ac:dyDescent="0.25">
      <c r="A1055" s="1" t="s">
        <v>1057</v>
      </c>
      <c r="B1055" s="1" t="s">
        <v>3709</v>
      </c>
      <c r="C1055" s="1" t="s">
        <v>2384</v>
      </c>
      <c r="D1055" t="str">
        <f t="shared" si="147"/>
        <v>EAE753</v>
      </c>
      <c r="E1055" t="str">
        <f t="shared" si="148"/>
        <v>234-231-83</v>
      </c>
      <c r="F1055" t="str">
        <f t="shared" si="149"/>
        <v>23423183</v>
      </c>
      <c r="G1055">
        <f t="shared" si="150"/>
        <v>234</v>
      </c>
      <c r="H1055">
        <f t="shared" si="151"/>
        <v>231</v>
      </c>
      <c r="I1055">
        <f t="shared" si="152"/>
        <v>83</v>
      </c>
      <c r="J1055" t="str">
        <f t="shared" si="144"/>
        <v>FOTUgr",</v>
      </c>
      <c r="K1055" t="str">
        <f t="shared" si="144"/>
        <v>Folium-tuber vermis (VII), granular layer",</v>
      </c>
      <c r="L1055" t="str">
        <f t="shared" si="145"/>
        <v>FOTUgr</v>
      </c>
      <c r="M1055" t="str">
        <f t="shared" si="145"/>
        <v>Folium-tuber vermis (VII), granular layer</v>
      </c>
      <c r="N1055" t="s">
        <v>6567</v>
      </c>
      <c r="O1055" t="s">
        <v>6568</v>
      </c>
      <c r="Y1055" t="s">
        <v>6567</v>
      </c>
      <c r="Z1055" t="s">
        <v>6568</v>
      </c>
      <c r="AA1055" s="6" t="str">
        <f t="shared" si="146"/>
        <v/>
      </c>
      <c r="AB1055">
        <v>234</v>
      </c>
      <c r="AC1055">
        <v>231</v>
      </c>
      <c r="AD1055">
        <v>83</v>
      </c>
    </row>
    <row r="1056" spans="1:30" ht="17" x14ac:dyDescent="0.25">
      <c r="A1056" s="1" t="s">
        <v>1058</v>
      </c>
      <c r="B1056" s="1" t="s">
        <v>3710</v>
      </c>
      <c r="C1056" s="1" t="s">
        <v>2385</v>
      </c>
      <c r="D1056" t="str">
        <f t="shared" si="147"/>
        <v>FBFC91</v>
      </c>
      <c r="E1056" t="str">
        <f t="shared" si="148"/>
        <v>251-252-145</v>
      </c>
      <c r="F1056" t="str">
        <f t="shared" si="149"/>
        <v>251252145</v>
      </c>
      <c r="G1056">
        <f t="shared" si="150"/>
        <v>251</v>
      </c>
      <c r="H1056">
        <f t="shared" si="151"/>
        <v>252</v>
      </c>
      <c r="I1056">
        <f t="shared" si="152"/>
        <v>145</v>
      </c>
      <c r="J1056" t="str">
        <f t="shared" si="144"/>
        <v>PYR",</v>
      </c>
      <c r="K1056" t="str">
        <f t="shared" si="144"/>
        <v>Pyramus (VIII)",</v>
      </c>
      <c r="L1056" t="str">
        <f t="shared" si="145"/>
        <v>PYR</v>
      </c>
      <c r="M1056" t="str">
        <f t="shared" si="145"/>
        <v>Pyramus (VIII)</v>
      </c>
      <c r="N1056" t="s">
        <v>6569</v>
      </c>
      <c r="O1056" t="s">
        <v>6570</v>
      </c>
      <c r="Y1056" t="s">
        <v>6569</v>
      </c>
      <c r="Z1056" t="s">
        <v>6570</v>
      </c>
      <c r="AA1056" s="6">
        <f t="shared" si="146"/>
        <v>951</v>
      </c>
      <c r="AB1056">
        <v>251</v>
      </c>
      <c r="AC1056">
        <v>252</v>
      </c>
      <c r="AD1056">
        <v>145</v>
      </c>
    </row>
    <row r="1057" spans="1:30" ht="17" x14ac:dyDescent="0.25">
      <c r="A1057" s="1" t="s">
        <v>1059</v>
      </c>
      <c r="B1057" s="1" t="s">
        <v>3711</v>
      </c>
      <c r="C1057" s="1" t="s">
        <v>2386</v>
      </c>
      <c r="D1057" t="str">
        <f t="shared" si="147"/>
        <v>FFFB8D</v>
      </c>
      <c r="E1057" t="str">
        <f t="shared" si="148"/>
        <v>255-251-141</v>
      </c>
      <c r="F1057" t="str">
        <f t="shared" si="149"/>
        <v>255251141</v>
      </c>
      <c r="G1057">
        <f t="shared" si="150"/>
        <v>255</v>
      </c>
      <c r="H1057">
        <f t="shared" si="151"/>
        <v>251</v>
      </c>
      <c r="I1057">
        <f t="shared" si="152"/>
        <v>141</v>
      </c>
      <c r="J1057" t="str">
        <f t="shared" si="144"/>
        <v>PYRmo",</v>
      </c>
      <c r="K1057" t="str">
        <f t="shared" si="144"/>
        <v>Pyramus (VIII), molecular layer",</v>
      </c>
      <c r="L1057" t="str">
        <f t="shared" si="145"/>
        <v>PYRmo</v>
      </c>
      <c r="M1057" t="str">
        <f t="shared" si="145"/>
        <v>Pyramus (VIII), molecular layer</v>
      </c>
      <c r="N1057" t="s">
        <v>6571</v>
      </c>
      <c r="O1057" t="s">
        <v>6572</v>
      </c>
      <c r="Y1057" t="s">
        <v>6571</v>
      </c>
      <c r="Z1057" t="s">
        <v>6572</v>
      </c>
      <c r="AA1057" s="6" t="str">
        <f t="shared" si="146"/>
        <v/>
      </c>
      <c r="AB1057">
        <v>255</v>
      </c>
      <c r="AC1057">
        <v>251</v>
      </c>
      <c r="AD1057">
        <v>141</v>
      </c>
    </row>
    <row r="1058" spans="1:30" ht="17" x14ac:dyDescent="0.25">
      <c r="A1058" s="1" t="s">
        <v>1060</v>
      </c>
      <c r="B1058" s="1" t="s">
        <v>3712</v>
      </c>
      <c r="C1058" s="1" t="s">
        <v>2387</v>
      </c>
      <c r="D1058" t="str">
        <f t="shared" si="147"/>
        <v>FEFB90</v>
      </c>
      <c r="E1058" t="str">
        <f t="shared" si="148"/>
        <v>254-251-144</v>
      </c>
      <c r="F1058" t="str">
        <f t="shared" si="149"/>
        <v>254251144</v>
      </c>
      <c r="G1058">
        <f t="shared" si="150"/>
        <v>254</v>
      </c>
      <c r="H1058">
        <f t="shared" si="151"/>
        <v>251</v>
      </c>
      <c r="I1058">
        <f t="shared" si="152"/>
        <v>144</v>
      </c>
      <c r="J1058" t="str">
        <f t="shared" si="144"/>
        <v>PYRpu",</v>
      </c>
      <c r="K1058" t="str">
        <f t="shared" si="144"/>
        <v>Pyramus (VIII), Purkinje layer",</v>
      </c>
      <c r="L1058" t="str">
        <f t="shared" si="145"/>
        <v>PYRpu</v>
      </c>
      <c r="M1058" t="str">
        <f t="shared" si="145"/>
        <v>Pyramus (VIII), Purkinje layer</v>
      </c>
      <c r="N1058" t="s">
        <v>6573</v>
      </c>
      <c r="O1058" t="s">
        <v>6574</v>
      </c>
      <c r="Y1058" t="s">
        <v>6573</v>
      </c>
      <c r="Z1058" t="s">
        <v>6574</v>
      </c>
      <c r="AA1058" s="6" t="str">
        <f t="shared" si="146"/>
        <v/>
      </c>
      <c r="AB1058">
        <v>254</v>
      </c>
      <c r="AC1058">
        <v>251</v>
      </c>
      <c r="AD1058">
        <v>144</v>
      </c>
    </row>
    <row r="1059" spans="1:30" ht="17" x14ac:dyDescent="0.25">
      <c r="A1059" s="1" t="s">
        <v>1061</v>
      </c>
      <c r="B1059" s="1" t="s">
        <v>3713</v>
      </c>
      <c r="C1059" s="1" t="s">
        <v>2388</v>
      </c>
      <c r="D1059" t="str">
        <f t="shared" si="147"/>
        <v>ECE752</v>
      </c>
      <c r="E1059" t="str">
        <f t="shared" si="148"/>
        <v>236-231-82</v>
      </c>
      <c r="F1059" t="str">
        <f t="shared" si="149"/>
        <v>23623182</v>
      </c>
      <c r="G1059">
        <f t="shared" si="150"/>
        <v>236</v>
      </c>
      <c r="H1059">
        <f t="shared" si="151"/>
        <v>231</v>
      </c>
      <c r="I1059">
        <f t="shared" si="152"/>
        <v>82</v>
      </c>
      <c r="J1059" t="str">
        <f t="shared" si="144"/>
        <v>PYRgr",</v>
      </c>
      <c r="K1059" t="str">
        <f t="shared" si="144"/>
        <v>Pyramus (VIII), granular layer",</v>
      </c>
      <c r="L1059" t="str">
        <f t="shared" si="145"/>
        <v>PYRgr</v>
      </c>
      <c r="M1059" t="str">
        <f t="shared" si="145"/>
        <v>Pyramus (VIII), granular layer</v>
      </c>
      <c r="N1059" t="s">
        <v>6575</v>
      </c>
      <c r="O1059" t="s">
        <v>6576</v>
      </c>
      <c r="Y1059" t="s">
        <v>6575</v>
      </c>
      <c r="Z1059" t="s">
        <v>6576</v>
      </c>
      <c r="AA1059" s="6" t="str">
        <f t="shared" si="146"/>
        <v/>
      </c>
      <c r="AB1059">
        <v>236</v>
      </c>
      <c r="AC1059">
        <v>231</v>
      </c>
      <c r="AD1059">
        <v>82</v>
      </c>
    </row>
    <row r="1060" spans="1:30" ht="17" x14ac:dyDescent="0.25">
      <c r="A1060" s="1" t="s">
        <v>1062</v>
      </c>
      <c r="B1060" s="1" t="s">
        <v>3714</v>
      </c>
      <c r="C1060" s="1" t="s">
        <v>2389</v>
      </c>
      <c r="D1060" t="str">
        <f t="shared" si="147"/>
        <v>FFFA8F</v>
      </c>
      <c r="E1060" t="str">
        <f t="shared" si="148"/>
        <v>255-250-143</v>
      </c>
      <c r="F1060" t="str">
        <f t="shared" si="149"/>
        <v>255250143</v>
      </c>
      <c r="G1060">
        <f t="shared" si="150"/>
        <v>255</v>
      </c>
      <c r="H1060">
        <f t="shared" si="151"/>
        <v>250</v>
      </c>
      <c r="I1060">
        <f t="shared" si="152"/>
        <v>143</v>
      </c>
      <c r="J1060" t="str">
        <f t="shared" si="144"/>
        <v>UVU",</v>
      </c>
      <c r="K1060" t="str">
        <f t="shared" si="144"/>
        <v>Uvula (IX)",</v>
      </c>
      <c r="L1060" t="str">
        <f t="shared" si="145"/>
        <v>UVU</v>
      </c>
      <c r="M1060" t="str">
        <f t="shared" si="145"/>
        <v>Uvula (IX)</v>
      </c>
      <c r="N1060" t="s">
        <v>6577</v>
      </c>
      <c r="O1060" t="s">
        <v>6578</v>
      </c>
      <c r="Y1060" t="s">
        <v>6577</v>
      </c>
      <c r="Z1060" t="s">
        <v>6578</v>
      </c>
      <c r="AA1060" s="6">
        <f t="shared" si="146"/>
        <v>957</v>
      </c>
      <c r="AB1060">
        <v>255</v>
      </c>
      <c r="AC1060">
        <v>250</v>
      </c>
      <c r="AD1060">
        <v>143</v>
      </c>
    </row>
    <row r="1061" spans="1:30" ht="17" x14ac:dyDescent="0.25">
      <c r="A1061" s="1" t="s">
        <v>1063</v>
      </c>
      <c r="B1061" s="1" t="s">
        <v>3715</v>
      </c>
      <c r="C1061" s="1" t="s">
        <v>2390</v>
      </c>
      <c r="D1061" t="str">
        <f t="shared" si="147"/>
        <v>FDFC90</v>
      </c>
      <c r="E1061" t="str">
        <f t="shared" si="148"/>
        <v>253-252-144</v>
      </c>
      <c r="F1061" t="str">
        <f t="shared" si="149"/>
        <v>253252144</v>
      </c>
      <c r="G1061">
        <f t="shared" si="150"/>
        <v>253</v>
      </c>
      <c r="H1061">
        <f t="shared" si="151"/>
        <v>252</v>
      </c>
      <c r="I1061">
        <f t="shared" si="152"/>
        <v>144</v>
      </c>
      <c r="J1061" t="str">
        <f t="shared" si="144"/>
        <v>UVUmo",</v>
      </c>
      <c r="K1061" t="str">
        <f t="shared" si="144"/>
        <v>Uvula (IX), molecular layer",</v>
      </c>
      <c r="L1061" t="str">
        <f t="shared" si="145"/>
        <v>UVUmo</v>
      </c>
      <c r="M1061" t="str">
        <f t="shared" si="145"/>
        <v>Uvula (IX), molecular layer</v>
      </c>
      <c r="N1061" t="s">
        <v>6579</v>
      </c>
      <c r="O1061" t="s">
        <v>6580</v>
      </c>
      <c r="Y1061" t="s">
        <v>6579</v>
      </c>
      <c r="Z1061" t="s">
        <v>6580</v>
      </c>
      <c r="AA1061" s="6" t="str">
        <f t="shared" si="146"/>
        <v/>
      </c>
      <c r="AB1061">
        <v>253</v>
      </c>
      <c r="AC1061">
        <v>252</v>
      </c>
      <c r="AD1061">
        <v>144</v>
      </c>
    </row>
    <row r="1062" spans="1:30" ht="17" x14ac:dyDescent="0.25">
      <c r="A1062" s="1" t="s">
        <v>1064</v>
      </c>
      <c r="B1062" s="1" t="s">
        <v>3716</v>
      </c>
      <c r="C1062" s="1" t="s">
        <v>2391</v>
      </c>
      <c r="D1062" t="str">
        <f t="shared" si="147"/>
        <v>FEFC8F</v>
      </c>
      <c r="E1062" t="str">
        <f t="shared" si="148"/>
        <v>254-252-143</v>
      </c>
      <c r="F1062" t="str">
        <f t="shared" si="149"/>
        <v>254252143</v>
      </c>
      <c r="G1062">
        <f t="shared" si="150"/>
        <v>254</v>
      </c>
      <c r="H1062">
        <f t="shared" si="151"/>
        <v>252</v>
      </c>
      <c r="I1062">
        <f t="shared" si="152"/>
        <v>143</v>
      </c>
      <c r="J1062" t="str">
        <f t="shared" si="144"/>
        <v>UVUpu",</v>
      </c>
      <c r="K1062" t="str">
        <f t="shared" si="144"/>
        <v>Uvula (IX), Purkinje layer",</v>
      </c>
      <c r="L1062" t="str">
        <f t="shared" si="145"/>
        <v>UVUpu</v>
      </c>
      <c r="M1062" t="str">
        <f t="shared" si="145"/>
        <v>Uvula (IX), Purkinje layer</v>
      </c>
      <c r="N1062" t="s">
        <v>6581</v>
      </c>
      <c r="O1062" t="s">
        <v>6582</v>
      </c>
      <c r="Y1062" t="s">
        <v>6581</v>
      </c>
      <c r="Z1062" t="s">
        <v>6582</v>
      </c>
      <c r="AA1062" s="6" t="str">
        <f t="shared" si="146"/>
        <v/>
      </c>
      <c r="AB1062">
        <v>254</v>
      </c>
      <c r="AC1062">
        <v>252</v>
      </c>
      <c r="AD1062">
        <v>143</v>
      </c>
    </row>
    <row r="1063" spans="1:30" ht="17" x14ac:dyDescent="0.25">
      <c r="A1063" s="1" t="s">
        <v>1065</v>
      </c>
      <c r="B1063" s="1" t="s">
        <v>3717</v>
      </c>
      <c r="C1063" s="1" t="s">
        <v>2392</v>
      </c>
      <c r="D1063" t="str">
        <f t="shared" si="147"/>
        <v>EBE652</v>
      </c>
      <c r="E1063" t="str">
        <f t="shared" si="148"/>
        <v>235-230-82</v>
      </c>
      <c r="F1063" t="str">
        <f t="shared" si="149"/>
        <v>23523082</v>
      </c>
      <c r="G1063">
        <f t="shared" si="150"/>
        <v>235</v>
      </c>
      <c r="H1063">
        <f t="shared" si="151"/>
        <v>230</v>
      </c>
      <c r="I1063">
        <f t="shared" si="152"/>
        <v>82</v>
      </c>
      <c r="J1063" t="str">
        <f t="shared" si="144"/>
        <v>UVUgr",</v>
      </c>
      <c r="K1063" t="str">
        <f t="shared" si="144"/>
        <v>Uvula (IX), granular layer",</v>
      </c>
      <c r="L1063" t="str">
        <f t="shared" si="145"/>
        <v>UVUgr</v>
      </c>
      <c r="M1063" t="str">
        <f t="shared" si="145"/>
        <v>Uvula (IX), granular layer</v>
      </c>
      <c r="N1063" t="s">
        <v>6583</v>
      </c>
      <c r="O1063" t="s">
        <v>6584</v>
      </c>
      <c r="Y1063" t="s">
        <v>6583</v>
      </c>
      <c r="Z1063" t="s">
        <v>6584</v>
      </c>
      <c r="AA1063" s="6" t="str">
        <f t="shared" si="146"/>
        <v/>
      </c>
      <c r="AB1063">
        <v>235</v>
      </c>
      <c r="AC1063">
        <v>230</v>
      </c>
      <c r="AD1063">
        <v>82</v>
      </c>
    </row>
    <row r="1064" spans="1:30" ht="17" x14ac:dyDescent="0.25">
      <c r="A1064" s="1" t="s">
        <v>1066</v>
      </c>
      <c r="B1064" s="1" t="s">
        <v>3718</v>
      </c>
      <c r="C1064" s="1" t="s">
        <v>2393</v>
      </c>
      <c r="D1064" t="str">
        <f t="shared" si="147"/>
        <v>FDFC8F</v>
      </c>
      <c r="E1064" t="str">
        <f t="shared" si="148"/>
        <v>253-252-143</v>
      </c>
      <c r="F1064" t="str">
        <f t="shared" si="149"/>
        <v>253252143</v>
      </c>
      <c r="G1064">
        <f t="shared" si="150"/>
        <v>253</v>
      </c>
      <c r="H1064">
        <f t="shared" si="151"/>
        <v>252</v>
      </c>
      <c r="I1064">
        <f t="shared" si="152"/>
        <v>143</v>
      </c>
      <c r="J1064" t="str">
        <f t="shared" si="144"/>
        <v>NOD",</v>
      </c>
      <c r="K1064" t="str">
        <f t="shared" si="144"/>
        <v>Nodulus (X)",</v>
      </c>
      <c r="L1064" t="str">
        <f t="shared" si="145"/>
        <v>NOD</v>
      </c>
      <c r="M1064" t="str">
        <f t="shared" si="145"/>
        <v>Nodulus (X)</v>
      </c>
      <c r="N1064" t="s">
        <v>6585</v>
      </c>
      <c r="O1064" t="s">
        <v>6586</v>
      </c>
      <c r="Y1064" t="s">
        <v>6585</v>
      </c>
      <c r="Z1064" t="s">
        <v>6586</v>
      </c>
      <c r="AA1064" s="6">
        <f t="shared" si="146"/>
        <v>968</v>
      </c>
      <c r="AB1064">
        <v>253</v>
      </c>
      <c r="AC1064">
        <v>252</v>
      </c>
      <c r="AD1064">
        <v>143</v>
      </c>
    </row>
    <row r="1065" spans="1:30" ht="17" x14ac:dyDescent="0.25">
      <c r="A1065" s="1" t="s">
        <v>1067</v>
      </c>
      <c r="B1065" s="1" t="s">
        <v>3719</v>
      </c>
      <c r="C1065" s="1" t="s">
        <v>2394</v>
      </c>
      <c r="D1065" t="str">
        <f t="shared" si="147"/>
        <v>FCFA8F</v>
      </c>
      <c r="E1065" t="str">
        <f t="shared" si="148"/>
        <v>252-250-143</v>
      </c>
      <c r="F1065" t="str">
        <f t="shared" si="149"/>
        <v>252250143</v>
      </c>
      <c r="G1065">
        <f t="shared" si="150"/>
        <v>252</v>
      </c>
      <c r="H1065">
        <f t="shared" si="151"/>
        <v>250</v>
      </c>
      <c r="I1065">
        <f t="shared" si="152"/>
        <v>143</v>
      </c>
      <c r="J1065" t="str">
        <f t="shared" si="144"/>
        <v>NODmo",</v>
      </c>
      <c r="K1065" t="str">
        <f t="shared" si="144"/>
        <v>Nodulus (X), molecular layer",</v>
      </c>
      <c r="L1065" t="str">
        <f t="shared" si="145"/>
        <v>NODmo</v>
      </c>
      <c r="M1065" t="str">
        <f t="shared" si="145"/>
        <v>Nodulus (X), molecular layer</v>
      </c>
      <c r="N1065" t="s">
        <v>6587</v>
      </c>
      <c r="O1065" t="s">
        <v>6588</v>
      </c>
      <c r="Y1065" t="s">
        <v>6587</v>
      </c>
      <c r="Z1065" t="s">
        <v>6588</v>
      </c>
      <c r="AA1065" s="6" t="str">
        <f t="shared" si="146"/>
        <v/>
      </c>
      <c r="AB1065">
        <v>252</v>
      </c>
      <c r="AC1065">
        <v>250</v>
      </c>
      <c r="AD1065">
        <v>143</v>
      </c>
    </row>
    <row r="1066" spans="1:30" ht="17" x14ac:dyDescent="0.25">
      <c r="A1066" s="1" t="s">
        <v>1068</v>
      </c>
      <c r="B1066" s="1" t="s">
        <v>3720</v>
      </c>
      <c r="C1066" s="1" t="s">
        <v>2395</v>
      </c>
      <c r="D1066" t="str">
        <f t="shared" si="147"/>
        <v>FFFA90</v>
      </c>
      <c r="E1066" t="str">
        <f t="shared" si="148"/>
        <v>255-250-144</v>
      </c>
      <c r="F1066" t="str">
        <f t="shared" si="149"/>
        <v>255250144</v>
      </c>
      <c r="G1066">
        <f t="shared" si="150"/>
        <v>255</v>
      </c>
      <c r="H1066">
        <f t="shared" si="151"/>
        <v>250</v>
      </c>
      <c r="I1066">
        <f t="shared" si="152"/>
        <v>144</v>
      </c>
      <c r="J1066" t="str">
        <f t="shared" si="144"/>
        <v>NODpu",</v>
      </c>
      <c r="K1066" t="str">
        <f t="shared" si="144"/>
        <v>Nodulus (X), Purkinje layer",</v>
      </c>
      <c r="L1066" t="str">
        <f t="shared" si="145"/>
        <v>NODpu</v>
      </c>
      <c r="M1066" t="str">
        <f t="shared" si="145"/>
        <v>Nodulus (X), Purkinje layer</v>
      </c>
      <c r="N1066" t="s">
        <v>6589</v>
      </c>
      <c r="O1066" t="s">
        <v>6590</v>
      </c>
      <c r="Y1066" t="s">
        <v>6589</v>
      </c>
      <c r="Z1066" t="s">
        <v>6590</v>
      </c>
      <c r="AA1066" s="6" t="str">
        <f t="shared" si="146"/>
        <v/>
      </c>
      <c r="AB1066">
        <v>255</v>
      </c>
      <c r="AC1066">
        <v>250</v>
      </c>
      <c r="AD1066">
        <v>144</v>
      </c>
    </row>
    <row r="1067" spans="1:30" ht="17" x14ac:dyDescent="0.25">
      <c r="A1067" s="1" t="s">
        <v>1069</v>
      </c>
      <c r="B1067" s="1" t="s">
        <v>3721</v>
      </c>
      <c r="C1067" s="1" t="s">
        <v>2396</v>
      </c>
      <c r="D1067" t="str">
        <f t="shared" si="147"/>
        <v>ECE653</v>
      </c>
      <c r="E1067" t="str">
        <f t="shared" si="148"/>
        <v>236-230-83</v>
      </c>
      <c r="F1067" t="str">
        <f t="shared" si="149"/>
        <v>23623083</v>
      </c>
      <c r="G1067">
        <f t="shared" si="150"/>
        <v>236</v>
      </c>
      <c r="H1067">
        <f t="shared" si="151"/>
        <v>230</v>
      </c>
      <c r="I1067">
        <f t="shared" si="152"/>
        <v>83</v>
      </c>
      <c r="J1067" t="str">
        <f t="shared" si="144"/>
        <v>NODgr",</v>
      </c>
      <c r="K1067" t="str">
        <f t="shared" si="144"/>
        <v>Nodulus (X), granular layer",</v>
      </c>
      <c r="L1067" t="str">
        <f t="shared" si="145"/>
        <v>NODgr</v>
      </c>
      <c r="M1067" t="str">
        <f t="shared" si="145"/>
        <v>Nodulus (X), granular layer</v>
      </c>
      <c r="N1067" t="s">
        <v>6591</v>
      </c>
      <c r="O1067" t="s">
        <v>6592</v>
      </c>
      <c r="Y1067" t="s">
        <v>6591</v>
      </c>
      <c r="Z1067" t="s">
        <v>6592</v>
      </c>
      <c r="AA1067" s="6" t="str">
        <f t="shared" si="146"/>
        <v/>
      </c>
      <c r="AB1067">
        <v>236</v>
      </c>
      <c r="AC1067">
        <v>230</v>
      </c>
      <c r="AD1067">
        <v>83</v>
      </c>
    </row>
    <row r="1068" spans="1:30" ht="17" x14ac:dyDescent="0.25">
      <c r="A1068" s="1" t="s">
        <v>1070</v>
      </c>
      <c r="B1068" s="1" t="s">
        <v>3722</v>
      </c>
      <c r="C1068" s="1" t="s">
        <v>2397</v>
      </c>
      <c r="D1068" t="str">
        <f t="shared" si="147"/>
        <v>FEF990</v>
      </c>
      <c r="E1068" t="str">
        <f t="shared" si="148"/>
        <v>254-249-144</v>
      </c>
      <c r="F1068" t="str">
        <f t="shared" si="149"/>
        <v>254249144</v>
      </c>
      <c r="G1068">
        <f t="shared" si="150"/>
        <v>254</v>
      </c>
      <c r="H1068">
        <f t="shared" si="151"/>
        <v>249</v>
      </c>
      <c r="I1068">
        <f t="shared" si="152"/>
        <v>144</v>
      </c>
      <c r="J1068" t="str">
        <f t="shared" si="144"/>
        <v>HEM",</v>
      </c>
      <c r="K1068" t="str">
        <f t="shared" si="144"/>
        <v>Hemispheric regions",</v>
      </c>
      <c r="L1068" t="str">
        <f t="shared" si="145"/>
        <v>HEM</v>
      </c>
      <c r="M1068" t="str">
        <f t="shared" si="145"/>
        <v>Hemispheric regions</v>
      </c>
      <c r="N1068" t="s">
        <v>6593</v>
      </c>
      <c r="O1068" t="s">
        <v>6594</v>
      </c>
      <c r="Y1068" t="s">
        <v>6593</v>
      </c>
      <c r="Z1068" t="s">
        <v>6594</v>
      </c>
      <c r="AA1068" s="6">
        <f t="shared" si="146"/>
        <v>1073</v>
      </c>
      <c r="AB1068">
        <v>254</v>
      </c>
      <c r="AC1068">
        <v>249</v>
      </c>
      <c r="AD1068">
        <v>144</v>
      </c>
    </row>
    <row r="1069" spans="1:30" ht="17" x14ac:dyDescent="0.25">
      <c r="A1069" s="1" t="s">
        <v>1071</v>
      </c>
      <c r="B1069" s="1" t="s">
        <v>3723</v>
      </c>
      <c r="C1069" s="1" t="s">
        <v>2398</v>
      </c>
      <c r="D1069" t="str">
        <f t="shared" si="147"/>
        <v>FDFB8F</v>
      </c>
      <c r="E1069" t="str">
        <f t="shared" si="148"/>
        <v>253-251-143</v>
      </c>
      <c r="F1069" t="str">
        <f t="shared" si="149"/>
        <v>253251143</v>
      </c>
      <c r="G1069">
        <f t="shared" si="150"/>
        <v>253</v>
      </c>
      <c r="H1069">
        <f t="shared" si="151"/>
        <v>251</v>
      </c>
      <c r="I1069">
        <f t="shared" si="152"/>
        <v>143</v>
      </c>
      <c r="J1069" t="str">
        <f t="shared" si="144"/>
        <v>SIM",</v>
      </c>
      <c r="K1069" t="str">
        <f t="shared" si="144"/>
        <v>Simple lobule",</v>
      </c>
      <c r="L1069" t="str">
        <f t="shared" si="145"/>
        <v>SIM</v>
      </c>
      <c r="M1069" t="str">
        <f t="shared" si="145"/>
        <v>Simple lobule</v>
      </c>
      <c r="N1069" t="s">
        <v>6595</v>
      </c>
      <c r="O1069" t="s">
        <v>6596</v>
      </c>
      <c r="Y1069" t="s">
        <v>6595</v>
      </c>
      <c r="Z1069" t="s">
        <v>6596</v>
      </c>
      <c r="AA1069" s="6">
        <f t="shared" si="146"/>
        <v>1007</v>
      </c>
      <c r="AB1069">
        <v>253</v>
      </c>
      <c r="AC1069">
        <v>251</v>
      </c>
      <c r="AD1069">
        <v>143</v>
      </c>
    </row>
    <row r="1070" spans="1:30" ht="17" x14ac:dyDescent="0.25">
      <c r="A1070" s="1" t="s">
        <v>1072</v>
      </c>
      <c r="B1070" s="1" t="s">
        <v>3724</v>
      </c>
      <c r="C1070" s="1" t="s">
        <v>2399</v>
      </c>
      <c r="D1070" t="str">
        <f t="shared" si="147"/>
        <v>FEFB8E</v>
      </c>
      <c r="E1070" t="str">
        <f t="shared" si="148"/>
        <v>254-251-142</v>
      </c>
      <c r="F1070" t="str">
        <f t="shared" si="149"/>
        <v>254251142</v>
      </c>
      <c r="G1070">
        <f t="shared" si="150"/>
        <v>254</v>
      </c>
      <c r="H1070">
        <f t="shared" si="151"/>
        <v>251</v>
      </c>
      <c r="I1070">
        <f t="shared" si="152"/>
        <v>142</v>
      </c>
      <c r="J1070" t="str">
        <f t="shared" si="144"/>
        <v>SIMmo",</v>
      </c>
      <c r="K1070" t="str">
        <f t="shared" si="144"/>
        <v>Simple lobule, molecular layer",</v>
      </c>
      <c r="L1070" t="str">
        <f t="shared" si="145"/>
        <v>SIMmo</v>
      </c>
      <c r="M1070" t="str">
        <f t="shared" si="145"/>
        <v>Simple lobule, molecular layer</v>
      </c>
      <c r="N1070" t="s">
        <v>6597</v>
      </c>
      <c r="O1070" t="s">
        <v>6598</v>
      </c>
      <c r="Y1070" t="s">
        <v>6597</v>
      </c>
      <c r="Z1070" t="s">
        <v>6598</v>
      </c>
      <c r="AA1070" s="6" t="str">
        <f t="shared" si="146"/>
        <v/>
      </c>
      <c r="AB1070">
        <v>254</v>
      </c>
      <c r="AC1070">
        <v>251</v>
      </c>
      <c r="AD1070">
        <v>142</v>
      </c>
    </row>
    <row r="1071" spans="1:30" ht="17" x14ac:dyDescent="0.25">
      <c r="A1071" s="1" t="s">
        <v>1073</v>
      </c>
      <c r="B1071" s="1" t="s">
        <v>3725</v>
      </c>
      <c r="C1071" s="1" t="s">
        <v>2400</v>
      </c>
      <c r="D1071" t="str">
        <f t="shared" si="147"/>
        <v>FEFC8E</v>
      </c>
      <c r="E1071" t="str">
        <f t="shared" si="148"/>
        <v>254-252-142</v>
      </c>
      <c r="F1071" t="str">
        <f t="shared" si="149"/>
        <v>254252142</v>
      </c>
      <c r="G1071">
        <f t="shared" si="150"/>
        <v>254</v>
      </c>
      <c r="H1071">
        <f t="shared" si="151"/>
        <v>252</v>
      </c>
      <c r="I1071">
        <f t="shared" si="152"/>
        <v>142</v>
      </c>
      <c r="J1071" t="str">
        <f t="shared" si="144"/>
        <v>SIMpu",</v>
      </c>
      <c r="K1071" t="str">
        <f t="shared" si="144"/>
        <v>Simple lobule, Purkinje layer",</v>
      </c>
      <c r="L1071" t="str">
        <f t="shared" si="145"/>
        <v>SIMpu</v>
      </c>
      <c r="M1071" t="str">
        <f t="shared" si="145"/>
        <v>Simple lobule, Purkinje layer</v>
      </c>
      <c r="N1071" t="s">
        <v>6599</v>
      </c>
      <c r="O1071" t="s">
        <v>6600</v>
      </c>
      <c r="Y1071" t="s">
        <v>6599</v>
      </c>
      <c r="Z1071" t="s">
        <v>6600</v>
      </c>
      <c r="AA1071" s="6" t="str">
        <f t="shared" si="146"/>
        <v/>
      </c>
      <c r="AB1071">
        <v>254</v>
      </c>
      <c r="AC1071">
        <v>252</v>
      </c>
      <c r="AD1071">
        <v>142</v>
      </c>
    </row>
    <row r="1072" spans="1:30" ht="17" x14ac:dyDescent="0.25">
      <c r="A1072" s="1" t="s">
        <v>1074</v>
      </c>
      <c r="B1072" s="1" t="s">
        <v>3726</v>
      </c>
      <c r="C1072" s="1" t="s">
        <v>2401</v>
      </c>
      <c r="D1072" t="str">
        <f t="shared" si="147"/>
        <v>EAE654</v>
      </c>
      <c r="E1072" t="str">
        <f t="shared" si="148"/>
        <v>234-230-84</v>
      </c>
      <c r="F1072" t="str">
        <f t="shared" si="149"/>
        <v>23423084</v>
      </c>
      <c r="G1072">
        <f t="shared" si="150"/>
        <v>234</v>
      </c>
      <c r="H1072">
        <f t="shared" si="151"/>
        <v>230</v>
      </c>
      <c r="I1072">
        <f t="shared" si="152"/>
        <v>84</v>
      </c>
      <c r="J1072" t="str">
        <f t="shared" si="144"/>
        <v>SIMgr",</v>
      </c>
      <c r="K1072" t="str">
        <f t="shared" si="144"/>
        <v>Simple lobule, granular layer",</v>
      </c>
      <c r="L1072" t="str">
        <f t="shared" si="145"/>
        <v>SIMgr</v>
      </c>
      <c r="M1072" t="str">
        <f t="shared" si="145"/>
        <v>Simple lobule, granular layer</v>
      </c>
      <c r="N1072" t="s">
        <v>6601</v>
      </c>
      <c r="O1072" t="s">
        <v>6602</v>
      </c>
      <c r="Y1072" t="s">
        <v>6601</v>
      </c>
      <c r="Z1072" t="s">
        <v>6602</v>
      </c>
      <c r="AA1072" s="6" t="str">
        <f t="shared" si="146"/>
        <v/>
      </c>
      <c r="AB1072">
        <v>234</v>
      </c>
      <c r="AC1072">
        <v>230</v>
      </c>
      <c r="AD1072">
        <v>84</v>
      </c>
    </row>
    <row r="1073" spans="1:30" ht="17" x14ac:dyDescent="0.25">
      <c r="A1073" s="1" t="s">
        <v>1075</v>
      </c>
      <c r="B1073" s="1" t="s">
        <v>3727</v>
      </c>
      <c r="C1073" s="1" t="s">
        <v>2402</v>
      </c>
      <c r="D1073" t="str">
        <f t="shared" si="147"/>
        <v>FCFC91</v>
      </c>
      <c r="E1073" t="str">
        <f t="shared" si="148"/>
        <v>252-252-145</v>
      </c>
      <c r="F1073" t="str">
        <f t="shared" si="149"/>
        <v>252252145</v>
      </c>
      <c r="G1073">
        <f t="shared" si="150"/>
        <v>252</v>
      </c>
      <c r="H1073">
        <f t="shared" si="151"/>
        <v>252</v>
      </c>
      <c r="I1073">
        <f t="shared" si="152"/>
        <v>145</v>
      </c>
      <c r="J1073" t="str">
        <f t="shared" si="144"/>
        <v>AN",</v>
      </c>
      <c r="K1073" t="str">
        <f t="shared" si="144"/>
        <v>Ansiform lobule",</v>
      </c>
      <c r="L1073" t="str">
        <f t="shared" si="145"/>
        <v>AN</v>
      </c>
      <c r="M1073" t="str">
        <f t="shared" si="145"/>
        <v>Ansiform lobule</v>
      </c>
      <c r="N1073" t="s">
        <v>6603</v>
      </c>
      <c r="O1073" t="s">
        <v>6604</v>
      </c>
      <c r="Y1073" t="s">
        <v>6603</v>
      </c>
      <c r="Z1073" t="s">
        <v>6604</v>
      </c>
      <c r="AA1073" s="6">
        <f t="shared" si="146"/>
        <v>1017</v>
      </c>
      <c r="AB1073">
        <v>252</v>
      </c>
      <c r="AC1073">
        <v>252</v>
      </c>
      <c r="AD1073">
        <v>145</v>
      </c>
    </row>
    <row r="1074" spans="1:30" ht="17" x14ac:dyDescent="0.25">
      <c r="A1074" s="1" t="s">
        <v>1076</v>
      </c>
      <c r="B1074" s="1" t="s">
        <v>3728</v>
      </c>
      <c r="C1074" s="1" t="s">
        <v>2403</v>
      </c>
      <c r="D1074" t="str">
        <f t="shared" si="147"/>
        <v>FCFC90</v>
      </c>
      <c r="E1074" t="str">
        <f t="shared" si="148"/>
        <v>252-252-144</v>
      </c>
      <c r="F1074" t="str">
        <f t="shared" si="149"/>
        <v>252252144</v>
      </c>
      <c r="G1074">
        <f t="shared" si="150"/>
        <v>252</v>
      </c>
      <c r="H1074">
        <f t="shared" si="151"/>
        <v>252</v>
      </c>
      <c r="I1074">
        <f t="shared" si="152"/>
        <v>144</v>
      </c>
      <c r="J1074" t="str">
        <f t="shared" si="144"/>
        <v>ANcr1",</v>
      </c>
      <c r="K1074" t="str">
        <f t="shared" si="144"/>
        <v>Crus 1",</v>
      </c>
      <c r="L1074" t="str">
        <f t="shared" si="145"/>
        <v>ANcr1</v>
      </c>
      <c r="M1074" t="str">
        <f t="shared" si="145"/>
        <v>Crus 1</v>
      </c>
      <c r="N1074" t="s">
        <v>6605</v>
      </c>
      <c r="O1074" t="s">
        <v>6606</v>
      </c>
      <c r="Y1074" t="s">
        <v>6605</v>
      </c>
      <c r="Z1074" t="s">
        <v>6606</v>
      </c>
      <c r="AA1074" s="6">
        <f t="shared" si="146"/>
        <v>1056</v>
      </c>
      <c r="AB1074">
        <v>252</v>
      </c>
      <c r="AC1074">
        <v>252</v>
      </c>
      <c r="AD1074">
        <v>144</v>
      </c>
    </row>
    <row r="1075" spans="1:30" ht="17" x14ac:dyDescent="0.25">
      <c r="A1075" s="1" t="s">
        <v>1077</v>
      </c>
      <c r="B1075" s="1" t="s">
        <v>3729</v>
      </c>
      <c r="C1075" s="1" t="s">
        <v>2404</v>
      </c>
      <c r="D1075" t="str">
        <f t="shared" si="147"/>
        <v>FDFC8E</v>
      </c>
      <c r="E1075" t="str">
        <f t="shared" si="148"/>
        <v>253-252-142</v>
      </c>
      <c r="F1075" t="str">
        <f t="shared" si="149"/>
        <v>253252142</v>
      </c>
      <c r="G1075">
        <f t="shared" si="150"/>
        <v>253</v>
      </c>
      <c r="H1075">
        <f t="shared" si="151"/>
        <v>252</v>
      </c>
      <c r="I1075">
        <f t="shared" si="152"/>
        <v>142</v>
      </c>
      <c r="J1075" t="str">
        <f t="shared" si="144"/>
        <v>ANcr1mo",</v>
      </c>
      <c r="K1075" t="str">
        <f t="shared" si="144"/>
        <v>Crus 1, molecular layer",</v>
      </c>
      <c r="L1075" t="str">
        <f t="shared" si="145"/>
        <v>ANcr1mo</v>
      </c>
      <c r="M1075" t="str">
        <f t="shared" si="145"/>
        <v>Crus 1, molecular layer</v>
      </c>
      <c r="N1075" t="s">
        <v>6607</v>
      </c>
      <c r="O1075" t="s">
        <v>6608</v>
      </c>
      <c r="Y1075" t="s">
        <v>6607</v>
      </c>
      <c r="Z1075" t="s">
        <v>6608</v>
      </c>
      <c r="AA1075" s="6" t="str">
        <f t="shared" si="146"/>
        <v/>
      </c>
      <c r="AB1075">
        <v>253</v>
      </c>
      <c r="AC1075">
        <v>252</v>
      </c>
      <c r="AD1075">
        <v>142</v>
      </c>
    </row>
    <row r="1076" spans="1:30" ht="17" x14ac:dyDescent="0.25">
      <c r="A1076" s="1" t="s">
        <v>1078</v>
      </c>
      <c r="B1076" s="1" t="s">
        <v>3730</v>
      </c>
      <c r="C1076" s="1" t="s">
        <v>2405</v>
      </c>
      <c r="D1076" t="str">
        <f t="shared" si="147"/>
        <v>FFFB91</v>
      </c>
      <c r="E1076" t="str">
        <f t="shared" si="148"/>
        <v>255-251-145</v>
      </c>
      <c r="F1076" t="str">
        <f t="shared" si="149"/>
        <v>255251145</v>
      </c>
      <c r="G1076">
        <f t="shared" si="150"/>
        <v>255</v>
      </c>
      <c r="H1076">
        <f t="shared" si="151"/>
        <v>251</v>
      </c>
      <c r="I1076">
        <f t="shared" si="152"/>
        <v>145</v>
      </c>
      <c r="J1076" t="str">
        <f t="shared" si="144"/>
        <v>ANcr1pu",</v>
      </c>
      <c r="K1076" t="str">
        <f t="shared" si="144"/>
        <v>Crus 1, Purkinje layer",</v>
      </c>
      <c r="L1076" t="str">
        <f t="shared" si="145"/>
        <v>ANcr1pu</v>
      </c>
      <c r="M1076" t="str">
        <f t="shared" si="145"/>
        <v>Crus 1, Purkinje layer</v>
      </c>
      <c r="N1076" t="s">
        <v>6609</v>
      </c>
      <c r="O1076" t="s">
        <v>6610</v>
      </c>
      <c r="Y1076" t="s">
        <v>6609</v>
      </c>
      <c r="Z1076" t="s">
        <v>6610</v>
      </c>
      <c r="AA1076" s="6" t="str">
        <f t="shared" si="146"/>
        <v/>
      </c>
      <c r="AB1076">
        <v>255</v>
      </c>
      <c r="AC1076">
        <v>251</v>
      </c>
      <c r="AD1076">
        <v>145</v>
      </c>
    </row>
    <row r="1077" spans="1:30" ht="17" x14ac:dyDescent="0.25">
      <c r="A1077" s="1" t="s">
        <v>1079</v>
      </c>
      <c r="B1077" s="1" t="s">
        <v>3731</v>
      </c>
      <c r="C1077" s="1" t="s">
        <v>2406</v>
      </c>
      <c r="D1077" t="str">
        <f t="shared" si="147"/>
        <v>ECE753</v>
      </c>
      <c r="E1077" t="str">
        <f t="shared" si="148"/>
        <v>236-231-83</v>
      </c>
      <c r="F1077" t="str">
        <f t="shared" si="149"/>
        <v>23623183</v>
      </c>
      <c r="G1077">
        <f t="shared" si="150"/>
        <v>236</v>
      </c>
      <c r="H1077">
        <f t="shared" si="151"/>
        <v>231</v>
      </c>
      <c r="I1077">
        <f t="shared" si="152"/>
        <v>83</v>
      </c>
      <c r="J1077" t="str">
        <f t="shared" si="144"/>
        <v>ANcr1gr",</v>
      </c>
      <c r="K1077" t="str">
        <f t="shared" si="144"/>
        <v>Crus 1, granular layer",</v>
      </c>
      <c r="L1077" t="str">
        <f t="shared" si="145"/>
        <v>ANcr1gr</v>
      </c>
      <c r="M1077" t="str">
        <f t="shared" si="145"/>
        <v>Crus 1, granular layer</v>
      </c>
      <c r="N1077" t="s">
        <v>6611</v>
      </c>
      <c r="O1077" t="s">
        <v>6612</v>
      </c>
      <c r="Y1077" t="s">
        <v>6611</v>
      </c>
      <c r="Z1077" t="s">
        <v>6612</v>
      </c>
      <c r="AA1077" s="6" t="str">
        <f t="shared" si="146"/>
        <v/>
      </c>
      <c r="AB1077">
        <v>236</v>
      </c>
      <c r="AC1077">
        <v>231</v>
      </c>
      <c r="AD1077">
        <v>83</v>
      </c>
    </row>
    <row r="1078" spans="1:30" ht="17" x14ac:dyDescent="0.25">
      <c r="A1078" s="1" t="s">
        <v>1080</v>
      </c>
      <c r="B1078" s="1" t="s">
        <v>3732</v>
      </c>
      <c r="C1078" s="1" t="s">
        <v>2407</v>
      </c>
      <c r="D1078" t="str">
        <f t="shared" si="147"/>
        <v>FCFA91</v>
      </c>
      <c r="E1078" t="str">
        <f t="shared" si="148"/>
        <v>252-250-145</v>
      </c>
      <c r="F1078" t="str">
        <f t="shared" si="149"/>
        <v>252250145</v>
      </c>
      <c r="G1078">
        <f t="shared" si="150"/>
        <v>252</v>
      </c>
      <c r="H1078">
        <f t="shared" si="151"/>
        <v>250</v>
      </c>
      <c r="I1078">
        <f t="shared" si="152"/>
        <v>145</v>
      </c>
      <c r="J1078" t="str">
        <f t="shared" si="144"/>
        <v>ANcr2",</v>
      </c>
      <c r="K1078" t="str">
        <f t="shared" si="144"/>
        <v>Crus 2",</v>
      </c>
      <c r="L1078" t="str">
        <f t="shared" si="145"/>
        <v>ANcr2</v>
      </c>
      <c r="M1078" t="str">
        <f t="shared" si="145"/>
        <v>Crus 2</v>
      </c>
      <c r="N1078" t="s">
        <v>6613</v>
      </c>
      <c r="O1078" t="s">
        <v>6614</v>
      </c>
      <c r="Y1078" t="s">
        <v>6613</v>
      </c>
      <c r="Z1078" t="s">
        <v>6614</v>
      </c>
      <c r="AA1078" s="6">
        <f t="shared" si="146"/>
        <v>1064</v>
      </c>
      <c r="AB1078">
        <v>252</v>
      </c>
      <c r="AC1078">
        <v>250</v>
      </c>
      <c r="AD1078">
        <v>145</v>
      </c>
    </row>
    <row r="1079" spans="1:30" ht="17" x14ac:dyDescent="0.25">
      <c r="A1079" s="1" t="s">
        <v>1081</v>
      </c>
      <c r="B1079" s="1" t="s">
        <v>3733</v>
      </c>
      <c r="C1079" s="1" t="s">
        <v>2408</v>
      </c>
      <c r="D1079" t="str">
        <f t="shared" si="147"/>
        <v>FEFA8E</v>
      </c>
      <c r="E1079" t="str">
        <f t="shared" si="148"/>
        <v>254-250-142</v>
      </c>
      <c r="F1079" t="str">
        <f t="shared" si="149"/>
        <v>254250142</v>
      </c>
      <c r="G1079">
        <f t="shared" si="150"/>
        <v>254</v>
      </c>
      <c r="H1079">
        <f t="shared" si="151"/>
        <v>250</v>
      </c>
      <c r="I1079">
        <f t="shared" si="152"/>
        <v>142</v>
      </c>
      <c r="J1079" t="str">
        <f t="shared" si="144"/>
        <v>ANcr2mo",</v>
      </c>
      <c r="K1079" t="str">
        <f t="shared" si="144"/>
        <v>Crus 2, molecular layer",</v>
      </c>
      <c r="L1079" t="str">
        <f t="shared" si="145"/>
        <v>ANcr2mo</v>
      </c>
      <c r="M1079" t="str">
        <f t="shared" si="145"/>
        <v>Crus 2, molecular layer</v>
      </c>
      <c r="N1079" t="s">
        <v>6615</v>
      </c>
      <c r="O1079" t="s">
        <v>6616</v>
      </c>
      <c r="Y1079" t="s">
        <v>6615</v>
      </c>
      <c r="Z1079" t="s">
        <v>6616</v>
      </c>
      <c r="AA1079" s="6" t="str">
        <f t="shared" si="146"/>
        <v/>
      </c>
      <c r="AB1079">
        <v>254</v>
      </c>
      <c r="AC1079">
        <v>250</v>
      </c>
      <c r="AD1079">
        <v>142</v>
      </c>
    </row>
    <row r="1080" spans="1:30" ht="17" x14ac:dyDescent="0.25">
      <c r="A1080" s="1" t="s">
        <v>1082</v>
      </c>
      <c r="B1080" s="1" t="s">
        <v>3734</v>
      </c>
      <c r="C1080" s="1" t="s">
        <v>2409</v>
      </c>
      <c r="D1080" t="str">
        <f t="shared" si="147"/>
        <v>FCFC8F</v>
      </c>
      <c r="E1080" t="str">
        <f t="shared" si="148"/>
        <v>252-252-143</v>
      </c>
      <c r="F1080" t="str">
        <f t="shared" si="149"/>
        <v>252252143</v>
      </c>
      <c r="G1080">
        <f t="shared" si="150"/>
        <v>252</v>
      </c>
      <c r="H1080">
        <f t="shared" si="151"/>
        <v>252</v>
      </c>
      <c r="I1080">
        <f t="shared" si="152"/>
        <v>143</v>
      </c>
      <c r="J1080" t="str">
        <f t="shared" si="144"/>
        <v>ANcr2pu",</v>
      </c>
      <c r="K1080" t="str">
        <f t="shared" si="144"/>
        <v>Crus 2, Purkinje layer",</v>
      </c>
      <c r="L1080" t="str">
        <f t="shared" si="145"/>
        <v>ANcr2pu</v>
      </c>
      <c r="M1080" t="str">
        <f t="shared" si="145"/>
        <v>Crus 2, Purkinje layer</v>
      </c>
      <c r="N1080" t="s">
        <v>6617</v>
      </c>
      <c r="O1080" t="s">
        <v>6618</v>
      </c>
      <c r="Y1080" t="s">
        <v>6617</v>
      </c>
      <c r="Z1080" t="s">
        <v>6618</v>
      </c>
      <c r="AA1080" s="6" t="str">
        <f t="shared" si="146"/>
        <v/>
      </c>
      <c r="AB1080">
        <v>252</v>
      </c>
      <c r="AC1080">
        <v>252</v>
      </c>
      <c r="AD1080">
        <v>143</v>
      </c>
    </row>
    <row r="1081" spans="1:30" ht="17" x14ac:dyDescent="0.25">
      <c r="A1081" s="1" t="s">
        <v>1083</v>
      </c>
      <c r="B1081" s="1" t="s">
        <v>3735</v>
      </c>
      <c r="C1081" s="1" t="s">
        <v>2410</v>
      </c>
      <c r="D1081" t="str">
        <f t="shared" si="147"/>
        <v>EBE653</v>
      </c>
      <c r="E1081" t="str">
        <f t="shared" si="148"/>
        <v>235-230-83</v>
      </c>
      <c r="F1081" t="str">
        <f t="shared" si="149"/>
        <v>23523083</v>
      </c>
      <c r="G1081">
        <f t="shared" si="150"/>
        <v>235</v>
      </c>
      <c r="H1081">
        <f t="shared" si="151"/>
        <v>230</v>
      </c>
      <c r="I1081">
        <f t="shared" si="152"/>
        <v>83</v>
      </c>
      <c r="J1081" t="str">
        <f t="shared" si="144"/>
        <v>ANcr2gr",</v>
      </c>
      <c r="K1081" t="str">
        <f t="shared" si="144"/>
        <v>Crus 2, granular layer",</v>
      </c>
      <c r="L1081" t="str">
        <f t="shared" si="145"/>
        <v>ANcr2gr</v>
      </c>
      <c r="M1081" t="str">
        <f t="shared" si="145"/>
        <v>Crus 2, granular layer</v>
      </c>
      <c r="N1081" t="s">
        <v>6619</v>
      </c>
      <c r="O1081" t="s">
        <v>6620</v>
      </c>
      <c r="Y1081" t="s">
        <v>6619</v>
      </c>
      <c r="Z1081" t="s">
        <v>6620</v>
      </c>
      <c r="AA1081" s="6" t="str">
        <f t="shared" si="146"/>
        <v/>
      </c>
      <c r="AB1081">
        <v>235</v>
      </c>
      <c r="AC1081">
        <v>230</v>
      </c>
      <c r="AD1081">
        <v>83</v>
      </c>
    </row>
    <row r="1082" spans="1:30" ht="17" x14ac:dyDescent="0.25">
      <c r="A1082" s="1" t="s">
        <v>1084</v>
      </c>
      <c r="B1082" s="1" t="s">
        <v>3736</v>
      </c>
      <c r="C1082" s="1" t="s">
        <v>2411</v>
      </c>
      <c r="D1082" t="str">
        <f t="shared" si="147"/>
        <v>FFFB8E</v>
      </c>
      <c r="E1082" t="str">
        <f t="shared" si="148"/>
        <v>255-251-142</v>
      </c>
      <c r="F1082" t="str">
        <f t="shared" si="149"/>
        <v>255251142</v>
      </c>
      <c r="G1082">
        <f t="shared" si="150"/>
        <v>255</v>
      </c>
      <c r="H1082">
        <f t="shared" si="151"/>
        <v>251</v>
      </c>
      <c r="I1082">
        <f t="shared" si="152"/>
        <v>142</v>
      </c>
      <c r="J1082" t="str">
        <f t="shared" si="144"/>
        <v>PRM",</v>
      </c>
      <c r="K1082" t="str">
        <f t="shared" si="144"/>
        <v>Paramedian lobule",</v>
      </c>
      <c r="L1082" t="str">
        <f t="shared" si="145"/>
        <v>PRM</v>
      </c>
      <c r="M1082" t="str">
        <f t="shared" si="145"/>
        <v>Paramedian lobule</v>
      </c>
      <c r="N1082" t="s">
        <v>6621</v>
      </c>
      <c r="O1082" t="s">
        <v>6622</v>
      </c>
      <c r="Y1082" t="s">
        <v>6621</v>
      </c>
      <c r="Z1082" t="s">
        <v>6622</v>
      </c>
      <c r="AA1082" s="6">
        <f t="shared" si="146"/>
        <v>1025</v>
      </c>
      <c r="AB1082">
        <v>255</v>
      </c>
      <c r="AC1082">
        <v>251</v>
      </c>
      <c r="AD1082">
        <v>142</v>
      </c>
    </row>
    <row r="1083" spans="1:30" ht="17" x14ac:dyDescent="0.25">
      <c r="A1083" s="1" t="s">
        <v>1085</v>
      </c>
      <c r="B1083" s="1" t="s">
        <v>3737</v>
      </c>
      <c r="C1083" s="1" t="s">
        <v>2412</v>
      </c>
      <c r="D1083" t="str">
        <f t="shared" si="147"/>
        <v>FEFC91</v>
      </c>
      <c r="E1083" t="str">
        <f t="shared" si="148"/>
        <v>254-252-145</v>
      </c>
      <c r="F1083" t="str">
        <f t="shared" si="149"/>
        <v>254252145</v>
      </c>
      <c r="G1083">
        <f t="shared" si="150"/>
        <v>254</v>
      </c>
      <c r="H1083">
        <f t="shared" si="151"/>
        <v>252</v>
      </c>
      <c r="I1083">
        <f t="shared" si="152"/>
        <v>145</v>
      </c>
      <c r="J1083" t="str">
        <f t="shared" si="144"/>
        <v>PRMmo",</v>
      </c>
      <c r="K1083" t="str">
        <f t="shared" si="144"/>
        <v>Paramedian lobule, molecular layer",</v>
      </c>
      <c r="L1083" t="str">
        <f t="shared" si="145"/>
        <v>PRMmo</v>
      </c>
      <c r="M1083" t="str">
        <f t="shared" si="145"/>
        <v>Paramedian lobule, molecular layer</v>
      </c>
      <c r="N1083" t="s">
        <v>6623</v>
      </c>
      <c r="O1083" t="s">
        <v>6624</v>
      </c>
      <c r="Y1083" t="s">
        <v>6623</v>
      </c>
      <c r="Z1083" t="s">
        <v>6624</v>
      </c>
      <c r="AA1083" s="6" t="str">
        <f t="shared" si="146"/>
        <v/>
      </c>
      <c r="AB1083">
        <v>254</v>
      </c>
      <c r="AC1083">
        <v>252</v>
      </c>
      <c r="AD1083">
        <v>145</v>
      </c>
    </row>
    <row r="1084" spans="1:30" ht="17" x14ac:dyDescent="0.25">
      <c r="A1084" s="1" t="s">
        <v>1086</v>
      </c>
      <c r="B1084" s="1" t="s">
        <v>3738</v>
      </c>
      <c r="C1084" s="1" t="s">
        <v>2413</v>
      </c>
      <c r="D1084" t="str">
        <f t="shared" si="147"/>
        <v>FDF990</v>
      </c>
      <c r="E1084" t="str">
        <f t="shared" si="148"/>
        <v>253-249-144</v>
      </c>
      <c r="F1084" t="str">
        <f t="shared" si="149"/>
        <v>253249144</v>
      </c>
      <c r="G1084">
        <f t="shared" si="150"/>
        <v>253</v>
      </c>
      <c r="H1084">
        <f t="shared" si="151"/>
        <v>249</v>
      </c>
      <c r="I1084">
        <f t="shared" si="152"/>
        <v>144</v>
      </c>
      <c r="J1084" t="str">
        <f t="shared" si="144"/>
        <v>PRMpu",</v>
      </c>
      <c r="K1084" t="str">
        <f t="shared" si="144"/>
        <v>Paramedian lobule, Purkinje layer",</v>
      </c>
      <c r="L1084" t="str">
        <f t="shared" si="145"/>
        <v>PRMpu</v>
      </c>
      <c r="M1084" t="str">
        <f t="shared" si="145"/>
        <v>Paramedian lobule, Purkinje layer</v>
      </c>
      <c r="N1084" t="s">
        <v>6625</v>
      </c>
      <c r="O1084" t="s">
        <v>6626</v>
      </c>
      <c r="Y1084" t="s">
        <v>6625</v>
      </c>
      <c r="Z1084" t="s">
        <v>6626</v>
      </c>
      <c r="AA1084" s="6" t="str">
        <f t="shared" si="146"/>
        <v/>
      </c>
      <c r="AB1084">
        <v>253</v>
      </c>
      <c r="AC1084">
        <v>249</v>
      </c>
      <c r="AD1084">
        <v>144</v>
      </c>
    </row>
    <row r="1085" spans="1:30" ht="17" x14ac:dyDescent="0.25">
      <c r="A1085" s="1" t="s">
        <v>1087</v>
      </c>
      <c r="B1085" s="1" t="s">
        <v>3739</v>
      </c>
      <c r="C1085" s="1" t="s">
        <v>2414</v>
      </c>
      <c r="D1085" t="str">
        <f t="shared" si="147"/>
        <v>ECE554</v>
      </c>
      <c r="E1085" t="str">
        <f t="shared" si="148"/>
        <v>236-229-84</v>
      </c>
      <c r="F1085" t="str">
        <f t="shared" si="149"/>
        <v>23622984</v>
      </c>
      <c r="G1085">
        <f t="shared" si="150"/>
        <v>236</v>
      </c>
      <c r="H1085">
        <f t="shared" si="151"/>
        <v>229</v>
      </c>
      <c r="I1085">
        <f t="shared" si="152"/>
        <v>84</v>
      </c>
      <c r="J1085" t="str">
        <f t="shared" si="144"/>
        <v>PRMgr",</v>
      </c>
      <c r="K1085" t="str">
        <f t="shared" si="144"/>
        <v>Paramedian lobule, granular layer",</v>
      </c>
      <c r="L1085" t="str">
        <f t="shared" si="145"/>
        <v>PRMgr</v>
      </c>
      <c r="M1085" t="str">
        <f t="shared" si="145"/>
        <v>Paramedian lobule, granular layer</v>
      </c>
      <c r="N1085" t="s">
        <v>6627</v>
      </c>
      <c r="O1085" t="s">
        <v>6628</v>
      </c>
      <c r="Y1085" t="s">
        <v>6627</v>
      </c>
      <c r="Z1085" t="s">
        <v>6628</v>
      </c>
      <c r="AA1085" s="6" t="str">
        <f t="shared" si="146"/>
        <v/>
      </c>
      <c r="AB1085">
        <v>236</v>
      </c>
      <c r="AC1085">
        <v>229</v>
      </c>
      <c r="AD1085">
        <v>84</v>
      </c>
    </row>
    <row r="1086" spans="1:30" ht="17" x14ac:dyDescent="0.25">
      <c r="A1086" s="1" t="s">
        <v>1088</v>
      </c>
      <c r="B1086" s="1" t="s">
        <v>3740</v>
      </c>
      <c r="C1086" s="1" t="s">
        <v>2415</v>
      </c>
      <c r="D1086" t="str">
        <f t="shared" si="147"/>
        <v>FFF990</v>
      </c>
      <c r="E1086" t="str">
        <f t="shared" si="148"/>
        <v>255-249-144</v>
      </c>
      <c r="F1086" t="str">
        <f t="shared" si="149"/>
        <v>255249144</v>
      </c>
      <c r="G1086">
        <f t="shared" si="150"/>
        <v>255</v>
      </c>
      <c r="H1086">
        <f t="shared" si="151"/>
        <v>249</v>
      </c>
      <c r="I1086">
        <f t="shared" si="152"/>
        <v>144</v>
      </c>
      <c r="J1086" t="str">
        <f t="shared" si="144"/>
        <v>COPY",</v>
      </c>
      <c r="K1086" t="str">
        <f t="shared" si="144"/>
        <v>Copula pyramidis",</v>
      </c>
      <c r="L1086" t="str">
        <f t="shared" si="145"/>
        <v>COPY</v>
      </c>
      <c r="M1086" t="str">
        <f t="shared" si="145"/>
        <v>Copula pyramidis</v>
      </c>
      <c r="N1086" t="s">
        <v>6629</v>
      </c>
      <c r="O1086" t="s">
        <v>6630</v>
      </c>
      <c r="Y1086" t="s">
        <v>6629</v>
      </c>
      <c r="Z1086" t="s">
        <v>6630</v>
      </c>
      <c r="AA1086" s="6">
        <f t="shared" si="146"/>
        <v>1033</v>
      </c>
      <c r="AB1086">
        <v>255</v>
      </c>
      <c r="AC1086">
        <v>249</v>
      </c>
      <c r="AD1086">
        <v>144</v>
      </c>
    </row>
    <row r="1087" spans="1:30" ht="17" x14ac:dyDescent="0.25">
      <c r="A1087" s="1" t="s">
        <v>1089</v>
      </c>
      <c r="B1087" s="1" t="s">
        <v>3741</v>
      </c>
      <c r="C1087" s="1" t="s">
        <v>2416</v>
      </c>
      <c r="D1087" t="str">
        <f t="shared" si="147"/>
        <v>FDFA8E</v>
      </c>
      <c r="E1087" t="str">
        <f t="shared" si="148"/>
        <v>253-250-142</v>
      </c>
      <c r="F1087" t="str">
        <f t="shared" si="149"/>
        <v>253250142</v>
      </c>
      <c r="G1087">
        <f t="shared" si="150"/>
        <v>253</v>
      </c>
      <c r="H1087">
        <f t="shared" si="151"/>
        <v>250</v>
      </c>
      <c r="I1087">
        <f t="shared" si="152"/>
        <v>142</v>
      </c>
      <c r="J1087" t="str">
        <f t="shared" si="144"/>
        <v>COPYmo",</v>
      </c>
      <c r="K1087" t="str">
        <f t="shared" si="144"/>
        <v>Copula pyramidis, molecular layer",</v>
      </c>
      <c r="L1087" t="str">
        <f t="shared" si="145"/>
        <v>COPYmo</v>
      </c>
      <c r="M1087" t="str">
        <f t="shared" si="145"/>
        <v>Copula pyramidis, molecular layer</v>
      </c>
      <c r="N1087" t="s">
        <v>6631</v>
      </c>
      <c r="O1087" t="s">
        <v>6632</v>
      </c>
      <c r="Y1087" t="s">
        <v>6631</v>
      </c>
      <c r="Z1087" t="s">
        <v>6632</v>
      </c>
      <c r="AA1087" s="6" t="str">
        <f t="shared" si="146"/>
        <v/>
      </c>
      <c r="AB1087">
        <v>253</v>
      </c>
      <c r="AC1087">
        <v>250</v>
      </c>
      <c r="AD1087">
        <v>142</v>
      </c>
    </row>
    <row r="1088" spans="1:30" ht="17" x14ac:dyDescent="0.25">
      <c r="A1088" s="1" t="s">
        <v>1090</v>
      </c>
      <c r="B1088" s="1" t="s">
        <v>3742</v>
      </c>
      <c r="C1088" s="1" t="s">
        <v>2417</v>
      </c>
      <c r="D1088" t="str">
        <f t="shared" si="147"/>
        <v>FCFB8F</v>
      </c>
      <c r="E1088" t="str">
        <f t="shared" si="148"/>
        <v>252-251-143</v>
      </c>
      <c r="F1088" t="str">
        <f t="shared" si="149"/>
        <v>252251143</v>
      </c>
      <c r="G1088">
        <f t="shared" si="150"/>
        <v>252</v>
      </c>
      <c r="H1088">
        <f t="shared" si="151"/>
        <v>251</v>
      </c>
      <c r="I1088">
        <f t="shared" si="152"/>
        <v>143</v>
      </c>
      <c r="J1088" t="str">
        <f t="shared" si="144"/>
        <v>COPYpu",</v>
      </c>
      <c r="K1088" t="str">
        <f t="shared" si="144"/>
        <v>Copula pyramidis, Purkinje layer",</v>
      </c>
      <c r="L1088" t="str">
        <f t="shared" si="145"/>
        <v>COPYpu</v>
      </c>
      <c r="M1088" t="str">
        <f t="shared" si="145"/>
        <v>Copula pyramidis, Purkinje layer</v>
      </c>
      <c r="N1088" t="s">
        <v>6633</v>
      </c>
      <c r="O1088" t="s">
        <v>6634</v>
      </c>
      <c r="Y1088" t="s">
        <v>6633</v>
      </c>
      <c r="Z1088" t="s">
        <v>6634</v>
      </c>
      <c r="AA1088" s="6" t="str">
        <f t="shared" si="146"/>
        <v/>
      </c>
      <c r="AB1088">
        <v>252</v>
      </c>
      <c r="AC1088">
        <v>251</v>
      </c>
      <c r="AD1088">
        <v>143</v>
      </c>
    </row>
    <row r="1089" spans="1:30" ht="17" x14ac:dyDescent="0.25">
      <c r="A1089" s="1" t="s">
        <v>1091</v>
      </c>
      <c r="B1089" s="1" t="s">
        <v>3743</v>
      </c>
      <c r="C1089" s="1" t="s">
        <v>2418</v>
      </c>
      <c r="D1089" t="str">
        <f t="shared" si="147"/>
        <v>EAE754</v>
      </c>
      <c r="E1089" t="str">
        <f t="shared" si="148"/>
        <v>234-231-84</v>
      </c>
      <c r="F1089" t="str">
        <f t="shared" si="149"/>
        <v>23423184</v>
      </c>
      <c r="G1089">
        <f t="shared" si="150"/>
        <v>234</v>
      </c>
      <c r="H1089">
        <f t="shared" si="151"/>
        <v>231</v>
      </c>
      <c r="I1089">
        <f t="shared" si="152"/>
        <v>84</v>
      </c>
      <c r="J1089" t="str">
        <f t="shared" si="144"/>
        <v>COPYgr",</v>
      </c>
      <c r="K1089" t="str">
        <f t="shared" si="144"/>
        <v>Copula pyramidis, granular layer",</v>
      </c>
      <c r="L1089" t="str">
        <f t="shared" si="145"/>
        <v>COPYgr</v>
      </c>
      <c r="M1089" t="str">
        <f t="shared" si="145"/>
        <v>Copula pyramidis, granular layer</v>
      </c>
      <c r="N1089" t="s">
        <v>6635</v>
      </c>
      <c r="O1089" t="s">
        <v>6636</v>
      </c>
      <c r="Y1089" t="s">
        <v>6635</v>
      </c>
      <c r="Z1089" t="s">
        <v>6636</v>
      </c>
      <c r="AA1089" s="6" t="str">
        <f t="shared" si="146"/>
        <v/>
      </c>
      <c r="AB1089">
        <v>234</v>
      </c>
      <c r="AC1089">
        <v>231</v>
      </c>
      <c r="AD1089">
        <v>84</v>
      </c>
    </row>
    <row r="1090" spans="1:30" ht="17" x14ac:dyDescent="0.25">
      <c r="A1090" s="1" t="s">
        <v>1092</v>
      </c>
      <c r="B1090" s="1" t="s">
        <v>3744</v>
      </c>
      <c r="C1090" s="1" t="s">
        <v>2419</v>
      </c>
      <c r="D1090" t="str">
        <f t="shared" si="147"/>
        <v>FFFC8D</v>
      </c>
      <c r="E1090" t="str">
        <f t="shared" si="148"/>
        <v>255-252-141</v>
      </c>
      <c r="F1090" t="str">
        <f t="shared" si="149"/>
        <v>255252141</v>
      </c>
      <c r="G1090">
        <f t="shared" si="150"/>
        <v>255</v>
      </c>
      <c r="H1090">
        <f t="shared" si="151"/>
        <v>252</v>
      </c>
      <c r="I1090">
        <f t="shared" si="152"/>
        <v>141</v>
      </c>
      <c r="J1090" t="str">
        <f t="shared" si="144"/>
        <v>PFL",</v>
      </c>
      <c r="K1090" t="str">
        <f t="shared" si="144"/>
        <v>Paraflocculus",</v>
      </c>
      <c r="L1090" t="str">
        <f t="shared" si="145"/>
        <v>PFL</v>
      </c>
      <c r="M1090" t="str">
        <f t="shared" si="145"/>
        <v>Paraflocculus</v>
      </c>
      <c r="N1090" t="s">
        <v>6637</v>
      </c>
      <c r="O1090" t="s">
        <v>6638</v>
      </c>
      <c r="Y1090" t="s">
        <v>6637</v>
      </c>
      <c r="Z1090" t="s">
        <v>6638</v>
      </c>
      <c r="AA1090" s="6">
        <f t="shared" si="146"/>
        <v>1041</v>
      </c>
      <c r="AB1090">
        <v>255</v>
      </c>
      <c r="AC1090">
        <v>252</v>
      </c>
      <c r="AD1090">
        <v>141</v>
      </c>
    </row>
    <row r="1091" spans="1:30" ht="17" x14ac:dyDescent="0.25">
      <c r="A1091" s="1" t="s">
        <v>1093</v>
      </c>
      <c r="B1091" s="1" t="s">
        <v>3745</v>
      </c>
      <c r="C1091" s="1" t="s">
        <v>2420</v>
      </c>
      <c r="D1091" t="str">
        <f t="shared" si="147"/>
        <v>FFFB90</v>
      </c>
      <c r="E1091" t="str">
        <f t="shared" si="148"/>
        <v>255-251-144</v>
      </c>
      <c r="F1091" t="str">
        <f t="shared" si="149"/>
        <v>255251144</v>
      </c>
      <c r="G1091">
        <f t="shared" si="150"/>
        <v>255</v>
      </c>
      <c r="H1091">
        <f t="shared" si="151"/>
        <v>251</v>
      </c>
      <c r="I1091">
        <f t="shared" si="152"/>
        <v>144</v>
      </c>
      <c r="J1091" t="str">
        <f t="shared" ref="J1091:K1154" si="153">RIGHT(A1091,LEN(A1091)-3)</f>
        <v>PFLmo",</v>
      </c>
      <c r="K1091" t="str">
        <f t="shared" si="153"/>
        <v>Paraflocculus, molecular layer",</v>
      </c>
      <c r="L1091" t="str">
        <f t="shared" ref="L1091:M1154" si="154">LEFT(J1091,LEN(J1091)-2)</f>
        <v>PFLmo</v>
      </c>
      <c r="M1091" t="str">
        <f t="shared" si="154"/>
        <v>Paraflocculus, molecular layer</v>
      </c>
      <c r="N1091" t="s">
        <v>6639</v>
      </c>
      <c r="O1091" t="s">
        <v>6640</v>
      </c>
      <c r="Y1091" t="s">
        <v>6639</v>
      </c>
      <c r="Z1091" t="s">
        <v>6640</v>
      </c>
      <c r="AA1091" s="6" t="str">
        <f t="shared" ref="AA1091:AA1154" si="155">IFERROR(INDEX(R:R,MATCH($Z1091,S:S,0)),"")</f>
        <v/>
      </c>
      <c r="AB1091">
        <v>255</v>
      </c>
      <c r="AC1091">
        <v>251</v>
      </c>
      <c r="AD1091">
        <v>144</v>
      </c>
    </row>
    <row r="1092" spans="1:30" ht="17" x14ac:dyDescent="0.25">
      <c r="A1092" s="1" t="s">
        <v>1094</v>
      </c>
      <c r="B1092" s="1" t="s">
        <v>3746</v>
      </c>
      <c r="C1092" s="1" t="s">
        <v>2421</v>
      </c>
      <c r="D1092" t="str">
        <f t="shared" ref="D1092:D1155" si="156">RIGHT(LEFT(C1092,9),6)</f>
        <v>FFFC8F</v>
      </c>
      <c r="E1092" t="str">
        <f t="shared" ref="E1092:E1155" si="157">HEX2DEC(LEFT(D1092,2))&amp;"-"&amp;HEX2DEC(MID(D1092,3,2))&amp;"-"&amp;HEX2DEC(RIGHT(D1092,2))</f>
        <v>255-252-143</v>
      </c>
      <c r="F1092" t="str">
        <f t="shared" ref="F1092:F1155" si="158">HEX2DEC(LEFT(D1092,2))&amp;HEX2DEC(MID(D1092,3,2))&amp;HEX2DEC(RIGHT(D1092,2))</f>
        <v>255252143</v>
      </c>
      <c r="G1092">
        <f t="shared" ref="G1092:G1155" si="159">HEX2DEC(LEFT(D1092,2))</f>
        <v>255</v>
      </c>
      <c r="H1092">
        <f t="shared" ref="H1092:H1155" si="160">HEX2DEC(MID(D1092,3,2))</f>
        <v>252</v>
      </c>
      <c r="I1092">
        <f t="shared" ref="I1092:I1155" si="161">HEX2DEC(RIGHT(D1092,2))</f>
        <v>143</v>
      </c>
      <c r="J1092" t="str">
        <f t="shared" si="153"/>
        <v>PFLpu",</v>
      </c>
      <c r="K1092" t="str">
        <f t="shared" si="153"/>
        <v>Paraflocculus, Purkinje layer",</v>
      </c>
      <c r="L1092" t="str">
        <f t="shared" si="154"/>
        <v>PFLpu</v>
      </c>
      <c r="M1092" t="str">
        <f t="shared" si="154"/>
        <v>Paraflocculus, Purkinje layer</v>
      </c>
      <c r="N1092" t="s">
        <v>6641</v>
      </c>
      <c r="O1092" t="s">
        <v>6642</v>
      </c>
      <c r="Y1092" t="s">
        <v>6641</v>
      </c>
      <c r="Z1092" t="s">
        <v>6642</v>
      </c>
      <c r="AA1092" s="6" t="str">
        <f t="shared" si="155"/>
        <v/>
      </c>
      <c r="AB1092">
        <v>255</v>
      </c>
      <c r="AC1092">
        <v>252</v>
      </c>
      <c r="AD1092">
        <v>143</v>
      </c>
    </row>
    <row r="1093" spans="1:30" ht="17" x14ac:dyDescent="0.25">
      <c r="A1093" s="1" t="s">
        <v>1095</v>
      </c>
      <c r="B1093" s="1" t="s">
        <v>3747</v>
      </c>
      <c r="C1093" s="1" t="s">
        <v>2422</v>
      </c>
      <c r="D1093" t="str">
        <f t="shared" si="156"/>
        <v>ECE652</v>
      </c>
      <c r="E1093" t="str">
        <f t="shared" si="157"/>
        <v>236-230-82</v>
      </c>
      <c r="F1093" t="str">
        <f t="shared" si="158"/>
        <v>23623082</v>
      </c>
      <c r="G1093">
        <f t="shared" si="159"/>
        <v>236</v>
      </c>
      <c r="H1093">
        <f t="shared" si="160"/>
        <v>230</v>
      </c>
      <c r="I1093">
        <f t="shared" si="161"/>
        <v>82</v>
      </c>
      <c r="J1093" t="str">
        <f t="shared" si="153"/>
        <v>PFLgr",</v>
      </c>
      <c r="K1093" t="str">
        <f t="shared" si="153"/>
        <v>Paraflocculus, granular layer",</v>
      </c>
      <c r="L1093" t="str">
        <f t="shared" si="154"/>
        <v>PFLgr</v>
      </c>
      <c r="M1093" t="str">
        <f t="shared" si="154"/>
        <v>Paraflocculus, granular layer</v>
      </c>
      <c r="N1093" t="s">
        <v>6643</v>
      </c>
      <c r="O1093" t="s">
        <v>6644</v>
      </c>
      <c r="Y1093" t="s">
        <v>6643</v>
      </c>
      <c r="Z1093" t="s">
        <v>6644</v>
      </c>
      <c r="AA1093" s="6" t="str">
        <f t="shared" si="155"/>
        <v/>
      </c>
      <c r="AB1093">
        <v>236</v>
      </c>
      <c r="AC1093">
        <v>230</v>
      </c>
      <c r="AD1093">
        <v>82</v>
      </c>
    </row>
    <row r="1094" spans="1:30" ht="17" x14ac:dyDescent="0.25">
      <c r="A1094" s="1" t="s">
        <v>1096</v>
      </c>
      <c r="B1094" s="1" t="s">
        <v>3748</v>
      </c>
      <c r="C1094" s="1" t="s">
        <v>2423</v>
      </c>
      <c r="D1094" t="str">
        <f t="shared" si="156"/>
        <v>FEF991</v>
      </c>
      <c r="E1094" t="str">
        <f t="shared" si="157"/>
        <v>254-249-145</v>
      </c>
      <c r="F1094" t="str">
        <f t="shared" si="158"/>
        <v>254249145</v>
      </c>
      <c r="G1094">
        <f t="shared" si="159"/>
        <v>254</v>
      </c>
      <c r="H1094">
        <f t="shared" si="160"/>
        <v>249</v>
      </c>
      <c r="I1094">
        <f t="shared" si="161"/>
        <v>145</v>
      </c>
      <c r="J1094" t="str">
        <f t="shared" si="153"/>
        <v>FL",</v>
      </c>
      <c r="K1094" t="str">
        <f t="shared" si="153"/>
        <v>Flocculus",</v>
      </c>
      <c r="L1094" t="str">
        <f t="shared" si="154"/>
        <v>FL</v>
      </c>
      <c r="M1094" t="str">
        <f t="shared" si="154"/>
        <v>Flocculus</v>
      </c>
      <c r="N1094" t="s">
        <v>6645</v>
      </c>
      <c r="O1094" t="s">
        <v>6646</v>
      </c>
      <c r="Y1094" t="s">
        <v>6645</v>
      </c>
      <c r="Z1094" t="s">
        <v>6646</v>
      </c>
      <c r="AA1094" s="6">
        <f t="shared" si="155"/>
        <v>1049</v>
      </c>
      <c r="AB1094">
        <v>254</v>
      </c>
      <c r="AC1094">
        <v>249</v>
      </c>
      <c r="AD1094">
        <v>145</v>
      </c>
    </row>
    <row r="1095" spans="1:30" ht="17" x14ac:dyDescent="0.25">
      <c r="A1095" s="1" t="s">
        <v>1097</v>
      </c>
      <c r="B1095" s="1" t="s">
        <v>3749</v>
      </c>
      <c r="C1095" s="1" t="s">
        <v>2424</v>
      </c>
      <c r="D1095" t="str">
        <f t="shared" si="156"/>
        <v>FDFC91</v>
      </c>
      <c r="E1095" t="str">
        <f t="shared" si="157"/>
        <v>253-252-145</v>
      </c>
      <c r="F1095" t="str">
        <f t="shared" si="158"/>
        <v>253252145</v>
      </c>
      <c r="G1095">
        <f t="shared" si="159"/>
        <v>253</v>
      </c>
      <c r="H1095">
        <f t="shared" si="160"/>
        <v>252</v>
      </c>
      <c r="I1095">
        <f t="shared" si="161"/>
        <v>145</v>
      </c>
      <c r="J1095" t="str">
        <f t="shared" si="153"/>
        <v>FLmo",</v>
      </c>
      <c r="K1095" t="str">
        <f t="shared" si="153"/>
        <v>Flocculus, molecular layer",</v>
      </c>
      <c r="L1095" t="str">
        <f t="shared" si="154"/>
        <v>FLmo</v>
      </c>
      <c r="M1095" t="str">
        <f t="shared" si="154"/>
        <v>Flocculus, molecular layer</v>
      </c>
      <c r="N1095" t="s">
        <v>6647</v>
      </c>
      <c r="O1095" t="s">
        <v>6648</v>
      </c>
      <c r="Y1095" t="s">
        <v>6647</v>
      </c>
      <c r="Z1095" t="s">
        <v>6648</v>
      </c>
      <c r="AA1095" s="6" t="str">
        <f t="shared" si="155"/>
        <v/>
      </c>
      <c r="AB1095">
        <v>253</v>
      </c>
      <c r="AC1095">
        <v>252</v>
      </c>
      <c r="AD1095">
        <v>145</v>
      </c>
    </row>
    <row r="1096" spans="1:30" ht="17" x14ac:dyDescent="0.25">
      <c r="A1096" s="1" t="s">
        <v>1098</v>
      </c>
      <c r="B1096" s="1" t="s">
        <v>3750</v>
      </c>
      <c r="C1096" s="1" t="s">
        <v>2425</v>
      </c>
      <c r="D1096" t="str">
        <f t="shared" si="156"/>
        <v>FFF891</v>
      </c>
      <c r="E1096" t="str">
        <f t="shared" si="157"/>
        <v>255-248-145</v>
      </c>
      <c r="F1096" t="str">
        <f t="shared" si="158"/>
        <v>255248145</v>
      </c>
      <c r="G1096">
        <f t="shared" si="159"/>
        <v>255</v>
      </c>
      <c r="H1096">
        <f t="shared" si="160"/>
        <v>248</v>
      </c>
      <c r="I1096">
        <f t="shared" si="161"/>
        <v>145</v>
      </c>
      <c r="J1096" t="str">
        <f t="shared" si="153"/>
        <v>FLpu",</v>
      </c>
      <c r="K1096" t="str">
        <f t="shared" si="153"/>
        <v>Flocculus, Purkinje layer",</v>
      </c>
      <c r="L1096" t="str">
        <f t="shared" si="154"/>
        <v>FLpu</v>
      </c>
      <c r="M1096" t="str">
        <f t="shared" si="154"/>
        <v>Flocculus, Purkinje layer</v>
      </c>
      <c r="N1096" t="s">
        <v>6649</v>
      </c>
      <c r="O1096" t="s">
        <v>6650</v>
      </c>
      <c r="Y1096" t="s">
        <v>6649</v>
      </c>
      <c r="Z1096" t="s">
        <v>6650</v>
      </c>
      <c r="AA1096" s="6" t="str">
        <f t="shared" si="155"/>
        <v/>
      </c>
      <c r="AB1096">
        <v>255</v>
      </c>
      <c r="AC1096">
        <v>248</v>
      </c>
      <c r="AD1096">
        <v>145</v>
      </c>
    </row>
    <row r="1097" spans="1:30" ht="17" x14ac:dyDescent="0.25">
      <c r="A1097" s="1" t="s">
        <v>1099</v>
      </c>
      <c r="B1097" s="1" t="s">
        <v>3751</v>
      </c>
      <c r="C1097" s="1" t="s">
        <v>2426</v>
      </c>
      <c r="D1097" t="str">
        <f t="shared" si="156"/>
        <v>EBE752</v>
      </c>
      <c r="E1097" t="str">
        <f t="shared" si="157"/>
        <v>235-231-82</v>
      </c>
      <c r="F1097" t="str">
        <f t="shared" si="158"/>
        <v>23523182</v>
      </c>
      <c r="G1097">
        <f t="shared" si="159"/>
        <v>235</v>
      </c>
      <c r="H1097">
        <f t="shared" si="160"/>
        <v>231</v>
      </c>
      <c r="I1097">
        <f t="shared" si="161"/>
        <v>82</v>
      </c>
      <c r="J1097" t="str">
        <f t="shared" si="153"/>
        <v>FLgr",</v>
      </c>
      <c r="K1097" t="str">
        <f t="shared" si="153"/>
        <v>Flocculus, granular layer",</v>
      </c>
      <c r="L1097" t="str">
        <f t="shared" si="154"/>
        <v>FLgr</v>
      </c>
      <c r="M1097" t="str">
        <f t="shared" si="154"/>
        <v>Flocculus, granular layer</v>
      </c>
      <c r="N1097" t="s">
        <v>6651</v>
      </c>
      <c r="O1097" t="s">
        <v>6652</v>
      </c>
      <c r="Y1097" t="s">
        <v>6651</v>
      </c>
      <c r="Z1097" t="s">
        <v>6652</v>
      </c>
      <c r="AA1097" s="6" t="str">
        <f t="shared" si="155"/>
        <v/>
      </c>
      <c r="AB1097">
        <v>235</v>
      </c>
      <c r="AC1097">
        <v>231</v>
      </c>
      <c r="AD1097">
        <v>82</v>
      </c>
    </row>
    <row r="1098" spans="1:30" ht="17" x14ac:dyDescent="0.25">
      <c r="A1098" s="1" t="s">
        <v>1100</v>
      </c>
      <c r="B1098" s="1" t="s">
        <v>3752</v>
      </c>
      <c r="C1098" s="1" t="s">
        <v>2427</v>
      </c>
      <c r="D1098" t="str">
        <f t="shared" si="156"/>
        <v>F0F07F</v>
      </c>
      <c r="E1098" t="str">
        <f t="shared" si="157"/>
        <v>240-240-127</v>
      </c>
      <c r="F1098" t="str">
        <f t="shared" si="158"/>
        <v>240240127</v>
      </c>
      <c r="G1098">
        <f t="shared" si="159"/>
        <v>240</v>
      </c>
      <c r="H1098">
        <f t="shared" si="160"/>
        <v>240</v>
      </c>
      <c r="I1098">
        <f t="shared" si="161"/>
        <v>127</v>
      </c>
      <c r="J1098" t="str">
        <f t="shared" si="153"/>
        <v>CBN",</v>
      </c>
      <c r="K1098" t="str">
        <f t="shared" si="153"/>
        <v>Cerebellar nuclei",</v>
      </c>
      <c r="L1098" t="str">
        <f t="shared" si="154"/>
        <v>CBN</v>
      </c>
      <c r="M1098" t="str">
        <f t="shared" si="154"/>
        <v>Cerebellar nuclei</v>
      </c>
      <c r="N1098" t="s">
        <v>6653</v>
      </c>
      <c r="O1098" t="s">
        <v>6654</v>
      </c>
      <c r="Y1098" t="s">
        <v>6653</v>
      </c>
      <c r="Z1098" t="s">
        <v>6654</v>
      </c>
      <c r="AA1098" s="6">
        <f t="shared" si="155"/>
        <v>519</v>
      </c>
      <c r="AB1098">
        <v>240</v>
      </c>
      <c r="AC1098">
        <v>240</v>
      </c>
      <c r="AD1098">
        <v>127</v>
      </c>
    </row>
    <row r="1099" spans="1:30" ht="17" x14ac:dyDescent="0.25">
      <c r="A1099" s="1" t="s">
        <v>1101</v>
      </c>
      <c r="B1099" s="1" t="s">
        <v>3753</v>
      </c>
      <c r="C1099" s="1" t="s">
        <v>2428</v>
      </c>
      <c r="D1099" t="str">
        <f t="shared" si="156"/>
        <v>FFFCBC</v>
      </c>
      <c r="E1099" t="str">
        <f t="shared" si="157"/>
        <v>255-252-188</v>
      </c>
      <c r="F1099" t="str">
        <f t="shared" si="158"/>
        <v>255252188</v>
      </c>
      <c r="G1099">
        <f t="shared" si="159"/>
        <v>255</v>
      </c>
      <c r="H1099">
        <f t="shared" si="160"/>
        <v>252</v>
      </c>
      <c r="I1099">
        <f t="shared" si="161"/>
        <v>188</v>
      </c>
      <c r="J1099" t="str">
        <f t="shared" si="153"/>
        <v>FN",</v>
      </c>
      <c r="K1099" t="str">
        <f t="shared" si="153"/>
        <v>Fastigial nucleus",</v>
      </c>
      <c r="L1099" t="str">
        <f t="shared" si="154"/>
        <v>FN</v>
      </c>
      <c r="M1099" t="str">
        <f t="shared" si="154"/>
        <v>Fastigial nucleus</v>
      </c>
      <c r="N1099" t="s">
        <v>6655</v>
      </c>
      <c r="O1099" t="s">
        <v>6656</v>
      </c>
      <c r="Y1099" t="s">
        <v>6655</v>
      </c>
      <c r="Z1099" t="s">
        <v>6656</v>
      </c>
      <c r="AA1099" s="6">
        <f t="shared" si="155"/>
        <v>989</v>
      </c>
      <c r="AB1099">
        <v>255</v>
      </c>
      <c r="AC1099">
        <v>252</v>
      </c>
      <c r="AD1099">
        <v>188</v>
      </c>
    </row>
    <row r="1100" spans="1:30" ht="17" x14ac:dyDescent="0.25">
      <c r="A1100" s="1" t="s">
        <v>1102</v>
      </c>
      <c r="B1100" s="1" t="s">
        <v>3754</v>
      </c>
      <c r="C1100" s="1" t="s">
        <v>2429</v>
      </c>
      <c r="D1100" t="str">
        <f t="shared" si="156"/>
        <v>FFFDBC</v>
      </c>
      <c r="E1100" t="str">
        <f t="shared" si="157"/>
        <v>255-253-188</v>
      </c>
      <c r="F1100" t="str">
        <f t="shared" si="158"/>
        <v>255253188</v>
      </c>
      <c r="G1100">
        <f t="shared" si="159"/>
        <v>255</v>
      </c>
      <c r="H1100">
        <f t="shared" si="160"/>
        <v>253</v>
      </c>
      <c r="I1100">
        <f t="shared" si="161"/>
        <v>188</v>
      </c>
      <c r="J1100" t="str">
        <f t="shared" si="153"/>
        <v>IP",</v>
      </c>
      <c r="K1100" t="str">
        <f t="shared" si="153"/>
        <v>Interposed nucleus",</v>
      </c>
      <c r="L1100" t="str">
        <f t="shared" si="154"/>
        <v>IP</v>
      </c>
      <c r="M1100" t="str">
        <f t="shared" si="154"/>
        <v>Interposed nucleus</v>
      </c>
      <c r="N1100" t="s">
        <v>6657</v>
      </c>
      <c r="O1100" t="s">
        <v>6658</v>
      </c>
      <c r="Y1100" t="s">
        <v>6657</v>
      </c>
      <c r="Z1100" t="s">
        <v>6658</v>
      </c>
      <c r="AA1100" s="6">
        <f t="shared" si="155"/>
        <v>91</v>
      </c>
      <c r="AB1100">
        <v>255</v>
      </c>
      <c r="AC1100">
        <v>253</v>
      </c>
      <c r="AD1100">
        <v>188</v>
      </c>
    </row>
    <row r="1101" spans="1:30" ht="17" x14ac:dyDescent="0.25">
      <c r="A1101" s="1" t="s">
        <v>1103</v>
      </c>
      <c r="B1101" s="1" t="s">
        <v>3755</v>
      </c>
      <c r="C1101" s="1" t="s">
        <v>2430</v>
      </c>
      <c r="D1101" t="str">
        <f t="shared" si="156"/>
        <v>FFFDBB</v>
      </c>
      <c r="E1101" t="str">
        <f t="shared" si="157"/>
        <v>255-253-187</v>
      </c>
      <c r="F1101" t="str">
        <f t="shared" si="158"/>
        <v>255253187</v>
      </c>
      <c r="G1101">
        <f t="shared" si="159"/>
        <v>255</v>
      </c>
      <c r="H1101">
        <f t="shared" si="160"/>
        <v>253</v>
      </c>
      <c r="I1101">
        <f t="shared" si="161"/>
        <v>187</v>
      </c>
      <c r="J1101" t="str">
        <f t="shared" si="153"/>
        <v>DN",</v>
      </c>
      <c r="K1101" t="str">
        <f t="shared" si="153"/>
        <v>Dentate nucleus",</v>
      </c>
      <c r="L1101" t="str">
        <f t="shared" si="154"/>
        <v>DN</v>
      </c>
      <c r="M1101" t="str">
        <f t="shared" si="154"/>
        <v>Dentate nucleus</v>
      </c>
      <c r="N1101" t="s">
        <v>6659</v>
      </c>
      <c r="O1101" t="s">
        <v>6660</v>
      </c>
      <c r="Y1101" t="s">
        <v>6659</v>
      </c>
      <c r="Z1101" t="s">
        <v>6660</v>
      </c>
      <c r="AA1101" s="6">
        <f t="shared" si="155"/>
        <v>846</v>
      </c>
      <c r="AB1101">
        <v>255</v>
      </c>
      <c r="AC1101">
        <v>253</v>
      </c>
      <c r="AD1101">
        <v>187</v>
      </c>
    </row>
    <row r="1102" spans="1:30" ht="17" x14ac:dyDescent="0.25">
      <c r="A1102" s="1" t="s">
        <v>1104</v>
      </c>
      <c r="B1102" s="1" t="s">
        <v>3756</v>
      </c>
      <c r="C1102" s="1" t="s">
        <v>2431</v>
      </c>
      <c r="D1102" t="str">
        <f t="shared" si="156"/>
        <v>FEFDBC</v>
      </c>
      <c r="E1102" t="str">
        <f t="shared" si="157"/>
        <v>254-253-188</v>
      </c>
      <c r="F1102" t="str">
        <f t="shared" si="158"/>
        <v>254253188</v>
      </c>
      <c r="G1102">
        <f t="shared" si="159"/>
        <v>254</v>
      </c>
      <c r="H1102">
        <f t="shared" si="160"/>
        <v>253</v>
      </c>
      <c r="I1102">
        <f t="shared" si="161"/>
        <v>188</v>
      </c>
      <c r="J1102" t="str">
        <f t="shared" si="153"/>
        <v>VeCB",</v>
      </c>
      <c r="K1102" t="str">
        <f t="shared" si="153"/>
        <v>Vestibulocerebellar nucleus",</v>
      </c>
      <c r="L1102" t="str">
        <f t="shared" si="154"/>
        <v>VeCB</v>
      </c>
      <c r="M1102" t="str">
        <f t="shared" si="154"/>
        <v>Vestibulocerebellar nucleus</v>
      </c>
      <c r="N1102" t="s">
        <v>6661</v>
      </c>
      <c r="O1102" t="s">
        <v>6662</v>
      </c>
      <c r="Y1102" t="s">
        <v>6661</v>
      </c>
      <c r="Z1102" t="s">
        <v>6662</v>
      </c>
      <c r="AA1102" s="6">
        <f t="shared" si="155"/>
        <v>589508455</v>
      </c>
      <c r="AB1102">
        <v>254</v>
      </c>
      <c r="AC1102">
        <v>253</v>
      </c>
      <c r="AD1102">
        <v>188</v>
      </c>
    </row>
    <row r="1103" spans="1:30" ht="17" x14ac:dyDescent="0.25">
      <c r="A1103" s="1" t="s">
        <v>1105</v>
      </c>
      <c r="B1103" s="1" t="s">
        <v>1105</v>
      </c>
      <c r="C1103" s="1" t="s">
        <v>2432</v>
      </c>
      <c r="D1103" t="str">
        <f t="shared" si="156"/>
        <v>CAC7CB</v>
      </c>
      <c r="E1103" t="str">
        <f t="shared" si="157"/>
        <v>202-199-203</v>
      </c>
      <c r="F1103" t="str">
        <f t="shared" si="158"/>
        <v>202199203</v>
      </c>
      <c r="G1103">
        <f t="shared" si="159"/>
        <v>202</v>
      </c>
      <c r="H1103">
        <f t="shared" si="160"/>
        <v>199</v>
      </c>
      <c r="I1103">
        <f t="shared" si="161"/>
        <v>203</v>
      </c>
      <c r="J1103" t="str">
        <f t="shared" si="153"/>
        <v>fiber tracts",</v>
      </c>
      <c r="K1103" t="str">
        <f t="shared" si="153"/>
        <v>fiber tracts",</v>
      </c>
      <c r="L1103" t="str">
        <f t="shared" si="154"/>
        <v>fiber tracts</v>
      </c>
      <c r="M1103" t="str">
        <f t="shared" si="154"/>
        <v>fiber tracts</v>
      </c>
      <c r="N1103" t="s">
        <v>6663</v>
      </c>
      <c r="O1103" t="s">
        <v>6663</v>
      </c>
      <c r="Y1103" t="s">
        <v>6663</v>
      </c>
      <c r="Z1103" t="s">
        <v>6663</v>
      </c>
      <c r="AA1103" s="6">
        <f t="shared" si="155"/>
        <v>1009</v>
      </c>
      <c r="AB1103">
        <v>202</v>
      </c>
      <c r="AC1103">
        <v>199</v>
      </c>
      <c r="AD1103">
        <v>203</v>
      </c>
    </row>
    <row r="1104" spans="1:30" ht="17" x14ac:dyDescent="0.25">
      <c r="A1104" s="1" t="s">
        <v>1106</v>
      </c>
      <c r="B1104" s="1" t="s">
        <v>3757</v>
      </c>
      <c r="C1104" s="1" t="s">
        <v>2433</v>
      </c>
      <c r="D1104" t="str">
        <f t="shared" si="156"/>
        <v>C8CAC9</v>
      </c>
      <c r="E1104" t="str">
        <f t="shared" si="157"/>
        <v>200-202-201</v>
      </c>
      <c r="F1104" t="str">
        <f t="shared" si="158"/>
        <v>200202201</v>
      </c>
      <c r="G1104">
        <f t="shared" si="159"/>
        <v>200</v>
      </c>
      <c r="H1104">
        <f t="shared" si="160"/>
        <v>202</v>
      </c>
      <c r="I1104">
        <f t="shared" si="161"/>
        <v>201</v>
      </c>
      <c r="J1104" t="str">
        <f t="shared" si="153"/>
        <v>cm",</v>
      </c>
      <c r="K1104" t="str">
        <f t="shared" si="153"/>
        <v>cranial nerves",</v>
      </c>
      <c r="L1104" t="str">
        <f t="shared" si="154"/>
        <v>cm</v>
      </c>
      <c r="M1104" t="str">
        <f t="shared" si="154"/>
        <v>cranial nerves</v>
      </c>
      <c r="N1104" t="s">
        <v>6664</v>
      </c>
      <c r="O1104" t="s">
        <v>6665</v>
      </c>
      <c r="Y1104" t="s">
        <v>6664</v>
      </c>
      <c r="Z1104" t="s">
        <v>6665</v>
      </c>
      <c r="AA1104" s="6">
        <f t="shared" si="155"/>
        <v>967</v>
      </c>
      <c r="AB1104">
        <v>200</v>
      </c>
      <c r="AC1104">
        <v>202</v>
      </c>
      <c r="AD1104">
        <v>201</v>
      </c>
    </row>
    <row r="1105" spans="1:30" ht="17" x14ac:dyDescent="0.25">
      <c r="A1105" s="1" t="s">
        <v>1107</v>
      </c>
      <c r="B1105" s="1" t="s">
        <v>3758</v>
      </c>
      <c r="C1105" s="1" t="s">
        <v>2434</v>
      </c>
      <c r="D1105" t="str">
        <f t="shared" si="156"/>
        <v>C7CCC9</v>
      </c>
      <c r="E1105" t="str">
        <f t="shared" si="157"/>
        <v>199-204-201</v>
      </c>
      <c r="F1105" t="str">
        <f t="shared" si="158"/>
        <v>199204201</v>
      </c>
      <c r="G1105">
        <f t="shared" si="159"/>
        <v>199</v>
      </c>
      <c r="H1105">
        <f t="shared" si="160"/>
        <v>204</v>
      </c>
      <c r="I1105">
        <f t="shared" si="161"/>
        <v>201</v>
      </c>
      <c r="J1105" t="str">
        <f t="shared" si="153"/>
        <v>tn",</v>
      </c>
      <c r="K1105" t="str">
        <f t="shared" si="153"/>
        <v>terminal nerve",</v>
      </c>
      <c r="L1105" t="str">
        <f t="shared" si="154"/>
        <v>tn</v>
      </c>
      <c r="M1105" t="str">
        <f t="shared" si="154"/>
        <v>terminal nerve</v>
      </c>
      <c r="N1105" t="s">
        <v>6666</v>
      </c>
      <c r="O1105" t="s">
        <v>6667</v>
      </c>
      <c r="Y1105" t="s">
        <v>6666</v>
      </c>
      <c r="Z1105" t="s">
        <v>6667</v>
      </c>
      <c r="AA1105" s="6" t="str">
        <f t="shared" si="155"/>
        <v/>
      </c>
      <c r="AB1105">
        <v>199</v>
      </c>
      <c r="AC1105">
        <v>204</v>
      </c>
      <c r="AD1105">
        <v>201</v>
      </c>
    </row>
    <row r="1106" spans="1:30" ht="17" x14ac:dyDescent="0.25">
      <c r="A1106" s="1" t="s">
        <v>1108</v>
      </c>
      <c r="B1106" s="1" t="s">
        <v>3759</v>
      </c>
      <c r="C1106" s="1" t="s">
        <v>2435</v>
      </c>
      <c r="D1106" t="str">
        <f t="shared" si="156"/>
        <v>CAC8C9</v>
      </c>
      <c r="E1106" t="str">
        <f t="shared" si="157"/>
        <v>202-200-201</v>
      </c>
      <c r="F1106" t="str">
        <f t="shared" si="158"/>
        <v>202200201</v>
      </c>
      <c r="G1106">
        <f t="shared" si="159"/>
        <v>202</v>
      </c>
      <c r="H1106">
        <f t="shared" si="160"/>
        <v>200</v>
      </c>
      <c r="I1106">
        <f t="shared" si="161"/>
        <v>201</v>
      </c>
      <c r="J1106" t="str">
        <f t="shared" si="153"/>
        <v>von",</v>
      </c>
      <c r="K1106" t="str">
        <f t="shared" si="153"/>
        <v>vomeronasal nerve",</v>
      </c>
      <c r="L1106" t="str">
        <f t="shared" si="154"/>
        <v>von</v>
      </c>
      <c r="M1106" t="str">
        <f t="shared" si="154"/>
        <v>vomeronasal nerve</v>
      </c>
      <c r="N1106" t="s">
        <v>6668</v>
      </c>
      <c r="O1106" t="s">
        <v>6669</v>
      </c>
      <c r="Y1106" t="s">
        <v>6668</v>
      </c>
      <c r="Z1106" t="s">
        <v>6669</v>
      </c>
      <c r="AA1106" s="6">
        <f t="shared" si="155"/>
        <v>949</v>
      </c>
      <c r="AB1106">
        <v>202</v>
      </c>
      <c r="AC1106">
        <v>200</v>
      </c>
      <c r="AD1106">
        <v>201</v>
      </c>
    </row>
    <row r="1107" spans="1:30" ht="17" x14ac:dyDescent="0.25">
      <c r="A1107" s="1" t="s">
        <v>1109</v>
      </c>
      <c r="B1107" s="1" t="s">
        <v>3760</v>
      </c>
      <c r="C1107" s="1" t="s">
        <v>2436</v>
      </c>
      <c r="D1107" t="str">
        <f t="shared" si="156"/>
        <v>CCCBC7</v>
      </c>
      <c r="E1107" t="str">
        <f t="shared" si="157"/>
        <v>204-203-199</v>
      </c>
      <c r="F1107" t="str">
        <f t="shared" si="158"/>
        <v>204203199</v>
      </c>
      <c r="G1107">
        <f t="shared" si="159"/>
        <v>204</v>
      </c>
      <c r="H1107">
        <f t="shared" si="160"/>
        <v>203</v>
      </c>
      <c r="I1107">
        <f t="shared" si="161"/>
        <v>199</v>
      </c>
      <c r="J1107" t="str">
        <f t="shared" si="153"/>
        <v>In",</v>
      </c>
      <c r="K1107" t="str">
        <f t="shared" si="153"/>
        <v>olfactory nerve",</v>
      </c>
      <c r="L1107" t="str">
        <f t="shared" si="154"/>
        <v>In</v>
      </c>
      <c r="M1107" t="str">
        <f t="shared" si="154"/>
        <v>olfactory nerve</v>
      </c>
      <c r="N1107" t="s">
        <v>6670</v>
      </c>
      <c r="O1107" t="s">
        <v>6671</v>
      </c>
      <c r="Y1107" t="s">
        <v>6670</v>
      </c>
      <c r="Z1107" t="s">
        <v>6671</v>
      </c>
      <c r="AA1107" s="6">
        <f t="shared" si="155"/>
        <v>840</v>
      </c>
      <c r="AB1107">
        <v>204</v>
      </c>
      <c r="AC1107">
        <v>203</v>
      </c>
      <c r="AD1107">
        <v>199</v>
      </c>
    </row>
    <row r="1108" spans="1:30" ht="17" x14ac:dyDescent="0.25">
      <c r="A1108" s="1" t="s">
        <v>1110</v>
      </c>
      <c r="B1108" s="1" t="s">
        <v>3761</v>
      </c>
      <c r="C1108" s="1" t="s">
        <v>2437</v>
      </c>
      <c r="D1108" t="str">
        <f t="shared" si="156"/>
        <v>C7CBCA</v>
      </c>
      <c r="E1108" t="str">
        <f t="shared" si="157"/>
        <v>199-203-202</v>
      </c>
      <c r="F1108" t="str">
        <f t="shared" si="158"/>
        <v>199203202</v>
      </c>
      <c r="G1108">
        <f t="shared" si="159"/>
        <v>199</v>
      </c>
      <c r="H1108">
        <f t="shared" si="160"/>
        <v>203</v>
      </c>
      <c r="I1108">
        <f t="shared" si="161"/>
        <v>202</v>
      </c>
      <c r="J1108" t="str">
        <f t="shared" si="153"/>
        <v>onl",</v>
      </c>
      <c r="K1108" t="str">
        <f t="shared" si="153"/>
        <v>olfactory nerve layer of main olfactory bulb",</v>
      </c>
      <c r="L1108" t="str">
        <f t="shared" si="154"/>
        <v>onl</v>
      </c>
      <c r="M1108" t="str">
        <f t="shared" si="154"/>
        <v>olfactory nerve layer of main olfactory bulb</v>
      </c>
      <c r="N1108" t="s">
        <v>6672</v>
      </c>
      <c r="O1108" t="s">
        <v>6673</v>
      </c>
      <c r="Y1108" t="s">
        <v>6672</v>
      </c>
      <c r="Z1108" t="s">
        <v>6673</v>
      </c>
      <c r="AA1108" s="6">
        <f t="shared" si="155"/>
        <v>1016</v>
      </c>
      <c r="AB1108">
        <v>199</v>
      </c>
      <c r="AC1108">
        <v>203</v>
      </c>
      <c r="AD1108">
        <v>202</v>
      </c>
    </row>
    <row r="1109" spans="1:30" ht="17" x14ac:dyDescent="0.25">
      <c r="A1109" s="1" t="s">
        <v>1111</v>
      </c>
      <c r="B1109" s="1" t="s">
        <v>3762</v>
      </c>
      <c r="C1109" s="1" t="s">
        <v>2438</v>
      </c>
      <c r="D1109" t="str">
        <f t="shared" si="156"/>
        <v>CCCCCB</v>
      </c>
      <c r="E1109" t="str">
        <f t="shared" si="157"/>
        <v>204-204-203</v>
      </c>
      <c r="F1109" t="str">
        <f t="shared" si="158"/>
        <v>204204203</v>
      </c>
      <c r="G1109">
        <f t="shared" si="159"/>
        <v>204</v>
      </c>
      <c r="H1109">
        <f t="shared" si="160"/>
        <v>204</v>
      </c>
      <c r="I1109">
        <f t="shared" si="161"/>
        <v>203</v>
      </c>
      <c r="J1109" t="str">
        <f t="shared" si="153"/>
        <v>lotg",</v>
      </c>
      <c r="K1109" t="str">
        <f t="shared" si="153"/>
        <v>lateral olfactory tract, general",</v>
      </c>
      <c r="L1109" t="str">
        <f t="shared" si="154"/>
        <v>lotg</v>
      </c>
      <c r="M1109" t="str">
        <f t="shared" si="154"/>
        <v>lateral olfactory tract, general</v>
      </c>
      <c r="N1109" t="s">
        <v>6674</v>
      </c>
      <c r="O1109" t="s">
        <v>6675</v>
      </c>
      <c r="Y1109" t="s">
        <v>6674</v>
      </c>
      <c r="Z1109" t="s">
        <v>6675</v>
      </c>
      <c r="AA1109" s="6">
        <f t="shared" si="155"/>
        <v>21</v>
      </c>
      <c r="AB1109">
        <v>204</v>
      </c>
      <c r="AC1109">
        <v>204</v>
      </c>
      <c r="AD1109">
        <v>203</v>
      </c>
    </row>
    <row r="1110" spans="1:30" ht="17" x14ac:dyDescent="0.25">
      <c r="A1110" s="1" t="s">
        <v>1112</v>
      </c>
      <c r="B1110" s="1" t="s">
        <v>3763</v>
      </c>
      <c r="C1110" s="1" t="s">
        <v>2439</v>
      </c>
      <c r="D1110" t="str">
        <f t="shared" si="156"/>
        <v>CAC8C7</v>
      </c>
      <c r="E1110" t="str">
        <f t="shared" si="157"/>
        <v>202-200-199</v>
      </c>
      <c r="F1110" t="str">
        <f t="shared" si="158"/>
        <v>202200199</v>
      </c>
      <c r="G1110">
        <f t="shared" si="159"/>
        <v>202</v>
      </c>
      <c r="H1110">
        <f t="shared" si="160"/>
        <v>200</v>
      </c>
      <c r="I1110">
        <f t="shared" si="161"/>
        <v>199</v>
      </c>
      <c r="J1110" t="str">
        <f t="shared" si="153"/>
        <v>lot",</v>
      </c>
      <c r="K1110" t="str">
        <f t="shared" si="153"/>
        <v>lateral olfactory tract, body",</v>
      </c>
      <c r="L1110" t="str">
        <f t="shared" si="154"/>
        <v>lot</v>
      </c>
      <c r="M1110" t="str">
        <f t="shared" si="154"/>
        <v>lateral olfactory tract, body</v>
      </c>
      <c r="N1110" t="s">
        <v>6676</v>
      </c>
      <c r="O1110" t="s">
        <v>6677</v>
      </c>
      <c r="Y1110" t="s">
        <v>6676</v>
      </c>
      <c r="Z1110" t="s">
        <v>6677</v>
      </c>
      <c r="AA1110" s="6">
        <f t="shared" si="155"/>
        <v>665</v>
      </c>
      <c r="AB1110">
        <v>202</v>
      </c>
      <c r="AC1110">
        <v>200</v>
      </c>
      <c r="AD1110">
        <v>199</v>
      </c>
    </row>
    <row r="1111" spans="1:30" ht="17" x14ac:dyDescent="0.25">
      <c r="A1111" s="1" t="s">
        <v>1113</v>
      </c>
      <c r="B1111" s="1" t="s">
        <v>3764</v>
      </c>
      <c r="C1111" s="1" t="s">
        <v>2440</v>
      </c>
      <c r="D1111" t="str">
        <f t="shared" si="156"/>
        <v>CACAC9</v>
      </c>
      <c r="E1111" t="str">
        <f t="shared" si="157"/>
        <v>202-202-201</v>
      </c>
      <c r="F1111" t="str">
        <f t="shared" si="158"/>
        <v>202202201</v>
      </c>
      <c r="G1111">
        <f t="shared" si="159"/>
        <v>202</v>
      </c>
      <c r="H1111">
        <f t="shared" si="160"/>
        <v>202</v>
      </c>
      <c r="I1111">
        <f t="shared" si="161"/>
        <v>201</v>
      </c>
      <c r="J1111" t="str">
        <f t="shared" si="153"/>
        <v>lotd",</v>
      </c>
      <c r="K1111" t="str">
        <f t="shared" si="153"/>
        <v>dorsal limb",</v>
      </c>
      <c r="L1111" t="str">
        <f t="shared" si="154"/>
        <v>lotd</v>
      </c>
      <c r="M1111" t="str">
        <f t="shared" si="154"/>
        <v>dorsal limb</v>
      </c>
      <c r="N1111" t="s">
        <v>6678</v>
      </c>
      <c r="O1111" t="s">
        <v>6679</v>
      </c>
      <c r="Y1111" t="s">
        <v>6678</v>
      </c>
      <c r="Z1111" t="s">
        <v>6679</v>
      </c>
      <c r="AA1111" s="6">
        <f t="shared" si="155"/>
        <v>538</v>
      </c>
      <c r="AB1111">
        <v>202</v>
      </c>
      <c r="AC1111">
        <v>202</v>
      </c>
      <c r="AD1111">
        <v>201</v>
      </c>
    </row>
    <row r="1112" spans="1:30" ht="17" x14ac:dyDescent="0.25">
      <c r="A1112" s="1" t="s">
        <v>1114</v>
      </c>
      <c r="B1112" s="1" t="s">
        <v>3765</v>
      </c>
      <c r="C1112" s="1" t="s">
        <v>2441</v>
      </c>
      <c r="D1112" t="str">
        <f t="shared" si="156"/>
        <v>C9CAC7</v>
      </c>
      <c r="E1112" t="str">
        <f t="shared" si="157"/>
        <v>201-202-199</v>
      </c>
      <c r="F1112" t="str">
        <f t="shared" si="158"/>
        <v>201202199</v>
      </c>
      <c r="G1112">
        <f t="shared" si="159"/>
        <v>201</v>
      </c>
      <c r="H1112">
        <f t="shared" si="160"/>
        <v>202</v>
      </c>
      <c r="I1112">
        <f t="shared" si="161"/>
        <v>199</v>
      </c>
      <c r="J1112" t="str">
        <f t="shared" si="153"/>
        <v>aolt",</v>
      </c>
      <c r="K1112" t="str">
        <f t="shared" si="153"/>
        <v>accessory olfactory tract",</v>
      </c>
      <c r="L1112" t="str">
        <f t="shared" si="154"/>
        <v>aolt</v>
      </c>
      <c r="M1112" t="str">
        <f t="shared" si="154"/>
        <v>accessory olfactory tract</v>
      </c>
      <c r="N1112" t="s">
        <v>6680</v>
      </c>
      <c r="O1112" t="s">
        <v>6681</v>
      </c>
      <c r="Y1112" t="s">
        <v>6680</v>
      </c>
      <c r="Z1112" t="s">
        <v>6681</v>
      </c>
      <c r="AA1112" s="6" t="str">
        <f t="shared" si="155"/>
        <v/>
      </c>
      <c r="AB1112">
        <v>201</v>
      </c>
      <c r="AC1112">
        <v>202</v>
      </c>
      <c r="AD1112">
        <v>199</v>
      </c>
    </row>
    <row r="1113" spans="1:30" ht="17" x14ac:dyDescent="0.25">
      <c r="A1113" s="1" t="s">
        <v>1115</v>
      </c>
      <c r="B1113" s="1" t="s">
        <v>3766</v>
      </c>
      <c r="C1113" s="1" t="s">
        <v>2442</v>
      </c>
      <c r="D1113" t="str">
        <f t="shared" si="156"/>
        <v>CBCBC7</v>
      </c>
      <c r="E1113" t="str">
        <f t="shared" si="157"/>
        <v>203-203-199</v>
      </c>
      <c r="F1113" t="str">
        <f t="shared" si="158"/>
        <v>203203199</v>
      </c>
      <c r="G1113">
        <f t="shared" si="159"/>
        <v>203</v>
      </c>
      <c r="H1113">
        <f t="shared" si="160"/>
        <v>203</v>
      </c>
      <c r="I1113">
        <f t="shared" si="161"/>
        <v>199</v>
      </c>
      <c r="J1113" t="str">
        <f t="shared" si="153"/>
        <v>aco",</v>
      </c>
      <c r="K1113" t="str">
        <f t="shared" si="153"/>
        <v>anterior commissure, olfactory limb",</v>
      </c>
      <c r="L1113" t="str">
        <f t="shared" si="154"/>
        <v>aco</v>
      </c>
      <c r="M1113" t="str">
        <f t="shared" si="154"/>
        <v>anterior commissure, olfactory limb</v>
      </c>
      <c r="N1113" t="s">
        <v>6682</v>
      </c>
      <c r="O1113" t="s">
        <v>6683</v>
      </c>
      <c r="Y1113" t="s">
        <v>6682</v>
      </c>
      <c r="Z1113" t="s">
        <v>6683</v>
      </c>
      <c r="AA1113" s="6">
        <f t="shared" si="155"/>
        <v>900</v>
      </c>
      <c r="AB1113">
        <v>203</v>
      </c>
      <c r="AC1113">
        <v>203</v>
      </c>
      <c r="AD1113">
        <v>199</v>
      </c>
    </row>
    <row r="1114" spans="1:30" ht="17" x14ac:dyDescent="0.25">
      <c r="A1114" s="1" t="s">
        <v>1116</v>
      </c>
      <c r="B1114" s="1" t="s">
        <v>3767</v>
      </c>
      <c r="C1114" s="1" t="s">
        <v>2443</v>
      </c>
      <c r="D1114" t="str">
        <f t="shared" si="156"/>
        <v>CBCCC7</v>
      </c>
      <c r="E1114" t="str">
        <f t="shared" si="157"/>
        <v>203-204-199</v>
      </c>
      <c r="F1114" t="str">
        <f t="shared" si="158"/>
        <v>203204199</v>
      </c>
      <c r="G1114">
        <f t="shared" si="159"/>
        <v>203</v>
      </c>
      <c r="H1114">
        <f t="shared" si="160"/>
        <v>204</v>
      </c>
      <c r="I1114">
        <f t="shared" si="161"/>
        <v>199</v>
      </c>
      <c r="J1114" t="str">
        <f t="shared" si="153"/>
        <v>IIn",</v>
      </c>
      <c r="K1114" t="str">
        <f t="shared" si="153"/>
        <v>optic nerve",</v>
      </c>
      <c r="L1114" t="str">
        <f t="shared" si="154"/>
        <v>IIn</v>
      </c>
      <c r="M1114" t="str">
        <f t="shared" si="154"/>
        <v>optic nerve</v>
      </c>
      <c r="N1114" t="s">
        <v>6684</v>
      </c>
      <c r="O1114" t="s">
        <v>6685</v>
      </c>
      <c r="Y1114" t="s">
        <v>6684</v>
      </c>
      <c r="Z1114" t="s">
        <v>6685</v>
      </c>
      <c r="AA1114" s="6">
        <f t="shared" si="155"/>
        <v>848</v>
      </c>
      <c r="AB1114">
        <v>203</v>
      </c>
      <c r="AC1114">
        <v>204</v>
      </c>
      <c r="AD1114">
        <v>199</v>
      </c>
    </row>
    <row r="1115" spans="1:30" ht="17" x14ac:dyDescent="0.25">
      <c r="A1115" s="1" t="s">
        <v>1117</v>
      </c>
      <c r="B1115" s="1" t="s">
        <v>3768</v>
      </c>
      <c r="C1115" s="1" t="s">
        <v>2444</v>
      </c>
      <c r="D1115" t="str">
        <f t="shared" si="156"/>
        <v>C9C8CB</v>
      </c>
      <c r="E1115" t="str">
        <f t="shared" si="157"/>
        <v>201-200-203</v>
      </c>
      <c r="F1115" t="str">
        <f t="shared" si="158"/>
        <v>201200203</v>
      </c>
      <c r="G1115">
        <f t="shared" si="159"/>
        <v>201</v>
      </c>
      <c r="H1115">
        <f t="shared" si="160"/>
        <v>200</v>
      </c>
      <c r="I1115">
        <f t="shared" si="161"/>
        <v>203</v>
      </c>
      <c r="J1115" t="str">
        <f t="shared" si="153"/>
        <v>aot",</v>
      </c>
      <c r="K1115" t="str">
        <f t="shared" si="153"/>
        <v>accessory optic tract",</v>
      </c>
      <c r="L1115" t="str">
        <f t="shared" si="154"/>
        <v>aot</v>
      </c>
      <c r="M1115" t="str">
        <f t="shared" si="154"/>
        <v>accessory optic tract</v>
      </c>
      <c r="N1115" t="s">
        <v>6686</v>
      </c>
      <c r="O1115" t="s">
        <v>6687</v>
      </c>
      <c r="Y1115" t="s">
        <v>6686</v>
      </c>
      <c r="Z1115" t="s">
        <v>6687</v>
      </c>
      <c r="AA1115" s="6" t="str">
        <f t="shared" si="155"/>
        <v/>
      </c>
      <c r="AB1115">
        <v>201</v>
      </c>
      <c r="AC1115">
        <v>200</v>
      </c>
      <c r="AD1115">
        <v>203</v>
      </c>
    </row>
    <row r="1116" spans="1:30" ht="17" x14ac:dyDescent="0.25">
      <c r="A1116" s="1" t="s">
        <v>1118</v>
      </c>
      <c r="B1116" s="1" t="s">
        <v>3769</v>
      </c>
      <c r="C1116" s="1" t="s">
        <v>2445</v>
      </c>
      <c r="D1116" t="str">
        <f t="shared" si="156"/>
        <v>C7CBCB</v>
      </c>
      <c r="E1116" t="str">
        <f t="shared" si="157"/>
        <v>199-203-203</v>
      </c>
      <c r="F1116" t="str">
        <f t="shared" si="158"/>
        <v>199203203</v>
      </c>
      <c r="G1116">
        <f t="shared" si="159"/>
        <v>199</v>
      </c>
      <c r="H1116">
        <f t="shared" si="160"/>
        <v>203</v>
      </c>
      <c r="I1116">
        <f t="shared" si="161"/>
        <v>203</v>
      </c>
      <c r="J1116" t="str">
        <f t="shared" si="153"/>
        <v>bsc",</v>
      </c>
      <c r="K1116" t="str">
        <f t="shared" si="153"/>
        <v>brachium of the superior colliculus",</v>
      </c>
      <c r="L1116" t="str">
        <f t="shared" si="154"/>
        <v>bsc</v>
      </c>
      <c r="M1116" t="str">
        <f t="shared" si="154"/>
        <v>brachium of the superior colliculus</v>
      </c>
      <c r="N1116" t="s">
        <v>6688</v>
      </c>
      <c r="O1116" t="s">
        <v>6689</v>
      </c>
      <c r="Y1116" t="s">
        <v>6688</v>
      </c>
      <c r="Z1116" t="s">
        <v>6689</v>
      </c>
      <c r="AA1116" s="6">
        <f t="shared" si="155"/>
        <v>916</v>
      </c>
      <c r="AB1116">
        <v>199</v>
      </c>
      <c r="AC1116">
        <v>203</v>
      </c>
      <c r="AD1116">
        <v>203</v>
      </c>
    </row>
    <row r="1117" spans="1:30" ht="17" x14ac:dyDescent="0.25">
      <c r="A1117" s="1" t="s">
        <v>1119</v>
      </c>
      <c r="B1117" s="1" t="s">
        <v>3770</v>
      </c>
      <c r="C1117" s="1" t="s">
        <v>2446</v>
      </c>
      <c r="D1117" t="str">
        <f t="shared" si="156"/>
        <v>C9CBCB</v>
      </c>
      <c r="E1117" t="str">
        <f t="shared" si="157"/>
        <v>201-203-203</v>
      </c>
      <c r="F1117" t="str">
        <f t="shared" si="158"/>
        <v>201203203</v>
      </c>
      <c r="G1117">
        <f t="shared" si="159"/>
        <v>201</v>
      </c>
      <c r="H1117">
        <f t="shared" si="160"/>
        <v>203</v>
      </c>
      <c r="I1117">
        <f t="shared" si="161"/>
        <v>203</v>
      </c>
      <c r="J1117" t="str">
        <f t="shared" si="153"/>
        <v>csc",</v>
      </c>
      <c r="K1117" t="str">
        <f t="shared" si="153"/>
        <v>superior colliculus commissure",</v>
      </c>
      <c r="L1117" t="str">
        <f t="shared" si="154"/>
        <v>csc</v>
      </c>
      <c r="M1117" t="str">
        <f t="shared" si="154"/>
        <v>superior colliculus commissure</v>
      </c>
      <c r="N1117" t="s">
        <v>6690</v>
      </c>
      <c r="O1117" t="s">
        <v>6691</v>
      </c>
      <c r="Y1117" t="s">
        <v>6690</v>
      </c>
      <c r="Z1117" t="s">
        <v>6691</v>
      </c>
      <c r="AA1117" s="6">
        <f t="shared" si="155"/>
        <v>336</v>
      </c>
      <c r="AB1117">
        <v>201</v>
      </c>
      <c r="AC1117">
        <v>203</v>
      </c>
      <c r="AD1117">
        <v>203</v>
      </c>
    </row>
    <row r="1118" spans="1:30" ht="17" x14ac:dyDescent="0.25">
      <c r="A1118" s="1" t="s">
        <v>1120</v>
      </c>
      <c r="B1118" s="1" t="s">
        <v>3771</v>
      </c>
      <c r="C1118" s="1" t="s">
        <v>2447</v>
      </c>
      <c r="D1118" t="str">
        <f t="shared" si="156"/>
        <v>CBCACC</v>
      </c>
      <c r="E1118" t="str">
        <f t="shared" si="157"/>
        <v>203-202-204</v>
      </c>
      <c r="F1118" t="str">
        <f t="shared" si="158"/>
        <v>203202204</v>
      </c>
      <c r="G1118">
        <f t="shared" si="159"/>
        <v>203</v>
      </c>
      <c r="H1118">
        <f t="shared" si="160"/>
        <v>202</v>
      </c>
      <c r="I1118">
        <f t="shared" si="161"/>
        <v>204</v>
      </c>
      <c r="J1118" t="str">
        <f t="shared" si="153"/>
        <v>och",</v>
      </c>
      <c r="K1118" t="str">
        <f t="shared" si="153"/>
        <v>optic chiasm",</v>
      </c>
      <c r="L1118" t="str">
        <f t="shared" si="154"/>
        <v>och</v>
      </c>
      <c r="M1118" t="str">
        <f t="shared" si="154"/>
        <v>optic chiasm</v>
      </c>
      <c r="N1118" t="s">
        <v>6692</v>
      </c>
      <c r="O1118" t="s">
        <v>6693</v>
      </c>
      <c r="Y1118" t="s">
        <v>6692</v>
      </c>
      <c r="Z1118" t="s">
        <v>6693</v>
      </c>
      <c r="AA1118" s="6">
        <f t="shared" si="155"/>
        <v>117</v>
      </c>
      <c r="AB1118">
        <v>203</v>
      </c>
      <c r="AC1118">
        <v>202</v>
      </c>
      <c r="AD1118">
        <v>204</v>
      </c>
    </row>
    <row r="1119" spans="1:30" ht="17" x14ac:dyDescent="0.25">
      <c r="A1119" s="1" t="s">
        <v>1121</v>
      </c>
      <c r="B1119" s="1" t="s">
        <v>3772</v>
      </c>
      <c r="C1119" s="1" t="s">
        <v>2448</v>
      </c>
      <c r="D1119" t="str">
        <f t="shared" si="156"/>
        <v>CACCCB</v>
      </c>
      <c r="E1119" t="str">
        <f t="shared" si="157"/>
        <v>202-204-203</v>
      </c>
      <c r="F1119" t="str">
        <f t="shared" si="158"/>
        <v>202204203</v>
      </c>
      <c r="G1119">
        <f t="shared" si="159"/>
        <v>202</v>
      </c>
      <c r="H1119">
        <f t="shared" si="160"/>
        <v>204</v>
      </c>
      <c r="I1119">
        <f t="shared" si="161"/>
        <v>203</v>
      </c>
      <c r="J1119" t="str">
        <f t="shared" si="153"/>
        <v>opt",</v>
      </c>
      <c r="K1119" t="str">
        <f t="shared" si="153"/>
        <v>optic tract",</v>
      </c>
      <c r="L1119" t="str">
        <f t="shared" si="154"/>
        <v>opt</v>
      </c>
      <c r="M1119" t="str">
        <f t="shared" si="154"/>
        <v>optic tract</v>
      </c>
      <c r="N1119" t="s">
        <v>6694</v>
      </c>
      <c r="O1119" t="s">
        <v>6695</v>
      </c>
      <c r="Y1119" t="s">
        <v>6694</v>
      </c>
      <c r="Z1119" t="s">
        <v>6695</v>
      </c>
      <c r="AA1119" s="6">
        <f t="shared" si="155"/>
        <v>125</v>
      </c>
      <c r="AB1119">
        <v>202</v>
      </c>
      <c r="AC1119">
        <v>204</v>
      </c>
      <c r="AD1119">
        <v>203</v>
      </c>
    </row>
    <row r="1120" spans="1:30" ht="17" x14ac:dyDescent="0.25">
      <c r="A1120" s="1" t="s">
        <v>1122</v>
      </c>
      <c r="B1120" s="1" t="s">
        <v>3773</v>
      </c>
      <c r="C1120" s="1" t="s">
        <v>2449</v>
      </c>
      <c r="D1120" t="str">
        <f t="shared" si="156"/>
        <v>C9CACC</v>
      </c>
      <c r="E1120" t="str">
        <f t="shared" si="157"/>
        <v>201-202-204</v>
      </c>
      <c r="F1120" t="str">
        <f t="shared" si="158"/>
        <v>201202204</v>
      </c>
      <c r="G1120">
        <f t="shared" si="159"/>
        <v>201</v>
      </c>
      <c r="H1120">
        <f t="shared" si="160"/>
        <v>202</v>
      </c>
      <c r="I1120">
        <f t="shared" si="161"/>
        <v>204</v>
      </c>
      <c r="J1120" t="str">
        <f t="shared" si="153"/>
        <v>ttp",</v>
      </c>
      <c r="K1120" t="str">
        <f t="shared" si="153"/>
        <v>tectothalamic pathway",</v>
      </c>
      <c r="L1120" t="str">
        <f t="shared" si="154"/>
        <v>ttp</v>
      </c>
      <c r="M1120" t="str">
        <f t="shared" si="154"/>
        <v>tectothalamic pathway</v>
      </c>
      <c r="N1120" t="s">
        <v>6696</v>
      </c>
      <c r="O1120" t="s">
        <v>6697</v>
      </c>
      <c r="Y1120" t="s">
        <v>6696</v>
      </c>
      <c r="Z1120" t="s">
        <v>6697</v>
      </c>
      <c r="AA1120" s="6" t="str">
        <f t="shared" si="155"/>
        <v/>
      </c>
      <c r="AB1120">
        <v>201</v>
      </c>
      <c r="AC1120">
        <v>202</v>
      </c>
      <c r="AD1120">
        <v>204</v>
      </c>
    </row>
    <row r="1121" spans="1:30" ht="17" x14ac:dyDescent="0.25">
      <c r="A1121" s="1" t="s">
        <v>1123</v>
      </c>
      <c r="B1121" s="1" t="s">
        <v>3774</v>
      </c>
      <c r="C1121" s="1" t="s">
        <v>2450</v>
      </c>
      <c r="D1121" t="str">
        <f t="shared" si="156"/>
        <v>C7CCCC</v>
      </c>
      <c r="E1121" t="str">
        <f t="shared" si="157"/>
        <v>199-204-204</v>
      </c>
      <c r="F1121" t="str">
        <f t="shared" si="158"/>
        <v>199204204</v>
      </c>
      <c r="G1121">
        <f t="shared" si="159"/>
        <v>199</v>
      </c>
      <c r="H1121">
        <f t="shared" si="160"/>
        <v>204</v>
      </c>
      <c r="I1121">
        <f t="shared" si="161"/>
        <v>204</v>
      </c>
      <c r="J1121" t="str">
        <f t="shared" si="153"/>
        <v>IIIn",</v>
      </c>
      <c r="K1121" t="str">
        <f t="shared" si="153"/>
        <v>oculomotor nerve",</v>
      </c>
      <c r="L1121" t="str">
        <f t="shared" si="154"/>
        <v>IIIn</v>
      </c>
      <c r="M1121" t="str">
        <f t="shared" si="154"/>
        <v>oculomotor nerve</v>
      </c>
      <c r="N1121" t="s">
        <v>6698</v>
      </c>
      <c r="O1121" t="s">
        <v>6699</v>
      </c>
      <c r="Y1121" t="s">
        <v>6698</v>
      </c>
      <c r="Z1121" t="s">
        <v>6699</v>
      </c>
      <c r="AA1121" s="6">
        <f t="shared" si="155"/>
        <v>832</v>
      </c>
      <c r="AB1121">
        <v>199</v>
      </c>
      <c r="AC1121">
        <v>204</v>
      </c>
      <c r="AD1121">
        <v>204</v>
      </c>
    </row>
    <row r="1122" spans="1:30" ht="17" x14ac:dyDescent="0.25">
      <c r="A1122" s="1" t="s">
        <v>1124</v>
      </c>
      <c r="B1122" s="1" t="s">
        <v>3775</v>
      </c>
      <c r="C1122" s="1" t="s">
        <v>2451</v>
      </c>
      <c r="D1122" t="str">
        <f t="shared" si="156"/>
        <v>CBCBCC</v>
      </c>
      <c r="E1122" t="str">
        <f t="shared" si="157"/>
        <v>203-203-204</v>
      </c>
      <c r="F1122" t="str">
        <f t="shared" si="158"/>
        <v>203203204</v>
      </c>
      <c r="G1122">
        <f t="shared" si="159"/>
        <v>203</v>
      </c>
      <c r="H1122">
        <f t="shared" si="160"/>
        <v>203</v>
      </c>
      <c r="I1122">
        <f t="shared" si="161"/>
        <v>204</v>
      </c>
      <c r="J1122" t="str">
        <f t="shared" si="153"/>
        <v>mlf",</v>
      </c>
      <c r="K1122" t="str">
        <f t="shared" si="153"/>
        <v>medial longitudinal fascicle",</v>
      </c>
      <c r="L1122" t="str">
        <f t="shared" si="154"/>
        <v>mlf</v>
      </c>
      <c r="M1122" t="str">
        <f t="shared" si="154"/>
        <v>medial longitudinal fascicle</v>
      </c>
      <c r="N1122" t="s">
        <v>6700</v>
      </c>
      <c r="O1122" t="s">
        <v>6701</v>
      </c>
      <c r="Y1122" t="s">
        <v>6700</v>
      </c>
      <c r="Z1122" t="s">
        <v>6701</v>
      </c>
      <c r="AA1122" s="6">
        <f t="shared" si="155"/>
        <v>62</v>
      </c>
      <c r="AB1122">
        <v>203</v>
      </c>
      <c r="AC1122">
        <v>203</v>
      </c>
      <c r="AD1122">
        <v>204</v>
      </c>
    </row>
    <row r="1123" spans="1:30" ht="17" x14ac:dyDescent="0.25">
      <c r="A1123" s="1" t="s">
        <v>1125</v>
      </c>
      <c r="B1123" s="1" t="s">
        <v>3776</v>
      </c>
      <c r="C1123" s="1" t="s">
        <v>2452</v>
      </c>
      <c r="D1123" t="str">
        <f t="shared" si="156"/>
        <v>CCCACA</v>
      </c>
      <c r="E1123" t="str">
        <f t="shared" si="157"/>
        <v>204-202-202</v>
      </c>
      <c r="F1123" t="str">
        <f t="shared" si="158"/>
        <v>204202202</v>
      </c>
      <c r="G1123">
        <f t="shared" si="159"/>
        <v>204</v>
      </c>
      <c r="H1123">
        <f t="shared" si="160"/>
        <v>202</v>
      </c>
      <c r="I1123">
        <f t="shared" si="161"/>
        <v>202</v>
      </c>
      <c r="J1123" t="str">
        <f t="shared" si="153"/>
        <v>pc",</v>
      </c>
      <c r="K1123" t="str">
        <f t="shared" si="153"/>
        <v>posterior commissure",</v>
      </c>
      <c r="L1123" t="str">
        <f t="shared" si="154"/>
        <v>pc</v>
      </c>
      <c r="M1123" t="str">
        <f t="shared" si="154"/>
        <v>posterior commissure</v>
      </c>
      <c r="N1123" t="s">
        <v>6702</v>
      </c>
      <c r="O1123" t="s">
        <v>6703</v>
      </c>
      <c r="Y1123" t="s">
        <v>6702</v>
      </c>
      <c r="Z1123" t="s">
        <v>6703</v>
      </c>
      <c r="AA1123" s="6">
        <f t="shared" si="155"/>
        <v>158</v>
      </c>
      <c r="AB1123">
        <v>204</v>
      </c>
      <c r="AC1123">
        <v>202</v>
      </c>
      <c r="AD1123">
        <v>202</v>
      </c>
    </row>
    <row r="1124" spans="1:30" ht="17" x14ac:dyDescent="0.25">
      <c r="A1124" s="1" t="s">
        <v>1126</v>
      </c>
      <c r="B1124" s="1" t="s">
        <v>3777</v>
      </c>
      <c r="C1124" s="1" t="s">
        <v>2453</v>
      </c>
      <c r="D1124" t="str">
        <f t="shared" si="156"/>
        <v>C8C9C8</v>
      </c>
      <c r="E1124" t="str">
        <f t="shared" si="157"/>
        <v>200-201-200</v>
      </c>
      <c r="F1124" t="str">
        <f t="shared" si="158"/>
        <v>200201200</v>
      </c>
      <c r="G1124">
        <f t="shared" si="159"/>
        <v>200</v>
      </c>
      <c r="H1124">
        <f t="shared" si="160"/>
        <v>201</v>
      </c>
      <c r="I1124">
        <f t="shared" si="161"/>
        <v>200</v>
      </c>
      <c r="J1124" t="str">
        <f t="shared" si="153"/>
        <v>IVn",</v>
      </c>
      <c r="K1124" t="str">
        <f t="shared" si="153"/>
        <v>trochlear nerve",</v>
      </c>
      <c r="L1124" t="str">
        <f t="shared" si="154"/>
        <v>IVn</v>
      </c>
      <c r="M1124" t="str">
        <f t="shared" si="154"/>
        <v>trochlear nerve</v>
      </c>
      <c r="N1124" t="s">
        <v>6704</v>
      </c>
      <c r="O1124" t="s">
        <v>6705</v>
      </c>
      <c r="Y1124" t="s">
        <v>6704</v>
      </c>
      <c r="Z1124" t="s">
        <v>6705</v>
      </c>
      <c r="AA1124" s="6">
        <f t="shared" si="155"/>
        <v>911</v>
      </c>
      <c r="AB1124">
        <v>200</v>
      </c>
      <c r="AC1124">
        <v>201</v>
      </c>
      <c r="AD1124">
        <v>200</v>
      </c>
    </row>
    <row r="1125" spans="1:30" ht="17" x14ac:dyDescent="0.25">
      <c r="A1125" s="1" t="s">
        <v>1127</v>
      </c>
      <c r="B1125" s="1" t="s">
        <v>3778</v>
      </c>
      <c r="C1125" s="1" t="s">
        <v>2454</v>
      </c>
      <c r="D1125" t="str">
        <f t="shared" si="156"/>
        <v>C9CCCA</v>
      </c>
      <c r="E1125" t="str">
        <f t="shared" si="157"/>
        <v>201-204-202</v>
      </c>
      <c r="F1125" t="str">
        <f t="shared" si="158"/>
        <v>201204202</v>
      </c>
      <c r="G1125">
        <f t="shared" si="159"/>
        <v>201</v>
      </c>
      <c r="H1125">
        <f t="shared" si="160"/>
        <v>204</v>
      </c>
      <c r="I1125">
        <f t="shared" si="161"/>
        <v>202</v>
      </c>
      <c r="J1125" t="str">
        <f t="shared" si="153"/>
        <v>IVd",</v>
      </c>
      <c r="K1125" t="str">
        <f t="shared" si="153"/>
        <v>trochlear nerve decussation",</v>
      </c>
      <c r="L1125" t="str">
        <f t="shared" si="154"/>
        <v>IVd</v>
      </c>
      <c r="M1125" t="str">
        <f t="shared" si="154"/>
        <v>trochlear nerve decussation</v>
      </c>
      <c r="N1125" t="s">
        <v>6706</v>
      </c>
      <c r="O1125" t="s">
        <v>6707</v>
      </c>
      <c r="Y1125" t="s">
        <v>6706</v>
      </c>
      <c r="Z1125" t="s">
        <v>6707</v>
      </c>
      <c r="AA1125" s="6" t="str">
        <f t="shared" si="155"/>
        <v/>
      </c>
      <c r="AB1125">
        <v>201</v>
      </c>
      <c r="AC1125">
        <v>204</v>
      </c>
      <c r="AD1125">
        <v>202</v>
      </c>
    </row>
    <row r="1126" spans="1:30" ht="17" x14ac:dyDescent="0.25">
      <c r="A1126" s="1" t="s">
        <v>1128</v>
      </c>
      <c r="B1126" s="1" t="s">
        <v>3779</v>
      </c>
      <c r="C1126" s="1" t="s">
        <v>2455</v>
      </c>
      <c r="D1126" t="str">
        <f t="shared" si="156"/>
        <v>CBCACB</v>
      </c>
      <c r="E1126" t="str">
        <f t="shared" si="157"/>
        <v>203-202-203</v>
      </c>
      <c r="F1126" t="str">
        <f t="shared" si="158"/>
        <v>203202203</v>
      </c>
      <c r="G1126">
        <f t="shared" si="159"/>
        <v>203</v>
      </c>
      <c r="H1126">
        <f t="shared" si="160"/>
        <v>202</v>
      </c>
      <c r="I1126">
        <f t="shared" si="161"/>
        <v>203</v>
      </c>
      <c r="J1126" t="str">
        <f t="shared" si="153"/>
        <v>VIn",</v>
      </c>
      <c r="K1126" t="str">
        <f t="shared" si="153"/>
        <v>abducens nerve",</v>
      </c>
      <c r="L1126" t="str">
        <f t="shared" si="154"/>
        <v>VIn</v>
      </c>
      <c r="M1126" t="str">
        <f t="shared" si="154"/>
        <v>abducens nerve</v>
      </c>
      <c r="N1126" t="s">
        <v>6708</v>
      </c>
      <c r="O1126" t="s">
        <v>6709</v>
      </c>
      <c r="Y1126" t="s">
        <v>6708</v>
      </c>
      <c r="Z1126" t="s">
        <v>6709</v>
      </c>
      <c r="AA1126" s="6" t="str">
        <f t="shared" si="155"/>
        <v/>
      </c>
      <c r="AB1126">
        <v>203</v>
      </c>
      <c r="AC1126">
        <v>202</v>
      </c>
      <c r="AD1126">
        <v>203</v>
      </c>
    </row>
    <row r="1127" spans="1:30" ht="17" x14ac:dyDescent="0.25">
      <c r="A1127" s="1" t="s">
        <v>1129</v>
      </c>
      <c r="B1127" s="1" t="s">
        <v>3780</v>
      </c>
      <c r="C1127" s="1" t="s">
        <v>2456</v>
      </c>
      <c r="D1127" t="str">
        <f t="shared" si="156"/>
        <v>CBC7CB</v>
      </c>
      <c r="E1127" t="str">
        <f t="shared" si="157"/>
        <v>203-199-203</v>
      </c>
      <c r="F1127" t="str">
        <f t="shared" si="158"/>
        <v>203199203</v>
      </c>
      <c r="G1127">
        <f t="shared" si="159"/>
        <v>203</v>
      </c>
      <c r="H1127">
        <f t="shared" si="160"/>
        <v>199</v>
      </c>
      <c r="I1127">
        <f t="shared" si="161"/>
        <v>203</v>
      </c>
      <c r="J1127" t="str">
        <f t="shared" si="153"/>
        <v>Vn",</v>
      </c>
      <c r="K1127" t="str">
        <f t="shared" si="153"/>
        <v>trigeminal nerve",</v>
      </c>
      <c r="L1127" t="str">
        <f t="shared" si="154"/>
        <v>Vn</v>
      </c>
      <c r="M1127" t="str">
        <f t="shared" si="154"/>
        <v>trigeminal nerve</v>
      </c>
      <c r="N1127" t="s">
        <v>6710</v>
      </c>
      <c r="O1127" t="s">
        <v>6711</v>
      </c>
      <c r="Y1127" t="s">
        <v>6710</v>
      </c>
      <c r="Z1127" t="s">
        <v>6711</v>
      </c>
      <c r="AA1127" s="6">
        <f t="shared" si="155"/>
        <v>901</v>
      </c>
      <c r="AB1127">
        <v>203</v>
      </c>
      <c r="AC1127">
        <v>199</v>
      </c>
      <c r="AD1127">
        <v>203</v>
      </c>
    </row>
    <row r="1128" spans="1:30" ht="17" x14ac:dyDescent="0.25">
      <c r="A1128" s="1" t="s">
        <v>1130</v>
      </c>
      <c r="B1128" s="1" t="s">
        <v>3781</v>
      </c>
      <c r="C1128" s="1" t="s">
        <v>2457</v>
      </c>
      <c r="D1128" t="str">
        <f t="shared" si="156"/>
        <v>CCCBCA</v>
      </c>
      <c r="E1128" t="str">
        <f t="shared" si="157"/>
        <v>204-203-202</v>
      </c>
      <c r="F1128" t="str">
        <f t="shared" si="158"/>
        <v>204203202</v>
      </c>
      <c r="G1128">
        <f t="shared" si="159"/>
        <v>204</v>
      </c>
      <c r="H1128">
        <f t="shared" si="160"/>
        <v>203</v>
      </c>
      <c r="I1128">
        <f t="shared" si="161"/>
        <v>202</v>
      </c>
      <c r="J1128" t="str">
        <f t="shared" si="153"/>
        <v>moV",</v>
      </c>
      <c r="K1128" t="str">
        <f t="shared" si="153"/>
        <v>motor root of the trigeminal nerve",</v>
      </c>
      <c r="L1128" t="str">
        <f t="shared" si="154"/>
        <v>moV</v>
      </c>
      <c r="M1128" t="str">
        <f t="shared" si="154"/>
        <v>motor root of the trigeminal nerve</v>
      </c>
      <c r="N1128" t="s">
        <v>6712</v>
      </c>
      <c r="O1128" t="s">
        <v>6713</v>
      </c>
      <c r="Y1128" t="s">
        <v>6712</v>
      </c>
      <c r="Z1128" t="s">
        <v>6713</v>
      </c>
      <c r="AA1128" s="6">
        <f t="shared" si="155"/>
        <v>93</v>
      </c>
      <c r="AB1128">
        <v>204</v>
      </c>
      <c r="AC1128">
        <v>203</v>
      </c>
      <c r="AD1128">
        <v>202</v>
      </c>
    </row>
    <row r="1129" spans="1:30" ht="17" x14ac:dyDescent="0.25">
      <c r="A1129" s="1" t="s">
        <v>1131</v>
      </c>
      <c r="B1129" s="1" t="s">
        <v>3782</v>
      </c>
      <c r="C1129" s="1" t="s">
        <v>2458</v>
      </c>
      <c r="D1129" t="str">
        <f t="shared" si="156"/>
        <v>CACACB</v>
      </c>
      <c r="E1129" t="str">
        <f t="shared" si="157"/>
        <v>202-202-203</v>
      </c>
      <c r="F1129" t="str">
        <f t="shared" si="158"/>
        <v>202202203</v>
      </c>
      <c r="G1129">
        <f t="shared" si="159"/>
        <v>202</v>
      </c>
      <c r="H1129">
        <f t="shared" si="160"/>
        <v>202</v>
      </c>
      <c r="I1129">
        <f t="shared" si="161"/>
        <v>203</v>
      </c>
      <c r="J1129" t="str">
        <f t="shared" si="153"/>
        <v>sV",</v>
      </c>
      <c r="K1129" t="str">
        <f t="shared" si="153"/>
        <v>sensory root of the trigeminal nerve",</v>
      </c>
      <c r="L1129" t="str">
        <f t="shared" si="154"/>
        <v>sV</v>
      </c>
      <c r="M1129" t="str">
        <f t="shared" si="154"/>
        <v>sensory root of the trigeminal nerve</v>
      </c>
      <c r="N1129" t="s">
        <v>6714</v>
      </c>
      <c r="O1129" t="s">
        <v>6715</v>
      </c>
      <c r="Y1129" t="s">
        <v>6714</v>
      </c>
      <c r="Z1129" t="s">
        <v>6715</v>
      </c>
      <c r="AA1129" s="6">
        <f t="shared" si="155"/>
        <v>229</v>
      </c>
      <c r="AB1129">
        <v>202</v>
      </c>
      <c r="AC1129">
        <v>202</v>
      </c>
      <c r="AD1129">
        <v>203</v>
      </c>
    </row>
    <row r="1130" spans="1:30" ht="17" x14ac:dyDescent="0.25">
      <c r="A1130" s="1" t="s">
        <v>1132</v>
      </c>
      <c r="B1130" s="1" t="s">
        <v>3783</v>
      </c>
      <c r="C1130" s="1" t="s">
        <v>2459</v>
      </c>
      <c r="D1130" t="str">
        <f t="shared" si="156"/>
        <v>C8C8CA</v>
      </c>
      <c r="E1130" t="str">
        <f t="shared" si="157"/>
        <v>200-200-202</v>
      </c>
      <c r="F1130" t="str">
        <f t="shared" si="158"/>
        <v>200200202</v>
      </c>
      <c r="G1130">
        <f t="shared" si="159"/>
        <v>200</v>
      </c>
      <c r="H1130">
        <f t="shared" si="160"/>
        <v>200</v>
      </c>
      <c r="I1130">
        <f t="shared" si="161"/>
        <v>202</v>
      </c>
      <c r="J1130" t="str">
        <f t="shared" si="153"/>
        <v>mtV",</v>
      </c>
      <c r="K1130" t="str">
        <f t="shared" si="153"/>
        <v>midbrain tract of the trigeminal nerve",</v>
      </c>
      <c r="L1130" t="str">
        <f t="shared" si="154"/>
        <v>mtV</v>
      </c>
      <c r="M1130" t="str">
        <f t="shared" si="154"/>
        <v>midbrain tract of the trigeminal nerve</v>
      </c>
      <c r="N1130" t="s">
        <v>6716</v>
      </c>
      <c r="O1130" t="s">
        <v>6717</v>
      </c>
      <c r="Y1130" t="s">
        <v>6716</v>
      </c>
      <c r="Z1130" t="s">
        <v>6717</v>
      </c>
      <c r="AA1130" s="6" t="str">
        <f t="shared" si="155"/>
        <v/>
      </c>
      <c r="AB1130">
        <v>200</v>
      </c>
      <c r="AC1130">
        <v>200</v>
      </c>
      <c r="AD1130">
        <v>202</v>
      </c>
    </row>
    <row r="1131" spans="1:30" ht="17" x14ac:dyDescent="0.25">
      <c r="A1131" s="1" t="s">
        <v>1133</v>
      </c>
      <c r="B1131" s="1" t="s">
        <v>3784</v>
      </c>
      <c r="C1131" s="1" t="s">
        <v>2460</v>
      </c>
      <c r="D1131" t="str">
        <f t="shared" si="156"/>
        <v>C8CACA</v>
      </c>
      <c r="E1131" t="str">
        <f t="shared" si="157"/>
        <v>200-202-202</v>
      </c>
      <c r="F1131" t="str">
        <f t="shared" si="158"/>
        <v>200202202</v>
      </c>
      <c r="G1131">
        <f t="shared" si="159"/>
        <v>200</v>
      </c>
      <c r="H1131">
        <f t="shared" si="160"/>
        <v>202</v>
      </c>
      <c r="I1131">
        <f t="shared" si="161"/>
        <v>202</v>
      </c>
      <c r="J1131" t="str">
        <f t="shared" si="153"/>
        <v>sptV",</v>
      </c>
      <c r="K1131" t="str">
        <f t="shared" si="153"/>
        <v>spinal tract of the trigeminal nerve",</v>
      </c>
      <c r="L1131" t="str">
        <f t="shared" si="154"/>
        <v>sptV</v>
      </c>
      <c r="M1131" t="str">
        <f t="shared" si="154"/>
        <v>spinal tract of the trigeminal nerve</v>
      </c>
      <c r="N1131" t="s">
        <v>6718</v>
      </c>
      <c r="O1131" t="s">
        <v>6719</v>
      </c>
      <c r="Y1131" t="s">
        <v>6718</v>
      </c>
      <c r="Z1131" t="s">
        <v>6719</v>
      </c>
      <c r="AA1131" s="6">
        <f t="shared" si="155"/>
        <v>794</v>
      </c>
      <c r="AB1131">
        <v>200</v>
      </c>
      <c r="AC1131">
        <v>202</v>
      </c>
      <c r="AD1131">
        <v>202</v>
      </c>
    </row>
    <row r="1132" spans="1:30" ht="17" x14ac:dyDescent="0.25">
      <c r="A1132" s="1" t="s">
        <v>1134</v>
      </c>
      <c r="B1132" s="1" t="s">
        <v>3785</v>
      </c>
      <c r="C1132" s="1" t="s">
        <v>2461</v>
      </c>
      <c r="D1132" t="str">
        <f t="shared" si="156"/>
        <v>CCCCC7</v>
      </c>
      <c r="E1132" t="str">
        <f t="shared" si="157"/>
        <v>204-204-199</v>
      </c>
      <c r="F1132" t="str">
        <f t="shared" si="158"/>
        <v>204204199</v>
      </c>
      <c r="G1132">
        <f t="shared" si="159"/>
        <v>204</v>
      </c>
      <c r="H1132">
        <f t="shared" si="160"/>
        <v>204</v>
      </c>
      <c r="I1132">
        <f t="shared" si="161"/>
        <v>199</v>
      </c>
      <c r="J1132" t="str">
        <f t="shared" si="153"/>
        <v>VIIn",</v>
      </c>
      <c r="K1132" t="str">
        <f t="shared" si="153"/>
        <v>facial nerve",</v>
      </c>
      <c r="L1132" t="str">
        <f t="shared" si="154"/>
        <v>VIIn</v>
      </c>
      <c r="M1132" t="str">
        <f t="shared" si="154"/>
        <v>facial nerve</v>
      </c>
      <c r="N1132" t="s">
        <v>6720</v>
      </c>
      <c r="O1132" t="s">
        <v>6721</v>
      </c>
      <c r="Y1132" t="s">
        <v>6720</v>
      </c>
      <c r="Z1132" t="s">
        <v>6721</v>
      </c>
      <c r="AA1132" s="6">
        <f t="shared" si="155"/>
        <v>798</v>
      </c>
      <c r="AB1132">
        <v>204</v>
      </c>
      <c r="AC1132">
        <v>204</v>
      </c>
      <c r="AD1132">
        <v>199</v>
      </c>
    </row>
    <row r="1133" spans="1:30" ht="17" x14ac:dyDescent="0.25">
      <c r="A1133" s="1" t="s">
        <v>1135</v>
      </c>
      <c r="B1133" s="1" t="s">
        <v>3786</v>
      </c>
      <c r="C1133" s="1" t="s">
        <v>2462</v>
      </c>
      <c r="D1133" t="str">
        <f t="shared" si="156"/>
        <v>C9C8C9</v>
      </c>
      <c r="E1133" t="str">
        <f t="shared" si="157"/>
        <v>201-200-201</v>
      </c>
      <c r="F1133" t="str">
        <f t="shared" si="158"/>
        <v>201200201</v>
      </c>
      <c r="G1133">
        <f t="shared" si="159"/>
        <v>201</v>
      </c>
      <c r="H1133">
        <f t="shared" si="160"/>
        <v>200</v>
      </c>
      <c r="I1133">
        <f t="shared" si="161"/>
        <v>201</v>
      </c>
      <c r="J1133" t="str">
        <f t="shared" si="153"/>
        <v>iVIIn",</v>
      </c>
      <c r="K1133" t="str">
        <f t="shared" si="153"/>
        <v>intermediate nerve",</v>
      </c>
      <c r="L1133" t="str">
        <f t="shared" si="154"/>
        <v>iVIIn</v>
      </c>
      <c r="M1133" t="str">
        <f t="shared" si="154"/>
        <v>intermediate nerve</v>
      </c>
      <c r="N1133" t="s">
        <v>6722</v>
      </c>
      <c r="O1133" t="s">
        <v>6723</v>
      </c>
      <c r="Y1133" t="s">
        <v>6722</v>
      </c>
      <c r="Z1133" t="s">
        <v>6723</v>
      </c>
      <c r="AA1133" s="6" t="str">
        <f t="shared" si="155"/>
        <v/>
      </c>
      <c r="AB1133">
        <v>201</v>
      </c>
      <c r="AC1133">
        <v>200</v>
      </c>
      <c r="AD1133">
        <v>201</v>
      </c>
    </row>
    <row r="1134" spans="1:30" ht="17" x14ac:dyDescent="0.25">
      <c r="A1134" s="1" t="s">
        <v>1136</v>
      </c>
      <c r="B1134" s="1" t="s">
        <v>3787</v>
      </c>
      <c r="C1134" s="1" t="s">
        <v>2463</v>
      </c>
      <c r="D1134" t="str">
        <f t="shared" si="156"/>
        <v>C9CCC7</v>
      </c>
      <c r="E1134" t="str">
        <f t="shared" si="157"/>
        <v>201-204-199</v>
      </c>
      <c r="F1134" t="str">
        <f t="shared" si="158"/>
        <v>201204199</v>
      </c>
      <c r="G1134">
        <f t="shared" si="159"/>
        <v>201</v>
      </c>
      <c r="H1134">
        <f t="shared" si="160"/>
        <v>204</v>
      </c>
      <c r="I1134">
        <f t="shared" si="161"/>
        <v>199</v>
      </c>
      <c r="J1134" t="str">
        <f t="shared" si="153"/>
        <v>gVIIn",</v>
      </c>
      <c r="K1134" t="str">
        <f t="shared" si="153"/>
        <v>genu of the facial nerve",</v>
      </c>
      <c r="L1134" t="str">
        <f t="shared" si="154"/>
        <v>gVIIn</v>
      </c>
      <c r="M1134" t="str">
        <f t="shared" si="154"/>
        <v>genu of the facial nerve</v>
      </c>
      <c r="N1134" t="s">
        <v>6724</v>
      </c>
      <c r="O1134" t="s">
        <v>6725</v>
      </c>
      <c r="Y1134" t="s">
        <v>6724</v>
      </c>
      <c r="Z1134" t="s">
        <v>6725</v>
      </c>
      <c r="AA1134" s="6">
        <f t="shared" si="155"/>
        <v>1116</v>
      </c>
      <c r="AB1134">
        <v>201</v>
      </c>
      <c r="AC1134">
        <v>204</v>
      </c>
      <c r="AD1134">
        <v>199</v>
      </c>
    </row>
    <row r="1135" spans="1:30" ht="17" x14ac:dyDescent="0.25">
      <c r="A1135" s="1" t="s">
        <v>1137</v>
      </c>
      <c r="B1135" s="1" t="s">
        <v>3788</v>
      </c>
      <c r="C1135" s="1" t="s">
        <v>2464</v>
      </c>
      <c r="D1135" t="str">
        <f t="shared" si="156"/>
        <v>C9C7CA</v>
      </c>
      <c r="E1135" t="str">
        <f t="shared" si="157"/>
        <v>201-199-202</v>
      </c>
      <c r="F1135" t="str">
        <f t="shared" si="158"/>
        <v>201199202</v>
      </c>
      <c r="G1135">
        <f t="shared" si="159"/>
        <v>201</v>
      </c>
      <c r="H1135">
        <f t="shared" si="160"/>
        <v>199</v>
      </c>
      <c r="I1135">
        <f t="shared" si="161"/>
        <v>202</v>
      </c>
      <c r="J1135" t="str">
        <f t="shared" si="153"/>
        <v>VIIIn",</v>
      </c>
      <c r="K1135" t="str">
        <f t="shared" si="153"/>
        <v>vestibulocochlear nerve",</v>
      </c>
      <c r="L1135" t="str">
        <f t="shared" si="154"/>
        <v>VIIIn</v>
      </c>
      <c r="M1135" t="str">
        <f t="shared" si="154"/>
        <v>vestibulocochlear nerve</v>
      </c>
      <c r="N1135" t="s">
        <v>6726</v>
      </c>
      <c r="O1135" t="s">
        <v>6727</v>
      </c>
      <c r="Y1135" t="s">
        <v>6726</v>
      </c>
      <c r="Z1135" t="s">
        <v>6727</v>
      </c>
      <c r="AA1135" s="6">
        <f t="shared" si="155"/>
        <v>933</v>
      </c>
      <c r="AB1135">
        <v>201</v>
      </c>
      <c r="AC1135">
        <v>199</v>
      </c>
      <c r="AD1135">
        <v>202</v>
      </c>
    </row>
    <row r="1136" spans="1:30" ht="17" x14ac:dyDescent="0.25">
      <c r="A1136" s="1" t="s">
        <v>1138</v>
      </c>
      <c r="B1136" s="1" t="s">
        <v>3789</v>
      </c>
      <c r="C1136" s="1" t="s">
        <v>2465</v>
      </c>
      <c r="D1136" t="str">
        <f t="shared" si="156"/>
        <v>C8CBC8</v>
      </c>
      <c r="E1136" t="str">
        <f t="shared" si="157"/>
        <v>200-203-200</v>
      </c>
      <c r="F1136" t="str">
        <f t="shared" si="158"/>
        <v>200203200</v>
      </c>
      <c r="G1136">
        <f t="shared" si="159"/>
        <v>200</v>
      </c>
      <c r="H1136">
        <f t="shared" si="160"/>
        <v>203</v>
      </c>
      <c r="I1136">
        <f t="shared" si="161"/>
        <v>200</v>
      </c>
      <c r="J1136" t="str">
        <f t="shared" si="153"/>
        <v>cvb",</v>
      </c>
      <c r="K1136" t="str">
        <f t="shared" si="153"/>
        <v>efferent cochleovestibular bundle",</v>
      </c>
      <c r="L1136" t="str">
        <f t="shared" si="154"/>
        <v>cvb</v>
      </c>
      <c r="M1136" t="str">
        <f t="shared" si="154"/>
        <v>efferent cochleovestibular bundle</v>
      </c>
      <c r="N1136" t="s">
        <v>6728</v>
      </c>
      <c r="O1136" t="s">
        <v>6729</v>
      </c>
      <c r="Y1136" t="s">
        <v>6728</v>
      </c>
      <c r="Z1136" t="s">
        <v>6729</v>
      </c>
      <c r="AA1136" s="6" t="str">
        <f t="shared" si="155"/>
        <v/>
      </c>
      <c r="AB1136">
        <v>200</v>
      </c>
      <c r="AC1136">
        <v>203</v>
      </c>
      <c r="AD1136">
        <v>200</v>
      </c>
    </row>
    <row r="1137" spans="1:30" ht="17" x14ac:dyDescent="0.25">
      <c r="A1137" s="1" t="s">
        <v>1139</v>
      </c>
      <c r="B1137" s="1" t="s">
        <v>3790</v>
      </c>
      <c r="C1137" s="1" t="s">
        <v>2466</v>
      </c>
      <c r="D1137" t="str">
        <f t="shared" si="156"/>
        <v>C9CACB</v>
      </c>
      <c r="E1137" t="str">
        <f t="shared" si="157"/>
        <v>201-202-203</v>
      </c>
      <c r="F1137" t="str">
        <f t="shared" si="158"/>
        <v>201202203</v>
      </c>
      <c r="G1137">
        <f t="shared" si="159"/>
        <v>201</v>
      </c>
      <c r="H1137">
        <f t="shared" si="160"/>
        <v>202</v>
      </c>
      <c r="I1137">
        <f t="shared" si="161"/>
        <v>203</v>
      </c>
      <c r="J1137" t="str">
        <f t="shared" si="153"/>
        <v>vVIIIn",</v>
      </c>
      <c r="K1137" t="str">
        <f t="shared" si="153"/>
        <v>vestibular nerve",</v>
      </c>
      <c r="L1137" t="str">
        <f t="shared" si="154"/>
        <v>vVIIIn</v>
      </c>
      <c r="M1137" t="str">
        <f t="shared" si="154"/>
        <v>vestibular nerve</v>
      </c>
      <c r="N1137" t="s">
        <v>6730</v>
      </c>
      <c r="O1137" t="s">
        <v>6731</v>
      </c>
      <c r="Y1137" t="s">
        <v>6730</v>
      </c>
      <c r="Z1137" t="s">
        <v>6731</v>
      </c>
      <c r="AA1137" s="6">
        <f t="shared" si="155"/>
        <v>413</v>
      </c>
      <c r="AB1137">
        <v>201</v>
      </c>
      <c r="AC1137">
        <v>202</v>
      </c>
      <c r="AD1137">
        <v>203</v>
      </c>
    </row>
    <row r="1138" spans="1:30" ht="17" x14ac:dyDescent="0.25">
      <c r="A1138" s="1" t="s">
        <v>1140</v>
      </c>
      <c r="B1138" s="1" t="s">
        <v>3791</v>
      </c>
      <c r="C1138" s="1" t="s">
        <v>2467</v>
      </c>
      <c r="D1138" t="str">
        <f t="shared" si="156"/>
        <v>CAC9C8</v>
      </c>
      <c r="E1138" t="str">
        <f t="shared" si="157"/>
        <v>202-201-200</v>
      </c>
      <c r="F1138" t="str">
        <f t="shared" si="158"/>
        <v>202201200</v>
      </c>
      <c r="G1138">
        <f t="shared" si="159"/>
        <v>202</v>
      </c>
      <c r="H1138">
        <f t="shared" si="160"/>
        <v>201</v>
      </c>
      <c r="I1138">
        <f t="shared" si="161"/>
        <v>200</v>
      </c>
      <c r="J1138" t="str">
        <f t="shared" si="153"/>
        <v>cVIIIn",</v>
      </c>
      <c r="K1138" t="str">
        <f t="shared" si="153"/>
        <v>cochlear nerve",</v>
      </c>
      <c r="L1138" t="str">
        <f t="shared" si="154"/>
        <v>cVIIIn</v>
      </c>
      <c r="M1138" t="str">
        <f t="shared" si="154"/>
        <v>cochlear nerve</v>
      </c>
      <c r="N1138" t="s">
        <v>6732</v>
      </c>
      <c r="O1138" t="s">
        <v>6733</v>
      </c>
      <c r="Y1138" t="s">
        <v>6732</v>
      </c>
      <c r="Z1138" t="s">
        <v>6733</v>
      </c>
      <c r="AA1138" s="6">
        <f t="shared" si="155"/>
        <v>948</v>
      </c>
      <c r="AB1138">
        <v>202</v>
      </c>
      <c r="AC1138">
        <v>201</v>
      </c>
      <c r="AD1138">
        <v>200</v>
      </c>
    </row>
    <row r="1139" spans="1:30" ht="17" x14ac:dyDescent="0.25">
      <c r="A1139" s="1" t="s">
        <v>1141</v>
      </c>
      <c r="B1139" s="1" t="s">
        <v>3792</v>
      </c>
      <c r="C1139" s="1" t="s">
        <v>2468</v>
      </c>
      <c r="D1139" t="str">
        <f t="shared" si="156"/>
        <v>CCC7CB</v>
      </c>
      <c r="E1139" t="str">
        <f t="shared" si="157"/>
        <v>204-199-203</v>
      </c>
      <c r="F1139" t="str">
        <f t="shared" si="158"/>
        <v>204199203</v>
      </c>
      <c r="G1139">
        <f t="shared" si="159"/>
        <v>204</v>
      </c>
      <c r="H1139">
        <f t="shared" si="160"/>
        <v>199</v>
      </c>
      <c r="I1139">
        <f t="shared" si="161"/>
        <v>203</v>
      </c>
      <c r="J1139" t="str">
        <f t="shared" si="153"/>
        <v>tb",</v>
      </c>
      <c r="K1139" t="str">
        <f t="shared" si="153"/>
        <v>trapezoid body",</v>
      </c>
      <c r="L1139" t="str">
        <f t="shared" si="154"/>
        <v>tb</v>
      </c>
      <c r="M1139" t="str">
        <f t="shared" si="154"/>
        <v>trapezoid body</v>
      </c>
      <c r="N1139" t="s">
        <v>6734</v>
      </c>
      <c r="O1139" t="s">
        <v>6735</v>
      </c>
      <c r="Y1139" t="s">
        <v>6734</v>
      </c>
      <c r="Z1139" t="s">
        <v>6735</v>
      </c>
      <c r="AA1139" s="6">
        <f t="shared" si="155"/>
        <v>841</v>
      </c>
      <c r="AB1139">
        <v>204</v>
      </c>
      <c r="AC1139">
        <v>199</v>
      </c>
      <c r="AD1139">
        <v>203</v>
      </c>
    </row>
    <row r="1140" spans="1:30" ht="17" x14ac:dyDescent="0.25">
      <c r="A1140" s="1" t="s">
        <v>1142</v>
      </c>
      <c r="B1140" s="1" t="s">
        <v>3793</v>
      </c>
      <c r="C1140" s="1" t="s">
        <v>2469</v>
      </c>
      <c r="D1140" t="str">
        <f t="shared" si="156"/>
        <v>CBC7C8</v>
      </c>
      <c r="E1140" t="str">
        <f t="shared" si="157"/>
        <v>203-199-200</v>
      </c>
      <c r="F1140" t="str">
        <f t="shared" si="158"/>
        <v>203199200</v>
      </c>
      <c r="G1140">
        <f t="shared" si="159"/>
        <v>203</v>
      </c>
      <c r="H1140">
        <f t="shared" si="160"/>
        <v>199</v>
      </c>
      <c r="I1140">
        <f t="shared" si="161"/>
        <v>200</v>
      </c>
      <c r="J1140" t="str">
        <f t="shared" si="153"/>
        <v>ias",</v>
      </c>
      <c r="K1140" t="str">
        <f t="shared" si="153"/>
        <v>intermediate acoustic stria",</v>
      </c>
      <c r="L1140" t="str">
        <f t="shared" si="154"/>
        <v>ias</v>
      </c>
      <c r="M1140" t="str">
        <f t="shared" si="154"/>
        <v>intermediate acoustic stria</v>
      </c>
      <c r="N1140" t="s">
        <v>6736</v>
      </c>
      <c r="O1140" t="s">
        <v>6737</v>
      </c>
      <c r="Y1140" t="s">
        <v>6736</v>
      </c>
      <c r="Z1140" t="s">
        <v>6737</v>
      </c>
      <c r="AA1140" s="6" t="str">
        <f t="shared" si="155"/>
        <v/>
      </c>
      <c r="AB1140">
        <v>203</v>
      </c>
      <c r="AC1140">
        <v>199</v>
      </c>
      <c r="AD1140">
        <v>200</v>
      </c>
    </row>
    <row r="1141" spans="1:30" ht="17" x14ac:dyDescent="0.25">
      <c r="A1141" s="1" t="s">
        <v>1143</v>
      </c>
      <c r="B1141" s="1" t="s">
        <v>3794</v>
      </c>
      <c r="C1141" s="1" t="s">
        <v>2470</v>
      </c>
      <c r="D1141" t="str">
        <f t="shared" si="156"/>
        <v>CCCBC8</v>
      </c>
      <c r="E1141" t="str">
        <f t="shared" si="157"/>
        <v>204-203-200</v>
      </c>
      <c r="F1141" t="str">
        <f t="shared" si="158"/>
        <v>204203200</v>
      </c>
      <c r="G1141">
        <f t="shared" si="159"/>
        <v>204</v>
      </c>
      <c r="H1141">
        <f t="shared" si="160"/>
        <v>203</v>
      </c>
      <c r="I1141">
        <f t="shared" si="161"/>
        <v>200</v>
      </c>
      <c r="J1141" t="str">
        <f t="shared" si="153"/>
        <v>das",</v>
      </c>
      <c r="K1141" t="str">
        <f t="shared" si="153"/>
        <v>dorsal acoustic stria",</v>
      </c>
      <c r="L1141" t="str">
        <f t="shared" si="154"/>
        <v>das</v>
      </c>
      <c r="M1141" t="str">
        <f t="shared" si="154"/>
        <v>dorsal acoustic stria</v>
      </c>
      <c r="N1141" t="s">
        <v>6738</v>
      </c>
      <c r="O1141" t="s">
        <v>6739</v>
      </c>
      <c r="Y1141" t="s">
        <v>6738</v>
      </c>
      <c r="Z1141" t="s">
        <v>6739</v>
      </c>
      <c r="AA1141" s="6">
        <f t="shared" si="155"/>
        <v>506</v>
      </c>
      <c r="AB1141">
        <v>204</v>
      </c>
      <c r="AC1141">
        <v>203</v>
      </c>
      <c r="AD1141">
        <v>200</v>
      </c>
    </row>
    <row r="1142" spans="1:30" ht="17" x14ac:dyDescent="0.25">
      <c r="A1142" s="1" t="s">
        <v>1144</v>
      </c>
      <c r="B1142" s="1" t="s">
        <v>3795</v>
      </c>
      <c r="C1142" s="1" t="s">
        <v>2471</v>
      </c>
      <c r="D1142" t="str">
        <f t="shared" si="156"/>
        <v>C9C9CB</v>
      </c>
      <c r="E1142" t="str">
        <f t="shared" si="157"/>
        <v>201-201-203</v>
      </c>
      <c r="F1142" t="str">
        <f t="shared" si="158"/>
        <v>201201203</v>
      </c>
      <c r="G1142">
        <f t="shared" si="159"/>
        <v>201</v>
      </c>
      <c r="H1142">
        <f t="shared" si="160"/>
        <v>201</v>
      </c>
      <c r="I1142">
        <f t="shared" si="161"/>
        <v>203</v>
      </c>
      <c r="J1142" t="str">
        <f t="shared" si="153"/>
        <v>ll",</v>
      </c>
      <c r="K1142" t="str">
        <f t="shared" si="153"/>
        <v>lateral lemniscus",</v>
      </c>
      <c r="L1142" t="str">
        <f t="shared" si="154"/>
        <v>ll</v>
      </c>
      <c r="M1142" t="str">
        <f t="shared" si="154"/>
        <v>lateral lemniscus</v>
      </c>
      <c r="N1142" t="s">
        <v>6740</v>
      </c>
      <c r="O1142" t="s">
        <v>6741</v>
      </c>
      <c r="Y1142" t="s">
        <v>6740</v>
      </c>
      <c r="Z1142" t="s">
        <v>6741</v>
      </c>
      <c r="AA1142" s="6">
        <f t="shared" si="155"/>
        <v>658</v>
      </c>
      <c r="AB1142">
        <v>201</v>
      </c>
      <c r="AC1142">
        <v>201</v>
      </c>
      <c r="AD1142">
        <v>203</v>
      </c>
    </row>
    <row r="1143" spans="1:30" ht="17" x14ac:dyDescent="0.25">
      <c r="A1143" s="1" t="s">
        <v>1145</v>
      </c>
      <c r="B1143" s="1" t="s">
        <v>3796</v>
      </c>
      <c r="C1143" s="1" t="s">
        <v>2472</v>
      </c>
      <c r="D1143" t="str">
        <f t="shared" si="156"/>
        <v>CBC9C9</v>
      </c>
      <c r="E1143" t="str">
        <f t="shared" si="157"/>
        <v>203-201-201</v>
      </c>
      <c r="F1143" t="str">
        <f t="shared" si="158"/>
        <v>203201201</v>
      </c>
      <c r="G1143">
        <f t="shared" si="159"/>
        <v>203</v>
      </c>
      <c r="H1143">
        <f t="shared" si="160"/>
        <v>201</v>
      </c>
      <c r="I1143">
        <f t="shared" si="161"/>
        <v>201</v>
      </c>
      <c r="J1143" t="str">
        <f t="shared" si="153"/>
        <v>cic",</v>
      </c>
      <c r="K1143" t="str">
        <f t="shared" si="153"/>
        <v>inferior colliculus commissure",</v>
      </c>
      <c r="L1143" t="str">
        <f t="shared" si="154"/>
        <v>cic</v>
      </c>
      <c r="M1143" t="str">
        <f t="shared" si="154"/>
        <v>inferior colliculus commissure</v>
      </c>
      <c r="N1143" t="s">
        <v>6742</v>
      </c>
      <c r="O1143" t="s">
        <v>6743</v>
      </c>
      <c r="Y1143" t="s">
        <v>6742</v>
      </c>
      <c r="Z1143" t="s">
        <v>6743</v>
      </c>
      <c r="AA1143" s="6">
        <f t="shared" si="155"/>
        <v>633</v>
      </c>
      <c r="AB1143">
        <v>203</v>
      </c>
      <c r="AC1143">
        <v>201</v>
      </c>
      <c r="AD1143">
        <v>201</v>
      </c>
    </row>
    <row r="1144" spans="1:30" ht="17" x14ac:dyDescent="0.25">
      <c r="A1144" s="1" t="s">
        <v>1146</v>
      </c>
      <c r="B1144" s="1" t="s">
        <v>3797</v>
      </c>
      <c r="C1144" s="1" t="s">
        <v>2473</v>
      </c>
      <c r="D1144" t="str">
        <f t="shared" si="156"/>
        <v>C9C8C8</v>
      </c>
      <c r="E1144" t="str">
        <f t="shared" si="157"/>
        <v>201-200-200</v>
      </c>
      <c r="F1144" t="str">
        <f t="shared" si="158"/>
        <v>201200200</v>
      </c>
      <c r="G1144">
        <f t="shared" si="159"/>
        <v>201</v>
      </c>
      <c r="H1144">
        <f t="shared" si="160"/>
        <v>200</v>
      </c>
      <c r="I1144">
        <f t="shared" si="161"/>
        <v>200</v>
      </c>
      <c r="J1144" t="str">
        <f t="shared" si="153"/>
        <v>bic",</v>
      </c>
      <c r="K1144" t="str">
        <f t="shared" si="153"/>
        <v>brachium of the inferior colliculus",</v>
      </c>
      <c r="L1144" t="str">
        <f t="shared" si="154"/>
        <v>bic</v>
      </c>
      <c r="M1144" t="str">
        <f t="shared" si="154"/>
        <v>brachium of the inferior colliculus</v>
      </c>
      <c r="N1144" t="s">
        <v>6744</v>
      </c>
      <c r="O1144" t="s">
        <v>6745</v>
      </c>
      <c r="Y1144" t="s">
        <v>6744</v>
      </c>
      <c r="Z1144" t="s">
        <v>6745</v>
      </c>
      <c r="AA1144" s="6">
        <f t="shared" si="155"/>
        <v>482</v>
      </c>
      <c r="AB1144">
        <v>201</v>
      </c>
      <c r="AC1144">
        <v>200</v>
      </c>
      <c r="AD1144">
        <v>200</v>
      </c>
    </row>
    <row r="1145" spans="1:30" ht="17" x14ac:dyDescent="0.25">
      <c r="A1145" s="1" t="s">
        <v>1147</v>
      </c>
      <c r="B1145" s="1" t="s">
        <v>3798</v>
      </c>
      <c r="C1145" s="1" t="s">
        <v>2474</v>
      </c>
      <c r="D1145" t="str">
        <f t="shared" si="156"/>
        <v>CCC8C9</v>
      </c>
      <c r="E1145" t="str">
        <f t="shared" si="157"/>
        <v>204-200-201</v>
      </c>
      <c r="F1145" t="str">
        <f t="shared" si="158"/>
        <v>204200201</v>
      </c>
      <c r="G1145">
        <f t="shared" si="159"/>
        <v>204</v>
      </c>
      <c r="H1145">
        <f t="shared" si="160"/>
        <v>200</v>
      </c>
      <c r="I1145">
        <f t="shared" si="161"/>
        <v>201</v>
      </c>
      <c r="J1145" t="str">
        <f t="shared" si="153"/>
        <v>IXn",</v>
      </c>
      <c r="K1145" t="str">
        <f t="shared" si="153"/>
        <v>glossopharyngeal nerve",</v>
      </c>
      <c r="L1145" t="str">
        <f t="shared" si="154"/>
        <v>IXn</v>
      </c>
      <c r="M1145" t="str">
        <f t="shared" si="154"/>
        <v>glossopharyngeal nerve</v>
      </c>
      <c r="N1145" t="s">
        <v>6746</v>
      </c>
      <c r="O1145" t="s">
        <v>6747</v>
      </c>
      <c r="Y1145" t="s">
        <v>6746</v>
      </c>
      <c r="Z1145" t="s">
        <v>6747</v>
      </c>
      <c r="AA1145" s="6" t="str">
        <f t="shared" si="155"/>
        <v/>
      </c>
      <c r="AB1145">
        <v>204</v>
      </c>
      <c r="AC1145">
        <v>200</v>
      </c>
      <c r="AD1145">
        <v>201</v>
      </c>
    </row>
    <row r="1146" spans="1:30" ht="17" x14ac:dyDescent="0.25">
      <c r="A1146" s="1" t="s">
        <v>1148</v>
      </c>
      <c r="B1146" s="1" t="s">
        <v>3799</v>
      </c>
      <c r="C1146" s="1" t="s">
        <v>2475</v>
      </c>
      <c r="D1146" t="str">
        <f t="shared" si="156"/>
        <v>C7C9CB</v>
      </c>
      <c r="E1146" t="str">
        <f t="shared" si="157"/>
        <v>199-201-203</v>
      </c>
      <c r="F1146" t="str">
        <f t="shared" si="158"/>
        <v>199201203</v>
      </c>
      <c r="G1146">
        <f t="shared" si="159"/>
        <v>199</v>
      </c>
      <c r="H1146">
        <f t="shared" si="160"/>
        <v>201</v>
      </c>
      <c r="I1146">
        <f t="shared" si="161"/>
        <v>203</v>
      </c>
      <c r="J1146" t="str">
        <f t="shared" si="153"/>
        <v>Xn",</v>
      </c>
      <c r="K1146" t="str">
        <f t="shared" si="153"/>
        <v>vagus nerve",</v>
      </c>
      <c r="L1146" t="str">
        <f t="shared" si="154"/>
        <v>Xn</v>
      </c>
      <c r="M1146" t="str">
        <f t="shared" si="154"/>
        <v>vagus nerve</v>
      </c>
      <c r="N1146" t="s">
        <v>6748</v>
      </c>
      <c r="O1146" t="s">
        <v>6749</v>
      </c>
      <c r="Y1146" t="s">
        <v>6748</v>
      </c>
      <c r="Z1146" t="s">
        <v>6749</v>
      </c>
      <c r="AA1146" s="6">
        <f t="shared" si="155"/>
        <v>917</v>
      </c>
      <c r="AB1146">
        <v>199</v>
      </c>
      <c r="AC1146">
        <v>201</v>
      </c>
      <c r="AD1146">
        <v>203</v>
      </c>
    </row>
    <row r="1147" spans="1:30" ht="17" x14ac:dyDescent="0.25">
      <c r="A1147" s="1" t="s">
        <v>1149</v>
      </c>
      <c r="B1147" s="1" t="s">
        <v>3800</v>
      </c>
      <c r="C1147" s="1" t="s">
        <v>2476</v>
      </c>
      <c r="D1147" t="str">
        <f t="shared" si="156"/>
        <v>C8CAC7</v>
      </c>
      <c r="E1147" t="str">
        <f t="shared" si="157"/>
        <v>200-202-199</v>
      </c>
      <c r="F1147" t="str">
        <f t="shared" si="158"/>
        <v>200202199</v>
      </c>
      <c r="G1147">
        <f t="shared" si="159"/>
        <v>200</v>
      </c>
      <c r="H1147">
        <f t="shared" si="160"/>
        <v>202</v>
      </c>
      <c r="I1147">
        <f t="shared" si="161"/>
        <v>199</v>
      </c>
      <c r="J1147" t="str">
        <f t="shared" si="153"/>
        <v>ts",</v>
      </c>
      <c r="K1147" t="str">
        <f t="shared" si="153"/>
        <v>solitary tract",</v>
      </c>
      <c r="L1147" t="str">
        <f t="shared" si="154"/>
        <v>ts</v>
      </c>
      <c r="M1147" t="str">
        <f t="shared" si="154"/>
        <v>solitary tract</v>
      </c>
      <c r="N1147" t="s">
        <v>6750</v>
      </c>
      <c r="O1147" t="s">
        <v>6751</v>
      </c>
      <c r="Y1147" t="s">
        <v>6750</v>
      </c>
      <c r="Z1147" t="s">
        <v>6751</v>
      </c>
      <c r="AA1147" s="6">
        <f t="shared" si="155"/>
        <v>237</v>
      </c>
      <c r="AB1147">
        <v>200</v>
      </c>
      <c r="AC1147">
        <v>202</v>
      </c>
      <c r="AD1147">
        <v>199</v>
      </c>
    </row>
    <row r="1148" spans="1:30" ht="17" x14ac:dyDescent="0.25">
      <c r="A1148" s="1" t="s">
        <v>1150</v>
      </c>
      <c r="B1148" s="1" t="s">
        <v>3801</v>
      </c>
      <c r="C1148" s="1" t="s">
        <v>2477</v>
      </c>
      <c r="D1148" t="str">
        <f t="shared" si="156"/>
        <v>CAC8CC</v>
      </c>
      <c r="E1148" t="str">
        <f t="shared" si="157"/>
        <v>202-200-204</v>
      </c>
      <c r="F1148" t="str">
        <f t="shared" si="158"/>
        <v>202200204</v>
      </c>
      <c r="G1148">
        <f t="shared" si="159"/>
        <v>202</v>
      </c>
      <c r="H1148">
        <f t="shared" si="160"/>
        <v>200</v>
      </c>
      <c r="I1148">
        <f t="shared" si="161"/>
        <v>204</v>
      </c>
      <c r="J1148" t="str">
        <f t="shared" si="153"/>
        <v>XIn",</v>
      </c>
      <c r="K1148" t="str">
        <f t="shared" si="153"/>
        <v>accessory spinal nerve",</v>
      </c>
      <c r="L1148" t="str">
        <f t="shared" si="154"/>
        <v>XIn</v>
      </c>
      <c r="M1148" t="str">
        <f t="shared" si="154"/>
        <v>accessory spinal nerve</v>
      </c>
      <c r="N1148" t="s">
        <v>6752</v>
      </c>
      <c r="O1148" t="s">
        <v>6753</v>
      </c>
      <c r="Y1148" t="s">
        <v>6752</v>
      </c>
      <c r="Z1148" t="s">
        <v>6753</v>
      </c>
      <c r="AA1148" s="6" t="str">
        <f t="shared" si="155"/>
        <v/>
      </c>
      <c r="AB1148">
        <v>202</v>
      </c>
      <c r="AC1148">
        <v>200</v>
      </c>
      <c r="AD1148">
        <v>204</v>
      </c>
    </row>
    <row r="1149" spans="1:30" ht="17" x14ac:dyDescent="0.25">
      <c r="A1149" s="1" t="s">
        <v>1151</v>
      </c>
      <c r="B1149" s="1" t="s">
        <v>3802</v>
      </c>
      <c r="C1149" s="1" t="s">
        <v>2478</v>
      </c>
      <c r="D1149" t="str">
        <f t="shared" si="156"/>
        <v>C9CCC8</v>
      </c>
      <c r="E1149" t="str">
        <f t="shared" si="157"/>
        <v>201-204-200</v>
      </c>
      <c r="F1149" t="str">
        <f t="shared" si="158"/>
        <v>201204200</v>
      </c>
      <c r="G1149">
        <f t="shared" si="159"/>
        <v>201</v>
      </c>
      <c r="H1149">
        <f t="shared" si="160"/>
        <v>204</v>
      </c>
      <c r="I1149">
        <f t="shared" si="161"/>
        <v>200</v>
      </c>
      <c r="J1149" t="str">
        <f t="shared" si="153"/>
        <v>XIIn",</v>
      </c>
      <c r="K1149" t="str">
        <f t="shared" si="153"/>
        <v>hypoglossal nerve",</v>
      </c>
      <c r="L1149" t="str">
        <f t="shared" si="154"/>
        <v>XIIn</v>
      </c>
      <c r="M1149" t="str">
        <f t="shared" si="154"/>
        <v>hypoglossal nerve</v>
      </c>
      <c r="N1149" t="s">
        <v>6754</v>
      </c>
      <c r="O1149" t="s">
        <v>6755</v>
      </c>
      <c r="Y1149" t="s">
        <v>6754</v>
      </c>
      <c r="Z1149" t="s">
        <v>6755</v>
      </c>
      <c r="AA1149" s="6" t="str">
        <f t="shared" si="155"/>
        <v/>
      </c>
      <c r="AB1149">
        <v>201</v>
      </c>
      <c r="AC1149">
        <v>204</v>
      </c>
      <c r="AD1149">
        <v>200</v>
      </c>
    </row>
    <row r="1150" spans="1:30" ht="17" x14ac:dyDescent="0.25">
      <c r="A1150" s="1" t="s">
        <v>1152</v>
      </c>
      <c r="B1150" s="1" t="s">
        <v>3803</v>
      </c>
      <c r="C1150" s="1" t="s">
        <v>2479</v>
      </c>
      <c r="D1150" t="str">
        <f t="shared" si="156"/>
        <v>CAC7C9</v>
      </c>
      <c r="E1150" t="str">
        <f t="shared" si="157"/>
        <v>202-199-201</v>
      </c>
      <c r="F1150" t="str">
        <f t="shared" si="158"/>
        <v>202199201</v>
      </c>
      <c r="G1150">
        <f t="shared" si="159"/>
        <v>202</v>
      </c>
      <c r="H1150">
        <f t="shared" si="160"/>
        <v>199</v>
      </c>
      <c r="I1150">
        <f t="shared" si="161"/>
        <v>201</v>
      </c>
      <c r="J1150" t="str">
        <f t="shared" si="153"/>
        <v>vrt",</v>
      </c>
      <c r="K1150" t="str">
        <f t="shared" si="153"/>
        <v>ventral roots",</v>
      </c>
      <c r="L1150" t="str">
        <f t="shared" si="154"/>
        <v>vrt</v>
      </c>
      <c r="M1150" t="str">
        <f t="shared" si="154"/>
        <v>ventral roots</v>
      </c>
      <c r="N1150" t="s">
        <v>6756</v>
      </c>
      <c r="O1150" t="s">
        <v>6757</v>
      </c>
      <c r="Y1150" t="s">
        <v>6756</v>
      </c>
      <c r="Z1150" t="s">
        <v>6757</v>
      </c>
      <c r="AA1150" s="6" t="str">
        <f t="shared" si="155"/>
        <v/>
      </c>
      <c r="AB1150">
        <v>202</v>
      </c>
      <c r="AC1150">
        <v>199</v>
      </c>
      <c r="AD1150">
        <v>201</v>
      </c>
    </row>
    <row r="1151" spans="1:30" ht="17" x14ac:dyDescent="0.25">
      <c r="A1151" s="1" t="s">
        <v>1153</v>
      </c>
      <c r="B1151" s="1" t="s">
        <v>3804</v>
      </c>
      <c r="C1151" s="1" t="s">
        <v>2480</v>
      </c>
      <c r="D1151" t="str">
        <f t="shared" si="156"/>
        <v>CAC8CA</v>
      </c>
      <c r="E1151" t="str">
        <f t="shared" si="157"/>
        <v>202-200-202</v>
      </c>
      <c r="F1151" t="str">
        <f t="shared" si="158"/>
        <v>202200202</v>
      </c>
      <c r="G1151">
        <f t="shared" si="159"/>
        <v>202</v>
      </c>
      <c r="H1151">
        <f t="shared" si="160"/>
        <v>200</v>
      </c>
      <c r="I1151">
        <f t="shared" si="161"/>
        <v>202</v>
      </c>
      <c r="J1151" t="str">
        <f t="shared" si="153"/>
        <v>drt",</v>
      </c>
      <c r="K1151" t="str">
        <f t="shared" si="153"/>
        <v>dorsal roots",</v>
      </c>
      <c r="L1151" t="str">
        <f t="shared" si="154"/>
        <v>drt</v>
      </c>
      <c r="M1151" t="str">
        <f t="shared" si="154"/>
        <v>dorsal roots</v>
      </c>
      <c r="N1151" t="s">
        <v>6758</v>
      </c>
      <c r="O1151" t="s">
        <v>6759</v>
      </c>
      <c r="Y1151" t="s">
        <v>6758</v>
      </c>
      <c r="Z1151" t="s">
        <v>6759</v>
      </c>
      <c r="AA1151" s="6">
        <f t="shared" si="155"/>
        <v>792</v>
      </c>
      <c r="AB1151">
        <v>202</v>
      </c>
      <c r="AC1151">
        <v>200</v>
      </c>
      <c r="AD1151">
        <v>202</v>
      </c>
    </row>
    <row r="1152" spans="1:30" ht="17" x14ac:dyDescent="0.25">
      <c r="A1152" s="1" t="s">
        <v>1154</v>
      </c>
      <c r="B1152" s="1" t="s">
        <v>3805</v>
      </c>
      <c r="C1152" s="1" t="s">
        <v>2481</v>
      </c>
      <c r="D1152" t="str">
        <f t="shared" si="156"/>
        <v>CCC7CA</v>
      </c>
      <c r="E1152" t="str">
        <f t="shared" si="157"/>
        <v>204-199-202</v>
      </c>
      <c r="F1152" t="str">
        <f t="shared" si="158"/>
        <v>204199202</v>
      </c>
      <c r="G1152">
        <f t="shared" si="159"/>
        <v>204</v>
      </c>
      <c r="H1152">
        <f t="shared" si="160"/>
        <v>199</v>
      </c>
      <c r="I1152">
        <f t="shared" si="161"/>
        <v>202</v>
      </c>
      <c r="J1152" t="str">
        <f t="shared" si="153"/>
        <v>cett",</v>
      </c>
      <c r="K1152" t="str">
        <f t="shared" si="153"/>
        <v>cervicothalamic tract",</v>
      </c>
      <c r="L1152" t="str">
        <f t="shared" si="154"/>
        <v>cett</v>
      </c>
      <c r="M1152" t="str">
        <f t="shared" si="154"/>
        <v>cervicothalamic tract</v>
      </c>
      <c r="N1152" t="s">
        <v>6760</v>
      </c>
      <c r="O1152" t="s">
        <v>6761</v>
      </c>
      <c r="Y1152" t="s">
        <v>6760</v>
      </c>
      <c r="Z1152" t="s">
        <v>6761</v>
      </c>
      <c r="AA1152" s="6">
        <f t="shared" si="155"/>
        <v>932</v>
      </c>
      <c r="AB1152">
        <v>204</v>
      </c>
      <c r="AC1152">
        <v>199</v>
      </c>
      <c r="AD1152">
        <v>202</v>
      </c>
    </row>
    <row r="1153" spans="1:30" ht="17" x14ac:dyDescent="0.25">
      <c r="A1153" s="1" t="s">
        <v>1155</v>
      </c>
      <c r="B1153" s="1" t="s">
        <v>3806</v>
      </c>
      <c r="C1153" s="1" t="s">
        <v>2482</v>
      </c>
      <c r="D1153" t="str">
        <f t="shared" si="156"/>
        <v>C8CCCB</v>
      </c>
      <c r="E1153" t="str">
        <f t="shared" si="157"/>
        <v>200-204-203</v>
      </c>
      <c r="F1153" t="str">
        <f t="shared" si="158"/>
        <v>200204203</v>
      </c>
      <c r="G1153">
        <f t="shared" si="159"/>
        <v>200</v>
      </c>
      <c r="H1153">
        <f t="shared" si="160"/>
        <v>204</v>
      </c>
      <c r="I1153">
        <f t="shared" si="161"/>
        <v>203</v>
      </c>
      <c r="J1153" t="str">
        <f t="shared" si="153"/>
        <v>dl",</v>
      </c>
      <c r="K1153" t="str">
        <f t="shared" si="153"/>
        <v>dorsolateral fascicle",</v>
      </c>
      <c r="L1153" t="str">
        <f t="shared" si="154"/>
        <v>dl</v>
      </c>
      <c r="M1153" t="str">
        <f t="shared" si="154"/>
        <v>dorsolateral fascicle</v>
      </c>
      <c r="N1153" t="s">
        <v>6762</v>
      </c>
      <c r="O1153" t="s">
        <v>6763</v>
      </c>
      <c r="Y1153" t="s">
        <v>6762</v>
      </c>
      <c r="Z1153" t="s">
        <v>6763</v>
      </c>
      <c r="AA1153" s="6" t="str">
        <f t="shared" si="155"/>
        <v/>
      </c>
      <c r="AB1153">
        <v>200</v>
      </c>
      <c r="AC1153">
        <v>204</v>
      </c>
      <c r="AD1153">
        <v>203</v>
      </c>
    </row>
    <row r="1154" spans="1:30" ht="17" x14ac:dyDescent="0.25">
      <c r="A1154" s="1" t="s">
        <v>1156</v>
      </c>
      <c r="B1154" s="1" t="s">
        <v>3807</v>
      </c>
      <c r="C1154" s="1" t="s">
        <v>2483</v>
      </c>
      <c r="D1154" t="str">
        <f t="shared" si="156"/>
        <v>CBCCC8</v>
      </c>
      <c r="E1154" t="str">
        <f t="shared" si="157"/>
        <v>203-204-200</v>
      </c>
      <c r="F1154" t="str">
        <f t="shared" si="158"/>
        <v>203204200</v>
      </c>
      <c r="G1154">
        <f t="shared" si="159"/>
        <v>203</v>
      </c>
      <c r="H1154">
        <f t="shared" si="160"/>
        <v>204</v>
      </c>
      <c r="I1154">
        <f t="shared" si="161"/>
        <v>200</v>
      </c>
      <c r="J1154" t="str">
        <f t="shared" si="153"/>
        <v>dcm",</v>
      </c>
      <c r="K1154" t="str">
        <f t="shared" si="153"/>
        <v>dorsal commissure of the spinal cord",</v>
      </c>
      <c r="L1154" t="str">
        <f t="shared" si="154"/>
        <v>dcm</v>
      </c>
      <c r="M1154" t="str">
        <f t="shared" si="154"/>
        <v>dorsal commissure of the spinal cord</v>
      </c>
      <c r="N1154" t="s">
        <v>6764</v>
      </c>
      <c r="O1154" t="s">
        <v>6765</v>
      </c>
      <c r="Y1154" t="s">
        <v>6764</v>
      </c>
      <c r="Z1154" t="s">
        <v>6765</v>
      </c>
      <c r="AA1154" s="6" t="str">
        <f t="shared" si="155"/>
        <v/>
      </c>
      <c r="AB1154">
        <v>203</v>
      </c>
      <c r="AC1154">
        <v>204</v>
      </c>
      <c r="AD1154">
        <v>200</v>
      </c>
    </row>
    <row r="1155" spans="1:30" ht="17" x14ac:dyDescent="0.25">
      <c r="A1155" s="1" t="s">
        <v>1157</v>
      </c>
      <c r="B1155" s="1" t="s">
        <v>3808</v>
      </c>
      <c r="C1155" s="1" t="s">
        <v>2484</v>
      </c>
      <c r="D1155" t="str">
        <f t="shared" si="156"/>
        <v>CBC8C9</v>
      </c>
      <c r="E1155" t="str">
        <f t="shared" si="157"/>
        <v>203-200-201</v>
      </c>
      <c r="F1155" t="str">
        <f t="shared" si="158"/>
        <v>203200201</v>
      </c>
      <c r="G1155">
        <f t="shared" si="159"/>
        <v>203</v>
      </c>
      <c r="H1155">
        <f t="shared" si="160"/>
        <v>200</v>
      </c>
      <c r="I1155">
        <f t="shared" si="161"/>
        <v>201</v>
      </c>
      <c r="J1155" t="str">
        <f t="shared" ref="J1155:K1218" si="162">RIGHT(A1155,LEN(A1155)-3)</f>
        <v>vc",</v>
      </c>
      <c r="K1155" t="str">
        <f t="shared" si="162"/>
        <v>ventral commissure of the spinal cord",</v>
      </c>
      <c r="L1155" t="str">
        <f t="shared" ref="L1155:M1218" si="163">LEFT(J1155,LEN(J1155)-2)</f>
        <v>vc</v>
      </c>
      <c r="M1155" t="str">
        <f t="shared" si="163"/>
        <v>ventral commissure of the spinal cord</v>
      </c>
      <c r="N1155" t="s">
        <v>6766</v>
      </c>
      <c r="O1155" t="s">
        <v>6767</v>
      </c>
      <c r="Y1155" t="s">
        <v>6766</v>
      </c>
      <c r="Z1155" t="s">
        <v>6767</v>
      </c>
      <c r="AA1155" s="6" t="str">
        <f t="shared" ref="AA1155:AA1218" si="164">IFERROR(INDEX(R:R,MATCH($Z1155,S:S,0)),"")</f>
        <v/>
      </c>
      <c r="AB1155">
        <v>203</v>
      </c>
      <c r="AC1155">
        <v>200</v>
      </c>
      <c r="AD1155">
        <v>201</v>
      </c>
    </row>
    <row r="1156" spans="1:30" ht="17" x14ac:dyDescent="0.25">
      <c r="A1156" s="1" t="s">
        <v>1158</v>
      </c>
      <c r="B1156" s="1" t="s">
        <v>3809</v>
      </c>
      <c r="C1156" s="1" t="s">
        <v>2485</v>
      </c>
      <c r="D1156" t="str">
        <f t="shared" ref="D1156:D1219" si="165">RIGHT(LEFT(C1156,9),6)</f>
        <v>CCC9C9</v>
      </c>
      <c r="E1156" t="str">
        <f t="shared" ref="E1156:E1219" si="166">HEX2DEC(LEFT(D1156,2))&amp;"-"&amp;HEX2DEC(MID(D1156,3,2))&amp;"-"&amp;HEX2DEC(RIGHT(D1156,2))</f>
        <v>204-201-201</v>
      </c>
      <c r="F1156" t="str">
        <f t="shared" ref="F1156:F1219" si="167">HEX2DEC(LEFT(D1156,2))&amp;HEX2DEC(MID(D1156,3,2))&amp;HEX2DEC(RIGHT(D1156,2))</f>
        <v>204201201</v>
      </c>
      <c r="G1156">
        <f t="shared" ref="G1156:G1219" si="168">HEX2DEC(LEFT(D1156,2))</f>
        <v>204</v>
      </c>
      <c r="H1156">
        <f t="shared" ref="H1156:H1219" si="169">HEX2DEC(MID(D1156,3,2))</f>
        <v>201</v>
      </c>
      <c r="I1156">
        <f t="shared" ref="I1156:I1219" si="170">HEX2DEC(RIGHT(D1156,2))</f>
        <v>201</v>
      </c>
      <c r="J1156" t="str">
        <f t="shared" si="162"/>
        <v>fpr",</v>
      </c>
      <c r="K1156" t="str">
        <f t="shared" si="162"/>
        <v>fasciculus proprius",</v>
      </c>
      <c r="L1156" t="str">
        <f t="shared" si="163"/>
        <v>fpr</v>
      </c>
      <c r="M1156" t="str">
        <f t="shared" si="163"/>
        <v>fasciculus proprius</v>
      </c>
      <c r="N1156" t="s">
        <v>6768</v>
      </c>
      <c r="O1156" t="s">
        <v>6769</v>
      </c>
      <c r="Y1156" t="s">
        <v>6768</v>
      </c>
      <c r="Z1156" t="s">
        <v>6769</v>
      </c>
      <c r="AA1156" s="6" t="str">
        <f t="shared" si="164"/>
        <v/>
      </c>
      <c r="AB1156">
        <v>204</v>
      </c>
      <c r="AC1156">
        <v>201</v>
      </c>
      <c r="AD1156">
        <v>201</v>
      </c>
    </row>
    <row r="1157" spans="1:30" ht="17" x14ac:dyDescent="0.25">
      <c r="A1157" s="1" t="s">
        <v>1159</v>
      </c>
      <c r="B1157" s="1" t="s">
        <v>3810</v>
      </c>
      <c r="C1157" s="1" t="s">
        <v>2486</v>
      </c>
      <c r="D1157" t="str">
        <f t="shared" si="165"/>
        <v>CCC8CB</v>
      </c>
      <c r="E1157" t="str">
        <f t="shared" si="166"/>
        <v>204-200-203</v>
      </c>
      <c r="F1157" t="str">
        <f t="shared" si="167"/>
        <v>204200203</v>
      </c>
      <c r="G1157">
        <f t="shared" si="168"/>
        <v>204</v>
      </c>
      <c r="H1157">
        <f t="shared" si="169"/>
        <v>200</v>
      </c>
      <c r="I1157">
        <f t="shared" si="170"/>
        <v>203</v>
      </c>
      <c r="J1157" t="str">
        <f t="shared" si="162"/>
        <v>dc",</v>
      </c>
      <c r="K1157" t="str">
        <f t="shared" si="162"/>
        <v>dorsal column",</v>
      </c>
      <c r="L1157" t="str">
        <f t="shared" si="163"/>
        <v>dc</v>
      </c>
      <c r="M1157" t="str">
        <f t="shared" si="163"/>
        <v>dorsal column</v>
      </c>
      <c r="N1157" t="s">
        <v>6770</v>
      </c>
      <c r="O1157" t="s">
        <v>6771</v>
      </c>
      <c r="Y1157" t="s">
        <v>6770</v>
      </c>
      <c r="Z1157" t="s">
        <v>6771</v>
      </c>
      <c r="AA1157" s="6">
        <f t="shared" si="164"/>
        <v>514</v>
      </c>
      <c r="AB1157">
        <v>204</v>
      </c>
      <c r="AC1157">
        <v>200</v>
      </c>
      <c r="AD1157">
        <v>203</v>
      </c>
    </row>
    <row r="1158" spans="1:30" ht="17" x14ac:dyDescent="0.25">
      <c r="A1158" s="1" t="s">
        <v>1160</v>
      </c>
      <c r="B1158" s="1" t="s">
        <v>3811</v>
      </c>
      <c r="C1158" s="1" t="s">
        <v>2487</v>
      </c>
      <c r="D1158" t="str">
        <f t="shared" si="165"/>
        <v>CAC9CC</v>
      </c>
      <c r="E1158" t="str">
        <f t="shared" si="166"/>
        <v>202-201-204</v>
      </c>
      <c r="F1158" t="str">
        <f t="shared" si="167"/>
        <v>202201204</v>
      </c>
      <c r="G1158">
        <f t="shared" si="168"/>
        <v>202</v>
      </c>
      <c r="H1158">
        <f t="shared" si="169"/>
        <v>201</v>
      </c>
      <c r="I1158">
        <f t="shared" si="170"/>
        <v>204</v>
      </c>
      <c r="J1158" t="str">
        <f t="shared" si="162"/>
        <v>cuf",</v>
      </c>
      <c r="K1158" t="str">
        <f t="shared" si="162"/>
        <v>cuneate fascicle",</v>
      </c>
      <c r="L1158" t="str">
        <f t="shared" si="163"/>
        <v>cuf</v>
      </c>
      <c r="M1158" t="str">
        <f t="shared" si="163"/>
        <v>cuneate fascicle</v>
      </c>
      <c r="N1158" t="s">
        <v>6772</v>
      </c>
      <c r="O1158" t="s">
        <v>6773</v>
      </c>
      <c r="Y1158" t="s">
        <v>6772</v>
      </c>
      <c r="Z1158" t="s">
        <v>6773</v>
      </c>
      <c r="AA1158" s="6">
        <f t="shared" si="164"/>
        <v>380</v>
      </c>
      <c r="AB1158">
        <v>202</v>
      </c>
      <c r="AC1158">
        <v>201</v>
      </c>
      <c r="AD1158">
        <v>204</v>
      </c>
    </row>
    <row r="1159" spans="1:30" ht="17" x14ac:dyDescent="0.25">
      <c r="A1159" s="1" t="s">
        <v>1161</v>
      </c>
      <c r="B1159" s="1" t="s">
        <v>3812</v>
      </c>
      <c r="C1159" s="1" t="s">
        <v>2488</v>
      </c>
      <c r="D1159" t="str">
        <f t="shared" si="165"/>
        <v>CAC8C8</v>
      </c>
      <c r="E1159" t="str">
        <f t="shared" si="166"/>
        <v>202-200-200</v>
      </c>
      <c r="F1159" t="str">
        <f t="shared" si="167"/>
        <v>202200200</v>
      </c>
      <c r="G1159">
        <f t="shared" si="168"/>
        <v>202</v>
      </c>
      <c r="H1159">
        <f t="shared" si="169"/>
        <v>200</v>
      </c>
      <c r="I1159">
        <f t="shared" si="170"/>
        <v>200</v>
      </c>
      <c r="J1159" t="str">
        <f t="shared" si="162"/>
        <v>grf",</v>
      </c>
      <c r="K1159" t="str">
        <f t="shared" si="162"/>
        <v>gracile fascicle",</v>
      </c>
      <c r="L1159" t="str">
        <f t="shared" si="163"/>
        <v>grf</v>
      </c>
      <c r="M1159" t="str">
        <f t="shared" si="163"/>
        <v>gracile fascicle</v>
      </c>
      <c r="N1159" t="s">
        <v>6774</v>
      </c>
      <c r="O1159" t="s">
        <v>6775</v>
      </c>
      <c r="Y1159" t="s">
        <v>6774</v>
      </c>
      <c r="Z1159" t="s">
        <v>6775</v>
      </c>
      <c r="AA1159" s="6" t="str">
        <f t="shared" si="164"/>
        <v/>
      </c>
      <c r="AB1159">
        <v>202</v>
      </c>
      <c r="AC1159">
        <v>200</v>
      </c>
      <c r="AD1159">
        <v>200</v>
      </c>
    </row>
    <row r="1160" spans="1:30" ht="17" x14ac:dyDescent="0.25">
      <c r="A1160" s="1" t="s">
        <v>1162</v>
      </c>
      <c r="B1160" s="1" t="s">
        <v>3813</v>
      </c>
      <c r="C1160" s="1" t="s">
        <v>2489</v>
      </c>
      <c r="D1160" t="str">
        <f t="shared" si="165"/>
        <v>CBC9CA</v>
      </c>
      <c r="E1160" t="str">
        <f t="shared" si="166"/>
        <v>203-201-202</v>
      </c>
      <c r="F1160" t="str">
        <f t="shared" si="167"/>
        <v>203201202</v>
      </c>
      <c r="G1160">
        <f t="shared" si="168"/>
        <v>203</v>
      </c>
      <c r="H1160">
        <f t="shared" si="169"/>
        <v>201</v>
      </c>
      <c r="I1160">
        <f t="shared" si="170"/>
        <v>202</v>
      </c>
      <c r="J1160" t="str">
        <f t="shared" si="162"/>
        <v>iaf",</v>
      </c>
      <c r="K1160" t="str">
        <f t="shared" si="162"/>
        <v>internal arcuate fibers",</v>
      </c>
      <c r="L1160" t="str">
        <f t="shared" si="163"/>
        <v>iaf</v>
      </c>
      <c r="M1160" t="str">
        <f t="shared" si="163"/>
        <v>internal arcuate fibers</v>
      </c>
      <c r="N1160" t="s">
        <v>6776</v>
      </c>
      <c r="O1160" t="s">
        <v>6777</v>
      </c>
      <c r="Y1160" t="s">
        <v>6776</v>
      </c>
      <c r="Z1160" t="s">
        <v>6777</v>
      </c>
      <c r="AA1160" s="6" t="str">
        <f t="shared" si="164"/>
        <v/>
      </c>
      <c r="AB1160">
        <v>203</v>
      </c>
      <c r="AC1160">
        <v>201</v>
      </c>
      <c r="AD1160">
        <v>202</v>
      </c>
    </row>
    <row r="1161" spans="1:30" ht="17" x14ac:dyDescent="0.25">
      <c r="A1161" s="1" t="s">
        <v>1163</v>
      </c>
      <c r="B1161" s="1" t="s">
        <v>3814</v>
      </c>
      <c r="C1161" s="1" t="s">
        <v>2490</v>
      </c>
      <c r="D1161" t="str">
        <f t="shared" si="165"/>
        <v>CACCC8</v>
      </c>
      <c r="E1161" t="str">
        <f t="shared" si="166"/>
        <v>202-204-200</v>
      </c>
      <c r="F1161" t="str">
        <f t="shared" si="167"/>
        <v>202204200</v>
      </c>
      <c r="G1161">
        <f t="shared" si="168"/>
        <v>202</v>
      </c>
      <c r="H1161">
        <f t="shared" si="169"/>
        <v>204</v>
      </c>
      <c r="I1161">
        <f t="shared" si="170"/>
        <v>200</v>
      </c>
      <c r="J1161" t="str">
        <f t="shared" si="162"/>
        <v>ml",</v>
      </c>
      <c r="K1161" t="str">
        <f t="shared" si="162"/>
        <v>medial lemniscus",</v>
      </c>
      <c r="L1161" t="str">
        <f t="shared" si="163"/>
        <v>ml</v>
      </c>
      <c r="M1161" t="str">
        <f t="shared" si="163"/>
        <v>medial lemniscus</v>
      </c>
      <c r="N1161" t="s">
        <v>6778</v>
      </c>
      <c r="O1161" t="s">
        <v>6779</v>
      </c>
      <c r="Y1161" t="s">
        <v>6778</v>
      </c>
      <c r="Z1161" t="s">
        <v>6779</v>
      </c>
      <c r="AA1161" s="6">
        <f t="shared" si="164"/>
        <v>697</v>
      </c>
      <c r="AB1161">
        <v>202</v>
      </c>
      <c r="AC1161">
        <v>204</v>
      </c>
      <c r="AD1161">
        <v>200</v>
      </c>
    </row>
    <row r="1162" spans="1:30" ht="17" x14ac:dyDescent="0.25">
      <c r="A1162" s="1" t="s">
        <v>1164</v>
      </c>
      <c r="B1162" s="1" t="s">
        <v>3815</v>
      </c>
      <c r="C1162" s="1" t="s">
        <v>2491</v>
      </c>
      <c r="D1162" t="str">
        <f t="shared" si="165"/>
        <v>C9CBC8</v>
      </c>
      <c r="E1162" t="str">
        <f t="shared" si="166"/>
        <v>201-203-200</v>
      </c>
      <c r="F1162" t="str">
        <f t="shared" si="167"/>
        <v>201203200</v>
      </c>
      <c r="G1162">
        <f t="shared" si="168"/>
        <v>201</v>
      </c>
      <c r="H1162">
        <f t="shared" si="169"/>
        <v>203</v>
      </c>
      <c r="I1162">
        <f t="shared" si="170"/>
        <v>200</v>
      </c>
      <c r="J1162" t="str">
        <f t="shared" si="162"/>
        <v>sst",</v>
      </c>
      <c r="K1162" t="str">
        <f t="shared" si="162"/>
        <v>spinothalamic tract",</v>
      </c>
      <c r="L1162" t="str">
        <f t="shared" si="163"/>
        <v>sst</v>
      </c>
      <c r="M1162" t="str">
        <f t="shared" si="163"/>
        <v>spinothalamic tract</v>
      </c>
      <c r="N1162" t="s">
        <v>6780</v>
      </c>
      <c r="O1162" t="s">
        <v>6781</v>
      </c>
      <c r="Y1162" t="s">
        <v>6780</v>
      </c>
      <c r="Z1162" t="s">
        <v>6781</v>
      </c>
      <c r="AA1162" s="6" t="str">
        <f t="shared" si="164"/>
        <v/>
      </c>
      <c r="AB1162">
        <v>201</v>
      </c>
      <c r="AC1162">
        <v>203</v>
      </c>
      <c r="AD1162">
        <v>200</v>
      </c>
    </row>
    <row r="1163" spans="1:30" ht="17" x14ac:dyDescent="0.25">
      <c r="A1163" s="1" t="s">
        <v>1165</v>
      </c>
      <c r="B1163" s="1" t="s">
        <v>3816</v>
      </c>
      <c r="C1163" s="1" t="s">
        <v>2492</v>
      </c>
      <c r="D1163" t="str">
        <f t="shared" si="165"/>
        <v>CCCBCC</v>
      </c>
      <c r="E1163" t="str">
        <f t="shared" si="166"/>
        <v>204-203-204</v>
      </c>
      <c r="F1163" t="str">
        <f t="shared" si="167"/>
        <v>204203204</v>
      </c>
      <c r="G1163">
        <f t="shared" si="168"/>
        <v>204</v>
      </c>
      <c r="H1163">
        <f t="shared" si="169"/>
        <v>203</v>
      </c>
      <c r="I1163">
        <f t="shared" si="170"/>
        <v>204</v>
      </c>
      <c r="J1163" t="str">
        <f t="shared" si="162"/>
        <v>sttl",</v>
      </c>
      <c r="K1163" t="str">
        <f t="shared" si="162"/>
        <v>lateral spinothalamic tract",</v>
      </c>
      <c r="L1163" t="str">
        <f t="shared" si="163"/>
        <v>sttl</v>
      </c>
      <c r="M1163" t="str">
        <f t="shared" si="163"/>
        <v>lateral spinothalamic tract</v>
      </c>
      <c r="N1163" t="s">
        <v>6782</v>
      </c>
      <c r="O1163" t="s">
        <v>6783</v>
      </c>
      <c r="Y1163" t="s">
        <v>6782</v>
      </c>
      <c r="Z1163" t="s">
        <v>6783</v>
      </c>
      <c r="AA1163" s="6" t="str">
        <f t="shared" si="164"/>
        <v/>
      </c>
      <c r="AB1163">
        <v>204</v>
      </c>
      <c r="AC1163">
        <v>203</v>
      </c>
      <c r="AD1163">
        <v>204</v>
      </c>
    </row>
    <row r="1164" spans="1:30" ht="17" x14ac:dyDescent="0.25">
      <c r="A1164" s="1" t="s">
        <v>1166</v>
      </c>
      <c r="B1164" s="1" t="s">
        <v>3817</v>
      </c>
      <c r="C1164" s="1" t="s">
        <v>2493</v>
      </c>
      <c r="D1164" t="str">
        <f t="shared" si="165"/>
        <v>CBCAC9</v>
      </c>
      <c r="E1164" t="str">
        <f t="shared" si="166"/>
        <v>203-202-201</v>
      </c>
      <c r="F1164" t="str">
        <f t="shared" si="167"/>
        <v>203202201</v>
      </c>
      <c r="G1164">
        <f t="shared" si="168"/>
        <v>203</v>
      </c>
      <c r="H1164">
        <f t="shared" si="169"/>
        <v>202</v>
      </c>
      <c r="I1164">
        <f t="shared" si="170"/>
        <v>201</v>
      </c>
      <c r="J1164" t="str">
        <f t="shared" si="162"/>
        <v>sttv",</v>
      </c>
      <c r="K1164" t="str">
        <f t="shared" si="162"/>
        <v>ventral spinothalamic tract",</v>
      </c>
      <c r="L1164" t="str">
        <f t="shared" si="163"/>
        <v>sttv</v>
      </c>
      <c r="M1164" t="str">
        <f t="shared" si="163"/>
        <v>ventral spinothalamic tract</v>
      </c>
      <c r="N1164" t="s">
        <v>6784</v>
      </c>
      <c r="O1164" t="s">
        <v>6785</v>
      </c>
      <c r="Y1164" t="s">
        <v>6784</v>
      </c>
      <c r="Z1164" t="s">
        <v>6785</v>
      </c>
      <c r="AA1164" s="6" t="str">
        <f t="shared" si="164"/>
        <v/>
      </c>
      <c r="AB1164">
        <v>203</v>
      </c>
      <c r="AC1164">
        <v>202</v>
      </c>
      <c r="AD1164">
        <v>201</v>
      </c>
    </row>
    <row r="1165" spans="1:30" ht="17" x14ac:dyDescent="0.25">
      <c r="A1165" s="1" t="s">
        <v>1167</v>
      </c>
      <c r="B1165" s="1" t="s">
        <v>3818</v>
      </c>
      <c r="C1165" s="1" t="s">
        <v>2494</v>
      </c>
      <c r="D1165" t="str">
        <f t="shared" si="165"/>
        <v>C9CCCC</v>
      </c>
      <c r="E1165" t="str">
        <f t="shared" si="166"/>
        <v>201-204-204</v>
      </c>
      <c r="F1165" t="str">
        <f t="shared" si="167"/>
        <v>201204204</v>
      </c>
      <c r="G1165">
        <f t="shared" si="168"/>
        <v>201</v>
      </c>
      <c r="H1165">
        <f t="shared" si="169"/>
        <v>204</v>
      </c>
      <c r="I1165">
        <f t="shared" si="170"/>
        <v>204</v>
      </c>
      <c r="J1165" t="str">
        <f t="shared" si="162"/>
        <v>scrt",</v>
      </c>
      <c r="K1165" t="str">
        <f t="shared" si="162"/>
        <v>spinocervical tract",</v>
      </c>
      <c r="L1165" t="str">
        <f t="shared" si="163"/>
        <v>scrt</v>
      </c>
      <c r="M1165" t="str">
        <f t="shared" si="163"/>
        <v>spinocervical tract</v>
      </c>
      <c r="N1165" t="s">
        <v>6786</v>
      </c>
      <c r="O1165" t="s">
        <v>6787</v>
      </c>
      <c r="Y1165" t="s">
        <v>6786</v>
      </c>
      <c r="Z1165" t="s">
        <v>6787</v>
      </c>
      <c r="AA1165" s="6" t="str">
        <f t="shared" si="164"/>
        <v/>
      </c>
      <c r="AB1165">
        <v>201</v>
      </c>
      <c r="AC1165">
        <v>204</v>
      </c>
      <c r="AD1165">
        <v>204</v>
      </c>
    </row>
    <row r="1166" spans="1:30" ht="17" x14ac:dyDescent="0.25">
      <c r="A1166" s="1" t="s">
        <v>1168</v>
      </c>
      <c r="B1166" s="1" t="s">
        <v>3819</v>
      </c>
      <c r="C1166" s="1" t="s">
        <v>2495</v>
      </c>
      <c r="D1166" t="str">
        <f t="shared" si="165"/>
        <v>CCC7C8</v>
      </c>
      <c r="E1166" t="str">
        <f t="shared" si="166"/>
        <v>204-199-200</v>
      </c>
      <c r="F1166" t="str">
        <f t="shared" si="167"/>
        <v>204199200</v>
      </c>
      <c r="G1166">
        <f t="shared" si="168"/>
        <v>204</v>
      </c>
      <c r="H1166">
        <f t="shared" si="169"/>
        <v>199</v>
      </c>
      <c r="I1166">
        <f t="shared" si="170"/>
        <v>200</v>
      </c>
      <c r="J1166" t="str">
        <f t="shared" si="162"/>
        <v>sop",</v>
      </c>
      <c r="K1166" t="str">
        <f t="shared" si="162"/>
        <v>spino-olivary pathway",</v>
      </c>
      <c r="L1166" t="str">
        <f t="shared" si="163"/>
        <v>sop</v>
      </c>
      <c r="M1166" t="str">
        <f t="shared" si="163"/>
        <v>spino-olivary pathway</v>
      </c>
      <c r="N1166" t="s">
        <v>6788</v>
      </c>
      <c r="O1166" t="s">
        <v>6789</v>
      </c>
      <c r="Y1166" t="s">
        <v>6788</v>
      </c>
      <c r="Z1166" t="s">
        <v>6789</v>
      </c>
      <c r="AA1166" s="6" t="str">
        <f t="shared" si="164"/>
        <v/>
      </c>
      <c r="AB1166">
        <v>204</v>
      </c>
      <c r="AC1166">
        <v>199</v>
      </c>
      <c r="AD1166">
        <v>200</v>
      </c>
    </row>
    <row r="1167" spans="1:30" ht="17" x14ac:dyDescent="0.25">
      <c r="A1167" s="1" t="s">
        <v>1169</v>
      </c>
      <c r="B1167" s="1" t="s">
        <v>3820</v>
      </c>
      <c r="C1167" s="1" t="s">
        <v>2496</v>
      </c>
      <c r="D1167" t="str">
        <f t="shared" si="165"/>
        <v>CBCCC9</v>
      </c>
      <c r="E1167" t="str">
        <f t="shared" si="166"/>
        <v>203-204-201</v>
      </c>
      <c r="F1167" t="str">
        <f t="shared" si="167"/>
        <v>203204201</v>
      </c>
      <c r="G1167">
        <f t="shared" si="168"/>
        <v>203</v>
      </c>
      <c r="H1167">
        <f t="shared" si="169"/>
        <v>204</v>
      </c>
      <c r="I1167">
        <f t="shared" si="170"/>
        <v>201</v>
      </c>
      <c r="J1167" t="str">
        <f t="shared" si="162"/>
        <v>srp",</v>
      </c>
      <c r="K1167" t="str">
        <f t="shared" si="162"/>
        <v>spinoreticular pathway",</v>
      </c>
      <c r="L1167" t="str">
        <f t="shared" si="163"/>
        <v>srp</v>
      </c>
      <c r="M1167" t="str">
        <f t="shared" si="163"/>
        <v>spinoreticular pathway</v>
      </c>
      <c r="N1167" t="s">
        <v>6790</v>
      </c>
      <c r="O1167" t="s">
        <v>6791</v>
      </c>
      <c r="Y1167" t="s">
        <v>6790</v>
      </c>
      <c r="Z1167" t="s">
        <v>6791</v>
      </c>
      <c r="AA1167" s="6" t="str">
        <f t="shared" si="164"/>
        <v/>
      </c>
      <c r="AB1167">
        <v>203</v>
      </c>
      <c r="AC1167">
        <v>204</v>
      </c>
      <c r="AD1167">
        <v>201</v>
      </c>
    </row>
    <row r="1168" spans="1:30" ht="17" x14ac:dyDescent="0.25">
      <c r="A1168" s="1" t="s">
        <v>1170</v>
      </c>
      <c r="B1168" s="1" t="s">
        <v>3821</v>
      </c>
      <c r="C1168" s="1" t="s">
        <v>2497</v>
      </c>
      <c r="D1168" t="str">
        <f t="shared" si="165"/>
        <v>C9CBCC</v>
      </c>
      <c r="E1168" t="str">
        <f t="shared" si="166"/>
        <v>201-203-204</v>
      </c>
      <c r="F1168" t="str">
        <f t="shared" si="167"/>
        <v>201203204</v>
      </c>
      <c r="G1168">
        <f t="shared" si="168"/>
        <v>201</v>
      </c>
      <c r="H1168">
        <f t="shared" si="169"/>
        <v>203</v>
      </c>
      <c r="I1168">
        <f t="shared" si="170"/>
        <v>204</v>
      </c>
      <c r="J1168" t="str">
        <f t="shared" si="162"/>
        <v>svp",</v>
      </c>
      <c r="K1168" t="str">
        <f t="shared" si="162"/>
        <v>spinovestibular pathway",</v>
      </c>
      <c r="L1168" t="str">
        <f t="shared" si="163"/>
        <v>svp</v>
      </c>
      <c r="M1168" t="str">
        <f t="shared" si="163"/>
        <v>spinovestibular pathway</v>
      </c>
      <c r="N1168" t="s">
        <v>6792</v>
      </c>
      <c r="O1168" t="s">
        <v>6793</v>
      </c>
      <c r="Y1168" t="s">
        <v>6792</v>
      </c>
      <c r="Z1168" t="s">
        <v>6793</v>
      </c>
      <c r="AA1168" s="6" t="str">
        <f t="shared" si="164"/>
        <v/>
      </c>
      <c r="AB1168">
        <v>201</v>
      </c>
      <c r="AC1168">
        <v>203</v>
      </c>
      <c r="AD1168">
        <v>204</v>
      </c>
    </row>
    <row r="1169" spans="1:30" ht="17" x14ac:dyDescent="0.25">
      <c r="A1169" s="1" t="s">
        <v>1171</v>
      </c>
      <c r="B1169" s="1" t="s">
        <v>3822</v>
      </c>
      <c r="C1169" s="1" t="s">
        <v>2498</v>
      </c>
      <c r="D1169" t="str">
        <f t="shared" si="165"/>
        <v>C9CCCB</v>
      </c>
      <c r="E1169" t="str">
        <f t="shared" si="166"/>
        <v>201-204-203</v>
      </c>
      <c r="F1169" t="str">
        <f t="shared" si="167"/>
        <v>201204203</v>
      </c>
      <c r="G1169">
        <f t="shared" si="168"/>
        <v>201</v>
      </c>
      <c r="H1169">
        <f t="shared" si="169"/>
        <v>204</v>
      </c>
      <c r="I1169">
        <f t="shared" si="170"/>
        <v>203</v>
      </c>
      <c r="J1169" t="str">
        <f t="shared" si="162"/>
        <v>stp",</v>
      </c>
      <c r="K1169" t="str">
        <f t="shared" si="162"/>
        <v>spinotectal pathway",</v>
      </c>
      <c r="L1169" t="str">
        <f t="shared" si="163"/>
        <v>stp</v>
      </c>
      <c r="M1169" t="str">
        <f t="shared" si="163"/>
        <v>spinotectal pathway</v>
      </c>
      <c r="N1169" t="s">
        <v>6794</v>
      </c>
      <c r="O1169" t="s">
        <v>6795</v>
      </c>
      <c r="Y1169" t="s">
        <v>6794</v>
      </c>
      <c r="Z1169" t="s">
        <v>6795</v>
      </c>
      <c r="AA1169" s="6" t="str">
        <f t="shared" si="164"/>
        <v/>
      </c>
      <c r="AB1169">
        <v>201</v>
      </c>
      <c r="AC1169">
        <v>204</v>
      </c>
      <c r="AD1169">
        <v>203</v>
      </c>
    </row>
    <row r="1170" spans="1:30" ht="17" x14ac:dyDescent="0.25">
      <c r="A1170" s="1" t="s">
        <v>1172</v>
      </c>
      <c r="B1170" s="1" t="s">
        <v>3823</v>
      </c>
      <c r="C1170" s="1" t="s">
        <v>2499</v>
      </c>
      <c r="D1170" t="str">
        <f t="shared" si="165"/>
        <v>CCCBC9</v>
      </c>
      <c r="E1170" t="str">
        <f t="shared" si="166"/>
        <v>204-203-201</v>
      </c>
      <c r="F1170" t="str">
        <f t="shared" si="167"/>
        <v>204203201</v>
      </c>
      <c r="G1170">
        <f t="shared" si="168"/>
        <v>204</v>
      </c>
      <c r="H1170">
        <f t="shared" si="169"/>
        <v>203</v>
      </c>
      <c r="I1170">
        <f t="shared" si="170"/>
        <v>201</v>
      </c>
      <c r="J1170" t="str">
        <f t="shared" si="162"/>
        <v>shp",</v>
      </c>
      <c r="K1170" t="str">
        <f t="shared" si="162"/>
        <v>spinohypothalamic pathway",</v>
      </c>
      <c r="L1170" t="str">
        <f t="shared" si="163"/>
        <v>shp</v>
      </c>
      <c r="M1170" t="str">
        <f t="shared" si="163"/>
        <v>spinohypothalamic pathway</v>
      </c>
      <c r="N1170" t="s">
        <v>6796</v>
      </c>
      <c r="O1170" t="s">
        <v>6797</v>
      </c>
      <c r="Y1170" t="s">
        <v>6796</v>
      </c>
      <c r="Z1170" t="s">
        <v>6797</v>
      </c>
      <c r="AA1170" s="6" t="str">
        <f t="shared" si="164"/>
        <v/>
      </c>
      <c r="AB1170">
        <v>204</v>
      </c>
      <c r="AC1170">
        <v>203</v>
      </c>
      <c r="AD1170">
        <v>201</v>
      </c>
    </row>
    <row r="1171" spans="1:30" ht="17" x14ac:dyDescent="0.25">
      <c r="A1171" s="1" t="s">
        <v>1173</v>
      </c>
      <c r="B1171" s="1" t="s">
        <v>3824</v>
      </c>
      <c r="C1171" s="1" t="s">
        <v>2500</v>
      </c>
      <c r="D1171" t="str">
        <f t="shared" si="165"/>
        <v>C7CCC8</v>
      </c>
      <c r="E1171" t="str">
        <f t="shared" si="166"/>
        <v>199-204-200</v>
      </c>
      <c r="F1171" t="str">
        <f t="shared" si="167"/>
        <v>199204200</v>
      </c>
      <c r="G1171">
        <f t="shared" si="168"/>
        <v>199</v>
      </c>
      <c r="H1171">
        <f t="shared" si="169"/>
        <v>204</v>
      </c>
      <c r="I1171">
        <f t="shared" si="170"/>
        <v>200</v>
      </c>
      <c r="J1171" t="str">
        <f t="shared" si="162"/>
        <v>step",</v>
      </c>
      <c r="K1171" t="str">
        <f t="shared" si="162"/>
        <v>spinotelenchephalic pathway",</v>
      </c>
      <c r="L1171" t="str">
        <f t="shared" si="163"/>
        <v>step</v>
      </c>
      <c r="M1171" t="str">
        <f t="shared" si="163"/>
        <v>spinotelenchephalic pathway</v>
      </c>
      <c r="N1171" t="s">
        <v>6798</v>
      </c>
      <c r="O1171" t="s">
        <v>6799</v>
      </c>
      <c r="Y1171" t="s">
        <v>6798</v>
      </c>
      <c r="Z1171" t="s">
        <v>6799</v>
      </c>
      <c r="AA1171" s="6" t="str">
        <f t="shared" si="164"/>
        <v/>
      </c>
      <c r="AB1171">
        <v>199</v>
      </c>
      <c r="AC1171">
        <v>204</v>
      </c>
      <c r="AD1171">
        <v>200</v>
      </c>
    </row>
    <row r="1172" spans="1:30" ht="17" x14ac:dyDescent="0.25">
      <c r="A1172" s="1" t="s">
        <v>1174</v>
      </c>
      <c r="B1172" s="1" t="s">
        <v>3825</v>
      </c>
      <c r="C1172" s="1" t="s">
        <v>2501</v>
      </c>
      <c r="D1172" t="str">
        <f t="shared" si="165"/>
        <v>C8CBCB</v>
      </c>
      <c r="E1172" t="str">
        <f t="shared" si="166"/>
        <v>200-203-203</v>
      </c>
      <c r="F1172" t="str">
        <f t="shared" si="167"/>
        <v>200203203</v>
      </c>
      <c r="G1172">
        <f t="shared" si="168"/>
        <v>200</v>
      </c>
      <c r="H1172">
        <f t="shared" si="169"/>
        <v>203</v>
      </c>
      <c r="I1172">
        <f t="shared" si="170"/>
        <v>203</v>
      </c>
      <c r="J1172" t="str">
        <f t="shared" si="162"/>
        <v>hht",</v>
      </c>
      <c r="K1172" t="str">
        <f t="shared" si="162"/>
        <v>hypothalamohypophysial tract",</v>
      </c>
      <c r="L1172" t="str">
        <f t="shared" si="163"/>
        <v>hht</v>
      </c>
      <c r="M1172" t="str">
        <f t="shared" si="163"/>
        <v>hypothalamohypophysial tract</v>
      </c>
      <c r="N1172" t="s">
        <v>6800</v>
      </c>
      <c r="O1172" t="s">
        <v>6801</v>
      </c>
      <c r="Y1172" t="s">
        <v>6800</v>
      </c>
      <c r="Z1172" t="s">
        <v>6801</v>
      </c>
      <c r="AA1172" s="6" t="str">
        <f t="shared" si="164"/>
        <v/>
      </c>
      <c r="AB1172">
        <v>200</v>
      </c>
      <c r="AC1172">
        <v>203</v>
      </c>
      <c r="AD1172">
        <v>203</v>
      </c>
    </row>
    <row r="1173" spans="1:30" ht="17" x14ac:dyDescent="0.25">
      <c r="A1173" s="1" t="s">
        <v>1175</v>
      </c>
      <c r="B1173" s="1" t="s">
        <v>3826</v>
      </c>
      <c r="C1173" s="1" t="s">
        <v>2502</v>
      </c>
      <c r="D1173" t="str">
        <f t="shared" si="165"/>
        <v>C9CAC8</v>
      </c>
      <c r="E1173" t="str">
        <f t="shared" si="166"/>
        <v>201-202-200</v>
      </c>
      <c r="F1173" t="str">
        <f t="shared" si="167"/>
        <v>201202200</v>
      </c>
      <c r="G1173">
        <f t="shared" si="168"/>
        <v>201</v>
      </c>
      <c r="H1173">
        <f t="shared" si="169"/>
        <v>202</v>
      </c>
      <c r="I1173">
        <f t="shared" si="170"/>
        <v>200</v>
      </c>
      <c r="J1173" t="str">
        <f t="shared" si="162"/>
        <v>cbf",</v>
      </c>
      <c r="K1173" t="str">
        <f t="shared" si="162"/>
        <v>cerebellum related fiber tracts",</v>
      </c>
      <c r="L1173" t="str">
        <f t="shared" si="163"/>
        <v>cbf</v>
      </c>
      <c r="M1173" t="str">
        <f t="shared" si="163"/>
        <v>cerebellum related fiber tracts</v>
      </c>
      <c r="N1173" t="s">
        <v>6802</v>
      </c>
      <c r="O1173" t="s">
        <v>6803</v>
      </c>
      <c r="Y1173" t="s">
        <v>6802</v>
      </c>
      <c r="Z1173" t="s">
        <v>6803</v>
      </c>
      <c r="AA1173" s="6">
        <f t="shared" si="164"/>
        <v>960</v>
      </c>
      <c r="AB1173">
        <v>201</v>
      </c>
      <c r="AC1173">
        <v>202</v>
      </c>
      <c r="AD1173">
        <v>200</v>
      </c>
    </row>
    <row r="1174" spans="1:30" ht="17" x14ac:dyDescent="0.25">
      <c r="A1174" s="1" t="s">
        <v>1176</v>
      </c>
      <c r="B1174" s="1" t="s">
        <v>3827</v>
      </c>
      <c r="C1174" s="1" t="s">
        <v>2503</v>
      </c>
      <c r="D1174" t="str">
        <f t="shared" si="165"/>
        <v>CBC8CA</v>
      </c>
      <c r="E1174" t="str">
        <f t="shared" si="166"/>
        <v>203-200-202</v>
      </c>
      <c r="F1174" t="str">
        <f t="shared" si="167"/>
        <v>203200202</v>
      </c>
      <c r="G1174">
        <f t="shared" si="168"/>
        <v>203</v>
      </c>
      <c r="H1174">
        <f t="shared" si="169"/>
        <v>200</v>
      </c>
      <c r="I1174">
        <f t="shared" si="170"/>
        <v>202</v>
      </c>
      <c r="J1174" t="str">
        <f t="shared" si="162"/>
        <v>cbc",</v>
      </c>
      <c r="K1174" t="str">
        <f t="shared" si="162"/>
        <v>cerebellar commissure",</v>
      </c>
      <c r="L1174" t="str">
        <f t="shared" si="163"/>
        <v>cbc</v>
      </c>
      <c r="M1174" t="str">
        <f t="shared" si="163"/>
        <v>cerebellar commissure</v>
      </c>
      <c r="N1174" t="s">
        <v>6804</v>
      </c>
      <c r="O1174" t="s">
        <v>6805</v>
      </c>
      <c r="Y1174" t="s">
        <v>6804</v>
      </c>
      <c r="Z1174" t="s">
        <v>6805</v>
      </c>
      <c r="AA1174" s="6">
        <f t="shared" si="164"/>
        <v>744</v>
      </c>
      <c r="AB1174">
        <v>203</v>
      </c>
      <c r="AC1174">
        <v>200</v>
      </c>
      <c r="AD1174">
        <v>202</v>
      </c>
    </row>
    <row r="1175" spans="1:30" ht="17" x14ac:dyDescent="0.25">
      <c r="A1175" s="1" t="s">
        <v>1177</v>
      </c>
      <c r="B1175" s="1" t="s">
        <v>3828</v>
      </c>
      <c r="C1175" s="1" t="s">
        <v>2504</v>
      </c>
      <c r="D1175" t="str">
        <f t="shared" si="165"/>
        <v>CAC8CB</v>
      </c>
      <c r="E1175" t="str">
        <f t="shared" si="166"/>
        <v>202-200-203</v>
      </c>
      <c r="F1175" t="str">
        <f t="shared" si="167"/>
        <v>202200203</v>
      </c>
      <c r="G1175">
        <f t="shared" si="168"/>
        <v>202</v>
      </c>
      <c r="H1175">
        <f t="shared" si="169"/>
        <v>200</v>
      </c>
      <c r="I1175">
        <f t="shared" si="170"/>
        <v>203</v>
      </c>
      <c r="J1175" t="str">
        <f t="shared" si="162"/>
        <v>cbp",</v>
      </c>
      <c r="K1175" t="str">
        <f t="shared" si="162"/>
        <v>cerebellar peduncles",</v>
      </c>
      <c r="L1175" t="str">
        <f t="shared" si="163"/>
        <v>cbp</v>
      </c>
      <c r="M1175" t="str">
        <f t="shared" si="163"/>
        <v>cerebellar peduncles</v>
      </c>
      <c r="N1175" t="s">
        <v>6806</v>
      </c>
      <c r="O1175" t="s">
        <v>6807</v>
      </c>
      <c r="Y1175" t="s">
        <v>6806</v>
      </c>
      <c r="Z1175" t="s">
        <v>6807</v>
      </c>
      <c r="AA1175" s="6">
        <f t="shared" si="164"/>
        <v>752</v>
      </c>
      <c r="AB1175">
        <v>202</v>
      </c>
      <c r="AC1175">
        <v>200</v>
      </c>
      <c r="AD1175">
        <v>203</v>
      </c>
    </row>
    <row r="1176" spans="1:30" ht="17" x14ac:dyDescent="0.25">
      <c r="A1176" s="1" t="s">
        <v>1178</v>
      </c>
      <c r="B1176" s="1" t="s">
        <v>3829</v>
      </c>
      <c r="C1176" s="1" t="s">
        <v>2505</v>
      </c>
      <c r="D1176" t="str">
        <f t="shared" si="165"/>
        <v>CBC9CB</v>
      </c>
      <c r="E1176" t="str">
        <f t="shared" si="166"/>
        <v>203-201-203</v>
      </c>
      <c r="F1176" t="str">
        <f t="shared" si="167"/>
        <v>203201203</v>
      </c>
      <c r="G1176">
        <f t="shared" si="168"/>
        <v>203</v>
      </c>
      <c r="H1176">
        <f t="shared" si="169"/>
        <v>201</v>
      </c>
      <c r="I1176">
        <f t="shared" si="170"/>
        <v>203</v>
      </c>
      <c r="J1176" t="str">
        <f t="shared" si="162"/>
        <v>scp",</v>
      </c>
      <c r="K1176" t="str">
        <f t="shared" si="162"/>
        <v>superior cerebelar peduncles",</v>
      </c>
      <c r="L1176" t="str">
        <f t="shared" si="163"/>
        <v>scp</v>
      </c>
      <c r="M1176" t="str">
        <f t="shared" si="163"/>
        <v>superior cerebelar peduncles</v>
      </c>
      <c r="N1176" t="s">
        <v>6808</v>
      </c>
      <c r="O1176" t="s">
        <v>6809</v>
      </c>
      <c r="Y1176" t="s">
        <v>6808</v>
      </c>
      <c r="Z1176" t="s">
        <v>6809</v>
      </c>
      <c r="AA1176" s="6">
        <f t="shared" si="164"/>
        <v>326</v>
      </c>
      <c r="AB1176">
        <v>203</v>
      </c>
      <c r="AC1176">
        <v>201</v>
      </c>
      <c r="AD1176">
        <v>203</v>
      </c>
    </row>
    <row r="1177" spans="1:30" ht="17" x14ac:dyDescent="0.25">
      <c r="A1177" s="1" t="s">
        <v>1179</v>
      </c>
      <c r="B1177" s="1" t="s">
        <v>3830</v>
      </c>
      <c r="C1177" s="1" t="s">
        <v>2506</v>
      </c>
      <c r="D1177" t="str">
        <f t="shared" si="165"/>
        <v>CCC7CC</v>
      </c>
      <c r="E1177" t="str">
        <f t="shared" si="166"/>
        <v>204-199-204</v>
      </c>
      <c r="F1177" t="str">
        <f t="shared" si="167"/>
        <v>204199204</v>
      </c>
      <c r="G1177">
        <f t="shared" si="168"/>
        <v>204</v>
      </c>
      <c r="H1177">
        <f t="shared" si="169"/>
        <v>199</v>
      </c>
      <c r="I1177">
        <f t="shared" si="170"/>
        <v>204</v>
      </c>
      <c r="J1177" t="str">
        <f t="shared" si="162"/>
        <v>dscp",</v>
      </c>
      <c r="K1177" t="str">
        <f t="shared" si="162"/>
        <v>superior cerebellar peduncle decussation",</v>
      </c>
      <c r="L1177" t="str">
        <f t="shared" si="163"/>
        <v>dscp</v>
      </c>
      <c r="M1177" t="str">
        <f t="shared" si="163"/>
        <v>superior cerebellar peduncle decussation</v>
      </c>
      <c r="N1177" t="s">
        <v>6810</v>
      </c>
      <c r="O1177" t="s">
        <v>6811</v>
      </c>
      <c r="Y1177" t="s">
        <v>6810</v>
      </c>
      <c r="Z1177" t="s">
        <v>6811</v>
      </c>
      <c r="AA1177" s="6">
        <f t="shared" si="164"/>
        <v>812</v>
      </c>
      <c r="AB1177">
        <v>204</v>
      </c>
      <c r="AC1177">
        <v>199</v>
      </c>
      <c r="AD1177">
        <v>204</v>
      </c>
    </row>
    <row r="1178" spans="1:30" ht="17" x14ac:dyDescent="0.25">
      <c r="A1178" s="1" t="s">
        <v>1180</v>
      </c>
      <c r="B1178" s="1" t="s">
        <v>3831</v>
      </c>
      <c r="C1178" s="1" t="s">
        <v>2507</v>
      </c>
      <c r="D1178" t="str">
        <f t="shared" si="165"/>
        <v>CCCACC</v>
      </c>
      <c r="E1178" t="str">
        <f t="shared" si="166"/>
        <v>204-202-204</v>
      </c>
      <c r="F1178" t="str">
        <f t="shared" si="167"/>
        <v>204202204</v>
      </c>
      <c r="G1178">
        <f t="shared" si="168"/>
        <v>204</v>
      </c>
      <c r="H1178">
        <f t="shared" si="169"/>
        <v>202</v>
      </c>
      <c r="I1178">
        <f t="shared" si="170"/>
        <v>204</v>
      </c>
      <c r="J1178" t="str">
        <f t="shared" si="162"/>
        <v>sct",</v>
      </c>
      <c r="K1178" t="str">
        <f t="shared" si="162"/>
        <v>spinocerebellar tract",</v>
      </c>
      <c r="L1178" t="str">
        <f t="shared" si="163"/>
        <v>sct</v>
      </c>
      <c r="M1178" t="str">
        <f t="shared" si="163"/>
        <v>spinocerebellar tract</v>
      </c>
      <c r="N1178" t="s">
        <v>6812</v>
      </c>
      <c r="O1178" t="s">
        <v>6813</v>
      </c>
      <c r="Y1178" t="s">
        <v>6812</v>
      </c>
      <c r="Z1178" t="s">
        <v>6813</v>
      </c>
      <c r="AA1178" s="6" t="str">
        <f t="shared" si="164"/>
        <v/>
      </c>
      <c r="AB1178">
        <v>204</v>
      </c>
      <c r="AC1178">
        <v>202</v>
      </c>
      <c r="AD1178">
        <v>204</v>
      </c>
    </row>
    <row r="1179" spans="1:30" ht="17" x14ac:dyDescent="0.25">
      <c r="A1179" s="1" t="s">
        <v>1181</v>
      </c>
      <c r="B1179" s="1" t="s">
        <v>3832</v>
      </c>
      <c r="C1179" s="1" t="s">
        <v>2508</v>
      </c>
      <c r="D1179" t="str">
        <f t="shared" si="165"/>
        <v>CBC9C8</v>
      </c>
      <c r="E1179" t="str">
        <f t="shared" si="166"/>
        <v>203-201-200</v>
      </c>
      <c r="F1179" t="str">
        <f t="shared" si="167"/>
        <v>203201200</v>
      </c>
      <c r="G1179">
        <f t="shared" si="168"/>
        <v>203</v>
      </c>
      <c r="H1179">
        <f t="shared" si="169"/>
        <v>201</v>
      </c>
      <c r="I1179">
        <f t="shared" si="170"/>
        <v>200</v>
      </c>
      <c r="J1179" t="str">
        <f t="shared" si="162"/>
        <v>uf",</v>
      </c>
      <c r="K1179" t="str">
        <f t="shared" si="162"/>
        <v>uncinate fascicle",</v>
      </c>
      <c r="L1179" t="str">
        <f t="shared" si="163"/>
        <v>uf</v>
      </c>
      <c r="M1179" t="str">
        <f t="shared" si="163"/>
        <v>uncinate fascicle</v>
      </c>
      <c r="N1179" t="s">
        <v>6814</v>
      </c>
      <c r="O1179" t="s">
        <v>6815</v>
      </c>
      <c r="Y1179" t="s">
        <v>6814</v>
      </c>
      <c r="Z1179" t="s">
        <v>6815</v>
      </c>
      <c r="AA1179" s="6">
        <f t="shared" si="164"/>
        <v>850</v>
      </c>
      <c r="AB1179">
        <v>203</v>
      </c>
      <c r="AC1179">
        <v>201</v>
      </c>
      <c r="AD1179">
        <v>200</v>
      </c>
    </row>
    <row r="1180" spans="1:30" ht="17" x14ac:dyDescent="0.25">
      <c r="A1180" s="1" t="s">
        <v>1182</v>
      </c>
      <c r="B1180" s="1" t="s">
        <v>3833</v>
      </c>
      <c r="C1180" s="1" t="s">
        <v>2509</v>
      </c>
      <c r="D1180" t="str">
        <f t="shared" si="165"/>
        <v>CBC7CC</v>
      </c>
      <c r="E1180" t="str">
        <f t="shared" si="166"/>
        <v>203-199-204</v>
      </c>
      <c r="F1180" t="str">
        <f t="shared" si="167"/>
        <v>203199204</v>
      </c>
      <c r="G1180">
        <f t="shared" si="168"/>
        <v>203</v>
      </c>
      <c r="H1180">
        <f t="shared" si="169"/>
        <v>199</v>
      </c>
      <c r="I1180">
        <f t="shared" si="170"/>
        <v>204</v>
      </c>
      <c r="J1180" t="str">
        <f t="shared" si="162"/>
        <v>sctv",</v>
      </c>
      <c r="K1180" t="str">
        <f t="shared" si="162"/>
        <v>ventral spinocerebellar tract",</v>
      </c>
      <c r="L1180" t="str">
        <f t="shared" si="163"/>
        <v>sctv</v>
      </c>
      <c r="M1180" t="str">
        <f t="shared" si="163"/>
        <v>ventral spinocerebellar tract</v>
      </c>
      <c r="N1180" t="s">
        <v>6816</v>
      </c>
      <c r="O1180" t="s">
        <v>6817</v>
      </c>
      <c r="Y1180" t="s">
        <v>6816</v>
      </c>
      <c r="Z1180" t="s">
        <v>6817</v>
      </c>
      <c r="AA1180" s="6">
        <f t="shared" si="164"/>
        <v>866</v>
      </c>
      <c r="AB1180">
        <v>203</v>
      </c>
      <c r="AC1180">
        <v>199</v>
      </c>
      <c r="AD1180">
        <v>204</v>
      </c>
    </row>
    <row r="1181" spans="1:30" ht="17" x14ac:dyDescent="0.25">
      <c r="A1181" s="1" t="s">
        <v>1183</v>
      </c>
      <c r="B1181" s="1" t="s">
        <v>3834</v>
      </c>
      <c r="C1181" s="1" t="s">
        <v>2510</v>
      </c>
      <c r="D1181" t="str">
        <f t="shared" si="165"/>
        <v>CCCCCA</v>
      </c>
      <c r="E1181" t="str">
        <f t="shared" si="166"/>
        <v>204-204-202</v>
      </c>
      <c r="F1181" t="str">
        <f t="shared" si="167"/>
        <v>204204202</v>
      </c>
      <c r="G1181">
        <f t="shared" si="168"/>
        <v>204</v>
      </c>
      <c r="H1181">
        <f t="shared" si="169"/>
        <v>204</v>
      </c>
      <c r="I1181">
        <f t="shared" si="170"/>
        <v>202</v>
      </c>
      <c r="J1181" t="str">
        <f t="shared" si="162"/>
        <v>mcp",</v>
      </c>
      <c r="K1181" t="str">
        <f t="shared" si="162"/>
        <v>middle cerebellar peduncle",</v>
      </c>
      <c r="L1181" t="str">
        <f t="shared" si="163"/>
        <v>mcp</v>
      </c>
      <c r="M1181" t="str">
        <f t="shared" si="163"/>
        <v>middle cerebellar peduncle</v>
      </c>
      <c r="N1181" t="s">
        <v>6818</v>
      </c>
      <c r="O1181" t="s">
        <v>6819</v>
      </c>
      <c r="Y1181" t="s">
        <v>6818</v>
      </c>
      <c r="Z1181" t="s">
        <v>6819</v>
      </c>
      <c r="AA1181" s="6">
        <f t="shared" si="164"/>
        <v>78</v>
      </c>
      <c r="AB1181">
        <v>204</v>
      </c>
      <c r="AC1181">
        <v>204</v>
      </c>
      <c r="AD1181">
        <v>202</v>
      </c>
    </row>
    <row r="1182" spans="1:30" ht="17" x14ac:dyDescent="0.25">
      <c r="A1182" s="1" t="s">
        <v>1184</v>
      </c>
      <c r="B1182" s="1" t="s">
        <v>3835</v>
      </c>
      <c r="C1182" s="1" t="s">
        <v>2511</v>
      </c>
      <c r="D1182" t="str">
        <f t="shared" si="165"/>
        <v>C9C9C8</v>
      </c>
      <c r="E1182" t="str">
        <f t="shared" si="166"/>
        <v>201-201-200</v>
      </c>
      <c r="F1182" t="str">
        <f t="shared" si="167"/>
        <v>201201200</v>
      </c>
      <c r="G1182">
        <f t="shared" si="168"/>
        <v>201</v>
      </c>
      <c r="H1182">
        <f t="shared" si="169"/>
        <v>201</v>
      </c>
      <c r="I1182">
        <f t="shared" si="170"/>
        <v>200</v>
      </c>
      <c r="J1182" t="str">
        <f t="shared" si="162"/>
        <v>icp",</v>
      </c>
      <c r="K1182" t="str">
        <f t="shared" si="162"/>
        <v>inferior cerebellar peduncle",</v>
      </c>
      <c r="L1182" t="str">
        <f t="shared" si="163"/>
        <v>icp</v>
      </c>
      <c r="M1182" t="str">
        <f t="shared" si="163"/>
        <v>inferior cerebellar peduncle</v>
      </c>
      <c r="N1182" t="s">
        <v>6820</v>
      </c>
      <c r="O1182" t="s">
        <v>6821</v>
      </c>
      <c r="Y1182" t="s">
        <v>6820</v>
      </c>
      <c r="Z1182" t="s">
        <v>6821</v>
      </c>
      <c r="AA1182" s="6">
        <f t="shared" si="164"/>
        <v>1123</v>
      </c>
      <c r="AB1182">
        <v>201</v>
      </c>
      <c r="AC1182">
        <v>201</v>
      </c>
      <c r="AD1182">
        <v>200</v>
      </c>
    </row>
    <row r="1183" spans="1:30" ht="17" x14ac:dyDescent="0.25">
      <c r="A1183" s="1" t="s">
        <v>1185</v>
      </c>
      <c r="B1183" s="1" t="s">
        <v>3836</v>
      </c>
      <c r="C1183" s="1" t="s">
        <v>2512</v>
      </c>
      <c r="D1183" t="str">
        <f t="shared" si="165"/>
        <v>C9CACA</v>
      </c>
      <c r="E1183" t="str">
        <f t="shared" si="166"/>
        <v>201-202-202</v>
      </c>
      <c r="F1183" t="str">
        <f t="shared" si="167"/>
        <v>201202202</v>
      </c>
      <c r="G1183">
        <f t="shared" si="168"/>
        <v>201</v>
      </c>
      <c r="H1183">
        <f t="shared" si="169"/>
        <v>202</v>
      </c>
      <c r="I1183">
        <f t="shared" si="170"/>
        <v>202</v>
      </c>
      <c r="J1183" t="str">
        <f t="shared" si="162"/>
        <v>sctd",</v>
      </c>
      <c r="K1183" t="str">
        <f t="shared" si="162"/>
        <v>dorsal spinocerebellar tract",</v>
      </c>
      <c r="L1183" t="str">
        <f t="shared" si="163"/>
        <v>sctd</v>
      </c>
      <c r="M1183" t="str">
        <f t="shared" si="163"/>
        <v>dorsal spinocerebellar tract</v>
      </c>
      <c r="N1183" t="s">
        <v>6822</v>
      </c>
      <c r="O1183" t="s">
        <v>6823</v>
      </c>
      <c r="Y1183" t="s">
        <v>6822</v>
      </c>
      <c r="Z1183" t="s">
        <v>6823</v>
      </c>
      <c r="AA1183" s="6">
        <f t="shared" si="164"/>
        <v>553</v>
      </c>
      <c r="AB1183">
        <v>201</v>
      </c>
      <c r="AC1183">
        <v>202</v>
      </c>
      <c r="AD1183">
        <v>202</v>
      </c>
    </row>
    <row r="1184" spans="1:30" ht="17" x14ac:dyDescent="0.25">
      <c r="A1184" s="1" t="s">
        <v>1186</v>
      </c>
      <c r="B1184" s="1" t="s">
        <v>3837</v>
      </c>
      <c r="C1184" s="1" t="s">
        <v>2513</v>
      </c>
      <c r="D1184" t="str">
        <f t="shared" si="165"/>
        <v>C8CCCC</v>
      </c>
      <c r="E1184" t="str">
        <f t="shared" si="166"/>
        <v>200-204-204</v>
      </c>
      <c r="F1184" t="str">
        <f t="shared" si="167"/>
        <v>200204204</v>
      </c>
      <c r="G1184">
        <f t="shared" si="168"/>
        <v>200</v>
      </c>
      <c r="H1184">
        <f t="shared" si="169"/>
        <v>204</v>
      </c>
      <c r="I1184">
        <f t="shared" si="170"/>
        <v>204</v>
      </c>
      <c r="J1184" t="str">
        <f t="shared" si="162"/>
        <v>cct",</v>
      </c>
      <c r="K1184" t="str">
        <f t="shared" si="162"/>
        <v>cuneocerebellar tract",</v>
      </c>
      <c r="L1184" t="str">
        <f t="shared" si="163"/>
        <v>cct</v>
      </c>
      <c r="M1184" t="str">
        <f t="shared" si="163"/>
        <v>cuneocerebellar tract</v>
      </c>
      <c r="N1184" t="s">
        <v>6824</v>
      </c>
      <c r="O1184" t="s">
        <v>6825</v>
      </c>
      <c r="Y1184" t="s">
        <v>6824</v>
      </c>
      <c r="Z1184" t="s">
        <v>6825</v>
      </c>
      <c r="AA1184" s="6" t="str">
        <f t="shared" si="164"/>
        <v/>
      </c>
      <c r="AB1184">
        <v>200</v>
      </c>
      <c r="AC1184">
        <v>204</v>
      </c>
      <c r="AD1184">
        <v>204</v>
      </c>
    </row>
    <row r="1185" spans="1:30" ht="17" x14ac:dyDescent="0.25">
      <c r="A1185" s="1" t="s">
        <v>1187</v>
      </c>
      <c r="B1185" s="1" t="s">
        <v>3838</v>
      </c>
      <c r="C1185" s="1" t="s">
        <v>2514</v>
      </c>
      <c r="D1185" t="str">
        <f t="shared" si="165"/>
        <v>C9CBC9</v>
      </c>
      <c r="E1185" t="str">
        <f t="shared" si="166"/>
        <v>201-203-201</v>
      </c>
      <c r="F1185" t="str">
        <f t="shared" si="167"/>
        <v>201203201</v>
      </c>
      <c r="G1185">
        <f t="shared" si="168"/>
        <v>201</v>
      </c>
      <c r="H1185">
        <f t="shared" si="169"/>
        <v>203</v>
      </c>
      <c r="I1185">
        <f t="shared" si="170"/>
        <v>201</v>
      </c>
      <c r="J1185" t="str">
        <f t="shared" si="162"/>
        <v>jrb",</v>
      </c>
      <c r="K1185" t="str">
        <f t="shared" si="162"/>
        <v>juxtarestiform body",</v>
      </c>
      <c r="L1185" t="str">
        <f t="shared" si="163"/>
        <v>jrb</v>
      </c>
      <c r="M1185" t="str">
        <f t="shared" si="163"/>
        <v>juxtarestiform body</v>
      </c>
      <c r="N1185" t="s">
        <v>6826</v>
      </c>
      <c r="O1185" t="s">
        <v>6827</v>
      </c>
      <c r="Y1185" t="s">
        <v>6826</v>
      </c>
      <c r="Z1185" t="s">
        <v>6827</v>
      </c>
      <c r="AA1185" s="6" t="str">
        <f t="shared" si="164"/>
        <v/>
      </c>
      <c r="AB1185">
        <v>201</v>
      </c>
      <c r="AC1185">
        <v>203</v>
      </c>
      <c r="AD1185">
        <v>201</v>
      </c>
    </row>
    <row r="1186" spans="1:30" ht="17" x14ac:dyDescent="0.25">
      <c r="A1186" s="1" t="s">
        <v>1188</v>
      </c>
      <c r="B1186" s="1" t="s">
        <v>3839</v>
      </c>
      <c r="C1186" s="1" t="s">
        <v>2515</v>
      </c>
      <c r="D1186" t="str">
        <f t="shared" si="165"/>
        <v>C9C9C7</v>
      </c>
      <c r="E1186" t="str">
        <f t="shared" si="166"/>
        <v>201-201-199</v>
      </c>
      <c r="F1186" t="str">
        <f t="shared" si="167"/>
        <v>201201199</v>
      </c>
      <c r="G1186">
        <f t="shared" si="168"/>
        <v>201</v>
      </c>
      <c r="H1186">
        <f t="shared" si="169"/>
        <v>201</v>
      </c>
      <c r="I1186">
        <f t="shared" si="170"/>
        <v>199</v>
      </c>
      <c r="J1186" t="str">
        <f t="shared" si="162"/>
        <v>bct",</v>
      </c>
      <c r="K1186" t="str">
        <f t="shared" si="162"/>
        <v>bulbocerebellar tract",</v>
      </c>
      <c r="L1186" t="str">
        <f t="shared" si="163"/>
        <v>bct</v>
      </c>
      <c r="M1186" t="str">
        <f t="shared" si="163"/>
        <v>bulbocerebellar tract</v>
      </c>
      <c r="N1186" t="s">
        <v>6828</v>
      </c>
      <c r="O1186" t="s">
        <v>6829</v>
      </c>
      <c r="Y1186" t="s">
        <v>6828</v>
      </c>
      <c r="Z1186" t="s">
        <v>6829</v>
      </c>
      <c r="AA1186" s="6" t="str">
        <f t="shared" si="164"/>
        <v/>
      </c>
      <c r="AB1186">
        <v>201</v>
      </c>
      <c r="AC1186">
        <v>201</v>
      </c>
      <c r="AD1186">
        <v>199</v>
      </c>
    </row>
    <row r="1187" spans="1:30" ht="17" x14ac:dyDescent="0.25">
      <c r="A1187" s="1" t="s">
        <v>1189</v>
      </c>
      <c r="B1187" s="1" t="s">
        <v>3840</v>
      </c>
      <c r="C1187" s="1" t="s">
        <v>2516</v>
      </c>
      <c r="D1187" t="str">
        <f t="shared" si="165"/>
        <v>CAC9CB</v>
      </c>
      <c r="E1187" t="str">
        <f t="shared" si="166"/>
        <v>202-201-203</v>
      </c>
      <c r="F1187" t="str">
        <f t="shared" si="167"/>
        <v>202201203</v>
      </c>
      <c r="G1187">
        <f t="shared" si="168"/>
        <v>202</v>
      </c>
      <c r="H1187">
        <f t="shared" si="169"/>
        <v>201</v>
      </c>
      <c r="I1187">
        <f t="shared" si="170"/>
        <v>203</v>
      </c>
      <c r="J1187" t="str">
        <f t="shared" si="162"/>
        <v>oct",</v>
      </c>
      <c r="K1187" t="str">
        <f t="shared" si="162"/>
        <v>olivocerebellar tract",</v>
      </c>
      <c r="L1187" t="str">
        <f t="shared" si="163"/>
        <v>oct</v>
      </c>
      <c r="M1187" t="str">
        <f t="shared" si="163"/>
        <v>olivocerebellar tract</v>
      </c>
      <c r="N1187" t="s">
        <v>6830</v>
      </c>
      <c r="O1187" t="s">
        <v>6831</v>
      </c>
      <c r="Y1187" t="s">
        <v>6830</v>
      </c>
      <c r="Z1187" t="s">
        <v>6831</v>
      </c>
      <c r="AA1187" s="6" t="str">
        <f t="shared" si="164"/>
        <v/>
      </c>
      <c r="AB1187">
        <v>202</v>
      </c>
      <c r="AC1187">
        <v>201</v>
      </c>
      <c r="AD1187">
        <v>203</v>
      </c>
    </row>
    <row r="1188" spans="1:30" ht="17" x14ac:dyDescent="0.25">
      <c r="A1188" s="1" t="s">
        <v>1190</v>
      </c>
      <c r="B1188" s="1" t="s">
        <v>3841</v>
      </c>
      <c r="C1188" s="1" t="s">
        <v>2517</v>
      </c>
      <c r="D1188" t="str">
        <f t="shared" si="165"/>
        <v>C9CBCA</v>
      </c>
      <c r="E1188" t="str">
        <f t="shared" si="166"/>
        <v>201-203-202</v>
      </c>
      <c r="F1188" t="str">
        <f t="shared" si="167"/>
        <v>201203202</v>
      </c>
      <c r="G1188">
        <f t="shared" si="168"/>
        <v>201</v>
      </c>
      <c r="H1188">
        <f t="shared" si="169"/>
        <v>203</v>
      </c>
      <c r="I1188">
        <f t="shared" si="170"/>
        <v>202</v>
      </c>
      <c r="J1188" t="str">
        <f t="shared" si="162"/>
        <v>rct",</v>
      </c>
      <c r="K1188" t="str">
        <f t="shared" si="162"/>
        <v>reticulocerebellar tract",</v>
      </c>
      <c r="L1188" t="str">
        <f t="shared" si="163"/>
        <v>rct</v>
      </c>
      <c r="M1188" t="str">
        <f t="shared" si="163"/>
        <v>reticulocerebellar tract</v>
      </c>
      <c r="N1188" t="s">
        <v>6832</v>
      </c>
      <c r="O1188" t="s">
        <v>6833</v>
      </c>
      <c r="Y1188" t="s">
        <v>6832</v>
      </c>
      <c r="Z1188" t="s">
        <v>6833</v>
      </c>
      <c r="AA1188" s="6" t="str">
        <f t="shared" si="164"/>
        <v/>
      </c>
      <c r="AB1188">
        <v>201</v>
      </c>
      <c r="AC1188">
        <v>203</v>
      </c>
      <c r="AD1188">
        <v>202</v>
      </c>
    </row>
    <row r="1189" spans="1:30" ht="17" x14ac:dyDescent="0.25">
      <c r="A1189" s="1" t="s">
        <v>1191</v>
      </c>
      <c r="B1189" s="1" t="s">
        <v>3842</v>
      </c>
      <c r="C1189" s="1" t="s">
        <v>2518</v>
      </c>
      <c r="D1189" t="str">
        <f t="shared" si="165"/>
        <v>CACCC9</v>
      </c>
      <c r="E1189" t="str">
        <f t="shared" si="166"/>
        <v>202-204-201</v>
      </c>
      <c r="F1189" t="str">
        <f t="shared" si="167"/>
        <v>202204201</v>
      </c>
      <c r="G1189">
        <f t="shared" si="168"/>
        <v>202</v>
      </c>
      <c r="H1189">
        <f t="shared" si="169"/>
        <v>204</v>
      </c>
      <c r="I1189">
        <f t="shared" si="170"/>
        <v>201</v>
      </c>
      <c r="J1189" t="str">
        <f t="shared" si="162"/>
        <v>tct",</v>
      </c>
      <c r="K1189" t="str">
        <f t="shared" si="162"/>
        <v>trigeminocerebellar tract",</v>
      </c>
      <c r="L1189" t="str">
        <f t="shared" si="163"/>
        <v>tct</v>
      </c>
      <c r="M1189" t="str">
        <f t="shared" si="163"/>
        <v>trigeminocerebellar tract</v>
      </c>
      <c r="N1189" t="s">
        <v>6834</v>
      </c>
      <c r="O1189" t="s">
        <v>6835</v>
      </c>
      <c r="Y1189" t="s">
        <v>6834</v>
      </c>
      <c r="Z1189" t="s">
        <v>6835</v>
      </c>
      <c r="AA1189" s="6" t="str">
        <f t="shared" si="164"/>
        <v/>
      </c>
      <c r="AB1189">
        <v>202</v>
      </c>
      <c r="AC1189">
        <v>204</v>
      </c>
      <c r="AD1189">
        <v>201</v>
      </c>
    </row>
    <row r="1190" spans="1:30" ht="17" x14ac:dyDescent="0.25">
      <c r="A1190" s="1" t="s">
        <v>1192</v>
      </c>
      <c r="B1190" s="1" t="s">
        <v>3843</v>
      </c>
      <c r="C1190" s="1" t="s">
        <v>2519</v>
      </c>
      <c r="D1190" t="str">
        <f t="shared" si="165"/>
        <v>CBC9CC</v>
      </c>
      <c r="E1190" t="str">
        <f t="shared" si="166"/>
        <v>203-201-204</v>
      </c>
      <c r="F1190" t="str">
        <f t="shared" si="167"/>
        <v>203201204</v>
      </c>
      <c r="G1190">
        <f t="shared" si="168"/>
        <v>203</v>
      </c>
      <c r="H1190">
        <f t="shared" si="169"/>
        <v>201</v>
      </c>
      <c r="I1190">
        <f t="shared" si="170"/>
        <v>204</v>
      </c>
      <c r="J1190" t="str">
        <f t="shared" si="162"/>
        <v>arb",</v>
      </c>
      <c r="K1190" t="str">
        <f t="shared" si="162"/>
        <v>arbor vitae",</v>
      </c>
      <c r="L1190" t="str">
        <f t="shared" si="163"/>
        <v>arb</v>
      </c>
      <c r="M1190" t="str">
        <f t="shared" si="163"/>
        <v>arbor vitae</v>
      </c>
      <c r="N1190" t="s">
        <v>6836</v>
      </c>
      <c r="O1190" t="s">
        <v>6837</v>
      </c>
      <c r="Y1190" t="s">
        <v>6836</v>
      </c>
      <c r="Z1190" t="s">
        <v>6837</v>
      </c>
      <c r="AA1190" s="6">
        <f t="shared" si="164"/>
        <v>728</v>
      </c>
      <c r="AB1190">
        <v>203</v>
      </c>
      <c r="AC1190">
        <v>201</v>
      </c>
      <c r="AD1190">
        <v>204</v>
      </c>
    </row>
    <row r="1191" spans="1:30" ht="17" x14ac:dyDescent="0.25">
      <c r="A1191" s="1" t="s">
        <v>1193</v>
      </c>
      <c r="B1191" s="1" t="s">
        <v>3844</v>
      </c>
      <c r="C1191" s="1" t="s">
        <v>2520</v>
      </c>
      <c r="D1191" t="str">
        <f t="shared" si="165"/>
        <v>C9C9CA</v>
      </c>
      <c r="E1191" t="str">
        <f t="shared" si="166"/>
        <v>201-201-202</v>
      </c>
      <c r="F1191" t="str">
        <f t="shared" si="167"/>
        <v>201201202</v>
      </c>
      <c r="G1191">
        <f t="shared" si="168"/>
        <v>201</v>
      </c>
      <c r="H1191">
        <f t="shared" si="169"/>
        <v>201</v>
      </c>
      <c r="I1191">
        <f t="shared" si="170"/>
        <v>202</v>
      </c>
      <c r="J1191" t="str">
        <f t="shared" si="162"/>
        <v>scwm",</v>
      </c>
      <c r="K1191" t="str">
        <f t="shared" si="162"/>
        <v>supra-callosal cerebral white matter",</v>
      </c>
      <c r="L1191" t="str">
        <f t="shared" si="163"/>
        <v>scwm</v>
      </c>
      <c r="M1191" t="str">
        <f t="shared" si="163"/>
        <v>supra-callosal cerebral white matter</v>
      </c>
      <c r="N1191" t="s">
        <v>6838</v>
      </c>
      <c r="O1191" t="s">
        <v>6839</v>
      </c>
      <c r="Y1191" t="s">
        <v>6838</v>
      </c>
      <c r="Z1191" t="s">
        <v>6839</v>
      </c>
      <c r="AA1191" s="6">
        <f t="shared" si="164"/>
        <v>484682512</v>
      </c>
      <c r="AB1191">
        <v>201</v>
      </c>
      <c r="AC1191">
        <v>201</v>
      </c>
      <c r="AD1191">
        <v>202</v>
      </c>
    </row>
    <row r="1192" spans="1:30" ht="17" x14ac:dyDescent="0.25">
      <c r="A1192" s="1" t="s">
        <v>1194</v>
      </c>
      <c r="B1192" s="1" t="s">
        <v>3845</v>
      </c>
      <c r="C1192" s="1" t="s">
        <v>2521</v>
      </c>
      <c r="D1192" t="str">
        <f t="shared" si="165"/>
        <v>C7CCCA</v>
      </c>
      <c r="E1192" t="str">
        <f t="shared" si="166"/>
        <v>199-204-202</v>
      </c>
      <c r="F1192" t="str">
        <f t="shared" si="167"/>
        <v>199204202</v>
      </c>
      <c r="G1192">
        <f t="shared" si="168"/>
        <v>199</v>
      </c>
      <c r="H1192">
        <f t="shared" si="169"/>
        <v>204</v>
      </c>
      <c r="I1192">
        <f t="shared" si="170"/>
        <v>202</v>
      </c>
      <c r="J1192" t="str">
        <f t="shared" si="162"/>
        <v>lfbs",</v>
      </c>
      <c r="K1192" t="str">
        <f t="shared" si="162"/>
        <v>lateral forebrain bundle system",</v>
      </c>
      <c r="L1192" t="str">
        <f t="shared" si="163"/>
        <v>lfbs</v>
      </c>
      <c r="M1192" t="str">
        <f t="shared" si="163"/>
        <v>lateral forebrain bundle system</v>
      </c>
      <c r="N1192" t="s">
        <v>6840</v>
      </c>
      <c r="O1192" t="s">
        <v>6841</v>
      </c>
      <c r="Y1192" t="s">
        <v>6840</v>
      </c>
      <c r="Z1192" t="s">
        <v>6841</v>
      </c>
      <c r="AA1192" s="6">
        <f t="shared" si="164"/>
        <v>983</v>
      </c>
      <c r="AB1192">
        <v>199</v>
      </c>
      <c r="AC1192">
        <v>204</v>
      </c>
      <c r="AD1192">
        <v>202</v>
      </c>
    </row>
    <row r="1193" spans="1:30" ht="17" x14ac:dyDescent="0.25">
      <c r="A1193" s="1" t="s">
        <v>1195</v>
      </c>
      <c r="B1193" s="1" t="s">
        <v>3846</v>
      </c>
      <c r="C1193" s="1" t="s">
        <v>2522</v>
      </c>
      <c r="D1193" t="str">
        <f t="shared" si="165"/>
        <v>C7C9CA</v>
      </c>
      <c r="E1193" t="str">
        <f t="shared" si="166"/>
        <v>199-201-202</v>
      </c>
      <c r="F1193" t="str">
        <f t="shared" si="167"/>
        <v>199201202</v>
      </c>
      <c r="G1193">
        <f t="shared" si="168"/>
        <v>199</v>
      </c>
      <c r="H1193">
        <f t="shared" si="169"/>
        <v>201</v>
      </c>
      <c r="I1193">
        <f t="shared" si="170"/>
        <v>202</v>
      </c>
      <c r="J1193" t="str">
        <f t="shared" si="162"/>
        <v>cc",</v>
      </c>
      <c r="K1193" t="str">
        <f t="shared" si="162"/>
        <v>corpus callosum",</v>
      </c>
      <c r="L1193" t="str">
        <f t="shared" si="163"/>
        <v>cc</v>
      </c>
      <c r="M1193" t="str">
        <f t="shared" si="163"/>
        <v>corpus callosum</v>
      </c>
      <c r="N1193" t="s">
        <v>6842</v>
      </c>
      <c r="O1193" t="s">
        <v>6843</v>
      </c>
      <c r="Y1193" t="s">
        <v>6842</v>
      </c>
      <c r="Z1193" t="s">
        <v>6843</v>
      </c>
      <c r="AA1193" s="6">
        <f t="shared" si="164"/>
        <v>776</v>
      </c>
      <c r="AB1193">
        <v>199</v>
      </c>
      <c r="AC1193">
        <v>201</v>
      </c>
      <c r="AD1193">
        <v>202</v>
      </c>
    </row>
    <row r="1194" spans="1:30" ht="17" x14ac:dyDescent="0.25">
      <c r="A1194" s="1" t="s">
        <v>1196</v>
      </c>
      <c r="B1194" s="1" t="s">
        <v>3847</v>
      </c>
      <c r="C1194" s="1" t="s">
        <v>2523</v>
      </c>
      <c r="D1194" t="str">
        <f t="shared" si="165"/>
        <v>CAC7CC</v>
      </c>
      <c r="E1194" t="str">
        <f t="shared" si="166"/>
        <v>202-199-204</v>
      </c>
      <c r="F1194" t="str">
        <f t="shared" si="167"/>
        <v>202199204</v>
      </c>
      <c r="G1194">
        <f t="shared" si="168"/>
        <v>202</v>
      </c>
      <c r="H1194">
        <f t="shared" si="169"/>
        <v>199</v>
      </c>
      <c r="I1194">
        <f t="shared" si="170"/>
        <v>204</v>
      </c>
      <c r="J1194" t="str">
        <f t="shared" si="162"/>
        <v>fa",</v>
      </c>
      <c r="K1194" t="str">
        <f t="shared" si="162"/>
        <v>corpus callosum, anterior forceps",</v>
      </c>
      <c r="L1194" t="str">
        <f t="shared" si="163"/>
        <v>fa</v>
      </c>
      <c r="M1194" t="str">
        <f t="shared" si="163"/>
        <v>corpus callosum, anterior forceps</v>
      </c>
      <c r="N1194" t="s">
        <v>6844</v>
      </c>
      <c r="O1194" t="s">
        <v>6845</v>
      </c>
      <c r="Y1194" t="s">
        <v>6844</v>
      </c>
      <c r="Z1194" t="s">
        <v>6845</v>
      </c>
      <c r="AA1194" s="6">
        <f t="shared" si="164"/>
        <v>956</v>
      </c>
      <c r="AB1194">
        <v>202</v>
      </c>
      <c r="AC1194">
        <v>199</v>
      </c>
      <c r="AD1194">
        <v>204</v>
      </c>
    </row>
    <row r="1195" spans="1:30" ht="17" x14ac:dyDescent="0.25">
      <c r="A1195" s="1" t="s">
        <v>1197</v>
      </c>
      <c r="B1195" s="1" t="s">
        <v>3848</v>
      </c>
      <c r="C1195" s="1" t="s">
        <v>2524</v>
      </c>
      <c r="D1195" t="str">
        <f t="shared" si="165"/>
        <v>C8CBCC</v>
      </c>
      <c r="E1195" t="str">
        <f t="shared" si="166"/>
        <v>200-203-204</v>
      </c>
      <c r="F1195" t="str">
        <f t="shared" si="167"/>
        <v>200203204</v>
      </c>
      <c r="G1195">
        <f t="shared" si="168"/>
        <v>200</v>
      </c>
      <c r="H1195">
        <f t="shared" si="169"/>
        <v>203</v>
      </c>
      <c r="I1195">
        <f t="shared" si="170"/>
        <v>204</v>
      </c>
      <c r="J1195" t="str">
        <f t="shared" si="162"/>
        <v>ec",</v>
      </c>
      <c r="K1195" t="str">
        <f t="shared" si="162"/>
        <v>external capsule",</v>
      </c>
      <c r="L1195" t="str">
        <f t="shared" si="163"/>
        <v>ec</v>
      </c>
      <c r="M1195" t="str">
        <f t="shared" si="163"/>
        <v>external capsule</v>
      </c>
      <c r="N1195" t="s">
        <v>6846</v>
      </c>
      <c r="O1195" t="s">
        <v>6847</v>
      </c>
      <c r="Y1195" t="s">
        <v>6846</v>
      </c>
      <c r="Z1195" t="s">
        <v>6847</v>
      </c>
      <c r="AA1195" s="6">
        <f t="shared" si="164"/>
        <v>579</v>
      </c>
      <c r="AB1195">
        <v>200</v>
      </c>
      <c r="AC1195">
        <v>203</v>
      </c>
      <c r="AD1195">
        <v>204</v>
      </c>
    </row>
    <row r="1196" spans="1:30" ht="17" x14ac:dyDescent="0.25">
      <c r="A1196" s="1" t="s">
        <v>1198</v>
      </c>
      <c r="B1196" s="1" t="s">
        <v>3849</v>
      </c>
      <c r="C1196" s="1" t="s">
        <v>2525</v>
      </c>
      <c r="D1196" t="str">
        <f t="shared" si="165"/>
        <v>C9C8CA</v>
      </c>
      <c r="E1196" t="str">
        <f t="shared" si="166"/>
        <v>201-200-202</v>
      </c>
      <c r="F1196" t="str">
        <f t="shared" si="167"/>
        <v>201200202</v>
      </c>
      <c r="G1196">
        <f t="shared" si="168"/>
        <v>201</v>
      </c>
      <c r="H1196">
        <f t="shared" si="169"/>
        <v>200</v>
      </c>
      <c r="I1196">
        <f t="shared" si="170"/>
        <v>202</v>
      </c>
      <c r="J1196" t="str">
        <f t="shared" si="162"/>
        <v>ee",</v>
      </c>
      <c r="K1196" t="str">
        <f t="shared" si="162"/>
        <v>corpus callosum, extreme capsule",</v>
      </c>
      <c r="L1196" t="str">
        <f t="shared" si="163"/>
        <v>ee</v>
      </c>
      <c r="M1196" t="str">
        <f t="shared" si="163"/>
        <v>corpus callosum, extreme capsule</v>
      </c>
      <c r="N1196" t="s">
        <v>6848</v>
      </c>
      <c r="O1196" t="s">
        <v>6849</v>
      </c>
      <c r="Y1196" t="s">
        <v>6848</v>
      </c>
      <c r="Z1196" t="s">
        <v>6849</v>
      </c>
      <c r="AA1196" s="6">
        <f t="shared" si="164"/>
        <v>964</v>
      </c>
      <c r="AB1196">
        <v>201</v>
      </c>
      <c r="AC1196">
        <v>200</v>
      </c>
      <c r="AD1196">
        <v>202</v>
      </c>
    </row>
    <row r="1197" spans="1:30" ht="17" x14ac:dyDescent="0.25">
      <c r="A1197" s="1" t="s">
        <v>1199</v>
      </c>
      <c r="B1197" s="1" t="s">
        <v>3850</v>
      </c>
      <c r="C1197" s="1" t="s">
        <v>2526</v>
      </c>
      <c r="D1197" t="str">
        <f t="shared" si="165"/>
        <v>CCC7C9</v>
      </c>
      <c r="E1197" t="str">
        <f t="shared" si="166"/>
        <v>204-199-201</v>
      </c>
      <c r="F1197" t="str">
        <f t="shared" si="167"/>
        <v>204199201</v>
      </c>
      <c r="G1197">
        <f t="shared" si="168"/>
        <v>204</v>
      </c>
      <c r="H1197">
        <f t="shared" si="169"/>
        <v>199</v>
      </c>
      <c r="I1197">
        <f t="shared" si="170"/>
        <v>201</v>
      </c>
      <c r="J1197" t="str">
        <f t="shared" si="162"/>
        <v>ccg",</v>
      </c>
      <c r="K1197" t="str">
        <f t="shared" si="162"/>
        <v>genu of corpus callosum",</v>
      </c>
      <c r="L1197" t="str">
        <f t="shared" si="163"/>
        <v>ccg</v>
      </c>
      <c r="M1197" t="str">
        <f t="shared" si="163"/>
        <v>genu of corpus callosum</v>
      </c>
      <c r="N1197" t="s">
        <v>6850</v>
      </c>
      <c r="O1197" t="s">
        <v>6851</v>
      </c>
      <c r="Y1197" t="s">
        <v>6850</v>
      </c>
      <c r="Z1197" t="s">
        <v>6851</v>
      </c>
      <c r="AA1197" s="6">
        <f t="shared" si="164"/>
        <v>1108</v>
      </c>
      <c r="AB1197">
        <v>204</v>
      </c>
      <c r="AC1197">
        <v>199</v>
      </c>
      <c r="AD1197">
        <v>201</v>
      </c>
    </row>
    <row r="1198" spans="1:30" ht="17" x14ac:dyDescent="0.25">
      <c r="A1198" s="1" t="s">
        <v>1200</v>
      </c>
      <c r="B1198" s="1" t="s">
        <v>3851</v>
      </c>
      <c r="C1198" s="1" t="s">
        <v>2527</v>
      </c>
      <c r="D1198" t="str">
        <f t="shared" si="165"/>
        <v>C8C9CA</v>
      </c>
      <c r="E1198" t="str">
        <f t="shared" si="166"/>
        <v>200-201-202</v>
      </c>
      <c r="F1198" t="str">
        <f t="shared" si="167"/>
        <v>200201202</v>
      </c>
      <c r="G1198">
        <f t="shared" si="168"/>
        <v>200</v>
      </c>
      <c r="H1198">
        <f t="shared" si="169"/>
        <v>201</v>
      </c>
      <c r="I1198">
        <f t="shared" si="170"/>
        <v>202</v>
      </c>
      <c r="J1198" t="str">
        <f t="shared" si="162"/>
        <v>fp",</v>
      </c>
      <c r="K1198" t="str">
        <f t="shared" si="162"/>
        <v>corpus callosum, posterior forceps",</v>
      </c>
      <c r="L1198" t="str">
        <f t="shared" si="163"/>
        <v>fp</v>
      </c>
      <c r="M1198" t="str">
        <f t="shared" si="163"/>
        <v>corpus callosum, posterior forceps</v>
      </c>
      <c r="N1198" t="s">
        <v>6852</v>
      </c>
      <c r="O1198" t="s">
        <v>6853</v>
      </c>
      <c r="Y1198" t="s">
        <v>6852</v>
      </c>
      <c r="Z1198" t="s">
        <v>6853</v>
      </c>
      <c r="AA1198" s="6">
        <f t="shared" si="164"/>
        <v>971</v>
      </c>
      <c r="AB1198">
        <v>200</v>
      </c>
      <c r="AC1198">
        <v>201</v>
      </c>
      <c r="AD1198">
        <v>202</v>
      </c>
    </row>
    <row r="1199" spans="1:30" ht="17" x14ac:dyDescent="0.25">
      <c r="A1199" s="1" t="s">
        <v>1201</v>
      </c>
      <c r="B1199" s="1" t="s">
        <v>3852</v>
      </c>
      <c r="C1199" s="1" t="s">
        <v>2528</v>
      </c>
      <c r="D1199" t="str">
        <f t="shared" si="165"/>
        <v>CBC8C7</v>
      </c>
      <c r="E1199" t="str">
        <f t="shared" si="166"/>
        <v>203-200-199</v>
      </c>
      <c r="F1199" t="str">
        <f t="shared" si="167"/>
        <v>203200199</v>
      </c>
      <c r="G1199">
        <f t="shared" si="168"/>
        <v>203</v>
      </c>
      <c r="H1199">
        <f t="shared" si="169"/>
        <v>200</v>
      </c>
      <c r="I1199">
        <f t="shared" si="170"/>
        <v>199</v>
      </c>
      <c r="J1199" t="str">
        <f t="shared" si="162"/>
        <v>ccr",</v>
      </c>
      <c r="K1199" t="str">
        <f t="shared" si="162"/>
        <v>corpus callosum, rostrum",</v>
      </c>
      <c r="L1199" t="str">
        <f t="shared" si="163"/>
        <v>ccr</v>
      </c>
      <c r="M1199" t="str">
        <f t="shared" si="163"/>
        <v>corpus callosum, rostrum</v>
      </c>
      <c r="N1199" t="s">
        <v>6854</v>
      </c>
      <c r="O1199" t="s">
        <v>6855</v>
      </c>
      <c r="Y1199" t="s">
        <v>6854</v>
      </c>
      <c r="Z1199" t="s">
        <v>6855</v>
      </c>
      <c r="AA1199" s="6" t="str">
        <f t="shared" si="164"/>
        <v/>
      </c>
      <c r="AB1199">
        <v>203</v>
      </c>
      <c r="AC1199">
        <v>200</v>
      </c>
      <c r="AD1199">
        <v>199</v>
      </c>
    </row>
    <row r="1200" spans="1:30" ht="17" x14ac:dyDescent="0.25">
      <c r="A1200" s="1" t="s">
        <v>1202</v>
      </c>
      <c r="B1200" s="1" t="s">
        <v>3853</v>
      </c>
      <c r="C1200" s="1" t="s">
        <v>2529</v>
      </c>
      <c r="D1200" t="str">
        <f t="shared" si="165"/>
        <v>C9C7C9</v>
      </c>
      <c r="E1200" t="str">
        <f t="shared" si="166"/>
        <v>201-199-201</v>
      </c>
      <c r="F1200" t="str">
        <f t="shared" si="167"/>
        <v>201199201</v>
      </c>
      <c r="G1200">
        <f t="shared" si="168"/>
        <v>201</v>
      </c>
      <c r="H1200">
        <f t="shared" si="169"/>
        <v>199</v>
      </c>
      <c r="I1200">
        <f t="shared" si="170"/>
        <v>201</v>
      </c>
      <c r="J1200" t="str">
        <f t="shared" si="162"/>
        <v>ccb",</v>
      </c>
      <c r="K1200" t="str">
        <f t="shared" si="162"/>
        <v>corpus callosum, body",</v>
      </c>
      <c r="L1200" t="str">
        <f t="shared" si="163"/>
        <v>ccb</v>
      </c>
      <c r="M1200" t="str">
        <f t="shared" si="163"/>
        <v>corpus callosum, body</v>
      </c>
      <c r="N1200" t="s">
        <v>6856</v>
      </c>
      <c r="O1200" t="s">
        <v>6857</v>
      </c>
      <c r="Y1200" t="s">
        <v>6856</v>
      </c>
      <c r="Z1200" t="s">
        <v>6857</v>
      </c>
      <c r="AA1200" s="6">
        <f t="shared" si="164"/>
        <v>484682516</v>
      </c>
      <c r="AB1200">
        <v>201</v>
      </c>
      <c r="AC1200">
        <v>199</v>
      </c>
      <c r="AD1200">
        <v>201</v>
      </c>
    </row>
    <row r="1201" spans="1:30" ht="17" x14ac:dyDescent="0.25">
      <c r="A1201" s="1" t="s">
        <v>1203</v>
      </c>
      <c r="B1201" s="1" t="s">
        <v>3854</v>
      </c>
      <c r="C1201" s="1" t="s">
        <v>2530</v>
      </c>
      <c r="D1201" t="str">
        <f t="shared" si="165"/>
        <v>C7CACC</v>
      </c>
      <c r="E1201" t="str">
        <f t="shared" si="166"/>
        <v>199-202-204</v>
      </c>
      <c r="F1201" t="str">
        <f t="shared" si="167"/>
        <v>199202204</v>
      </c>
      <c r="G1201">
        <f t="shared" si="168"/>
        <v>199</v>
      </c>
      <c r="H1201">
        <f t="shared" si="169"/>
        <v>202</v>
      </c>
      <c r="I1201">
        <f t="shared" si="170"/>
        <v>204</v>
      </c>
      <c r="J1201" t="str">
        <f t="shared" si="162"/>
        <v>ccs",</v>
      </c>
      <c r="K1201" t="str">
        <f t="shared" si="162"/>
        <v>corpus callosum, splenium",</v>
      </c>
      <c r="L1201" t="str">
        <f t="shared" si="163"/>
        <v>ccs</v>
      </c>
      <c r="M1201" t="str">
        <f t="shared" si="163"/>
        <v>corpus callosum, splenium</v>
      </c>
      <c r="N1201" t="s">
        <v>6858</v>
      </c>
      <c r="O1201" t="s">
        <v>6859</v>
      </c>
      <c r="Y1201" t="s">
        <v>6858</v>
      </c>
      <c r="Z1201" t="s">
        <v>6859</v>
      </c>
      <c r="AA1201" s="6">
        <f t="shared" si="164"/>
        <v>986</v>
      </c>
      <c r="AB1201">
        <v>199</v>
      </c>
      <c r="AC1201">
        <v>202</v>
      </c>
      <c r="AD1201">
        <v>204</v>
      </c>
    </row>
    <row r="1202" spans="1:30" ht="17" x14ac:dyDescent="0.25">
      <c r="A1202" s="1" t="s">
        <v>1204</v>
      </c>
      <c r="B1202" s="1" t="s">
        <v>3855</v>
      </c>
      <c r="C1202" s="1" t="s">
        <v>2531</v>
      </c>
      <c r="D1202" t="str">
        <f t="shared" si="165"/>
        <v>C8C7CC</v>
      </c>
      <c r="E1202" t="str">
        <f t="shared" si="166"/>
        <v>200-199-204</v>
      </c>
      <c r="F1202" t="str">
        <f t="shared" si="167"/>
        <v>200199204</v>
      </c>
      <c r="G1202">
        <f t="shared" si="168"/>
        <v>200</v>
      </c>
      <c r="H1202">
        <f t="shared" si="169"/>
        <v>199</v>
      </c>
      <c r="I1202">
        <f t="shared" si="170"/>
        <v>204</v>
      </c>
      <c r="J1202" t="str">
        <f t="shared" si="162"/>
        <v>cst",</v>
      </c>
      <c r="K1202" t="str">
        <f t="shared" si="162"/>
        <v>corticospinal tract",</v>
      </c>
      <c r="L1202" t="str">
        <f t="shared" si="163"/>
        <v>cst</v>
      </c>
      <c r="M1202" t="str">
        <f t="shared" si="163"/>
        <v>corticospinal tract</v>
      </c>
      <c r="N1202" t="s">
        <v>6860</v>
      </c>
      <c r="O1202" t="s">
        <v>6861</v>
      </c>
      <c r="Y1202" t="s">
        <v>6860</v>
      </c>
      <c r="Z1202" t="s">
        <v>6861</v>
      </c>
      <c r="AA1202" s="6">
        <f t="shared" si="164"/>
        <v>784</v>
      </c>
      <c r="AB1202">
        <v>200</v>
      </c>
      <c r="AC1202">
        <v>199</v>
      </c>
      <c r="AD1202">
        <v>204</v>
      </c>
    </row>
    <row r="1203" spans="1:30" ht="17" x14ac:dyDescent="0.25">
      <c r="A1203" s="1" t="s">
        <v>1205</v>
      </c>
      <c r="B1203" s="1" t="s">
        <v>3856</v>
      </c>
      <c r="C1203" s="1" t="s">
        <v>2532</v>
      </c>
      <c r="D1203" t="str">
        <f t="shared" si="165"/>
        <v>CCCCCC</v>
      </c>
      <c r="E1203" t="str">
        <f t="shared" si="166"/>
        <v>204-204-204</v>
      </c>
      <c r="F1203" t="str">
        <f t="shared" si="167"/>
        <v>204204204</v>
      </c>
      <c r="G1203">
        <f t="shared" si="168"/>
        <v>204</v>
      </c>
      <c r="H1203">
        <f t="shared" si="169"/>
        <v>204</v>
      </c>
      <c r="I1203">
        <f t="shared" si="170"/>
        <v>204</v>
      </c>
      <c r="J1203" t="str">
        <f t="shared" si="162"/>
        <v>int",</v>
      </c>
      <c r="K1203" t="str">
        <f t="shared" si="162"/>
        <v>internal capsule",</v>
      </c>
      <c r="L1203" t="str">
        <f t="shared" si="163"/>
        <v>int</v>
      </c>
      <c r="M1203" t="str">
        <f t="shared" si="163"/>
        <v>internal capsule</v>
      </c>
      <c r="N1203" t="s">
        <v>6862</v>
      </c>
      <c r="O1203" t="s">
        <v>6863</v>
      </c>
      <c r="Y1203" t="s">
        <v>6862</v>
      </c>
      <c r="Z1203" t="s">
        <v>6863</v>
      </c>
      <c r="AA1203" s="6">
        <f t="shared" si="164"/>
        <v>6</v>
      </c>
      <c r="AB1203">
        <v>204</v>
      </c>
      <c r="AC1203">
        <v>204</v>
      </c>
      <c r="AD1203">
        <v>204</v>
      </c>
    </row>
    <row r="1204" spans="1:30" ht="17" x14ac:dyDescent="0.25">
      <c r="A1204" s="1" t="s">
        <v>1206</v>
      </c>
      <c r="B1204" s="1" t="s">
        <v>3857</v>
      </c>
      <c r="C1204" s="1" t="s">
        <v>2533</v>
      </c>
      <c r="D1204" t="str">
        <f t="shared" si="165"/>
        <v>CCCAC7</v>
      </c>
      <c r="E1204" t="str">
        <f t="shared" si="166"/>
        <v>204-202-199</v>
      </c>
      <c r="F1204" t="str">
        <f t="shared" si="167"/>
        <v>204202199</v>
      </c>
      <c r="G1204">
        <f t="shared" si="168"/>
        <v>204</v>
      </c>
      <c r="H1204">
        <f t="shared" si="169"/>
        <v>202</v>
      </c>
      <c r="I1204">
        <f t="shared" si="170"/>
        <v>199</v>
      </c>
      <c r="J1204" t="str">
        <f t="shared" si="162"/>
        <v>cpd",</v>
      </c>
      <c r="K1204" t="str">
        <f t="shared" si="162"/>
        <v>cerebal peduncle",</v>
      </c>
      <c r="L1204" t="str">
        <f t="shared" si="163"/>
        <v>cpd</v>
      </c>
      <c r="M1204" t="str">
        <f t="shared" si="163"/>
        <v>cerebal peduncle</v>
      </c>
      <c r="N1204" t="s">
        <v>6864</v>
      </c>
      <c r="O1204" t="s">
        <v>6865</v>
      </c>
      <c r="Y1204" t="s">
        <v>6864</v>
      </c>
      <c r="Z1204" t="s">
        <v>6865</v>
      </c>
      <c r="AA1204" s="6">
        <f t="shared" si="164"/>
        <v>924</v>
      </c>
      <c r="AB1204">
        <v>204</v>
      </c>
      <c r="AC1204">
        <v>202</v>
      </c>
      <c r="AD1204">
        <v>199</v>
      </c>
    </row>
    <row r="1205" spans="1:30" ht="17" x14ac:dyDescent="0.25">
      <c r="A1205" s="1" t="s">
        <v>1207</v>
      </c>
      <c r="B1205" s="1" t="s">
        <v>3858</v>
      </c>
      <c r="C1205" s="1" t="s">
        <v>2534</v>
      </c>
      <c r="D1205" t="str">
        <f t="shared" si="165"/>
        <v>C8CCC8</v>
      </c>
      <c r="E1205" t="str">
        <f t="shared" si="166"/>
        <v>200-204-200</v>
      </c>
      <c r="F1205" t="str">
        <f t="shared" si="167"/>
        <v>200204200</v>
      </c>
      <c r="G1205">
        <f t="shared" si="168"/>
        <v>200</v>
      </c>
      <c r="H1205">
        <f t="shared" si="169"/>
        <v>204</v>
      </c>
      <c r="I1205">
        <f t="shared" si="170"/>
        <v>200</v>
      </c>
      <c r="J1205" t="str">
        <f t="shared" si="162"/>
        <v>cte",</v>
      </c>
      <c r="K1205" t="str">
        <f t="shared" si="162"/>
        <v>corticotectal tract",</v>
      </c>
      <c r="L1205" t="str">
        <f t="shared" si="163"/>
        <v>cte</v>
      </c>
      <c r="M1205" t="str">
        <f t="shared" si="163"/>
        <v>corticotectal tract</v>
      </c>
      <c r="N1205" t="s">
        <v>6866</v>
      </c>
      <c r="O1205" t="s">
        <v>6867</v>
      </c>
      <c r="Y1205" t="s">
        <v>6866</v>
      </c>
      <c r="Z1205" t="s">
        <v>6867</v>
      </c>
      <c r="AA1205" s="6" t="str">
        <f t="shared" si="164"/>
        <v/>
      </c>
      <c r="AB1205">
        <v>200</v>
      </c>
      <c r="AC1205">
        <v>204</v>
      </c>
      <c r="AD1205">
        <v>200</v>
      </c>
    </row>
    <row r="1206" spans="1:30" ht="17" x14ac:dyDescent="0.25">
      <c r="A1206" s="1" t="s">
        <v>1208</v>
      </c>
      <c r="B1206" s="1" t="s">
        <v>3859</v>
      </c>
      <c r="C1206" s="1" t="s">
        <v>2535</v>
      </c>
      <c r="D1206" t="str">
        <f t="shared" si="165"/>
        <v>C8C7CA</v>
      </c>
      <c r="E1206" t="str">
        <f t="shared" si="166"/>
        <v>200-199-202</v>
      </c>
      <c r="F1206" t="str">
        <f t="shared" si="167"/>
        <v>200199202</v>
      </c>
      <c r="G1206">
        <f t="shared" si="168"/>
        <v>200</v>
      </c>
      <c r="H1206">
        <f t="shared" si="169"/>
        <v>199</v>
      </c>
      <c r="I1206">
        <f t="shared" si="170"/>
        <v>202</v>
      </c>
      <c r="J1206" t="str">
        <f t="shared" si="162"/>
        <v>crt",</v>
      </c>
      <c r="K1206" t="str">
        <f t="shared" si="162"/>
        <v>corticorubral tract",</v>
      </c>
      <c r="L1206" t="str">
        <f t="shared" si="163"/>
        <v>crt</v>
      </c>
      <c r="M1206" t="str">
        <f t="shared" si="163"/>
        <v>corticorubral tract</v>
      </c>
      <c r="N1206" t="s">
        <v>6868</v>
      </c>
      <c r="O1206" t="s">
        <v>6869</v>
      </c>
      <c r="Y1206" t="s">
        <v>6868</v>
      </c>
      <c r="Z1206" t="s">
        <v>6869</v>
      </c>
      <c r="AA1206" s="6" t="str">
        <f t="shared" si="164"/>
        <v/>
      </c>
      <c r="AB1206">
        <v>200</v>
      </c>
      <c r="AC1206">
        <v>199</v>
      </c>
      <c r="AD1206">
        <v>202</v>
      </c>
    </row>
    <row r="1207" spans="1:30" ht="17" x14ac:dyDescent="0.25">
      <c r="A1207" s="1" t="s">
        <v>1209</v>
      </c>
      <c r="B1207" s="1" t="s">
        <v>3860</v>
      </c>
      <c r="C1207" s="1" t="s">
        <v>2536</v>
      </c>
      <c r="D1207" t="str">
        <f t="shared" si="165"/>
        <v>C7C8CB</v>
      </c>
      <c r="E1207" t="str">
        <f t="shared" si="166"/>
        <v>199-200-203</v>
      </c>
      <c r="F1207" t="str">
        <f t="shared" si="167"/>
        <v>199200203</v>
      </c>
      <c r="G1207">
        <f t="shared" si="168"/>
        <v>199</v>
      </c>
      <c r="H1207">
        <f t="shared" si="169"/>
        <v>200</v>
      </c>
      <c r="I1207">
        <f t="shared" si="170"/>
        <v>203</v>
      </c>
      <c r="J1207" t="str">
        <f t="shared" si="162"/>
        <v>cpt",</v>
      </c>
      <c r="K1207" t="str">
        <f t="shared" si="162"/>
        <v>corticopontine tract",</v>
      </c>
      <c r="L1207" t="str">
        <f t="shared" si="163"/>
        <v>cpt</v>
      </c>
      <c r="M1207" t="str">
        <f t="shared" si="163"/>
        <v>corticopontine tract</v>
      </c>
      <c r="N1207" t="s">
        <v>6870</v>
      </c>
      <c r="O1207" t="s">
        <v>6871</v>
      </c>
      <c r="Y1207" t="s">
        <v>6870</v>
      </c>
      <c r="Z1207" t="s">
        <v>6871</v>
      </c>
      <c r="AA1207" s="6" t="str">
        <f t="shared" si="164"/>
        <v/>
      </c>
      <c r="AB1207">
        <v>199</v>
      </c>
      <c r="AC1207">
        <v>200</v>
      </c>
      <c r="AD1207">
        <v>203</v>
      </c>
    </row>
    <row r="1208" spans="1:30" ht="17" x14ac:dyDescent="0.25">
      <c r="A1208" s="1" t="s">
        <v>1210</v>
      </c>
      <c r="B1208" s="1" t="s">
        <v>3861</v>
      </c>
      <c r="C1208" s="1" t="s">
        <v>2537</v>
      </c>
      <c r="D1208" t="str">
        <f t="shared" si="165"/>
        <v>CBC7CA</v>
      </c>
      <c r="E1208" t="str">
        <f t="shared" si="166"/>
        <v>203-199-202</v>
      </c>
      <c r="F1208" t="str">
        <f t="shared" si="167"/>
        <v>203199202</v>
      </c>
      <c r="G1208">
        <f t="shared" si="168"/>
        <v>203</v>
      </c>
      <c r="H1208">
        <f t="shared" si="169"/>
        <v>199</v>
      </c>
      <c r="I1208">
        <f t="shared" si="170"/>
        <v>202</v>
      </c>
      <c r="J1208" t="str">
        <f t="shared" si="162"/>
        <v>cbt",</v>
      </c>
      <c r="K1208" t="str">
        <f t="shared" si="162"/>
        <v>corticobulbar tract",</v>
      </c>
      <c r="L1208" t="str">
        <f t="shared" si="163"/>
        <v>cbt</v>
      </c>
      <c r="M1208" t="str">
        <f t="shared" si="163"/>
        <v>corticobulbar tract</v>
      </c>
      <c r="N1208" t="s">
        <v>6872</v>
      </c>
      <c r="O1208" t="s">
        <v>6873</v>
      </c>
      <c r="Y1208" t="s">
        <v>6872</v>
      </c>
      <c r="Z1208" t="s">
        <v>6873</v>
      </c>
      <c r="AA1208" s="6" t="str">
        <f t="shared" si="164"/>
        <v/>
      </c>
      <c r="AB1208">
        <v>203</v>
      </c>
      <c r="AC1208">
        <v>199</v>
      </c>
      <c r="AD1208">
        <v>202</v>
      </c>
    </row>
    <row r="1209" spans="1:30" ht="17" x14ac:dyDescent="0.25">
      <c r="A1209" s="1" t="s">
        <v>1211</v>
      </c>
      <c r="B1209" s="1" t="s">
        <v>3862</v>
      </c>
      <c r="C1209" s="1" t="s">
        <v>2538</v>
      </c>
      <c r="D1209" t="str">
        <f t="shared" si="165"/>
        <v>C7C9C9</v>
      </c>
      <c r="E1209" t="str">
        <f t="shared" si="166"/>
        <v>199-201-201</v>
      </c>
      <c r="F1209" t="str">
        <f t="shared" si="167"/>
        <v>199201201</v>
      </c>
      <c r="G1209">
        <f t="shared" si="168"/>
        <v>199</v>
      </c>
      <c r="H1209">
        <f t="shared" si="169"/>
        <v>201</v>
      </c>
      <c r="I1209">
        <f t="shared" si="170"/>
        <v>201</v>
      </c>
      <c r="J1209" t="str">
        <f t="shared" si="162"/>
        <v>py",</v>
      </c>
      <c r="K1209" t="str">
        <f t="shared" si="162"/>
        <v>pyramid",</v>
      </c>
      <c r="L1209" t="str">
        <f t="shared" si="163"/>
        <v>py</v>
      </c>
      <c r="M1209" t="str">
        <f t="shared" si="163"/>
        <v>pyramid</v>
      </c>
      <c r="N1209" t="s">
        <v>6874</v>
      </c>
      <c r="O1209" t="s">
        <v>6875</v>
      </c>
      <c r="Y1209" t="s">
        <v>6874</v>
      </c>
      <c r="Z1209" t="s">
        <v>6875</v>
      </c>
      <c r="AA1209" s="6">
        <f t="shared" si="164"/>
        <v>190</v>
      </c>
      <c r="AB1209">
        <v>199</v>
      </c>
      <c r="AC1209">
        <v>201</v>
      </c>
      <c r="AD1209">
        <v>201</v>
      </c>
    </row>
    <row r="1210" spans="1:30" ht="17" x14ac:dyDescent="0.25">
      <c r="A1210" s="1" t="s">
        <v>1212</v>
      </c>
      <c r="B1210" s="1" t="s">
        <v>3863</v>
      </c>
      <c r="C1210" s="1" t="s">
        <v>2539</v>
      </c>
      <c r="D1210" t="str">
        <f t="shared" si="165"/>
        <v>C9C7CC</v>
      </c>
      <c r="E1210" t="str">
        <f t="shared" si="166"/>
        <v>201-199-204</v>
      </c>
      <c r="F1210" t="str">
        <f t="shared" si="167"/>
        <v>201199204</v>
      </c>
      <c r="G1210">
        <f t="shared" si="168"/>
        <v>201</v>
      </c>
      <c r="H1210">
        <f t="shared" si="169"/>
        <v>199</v>
      </c>
      <c r="I1210">
        <f t="shared" si="170"/>
        <v>204</v>
      </c>
      <c r="J1210" t="str">
        <f t="shared" si="162"/>
        <v>pyd",</v>
      </c>
      <c r="K1210" t="str">
        <f t="shared" si="162"/>
        <v>pyramidal decussation",</v>
      </c>
      <c r="L1210" t="str">
        <f t="shared" si="163"/>
        <v>pyd</v>
      </c>
      <c r="M1210" t="str">
        <f t="shared" si="163"/>
        <v>pyramidal decussation</v>
      </c>
      <c r="N1210" t="s">
        <v>6876</v>
      </c>
      <c r="O1210" t="s">
        <v>6877</v>
      </c>
      <c r="Y1210" t="s">
        <v>6876</v>
      </c>
      <c r="Z1210" t="s">
        <v>6877</v>
      </c>
      <c r="AA1210" s="6">
        <f t="shared" si="164"/>
        <v>198</v>
      </c>
      <c r="AB1210">
        <v>201</v>
      </c>
      <c r="AC1210">
        <v>199</v>
      </c>
      <c r="AD1210">
        <v>204</v>
      </c>
    </row>
    <row r="1211" spans="1:30" ht="17" x14ac:dyDescent="0.25">
      <c r="A1211" s="1" t="s">
        <v>1213</v>
      </c>
      <c r="B1211" s="1" t="s">
        <v>3864</v>
      </c>
      <c r="C1211" s="1" t="s">
        <v>2540</v>
      </c>
      <c r="D1211" t="str">
        <f t="shared" si="165"/>
        <v>C7CACB</v>
      </c>
      <c r="E1211" t="str">
        <f t="shared" si="166"/>
        <v>199-202-203</v>
      </c>
      <c r="F1211" t="str">
        <f t="shared" si="167"/>
        <v>199202203</v>
      </c>
      <c r="G1211">
        <f t="shared" si="168"/>
        <v>199</v>
      </c>
      <c r="H1211">
        <f t="shared" si="169"/>
        <v>202</v>
      </c>
      <c r="I1211">
        <f t="shared" si="170"/>
        <v>203</v>
      </c>
      <c r="J1211" t="str">
        <f t="shared" si="162"/>
        <v>cstc",</v>
      </c>
      <c r="K1211" t="str">
        <f t="shared" si="162"/>
        <v>corticospinal tract, crossed",</v>
      </c>
      <c r="L1211" t="str">
        <f t="shared" si="163"/>
        <v>cstc</v>
      </c>
      <c r="M1211" t="str">
        <f t="shared" si="163"/>
        <v>corticospinal tract, crossed</v>
      </c>
      <c r="N1211" t="s">
        <v>6878</v>
      </c>
      <c r="O1211" t="s">
        <v>6879</v>
      </c>
      <c r="Y1211" t="s">
        <v>6878</v>
      </c>
      <c r="Z1211" t="s">
        <v>6879</v>
      </c>
      <c r="AA1211" s="6" t="str">
        <f t="shared" si="164"/>
        <v/>
      </c>
      <c r="AB1211">
        <v>199</v>
      </c>
      <c r="AC1211">
        <v>202</v>
      </c>
      <c r="AD1211">
        <v>203</v>
      </c>
    </row>
    <row r="1212" spans="1:30" ht="17" x14ac:dyDescent="0.25">
      <c r="A1212" s="1" t="s">
        <v>1214</v>
      </c>
      <c r="B1212" s="1" t="s">
        <v>3865</v>
      </c>
      <c r="C1212" s="1" t="s">
        <v>2541</v>
      </c>
      <c r="D1212" t="str">
        <f t="shared" si="165"/>
        <v>CCC8C8</v>
      </c>
      <c r="E1212" t="str">
        <f t="shared" si="166"/>
        <v>204-200-200</v>
      </c>
      <c r="F1212" t="str">
        <f t="shared" si="167"/>
        <v>204200200</v>
      </c>
      <c r="G1212">
        <f t="shared" si="168"/>
        <v>204</v>
      </c>
      <c r="H1212">
        <f t="shared" si="169"/>
        <v>200</v>
      </c>
      <c r="I1212">
        <f t="shared" si="170"/>
        <v>200</v>
      </c>
      <c r="J1212" t="str">
        <f t="shared" si="162"/>
        <v>cstu",</v>
      </c>
      <c r="K1212" t="str">
        <f t="shared" si="162"/>
        <v>corticospinal tract, uncrossed",</v>
      </c>
      <c r="L1212" t="str">
        <f t="shared" si="163"/>
        <v>cstu</v>
      </c>
      <c r="M1212" t="str">
        <f t="shared" si="163"/>
        <v>corticospinal tract, uncrossed</v>
      </c>
      <c r="N1212" t="s">
        <v>6880</v>
      </c>
      <c r="O1212" t="s">
        <v>6881</v>
      </c>
      <c r="Y1212" t="s">
        <v>6880</v>
      </c>
      <c r="Z1212" t="s">
        <v>6881</v>
      </c>
      <c r="AA1212" s="6" t="str">
        <f t="shared" si="164"/>
        <v/>
      </c>
      <c r="AB1212">
        <v>204</v>
      </c>
      <c r="AC1212">
        <v>200</v>
      </c>
      <c r="AD1212">
        <v>200</v>
      </c>
    </row>
    <row r="1213" spans="1:30" ht="17" x14ac:dyDescent="0.25">
      <c r="A1213" s="1" t="s">
        <v>1215</v>
      </c>
      <c r="B1213" s="1" t="s">
        <v>3866</v>
      </c>
      <c r="C1213" s="1" t="s">
        <v>2542</v>
      </c>
      <c r="D1213" t="str">
        <f t="shared" si="165"/>
        <v>C7CBCC</v>
      </c>
      <c r="E1213" t="str">
        <f t="shared" si="166"/>
        <v>199-203-204</v>
      </c>
      <c r="F1213" t="str">
        <f t="shared" si="167"/>
        <v>199203204</v>
      </c>
      <c r="G1213">
        <f t="shared" si="168"/>
        <v>199</v>
      </c>
      <c r="H1213">
        <f t="shared" si="169"/>
        <v>203</v>
      </c>
      <c r="I1213">
        <f t="shared" si="170"/>
        <v>204</v>
      </c>
      <c r="J1213" t="str">
        <f t="shared" si="162"/>
        <v>lfbst",</v>
      </c>
      <c r="K1213" t="str">
        <f t="shared" si="162"/>
        <v>thalamus related",</v>
      </c>
      <c r="L1213" t="str">
        <f t="shared" si="163"/>
        <v>lfbst</v>
      </c>
      <c r="M1213" t="str">
        <f t="shared" si="163"/>
        <v>thalamus related</v>
      </c>
      <c r="N1213" t="s">
        <v>6882</v>
      </c>
      <c r="O1213" t="s">
        <v>6883</v>
      </c>
      <c r="Y1213" t="s">
        <v>6882</v>
      </c>
      <c r="Z1213" t="s">
        <v>6883</v>
      </c>
      <c r="AA1213" s="6">
        <f t="shared" si="164"/>
        <v>896</v>
      </c>
      <c r="AB1213">
        <v>199</v>
      </c>
      <c r="AC1213">
        <v>203</v>
      </c>
      <c r="AD1213">
        <v>204</v>
      </c>
    </row>
    <row r="1214" spans="1:30" ht="17" x14ac:dyDescent="0.25">
      <c r="A1214" s="1" t="s">
        <v>1216</v>
      </c>
      <c r="B1214" s="1" t="s">
        <v>3867</v>
      </c>
      <c r="C1214" s="1" t="s">
        <v>2543</v>
      </c>
      <c r="D1214" t="str">
        <f t="shared" si="165"/>
        <v>C7CACA</v>
      </c>
      <c r="E1214" t="str">
        <f t="shared" si="166"/>
        <v>199-202-202</v>
      </c>
      <c r="F1214" t="str">
        <f t="shared" si="167"/>
        <v>199202202</v>
      </c>
      <c r="G1214">
        <f t="shared" si="168"/>
        <v>199</v>
      </c>
      <c r="H1214">
        <f t="shared" si="169"/>
        <v>202</v>
      </c>
      <c r="I1214">
        <f t="shared" si="170"/>
        <v>202</v>
      </c>
      <c r="J1214" t="str">
        <f t="shared" si="162"/>
        <v>em",</v>
      </c>
      <c r="K1214" t="str">
        <f t="shared" si="162"/>
        <v>external medullary lamina of the thalamus",</v>
      </c>
      <c r="L1214" t="str">
        <f t="shared" si="163"/>
        <v>em</v>
      </c>
      <c r="M1214" t="str">
        <f t="shared" si="163"/>
        <v>external medullary lamina of the thalamus</v>
      </c>
      <c r="N1214" t="s">
        <v>6884</v>
      </c>
      <c r="O1214" t="s">
        <v>6885</v>
      </c>
      <c r="Y1214" t="s">
        <v>6884</v>
      </c>
      <c r="Z1214" t="s">
        <v>6885</v>
      </c>
      <c r="AA1214" s="6">
        <f t="shared" si="164"/>
        <v>1092</v>
      </c>
      <c r="AB1214">
        <v>199</v>
      </c>
      <c r="AC1214">
        <v>202</v>
      </c>
      <c r="AD1214">
        <v>202</v>
      </c>
    </row>
    <row r="1215" spans="1:30" ht="17" x14ac:dyDescent="0.25">
      <c r="A1215" s="1" t="s">
        <v>1217</v>
      </c>
      <c r="B1215" s="1" t="s">
        <v>3868</v>
      </c>
      <c r="C1215" s="1" t="s">
        <v>2544</v>
      </c>
      <c r="D1215" t="str">
        <f t="shared" si="165"/>
        <v>CACCCA</v>
      </c>
      <c r="E1215" t="str">
        <f t="shared" si="166"/>
        <v>202-204-202</v>
      </c>
      <c r="F1215" t="str">
        <f t="shared" si="167"/>
        <v>202204202</v>
      </c>
      <c r="G1215">
        <f t="shared" si="168"/>
        <v>202</v>
      </c>
      <c r="H1215">
        <f t="shared" si="169"/>
        <v>204</v>
      </c>
      <c r="I1215">
        <f t="shared" si="170"/>
        <v>202</v>
      </c>
      <c r="J1215" t="str">
        <f t="shared" si="162"/>
        <v>im",</v>
      </c>
      <c r="K1215" t="str">
        <f t="shared" si="162"/>
        <v>internal medullary lamina of the thalamus",</v>
      </c>
      <c r="L1215" t="str">
        <f t="shared" si="163"/>
        <v>im</v>
      </c>
      <c r="M1215" t="str">
        <f t="shared" si="163"/>
        <v>internal medullary lamina of the thalamus</v>
      </c>
      <c r="N1215" t="s">
        <v>6886</v>
      </c>
      <c r="O1215" t="s">
        <v>6887</v>
      </c>
      <c r="Y1215" t="s">
        <v>6886</v>
      </c>
      <c r="Z1215" t="s">
        <v>6887</v>
      </c>
      <c r="AA1215" s="6" t="str">
        <f t="shared" si="164"/>
        <v/>
      </c>
      <c r="AB1215">
        <v>202</v>
      </c>
      <c r="AC1215">
        <v>204</v>
      </c>
      <c r="AD1215">
        <v>202</v>
      </c>
    </row>
    <row r="1216" spans="1:30" ht="17" x14ac:dyDescent="0.25">
      <c r="A1216" s="1" t="s">
        <v>1218</v>
      </c>
      <c r="B1216" s="1" t="s">
        <v>3869</v>
      </c>
      <c r="C1216" s="1" t="s">
        <v>2545</v>
      </c>
      <c r="D1216" t="str">
        <f t="shared" si="165"/>
        <v>CACCCC</v>
      </c>
      <c r="E1216" t="str">
        <f t="shared" si="166"/>
        <v>202-204-204</v>
      </c>
      <c r="F1216" t="str">
        <f t="shared" si="167"/>
        <v>202204204</v>
      </c>
      <c r="G1216">
        <f t="shared" si="168"/>
        <v>202</v>
      </c>
      <c r="H1216">
        <f t="shared" si="169"/>
        <v>204</v>
      </c>
      <c r="I1216">
        <f t="shared" si="170"/>
        <v>204</v>
      </c>
      <c r="J1216" t="str">
        <f t="shared" si="162"/>
        <v>mtc",</v>
      </c>
      <c r="K1216" t="str">
        <f t="shared" si="162"/>
        <v>middle thalamic commissure",</v>
      </c>
      <c r="L1216" t="str">
        <f t="shared" si="163"/>
        <v>mtc</v>
      </c>
      <c r="M1216" t="str">
        <f t="shared" si="163"/>
        <v>middle thalamic commissure</v>
      </c>
      <c r="N1216" t="s">
        <v>6888</v>
      </c>
      <c r="O1216" t="s">
        <v>6889</v>
      </c>
      <c r="Y1216" t="s">
        <v>6888</v>
      </c>
      <c r="Z1216" t="s">
        <v>6889</v>
      </c>
      <c r="AA1216" s="6" t="str">
        <f t="shared" si="164"/>
        <v/>
      </c>
      <c r="AB1216">
        <v>202</v>
      </c>
      <c r="AC1216">
        <v>204</v>
      </c>
      <c r="AD1216">
        <v>204</v>
      </c>
    </row>
    <row r="1217" spans="1:30" ht="17" x14ac:dyDescent="0.25">
      <c r="A1217" s="1" t="s">
        <v>1219</v>
      </c>
      <c r="B1217" s="1" t="s">
        <v>3870</v>
      </c>
      <c r="C1217" s="1" t="s">
        <v>2546</v>
      </c>
      <c r="D1217" t="str">
        <f t="shared" si="165"/>
        <v>CCC9CA</v>
      </c>
      <c r="E1217" t="str">
        <f t="shared" si="166"/>
        <v>204-201-202</v>
      </c>
      <c r="F1217" t="str">
        <f t="shared" si="167"/>
        <v>204201202</v>
      </c>
      <c r="G1217">
        <f t="shared" si="168"/>
        <v>204</v>
      </c>
      <c r="H1217">
        <f t="shared" si="169"/>
        <v>201</v>
      </c>
      <c r="I1217">
        <f t="shared" si="170"/>
        <v>202</v>
      </c>
      <c r="J1217" t="str">
        <f t="shared" si="162"/>
        <v>tp",</v>
      </c>
      <c r="K1217" t="str">
        <f t="shared" si="162"/>
        <v>thalamic peduncles",</v>
      </c>
      <c r="L1217" t="str">
        <f t="shared" si="163"/>
        <v>tp</v>
      </c>
      <c r="M1217" t="str">
        <f t="shared" si="163"/>
        <v>thalamic peduncles</v>
      </c>
      <c r="N1217" t="s">
        <v>6890</v>
      </c>
      <c r="O1217" t="s">
        <v>6891</v>
      </c>
      <c r="Y1217" t="s">
        <v>6890</v>
      </c>
      <c r="Z1217" t="s">
        <v>6891</v>
      </c>
      <c r="AA1217" s="6" t="str">
        <f t="shared" si="164"/>
        <v/>
      </c>
      <c r="AB1217">
        <v>204</v>
      </c>
      <c r="AC1217">
        <v>201</v>
      </c>
      <c r="AD1217">
        <v>202</v>
      </c>
    </row>
    <row r="1218" spans="1:30" ht="17" x14ac:dyDescent="0.25">
      <c r="A1218" s="1" t="s">
        <v>1220</v>
      </c>
      <c r="B1218" s="1" t="s">
        <v>3871</v>
      </c>
      <c r="C1218" s="1" t="s">
        <v>2547</v>
      </c>
      <c r="D1218" t="str">
        <f t="shared" si="165"/>
        <v>CBC9C7</v>
      </c>
      <c r="E1218" t="str">
        <f t="shared" si="166"/>
        <v>203-201-199</v>
      </c>
      <c r="F1218" t="str">
        <f t="shared" si="167"/>
        <v>203201199</v>
      </c>
      <c r="G1218">
        <f t="shared" si="168"/>
        <v>203</v>
      </c>
      <c r="H1218">
        <f t="shared" si="169"/>
        <v>201</v>
      </c>
      <c r="I1218">
        <f t="shared" si="170"/>
        <v>199</v>
      </c>
      <c r="J1218" t="str">
        <f t="shared" si="162"/>
        <v>or",</v>
      </c>
      <c r="K1218" t="str">
        <f t="shared" si="162"/>
        <v>optic radiation",</v>
      </c>
      <c r="L1218" t="str">
        <f t="shared" si="163"/>
        <v>or</v>
      </c>
      <c r="M1218" t="str">
        <f t="shared" si="163"/>
        <v>optic radiation</v>
      </c>
      <c r="N1218" t="s">
        <v>6892</v>
      </c>
      <c r="O1218" t="s">
        <v>6893</v>
      </c>
      <c r="Y1218" t="s">
        <v>6892</v>
      </c>
      <c r="Z1218" t="s">
        <v>6893</v>
      </c>
      <c r="AA1218" s="6">
        <f t="shared" si="164"/>
        <v>484682520</v>
      </c>
      <c r="AB1218">
        <v>203</v>
      </c>
      <c r="AC1218">
        <v>201</v>
      </c>
      <c r="AD1218">
        <v>199</v>
      </c>
    </row>
    <row r="1219" spans="1:30" ht="17" x14ac:dyDescent="0.25">
      <c r="A1219" s="1" t="s">
        <v>1221</v>
      </c>
      <c r="B1219" s="1" t="s">
        <v>3872</v>
      </c>
      <c r="C1219" s="1" t="s">
        <v>2548</v>
      </c>
      <c r="D1219" t="str">
        <f t="shared" si="165"/>
        <v>CCC8CA</v>
      </c>
      <c r="E1219" t="str">
        <f t="shared" si="166"/>
        <v>204-200-202</v>
      </c>
      <c r="F1219" t="str">
        <f t="shared" si="167"/>
        <v>204200202</v>
      </c>
      <c r="G1219">
        <f t="shared" si="168"/>
        <v>204</v>
      </c>
      <c r="H1219">
        <f t="shared" si="169"/>
        <v>200</v>
      </c>
      <c r="I1219">
        <f t="shared" si="170"/>
        <v>202</v>
      </c>
      <c r="J1219" t="str">
        <f t="shared" ref="J1219:K1282" si="171">RIGHT(A1219,LEN(A1219)-3)</f>
        <v>ar",</v>
      </c>
      <c r="K1219" t="str">
        <f t="shared" si="171"/>
        <v>auditory radiation",</v>
      </c>
      <c r="L1219" t="str">
        <f t="shared" ref="L1219:M1282" si="172">LEFT(J1219,LEN(J1219)-2)</f>
        <v>ar</v>
      </c>
      <c r="M1219" t="str">
        <f t="shared" si="172"/>
        <v>auditory radiation</v>
      </c>
      <c r="N1219" t="s">
        <v>6894</v>
      </c>
      <c r="O1219" t="s">
        <v>6895</v>
      </c>
      <c r="Y1219" t="s">
        <v>6894</v>
      </c>
      <c r="Z1219" t="s">
        <v>6895</v>
      </c>
      <c r="AA1219" s="6">
        <f t="shared" ref="AA1219:AA1282" si="173">IFERROR(INDEX(R:R,MATCH($Z1219,S:S,0)),"")</f>
        <v>484682524</v>
      </c>
      <c r="AB1219">
        <v>204</v>
      </c>
      <c r="AC1219">
        <v>200</v>
      </c>
      <c r="AD1219">
        <v>202</v>
      </c>
    </row>
    <row r="1220" spans="1:30" ht="17" x14ac:dyDescent="0.25">
      <c r="A1220" s="1" t="s">
        <v>1222</v>
      </c>
      <c r="B1220" s="1" t="s">
        <v>3873</v>
      </c>
      <c r="C1220" s="1" t="s">
        <v>2549</v>
      </c>
      <c r="D1220" t="str">
        <f t="shared" ref="D1220:D1283" si="174">RIGHT(LEFT(C1220,9),6)</f>
        <v>CACBC7</v>
      </c>
      <c r="E1220" t="str">
        <f t="shared" ref="E1220:E1283" si="175">HEX2DEC(LEFT(D1220,2))&amp;"-"&amp;HEX2DEC(MID(D1220,3,2))&amp;"-"&amp;HEX2DEC(RIGHT(D1220,2))</f>
        <v>202-203-199</v>
      </c>
      <c r="F1220" t="str">
        <f t="shared" ref="F1220:F1283" si="176">HEX2DEC(LEFT(D1220,2))&amp;HEX2DEC(MID(D1220,3,2))&amp;HEX2DEC(RIGHT(D1220,2))</f>
        <v>202203199</v>
      </c>
      <c r="G1220">
        <f t="shared" ref="G1220:G1283" si="177">HEX2DEC(LEFT(D1220,2))</f>
        <v>202</v>
      </c>
      <c r="H1220">
        <f t="shared" ref="H1220:H1283" si="178">HEX2DEC(MID(D1220,3,2))</f>
        <v>203</v>
      </c>
      <c r="I1220">
        <f t="shared" ref="I1220:I1283" si="179">HEX2DEC(RIGHT(D1220,2))</f>
        <v>199</v>
      </c>
      <c r="J1220" t="str">
        <f t="shared" si="171"/>
        <v>eps",</v>
      </c>
      <c r="K1220" t="str">
        <f t="shared" si="171"/>
        <v>extrapyramidal fiber systems",</v>
      </c>
      <c r="L1220" t="str">
        <f t="shared" si="172"/>
        <v>eps</v>
      </c>
      <c r="M1220" t="str">
        <f t="shared" si="172"/>
        <v>extrapyramidal fiber systems</v>
      </c>
      <c r="N1220" t="s">
        <v>6896</v>
      </c>
      <c r="O1220" t="s">
        <v>6897</v>
      </c>
      <c r="Y1220" t="s">
        <v>6896</v>
      </c>
      <c r="Z1220" t="s">
        <v>6897</v>
      </c>
      <c r="AA1220" s="6">
        <f t="shared" si="173"/>
        <v>1000</v>
      </c>
      <c r="AB1220">
        <v>202</v>
      </c>
      <c r="AC1220">
        <v>203</v>
      </c>
      <c r="AD1220">
        <v>199</v>
      </c>
    </row>
    <row r="1221" spans="1:30" ht="17" x14ac:dyDescent="0.25">
      <c r="A1221" s="1" t="s">
        <v>1223</v>
      </c>
      <c r="B1221" s="1" t="s">
        <v>3874</v>
      </c>
      <c r="C1221" s="1" t="s">
        <v>2550</v>
      </c>
      <c r="D1221" t="str">
        <f t="shared" si="174"/>
        <v>C8CACB</v>
      </c>
      <c r="E1221" t="str">
        <f t="shared" si="175"/>
        <v>200-202-203</v>
      </c>
      <c r="F1221" t="str">
        <f t="shared" si="176"/>
        <v>200202203</v>
      </c>
      <c r="G1221">
        <f t="shared" si="177"/>
        <v>200</v>
      </c>
      <c r="H1221">
        <f t="shared" si="178"/>
        <v>202</v>
      </c>
      <c r="I1221">
        <f t="shared" si="179"/>
        <v>203</v>
      </c>
      <c r="J1221" t="str">
        <f t="shared" si="171"/>
        <v>epsc",</v>
      </c>
      <c r="K1221" t="str">
        <f t="shared" si="171"/>
        <v>cerebral nuclei related",</v>
      </c>
      <c r="L1221" t="str">
        <f t="shared" si="172"/>
        <v>epsc</v>
      </c>
      <c r="M1221" t="str">
        <f t="shared" si="172"/>
        <v>cerebral nuclei related</v>
      </c>
      <c r="N1221" t="s">
        <v>6898</v>
      </c>
      <c r="O1221" t="s">
        <v>6899</v>
      </c>
      <c r="Y1221" t="s">
        <v>6898</v>
      </c>
      <c r="Z1221" t="s">
        <v>6899</v>
      </c>
      <c r="AA1221" s="6">
        <f t="shared" si="173"/>
        <v>760</v>
      </c>
      <c r="AB1221">
        <v>200</v>
      </c>
      <c r="AC1221">
        <v>202</v>
      </c>
      <c r="AD1221">
        <v>203</v>
      </c>
    </row>
    <row r="1222" spans="1:30" ht="17" x14ac:dyDescent="0.25">
      <c r="A1222" s="1" t="s">
        <v>1224</v>
      </c>
      <c r="B1222" s="1" t="s">
        <v>3875</v>
      </c>
      <c r="C1222" s="1" t="s">
        <v>2551</v>
      </c>
      <c r="D1222" t="str">
        <f t="shared" si="174"/>
        <v>CBCBCA</v>
      </c>
      <c r="E1222" t="str">
        <f t="shared" si="175"/>
        <v>203-203-202</v>
      </c>
      <c r="F1222" t="str">
        <f t="shared" si="176"/>
        <v>203203202</v>
      </c>
      <c r="G1222">
        <f t="shared" si="177"/>
        <v>203</v>
      </c>
      <c r="H1222">
        <f t="shared" si="178"/>
        <v>203</v>
      </c>
      <c r="I1222">
        <f t="shared" si="179"/>
        <v>202</v>
      </c>
      <c r="J1222" t="str">
        <f t="shared" si="171"/>
        <v>pap",</v>
      </c>
      <c r="K1222" t="str">
        <f t="shared" si="171"/>
        <v>pallidothalamic pathway",</v>
      </c>
      <c r="L1222" t="str">
        <f t="shared" si="172"/>
        <v>pap</v>
      </c>
      <c r="M1222" t="str">
        <f t="shared" si="172"/>
        <v>pallidothalamic pathway</v>
      </c>
      <c r="N1222" t="s">
        <v>6900</v>
      </c>
      <c r="O1222" t="s">
        <v>6901</v>
      </c>
      <c r="Y1222" t="s">
        <v>6900</v>
      </c>
      <c r="Z1222" t="s">
        <v>6901</v>
      </c>
      <c r="AA1222" s="6" t="str">
        <f t="shared" si="173"/>
        <v/>
      </c>
      <c r="AB1222">
        <v>203</v>
      </c>
      <c r="AC1222">
        <v>203</v>
      </c>
      <c r="AD1222">
        <v>202</v>
      </c>
    </row>
    <row r="1223" spans="1:30" ht="17" x14ac:dyDescent="0.25">
      <c r="A1223" s="1" t="s">
        <v>1225</v>
      </c>
      <c r="B1223" s="1" t="s">
        <v>3876</v>
      </c>
      <c r="C1223" s="1" t="s">
        <v>2552</v>
      </c>
      <c r="D1223" t="str">
        <f t="shared" si="174"/>
        <v>CCCACB</v>
      </c>
      <c r="E1223" t="str">
        <f t="shared" si="175"/>
        <v>204-202-203</v>
      </c>
      <c r="F1223" t="str">
        <f t="shared" si="176"/>
        <v>204202203</v>
      </c>
      <c r="G1223">
        <f t="shared" si="177"/>
        <v>204</v>
      </c>
      <c r="H1223">
        <f t="shared" si="178"/>
        <v>202</v>
      </c>
      <c r="I1223">
        <f t="shared" si="179"/>
        <v>203</v>
      </c>
      <c r="J1223" t="str">
        <f t="shared" si="171"/>
        <v>nst",</v>
      </c>
      <c r="K1223" t="str">
        <f t="shared" si="171"/>
        <v>nigrostriatal tract",</v>
      </c>
      <c r="L1223" t="str">
        <f t="shared" si="172"/>
        <v>nst</v>
      </c>
      <c r="M1223" t="str">
        <f t="shared" si="172"/>
        <v>nigrostriatal tract</v>
      </c>
      <c r="N1223" t="s">
        <v>6902</v>
      </c>
      <c r="O1223" t="s">
        <v>6903</v>
      </c>
      <c r="Y1223" t="s">
        <v>6902</v>
      </c>
      <c r="Z1223" t="s">
        <v>6903</v>
      </c>
      <c r="AA1223" s="6">
        <f t="shared" si="173"/>
        <v>102</v>
      </c>
      <c r="AB1223">
        <v>204</v>
      </c>
      <c r="AC1223">
        <v>202</v>
      </c>
      <c r="AD1223">
        <v>203</v>
      </c>
    </row>
    <row r="1224" spans="1:30" ht="17" x14ac:dyDescent="0.25">
      <c r="A1224" s="1" t="s">
        <v>1226</v>
      </c>
      <c r="B1224" s="1" t="s">
        <v>3877</v>
      </c>
      <c r="C1224" s="1" t="s">
        <v>2553</v>
      </c>
      <c r="D1224" t="str">
        <f t="shared" si="174"/>
        <v>CBCCCA</v>
      </c>
      <c r="E1224" t="str">
        <f t="shared" si="175"/>
        <v>203-204-202</v>
      </c>
      <c r="F1224" t="str">
        <f t="shared" si="176"/>
        <v>203204202</v>
      </c>
      <c r="G1224">
        <f t="shared" si="177"/>
        <v>203</v>
      </c>
      <c r="H1224">
        <f t="shared" si="178"/>
        <v>204</v>
      </c>
      <c r="I1224">
        <f t="shared" si="179"/>
        <v>202</v>
      </c>
      <c r="J1224" t="str">
        <f t="shared" si="171"/>
        <v>ntt",</v>
      </c>
      <c r="K1224" t="str">
        <f t="shared" si="171"/>
        <v>nigrothalamic fibers",</v>
      </c>
      <c r="L1224" t="str">
        <f t="shared" si="172"/>
        <v>ntt</v>
      </c>
      <c r="M1224" t="str">
        <f t="shared" si="172"/>
        <v>nigrothalamic fibers</v>
      </c>
      <c r="N1224" t="s">
        <v>6904</v>
      </c>
      <c r="O1224" t="s">
        <v>6905</v>
      </c>
      <c r="Y1224" t="s">
        <v>6904</v>
      </c>
      <c r="Z1224" t="s">
        <v>6905</v>
      </c>
      <c r="AA1224" s="6" t="str">
        <f t="shared" si="173"/>
        <v/>
      </c>
      <c r="AB1224">
        <v>203</v>
      </c>
      <c r="AC1224">
        <v>204</v>
      </c>
      <c r="AD1224">
        <v>202</v>
      </c>
    </row>
    <row r="1225" spans="1:30" ht="17" x14ac:dyDescent="0.25">
      <c r="A1225" s="1" t="s">
        <v>1227</v>
      </c>
      <c r="B1225" s="1" t="s">
        <v>3878</v>
      </c>
      <c r="C1225" s="1" t="s">
        <v>2554</v>
      </c>
      <c r="D1225" t="str">
        <f t="shared" si="174"/>
        <v>CACBCC</v>
      </c>
      <c r="E1225" t="str">
        <f t="shared" si="175"/>
        <v>202-203-204</v>
      </c>
      <c r="F1225" t="str">
        <f t="shared" si="176"/>
        <v>202203204</v>
      </c>
      <c r="G1225">
        <f t="shared" si="177"/>
        <v>202</v>
      </c>
      <c r="H1225">
        <f t="shared" si="178"/>
        <v>203</v>
      </c>
      <c r="I1225">
        <f t="shared" si="179"/>
        <v>204</v>
      </c>
      <c r="J1225" t="str">
        <f t="shared" si="171"/>
        <v>ptf",</v>
      </c>
      <c r="K1225" t="str">
        <f t="shared" si="171"/>
        <v>pallidotegmental fascicle",</v>
      </c>
      <c r="L1225" t="str">
        <f t="shared" si="172"/>
        <v>ptf</v>
      </c>
      <c r="M1225" t="str">
        <f t="shared" si="172"/>
        <v>pallidotegmental fascicle</v>
      </c>
      <c r="N1225" t="s">
        <v>6906</v>
      </c>
      <c r="O1225" t="s">
        <v>6907</v>
      </c>
      <c r="Y1225" t="s">
        <v>6906</v>
      </c>
      <c r="Z1225" t="s">
        <v>6907</v>
      </c>
      <c r="AA1225" s="6" t="str">
        <f t="shared" si="173"/>
        <v/>
      </c>
      <c r="AB1225">
        <v>202</v>
      </c>
      <c r="AC1225">
        <v>203</v>
      </c>
      <c r="AD1225">
        <v>204</v>
      </c>
    </row>
    <row r="1226" spans="1:30" ht="17" x14ac:dyDescent="0.25">
      <c r="A1226" s="1" t="s">
        <v>1228</v>
      </c>
      <c r="B1226" s="1" t="s">
        <v>3879</v>
      </c>
      <c r="C1226" s="1" t="s">
        <v>2555</v>
      </c>
      <c r="D1226" t="str">
        <f t="shared" si="174"/>
        <v>C7CBC9</v>
      </c>
      <c r="E1226" t="str">
        <f t="shared" si="175"/>
        <v>199-203-201</v>
      </c>
      <c r="F1226" t="str">
        <f t="shared" si="176"/>
        <v>199203201</v>
      </c>
      <c r="G1226">
        <f t="shared" si="177"/>
        <v>199</v>
      </c>
      <c r="H1226">
        <f t="shared" si="178"/>
        <v>203</v>
      </c>
      <c r="I1226">
        <f t="shared" si="179"/>
        <v>201</v>
      </c>
      <c r="J1226" t="str">
        <f t="shared" si="171"/>
        <v>snp",</v>
      </c>
      <c r="K1226" t="str">
        <f t="shared" si="171"/>
        <v>striatonigral pathway",</v>
      </c>
      <c r="L1226" t="str">
        <f t="shared" si="172"/>
        <v>snp</v>
      </c>
      <c r="M1226" t="str">
        <f t="shared" si="172"/>
        <v>striatonigral pathway</v>
      </c>
      <c r="N1226" t="s">
        <v>6908</v>
      </c>
      <c r="O1226" t="s">
        <v>6909</v>
      </c>
      <c r="Y1226" t="s">
        <v>6908</v>
      </c>
      <c r="Z1226" t="s">
        <v>6909</v>
      </c>
      <c r="AA1226" s="6" t="str">
        <f t="shared" si="173"/>
        <v/>
      </c>
      <c r="AB1226">
        <v>199</v>
      </c>
      <c r="AC1226">
        <v>203</v>
      </c>
      <c r="AD1226">
        <v>201</v>
      </c>
    </row>
    <row r="1227" spans="1:30" ht="17" x14ac:dyDescent="0.25">
      <c r="A1227" s="1" t="s">
        <v>1229</v>
      </c>
      <c r="B1227" s="1" t="s">
        <v>3880</v>
      </c>
      <c r="C1227" s="1" t="s">
        <v>2556</v>
      </c>
      <c r="D1227" t="str">
        <f t="shared" si="174"/>
        <v>CBCBC9</v>
      </c>
      <c r="E1227" t="str">
        <f t="shared" si="175"/>
        <v>203-203-201</v>
      </c>
      <c r="F1227" t="str">
        <f t="shared" si="176"/>
        <v>203203201</v>
      </c>
      <c r="G1227">
        <f t="shared" si="177"/>
        <v>203</v>
      </c>
      <c r="H1227">
        <f t="shared" si="178"/>
        <v>203</v>
      </c>
      <c r="I1227">
        <f t="shared" si="179"/>
        <v>201</v>
      </c>
      <c r="J1227" t="str">
        <f t="shared" si="171"/>
        <v>stf",</v>
      </c>
      <c r="K1227" t="str">
        <f t="shared" si="171"/>
        <v>subthalamic fascicle",</v>
      </c>
      <c r="L1227" t="str">
        <f t="shared" si="172"/>
        <v>stf</v>
      </c>
      <c r="M1227" t="str">
        <f t="shared" si="172"/>
        <v>subthalamic fascicle</v>
      </c>
      <c r="N1227" t="s">
        <v>6910</v>
      </c>
      <c r="O1227" t="s">
        <v>6911</v>
      </c>
      <c r="Y1227" t="s">
        <v>6910</v>
      </c>
      <c r="Z1227" t="s">
        <v>6911</v>
      </c>
      <c r="AA1227" s="6" t="str">
        <f t="shared" si="173"/>
        <v/>
      </c>
      <c r="AB1227">
        <v>203</v>
      </c>
      <c r="AC1227">
        <v>203</v>
      </c>
      <c r="AD1227">
        <v>201</v>
      </c>
    </row>
    <row r="1228" spans="1:30" ht="17" x14ac:dyDescent="0.25">
      <c r="A1228" s="1" t="s">
        <v>1230</v>
      </c>
      <c r="B1228" s="1" t="s">
        <v>3881</v>
      </c>
      <c r="C1228" s="1" t="s">
        <v>2557</v>
      </c>
      <c r="D1228" t="str">
        <f t="shared" si="174"/>
        <v>C8CBC9</v>
      </c>
      <c r="E1228" t="str">
        <f t="shared" si="175"/>
        <v>200-203-201</v>
      </c>
      <c r="F1228" t="str">
        <f t="shared" si="176"/>
        <v>200203201</v>
      </c>
      <c r="G1228">
        <f t="shared" si="177"/>
        <v>200</v>
      </c>
      <c r="H1228">
        <f t="shared" si="178"/>
        <v>203</v>
      </c>
      <c r="I1228">
        <f t="shared" si="179"/>
        <v>201</v>
      </c>
      <c r="J1228" t="str">
        <f t="shared" si="171"/>
        <v>tsp",</v>
      </c>
      <c r="K1228" t="str">
        <f t="shared" si="171"/>
        <v>tectospinal pathway",</v>
      </c>
      <c r="L1228" t="str">
        <f t="shared" si="172"/>
        <v>tsp</v>
      </c>
      <c r="M1228" t="str">
        <f t="shared" si="172"/>
        <v>tectospinal pathway</v>
      </c>
      <c r="N1228" t="s">
        <v>6912</v>
      </c>
      <c r="O1228" t="s">
        <v>6913</v>
      </c>
      <c r="Y1228" t="s">
        <v>6912</v>
      </c>
      <c r="Z1228" t="s">
        <v>6913</v>
      </c>
      <c r="AA1228" s="6">
        <f t="shared" si="173"/>
        <v>877</v>
      </c>
      <c r="AB1228">
        <v>200</v>
      </c>
      <c r="AC1228">
        <v>203</v>
      </c>
      <c r="AD1228">
        <v>201</v>
      </c>
    </row>
    <row r="1229" spans="1:30" ht="17" x14ac:dyDescent="0.25">
      <c r="A1229" s="1" t="s">
        <v>1231</v>
      </c>
      <c r="B1229" s="1" t="s">
        <v>3882</v>
      </c>
      <c r="C1229" s="1" t="s">
        <v>2558</v>
      </c>
      <c r="D1229" t="str">
        <f t="shared" si="174"/>
        <v>CBC8C8</v>
      </c>
      <c r="E1229" t="str">
        <f t="shared" si="175"/>
        <v>203-200-200</v>
      </c>
      <c r="F1229" t="str">
        <f t="shared" si="176"/>
        <v>203200200</v>
      </c>
      <c r="G1229">
        <f t="shared" si="177"/>
        <v>203</v>
      </c>
      <c r="H1229">
        <f t="shared" si="178"/>
        <v>200</v>
      </c>
      <c r="I1229">
        <f t="shared" si="179"/>
        <v>200</v>
      </c>
      <c r="J1229" t="str">
        <f t="shared" si="171"/>
        <v>tspd",</v>
      </c>
      <c r="K1229" t="str">
        <f t="shared" si="171"/>
        <v>direct tectospinal pathway",</v>
      </c>
      <c r="L1229" t="str">
        <f t="shared" si="172"/>
        <v>tspd</v>
      </c>
      <c r="M1229" t="str">
        <f t="shared" si="172"/>
        <v>direct tectospinal pathway</v>
      </c>
      <c r="N1229" t="s">
        <v>6914</v>
      </c>
      <c r="O1229" t="s">
        <v>6915</v>
      </c>
      <c r="Y1229" t="s">
        <v>6914</v>
      </c>
      <c r="Z1229" t="s">
        <v>6915</v>
      </c>
      <c r="AA1229" s="6">
        <f t="shared" si="173"/>
        <v>1051</v>
      </c>
      <c r="AB1229">
        <v>203</v>
      </c>
      <c r="AC1229">
        <v>200</v>
      </c>
      <c r="AD1229">
        <v>200</v>
      </c>
    </row>
    <row r="1230" spans="1:30" ht="17" x14ac:dyDescent="0.25">
      <c r="A1230" s="1" t="s">
        <v>1232</v>
      </c>
      <c r="B1230" s="1" t="s">
        <v>3883</v>
      </c>
      <c r="C1230" s="1" t="s">
        <v>2559</v>
      </c>
      <c r="D1230" t="str">
        <f t="shared" si="174"/>
        <v>CACAC7</v>
      </c>
      <c r="E1230" t="str">
        <f t="shared" si="175"/>
        <v>202-202-199</v>
      </c>
      <c r="F1230" t="str">
        <f t="shared" si="176"/>
        <v>202202199</v>
      </c>
      <c r="G1230">
        <f t="shared" si="177"/>
        <v>202</v>
      </c>
      <c r="H1230">
        <f t="shared" si="178"/>
        <v>202</v>
      </c>
      <c r="I1230">
        <f t="shared" si="179"/>
        <v>199</v>
      </c>
      <c r="J1230" t="str">
        <f t="shared" si="171"/>
        <v>dtd",</v>
      </c>
      <c r="K1230" t="str">
        <f t="shared" si="171"/>
        <v>doral tegmental decussation",</v>
      </c>
      <c r="L1230" t="str">
        <f t="shared" si="172"/>
        <v>dtd</v>
      </c>
      <c r="M1230" t="str">
        <f t="shared" si="172"/>
        <v>doral tegmental decussation</v>
      </c>
      <c r="N1230" t="s">
        <v>6916</v>
      </c>
      <c r="O1230" t="s">
        <v>6917</v>
      </c>
      <c r="Y1230" t="s">
        <v>6916</v>
      </c>
      <c r="Z1230" t="s">
        <v>6917</v>
      </c>
      <c r="AA1230" s="6">
        <f t="shared" si="173"/>
        <v>1060</v>
      </c>
      <c r="AB1230">
        <v>202</v>
      </c>
      <c r="AC1230">
        <v>202</v>
      </c>
      <c r="AD1230">
        <v>199</v>
      </c>
    </row>
    <row r="1231" spans="1:30" ht="17" x14ac:dyDescent="0.25">
      <c r="A1231" s="1" t="s">
        <v>1233</v>
      </c>
      <c r="B1231" s="1" t="s">
        <v>3884</v>
      </c>
      <c r="C1231" s="1" t="s">
        <v>2560</v>
      </c>
      <c r="D1231" t="str">
        <f t="shared" si="174"/>
        <v>C8C8CC</v>
      </c>
      <c r="E1231" t="str">
        <f t="shared" si="175"/>
        <v>200-200-204</v>
      </c>
      <c r="F1231" t="str">
        <f t="shared" si="176"/>
        <v>200200204</v>
      </c>
      <c r="G1231">
        <f t="shared" si="177"/>
        <v>200</v>
      </c>
      <c r="H1231">
        <f t="shared" si="178"/>
        <v>200</v>
      </c>
      <c r="I1231">
        <f t="shared" si="179"/>
        <v>204</v>
      </c>
      <c r="J1231" t="str">
        <f t="shared" si="171"/>
        <v>tspc",</v>
      </c>
      <c r="K1231" t="str">
        <f t="shared" si="171"/>
        <v>crossed tectospinal pathway",</v>
      </c>
      <c r="L1231" t="str">
        <f t="shared" si="172"/>
        <v>tspc</v>
      </c>
      <c r="M1231" t="str">
        <f t="shared" si="172"/>
        <v>crossed tectospinal pathway</v>
      </c>
      <c r="N1231" t="s">
        <v>6918</v>
      </c>
      <c r="O1231" t="s">
        <v>6919</v>
      </c>
      <c r="Y1231" t="s">
        <v>6918</v>
      </c>
      <c r="Z1231" t="s">
        <v>6919</v>
      </c>
      <c r="AA1231" s="6">
        <f t="shared" si="173"/>
        <v>1043</v>
      </c>
      <c r="AB1231">
        <v>200</v>
      </c>
      <c r="AC1231">
        <v>200</v>
      </c>
      <c r="AD1231">
        <v>204</v>
      </c>
    </row>
    <row r="1232" spans="1:30" ht="17" x14ac:dyDescent="0.25">
      <c r="A1232" s="1" t="s">
        <v>1234</v>
      </c>
      <c r="B1232" s="1" t="s">
        <v>3885</v>
      </c>
      <c r="C1232" s="1" t="s">
        <v>2561</v>
      </c>
      <c r="D1232" t="str">
        <f t="shared" si="174"/>
        <v>C8C8CB</v>
      </c>
      <c r="E1232" t="str">
        <f t="shared" si="175"/>
        <v>200-200-203</v>
      </c>
      <c r="F1232" t="str">
        <f t="shared" si="176"/>
        <v>200200203</v>
      </c>
      <c r="G1232">
        <f t="shared" si="177"/>
        <v>200</v>
      </c>
      <c r="H1232">
        <f t="shared" si="178"/>
        <v>200</v>
      </c>
      <c r="I1232">
        <f t="shared" si="179"/>
        <v>203</v>
      </c>
      <c r="J1232" t="str">
        <f t="shared" si="171"/>
        <v>rust",</v>
      </c>
      <c r="K1232" t="str">
        <f t="shared" si="171"/>
        <v>rubrospinal tract",</v>
      </c>
      <c r="L1232" t="str">
        <f t="shared" si="172"/>
        <v>rust</v>
      </c>
      <c r="M1232" t="str">
        <f t="shared" si="172"/>
        <v>rubrospinal tract</v>
      </c>
      <c r="N1232" t="s">
        <v>6920</v>
      </c>
      <c r="O1232" t="s">
        <v>6921</v>
      </c>
      <c r="Y1232" t="s">
        <v>6920</v>
      </c>
      <c r="Z1232" t="s">
        <v>6921</v>
      </c>
      <c r="AA1232" s="6">
        <f t="shared" si="173"/>
        <v>863</v>
      </c>
      <c r="AB1232">
        <v>200</v>
      </c>
      <c r="AC1232">
        <v>200</v>
      </c>
      <c r="AD1232">
        <v>203</v>
      </c>
    </row>
    <row r="1233" spans="1:30" ht="17" x14ac:dyDescent="0.25">
      <c r="A1233" s="1" t="s">
        <v>1235</v>
      </c>
      <c r="B1233" s="1" t="s">
        <v>3886</v>
      </c>
      <c r="C1233" s="1" t="s">
        <v>2562</v>
      </c>
      <c r="D1233" t="str">
        <f t="shared" si="174"/>
        <v>CACBC9</v>
      </c>
      <c r="E1233" t="str">
        <f t="shared" si="175"/>
        <v>202-203-201</v>
      </c>
      <c r="F1233" t="str">
        <f t="shared" si="176"/>
        <v>202203201</v>
      </c>
      <c r="G1233">
        <f t="shared" si="177"/>
        <v>202</v>
      </c>
      <c r="H1233">
        <f t="shared" si="178"/>
        <v>203</v>
      </c>
      <c r="I1233">
        <f t="shared" si="179"/>
        <v>201</v>
      </c>
      <c r="J1233" t="str">
        <f t="shared" si="171"/>
        <v>vtd",</v>
      </c>
      <c r="K1233" t="str">
        <f t="shared" si="171"/>
        <v>ventral tegmental decussation",</v>
      </c>
      <c r="L1233" t="str">
        <f t="shared" si="172"/>
        <v>vtd</v>
      </c>
      <c r="M1233" t="str">
        <f t="shared" si="172"/>
        <v>ventral tegmental decussation</v>
      </c>
      <c r="N1233" t="s">
        <v>6922</v>
      </c>
      <c r="O1233" t="s">
        <v>6923</v>
      </c>
      <c r="Y1233" t="s">
        <v>6922</v>
      </c>
      <c r="Z1233" t="s">
        <v>6923</v>
      </c>
      <c r="AA1233" s="6">
        <f t="shared" si="173"/>
        <v>397</v>
      </c>
      <c r="AB1233">
        <v>202</v>
      </c>
      <c r="AC1233">
        <v>203</v>
      </c>
      <c r="AD1233">
        <v>201</v>
      </c>
    </row>
    <row r="1234" spans="1:30" ht="17" x14ac:dyDescent="0.25">
      <c r="A1234" s="1" t="s">
        <v>1236</v>
      </c>
      <c r="B1234" s="1" t="s">
        <v>3887</v>
      </c>
      <c r="C1234" s="1" t="s">
        <v>2563</v>
      </c>
      <c r="D1234" t="str">
        <f t="shared" si="174"/>
        <v>CACBCA</v>
      </c>
      <c r="E1234" t="str">
        <f t="shared" si="175"/>
        <v>202-203-202</v>
      </c>
      <c r="F1234" t="str">
        <f t="shared" si="176"/>
        <v>202203202</v>
      </c>
      <c r="G1234">
        <f t="shared" si="177"/>
        <v>202</v>
      </c>
      <c r="H1234">
        <f t="shared" si="178"/>
        <v>203</v>
      </c>
      <c r="I1234">
        <f t="shared" si="179"/>
        <v>202</v>
      </c>
      <c r="J1234" t="str">
        <f t="shared" si="171"/>
        <v>rrt",</v>
      </c>
      <c r="K1234" t="str">
        <f t="shared" si="171"/>
        <v>rubroreticular tract",</v>
      </c>
      <c r="L1234" t="str">
        <f t="shared" si="172"/>
        <v>rrt</v>
      </c>
      <c r="M1234" t="str">
        <f t="shared" si="172"/>
        <v>rubroreticular tract</v>
      </c>
      <c r="N1234" t="s">
        <v>6924</v>
      </c>
      <c r="O1234" t="s">
        <v>6925</v>
      </c>
      <c r="Y1234" t="s">
        <v>6924</v>
      </c>
      <c r="Z1234" t="s">
        <v>6925</v>
      </c>
      <c r="AA1234" s="6" t="str">
        <f t="shared" si="173"/>
        <v/>
      </c>
      <c r="AB1234">
        <v>202</v>
      </c>
      <c r="AC1234">
        <v>203</v>
      </c>
      <c r="AD1234">
        <v>202</v>
      </c>
    </row>
    <row r="1235" spans="1:30" ht="17" x14ac:dyDescent="0.25">
      <c r="A1235" s="1" t="s">
        <v>1237</v>
      </c>
      <c r="B1235" s="1" t="s">
        <v>3888</v>
      </c>
      <c r="C1235" s="1" t="s">
        <v>2564</v>
      </c>
      <c r="D1235" t="str">
        <f t="shared" si="174"/>
        <v>CBCAC8</v>
      </c>
      <c r="E1235" t="str">
        <f t="shared" si="175"/>
        <v>203-202-200</v>
      </c>
      <c r="F1235" t="str">
        <f t="shared" si="176"/>
        <v>203202200</v>
      </c>
      <c r="G1235">
        <f t="shared" si="177"/>
        <v>203</v>
      </c>
      <c r="H1235">
        <f t="shared" si="178"/>
        <v>202</v>
      </c>
      <c r="I1235">
        <f t="shared" si="179"/>
        <v>200</v>
      </c>
      <c r="J1235" t="str">
        <f t="shared" si="171"/>
        <v>ctb",</v>
      </c>
      <c r="K1235" t="str">
        <f t="shared" si="171"/>
        <v>central tegmental bundle",</v>
      </c>
      <c r="L1235" t="str">
        <f t="shared" si="172"/>
        <v>ctb</v>
      </c>
      <c r="M1235" t="str">
        <f t="shared" si="172"/>
        <v>central tegmental bundle</v>
      </c>
      <c r="N1235" t="s">
        <v>6926</v>
      </c>
      <c r="O1235" t="s">
        <v>6927</v>
      </c>
      <c r="Y1235" t="s">
        <v>6926</v>
      </c>
      <c r="Z1235" t="s">
        <v>6927</v>
      </c>
      <c r="AA1235" s="6" t="str">
        <f t="shared" si="173"/>
        <v/>
      </c>
      <c r="AB1235">
        <v>203</v>
      </c>
      <c r="AC1235">
        <v>202</v>
      </c>
      <c r="AD1235">
        <v>200</v>
      </c>
    </row>
    <row r="1236" spans="1:30" ht="17" x14ac:dyDescent="0.25">
      <c r="A1236" s="1" t="s">
        <v>1238</v>
      </c>
      <c r="B1236" s="1" t="s">
        <v>3889</v>
      </c>
      <c r="C1236" s="1" t="s">
        <v>2565</v>
      </c>
      <c r="D1236" t="str">
        <f t="shared" si="174"/>
        <v>C8CAC8</v>
      </c>
      <c r="E1236" t="str">
        <f t="shared" si="175"/>
        <v>200-202-200</v>
      </c>
      <c r="F1236" t="str">
        <f t="shared" si="176"/>
        <v>200202200</v>
      </c>
      <c r="G1236">
        <f t="shared" si="177"/>
        <v>200</v>
      </c>
      <c r="H1236">
        <f t="shared" si="178"/>
        <v>202</v>
      </c>
      <c r="I1236">
        <f t="shared" si="179"/>
        <v>200</v>
      </c>
      <c r="J1236" t="str">
        <f t="shared" si="171"/>
        <v>rst",</v>
      </c>
      <c r="K1236" t="str">
        <f t="shared" si="171"/>
        <v>retriculospinal tract",</v>
      </c>
      <c r="L1236" t="str">
        <f t="shared" si="172"/>
        <v>rst</v>
      </c>
      <c r="M1236" t="str">
        <f t="shared" si="172"/>
        <v>retriculospinal tract</v>
      </c>
      <c r="N1236" t="s">
        <v>6928</v>
      </c>
      <c r="O1236" t="s">
        <v>6929</v>
      </c>
      <c r="Y1236" t="s">
        <v>6928</v>
      </c>
      <c r="Z1236" t="s">
        <v>6929</v>
      </c>
      <c r="AA1236" s="6" t="str">
        <f t="shared" si="173"/>
        <v/>
      </c>
      <c r="AB1236">
        <v>200</v>
      </c>
      <c r="AC1236">
        <v>202</v>
      </c>
      <c r="AD1236">
        <v>200</v>
      </c>
    </row>
    <row r="1237" spans="1:30" ht="17" x14ac:dyDescent="0.25">
      <c r="A1237" s="1" t="s">
        <v>1239</v>
      </c>
      <c r="B1237" s="1" t="s">
        <v>3890</v>
      </c>
      <c r="C1237" s="1" t="s">
        <v>2566</v>
      </c>
      <c r="D1237" t="str">
        <f t="shared" si="174"/>
        <v>CCC9CC</v>
      </c>
      <c r="E1237" t="str">
        <f t="shared" si="175"/>
        <v>204-201-204</v>
      </c>
      <c r="F1237" t="str">
        <f t="shared" si="176"/>
        <v>204201204</v>
      </c>
      <c r="G1237">
        <f t="shared" si="177"/>
        <v>204</v>
      </c>
      <c r="H1237">
        <f t="shared" si="178"/>
        <v>201</v>
      </c>
      <c r="I1237">
        <f t="shared" si="179"/>
        <v>204</v>
      </c>
      <c r="J1237" t="str">
        <f t="shared" si="171"/>
        <v>rstl",</v>
      </c>
      <c r="K1237" t="str">
        <f t="shared" si="171"/>
        <v>retriculospinal tract, lateral part",</v>
      </c>
      <c r="L1237" t="str">
        <f t="shared" si="172"/>
        <v>rstl</v>
      </c>
      <c r="M1237" t="str">
        <f t="shared" si="172"/>
        <v>retriculospinal tract, lateral part</v>
      </c>
      <c r="N1237" t="s">
        <v>6930</v>
      </c>
      <c r="O1237" t="s">
        <v>6931</v>
      </c>
      <c r="Y1237" t="s">
        <v>6930</v>
      </c>
      <c r="Z1237" t="s">
        <v>6931</v>
      </c>
      <c r="AA1237" s="6" t="str">
        <f t="shared" si="173"/>
        <v/>
      </c>
      <c r="AB1237">
        <v>204</v>
      </c>
      <c r="AC1237">
        <v>201</v>
      </c>
      <c r="AD1237">
        <v>204</v>
      </c>
    </row>
    <row r="1238" spans="1:30" ht="17" x14ac:dyDescent="0.25">
      <c r="A1238" s="1" t="s">
        <v>1240</v>
      </c>
      <c r="B1238" s="1" t="s">
        <v>3891</v>
      </c>
      <c r="C1238" s="1" t="s">
        <v>2567</v>
      </c>
      <c r="D1238" t="str">
        <f t="shared" si="174"/>
        <v>CBCACA</v>
      </c>
      <c r="E1238" t="str">
        <f t="shared" si="175"/>
        <v>203-202-202</v>
      </c>
      <c r="F1238" t="str">
        <f t="shared" si="176"/>
        <v>203202202</v>
      </c>
      <c r="G1238">
        <f t="shared" si="177"/>
        <v>203</v>
      </c>
      <c r="H1238">
        <f t="shared" si="178"/>
        <v>202</v>
      </c>
      <c r="I1238">
        <f t="shared" si="179"/>
        <v>202</v>
      </c>
      <c r="J1238" t="str">
        <f t="shared" si="171"/>
        <v>rstm",</v>
      </c>
      <c r="K1238" t="str">
        <f t="shared" si="171"/>
        <v>retriculospinal tract, medial part",</v>
      </c>
      <c r="L1238" t="str">
        <f t="shared" si="172"/>
        <v>rstm</v>
      </c>
      <c r="M1238" t="str">
        <f t="shared" si="172"/>
        <v>retriculospinal tract, medial part</v>
      </c>
      <c r="N1238" t="s">
        <v>6932</v>
      </c>
      <c r="O1238" t="s">
        <v>6933</v>
      </c>
      <c r="Y1238" t="s">
        <v>6932</v>
      </c>
      <c r="Z1238" t="s">
        <v>6933</v>
      </c>
      <c r="AA1238" s="6" t="str">
        <f t="shared" si="173"/>
        <v/>
      </c>
      <c r="AB1238">
        <v>203</v>
      </c>
      <c r="AC1238">
        <v>202</v>
      </c>
      <c r="AD1238">
        <v>202</v>
      </c>
    </row>
    <row r="1239" spans="1:30" ht="17" x14ac:dyDescent="0.25">
      <c r="A1239" s="1" t="s">
        <v>1241</v>
      </c>
      <c r="B1239" s="1" t="s">
        <v>3892</v>
      </c>
      <c r="C1239" s="1" t="s">
        <v>2568</v>
      </c>
      <c r="D1239" t="str">
        <f t="shared" si="174"/>
        <v>CCC8C7</v>
      </c>
      <c r="E1239" t="str">
        <f t="shared" si="175"/>
        <v>204-200-199</v>
      </c>
      <c r="F1239" t="str">
        <f t="shared" si="176"/>
        <v>204200199</v>
      </c>
      <c r="G1239">
        <f t="shared" si="177"/>
        <v>204</v>
      </c>
      <c r="H1239">
        <f t="shared" si="178"/>
        <v>200</v>
      </c>
      <c r="I1239">
        <f t="shared" si="179"/>
        <v>199</v>
      </c>
      <c r="J1239" t="str">
        <f t="shared" si="171"/>
        <v>vsp",</v>
      </c>
      <c r="K1239" t="str">
        <f t="shared" si="171"/>
        <v>vestibulospinal pathway",</v>
      </c>
      <c r="L1239" t="str">
        <f t="shared" si="172"/>
        <v>vsp</v>
      </c>
      <c r="M1239" t="str">
        <f t="shared" si="172"/>
        <v>vestibulospinal pathway</v>
      </c>
      <c r="N1239" t="s">
        <v>6934</v>
      </c>
      <c r="O1239" t="s">
        <v>6935</v>
      </c>
      <c r="Y1239" t="s">
        <v>6934</v>
      </c>
      <c r="Z1239" t="s">
        <v>6935</v>
      </c>
      <c r="AA1239" s="6" t="str">
        <f t="shared" si="173"/>
        <v/>
      </c>
      <c r="AB1239">
        <v>204</v>
      </c>
      <c r="AC1239">
        <v>200</v>
      </c>
      <c r="AD1239">
        <v>199</v>
      </c>
    </row>
    <row r="1240" spans="1:30" ht="17" x14ac:dyDescent="0.25">
      <c r="A1240" s="1" t="s">
        <v>1242</v>
      </c>
      <c r="B1240" s="1" t="s">
        <v>3893</v>
      </c>
      <c r="C1240" s="1" t="s">
        <v>2569</v>
      </c>
      <c r="D1240" t="str">
        <f t="shared" si="174"/>
        <v>CBCAC7</v>
      </c>
      <c r="E1240" t="str">
        <f t="shared" si="175"/>
        <v>203-202-199</v>
      </c>
      <c r="F1240" t="str">
        <f t="shared" si="176"/>
        <v>203202199</v>
      </c>
      <c r="G1240">
        <f t="shared" si="177"/>
        <v>203</v>
      </c>
      <c r="H1240">
        <f t="shared" si="178"/>
        <v>202</v>
      </c>
      <c r="I1240">
        <f t="shared" si="179"/>
        <v>199</v>
      </c>
      <c r="J1240" t="str">
        <f t="shared" si="171"/>
        <v>mfbs",</v>
      </c>
      <c r="K1240" t="str">
        <f t="shared" si="171"/>
        <v>medial forebrain bundle system",</v>
      </c>
      <c r="L1240" t="str">
        <f t="shared" si="172"/>
        <v>mfbs</v>
      </c>
      <c r="M1240" t="str">
        <f t="shared" si="172"/>
        <v>medial forebrain bundle system</v>
      </c>
      <c r="N1240" t="s">
        <v>6936</v>
      </c>
      <c r="O1240" t="s">
        <v>6937</v>
      </c>
      <c r="Y1240" t="s">
        <v>6936</v>
      </c>
      <c r="Z1240" t="s">
        <v>6937</v>
      </c>
      <c r="AA1240" s="6">
        <f t="shared" si="173"/>
        <v>991</v>
      </c>
      <c r="AB1240">
        <v>203</v>
      </c>
      <c r="AC1240">
        <v>202</v>
      </c>
      <c r="AD1240">
        <v>199</v>
      </c>
    </row>
    <row r="1241" spans="1:30" ht="17" x14ac:dyDescent="0.25">
      <c r="A1241" s="1" t="s">
        <v>1243</v>
      </c>
      <c r="B1241" s="1" t="s">
        <v>3894</v>
      </c>
      <c r="C1241" s="1" t="s">
        <v>2570</v>
      </c>
      <c r="D1241" t="str">
        <f t="shared" si="174"/>
        <v>C9CBC7</v>
      </c>
      <c r="E1241" t="str">
        <f t="shared" si="175"/>
        <v>201-203-199</v>
      </c>
      <c r="F1241" t="str">
        <f t="shared" si="176"/>
        <v>201203199</v>
      </c>
      <c r="G1241">
        <f t="shared" si="177"/>
        <v>201</v>
      </c>
      <c r="H1241">
        <f t="shared" si="178"/>
        <v>203</v>
      </c>
      <c r="I1241">
        <f t="shared" si="179"/>
        <v>199</v>
      </c>
      <c r="J1241" t="str">
        <f t="shared" si="171"/>
        <v>mfbc",</v>
      </c>
      <c r="K1241" t="str">
        <f t="shared" si="171"/>
        <v>cerebrum related",</v>
      </c>
      <c r="L1241" t="str">
        <f t="shared" si="172"/>
        <v>mfbc</v>
      </c>
      <c r="M1241" t="str">
        <f t="shared" si="172"/>
        <v>cerebrum related</v>
      </c>
      <c r="N1241" t="s">
        <v>6938</v>
      </c>
      <c r="O1241" t="s">
        <v>6939</v>
      </c>
      <c r="Y1241" t="s">
        <v>6938</v>
      </c>
      <c r="Z1241" t="s">
        <v>6939</v>
      </c>
      <c r="AA1241" s="6">
        <f t="shared" si="173"/>
        <v>768</v>
      </c>
      <c r="AB1241">
        <v>201</v>
      </c>
      <c r="AC1241">
        <v>203</v>
      </c>
      <c r="AD1241">
        <v>199</v>
      </c>
    </row>
    <row r="1242" spans="1:30" ht="17" x14ac:dyDescent="0.25">
      <c r="A1242" s="1" t="s">
        <v>1244</v>
      </c>
      <c r="B1242" s="1" t="s">
        <v>3895</v>
      </c>
      <c r="C1242" s="1" t="s">
        <v>2571</v>
      </c>
      <c r="D1242" t="str">
        <f t="shared" si="174"/>
        <v>C8C9CB</v>
      </c>
      <c r="E1242" t="str">
        <f t="shared" si="175"/>
        <v>200-201-203</v>
      </c>
      <c r="F1242" t="str">
        <f t="shared" si="176"/>
        <v>200201203</v>
      </c>
      <c r="G1242">
        <f t="shared" si="177"/>
        <v>200</v>
      </c>
      <c r="H1242">
        <f t="shared" si="178"/>
        <v>201</v>
      </c>
      <c r="I1242">
        <f t="shared" si="179"/>
        <v>203</v>
      </c>
      <c r="J1242" t="str">
        <f t="shared" si="171"/>
        <v>amc",</v>
      </c>
      <c r="K1242" t="str">
        <f t="shared" si="171"/>
        <v>amygdalar capsule",</v>
      </c>
      <c r="L1242" t="str">
        <f t="shared" si="172"/>
        <v>amc</v>
      </c>
      <c r="M1242" t="str">
        <f t="shared" si="172"/>
        <v>amygdalar capsule</v>
      </c>
      <c r="N1242" t="s">
        <v>6940</v>
      </c>
      <c r="O1242" t="s">
        <v>6941</v>
      </c>
      <c r="Y1242" t="s">
        <v>6940</v>
      </c>
      <c r="Z1242" t="s">
        <v>6941</v>
      </c>
      <c r="AA1242" s="6">
        <f t="shared" si="173"/>
        <v>884</v>
      </c>
      <c r="AB1242">
        <v>200</v>
      </c>
      <c r="AC1242">
        <v>201</v>
      </c>
      <c r="AD1242">
        <v>203</v>
      </c>
    </row>
    <row r="1243" spans="1:30" ht="17" x14ac:dyDescent="0.25">
      <c r="A1243" s="1" t="s">
        <v>1245</v>
      </c>
      <c r="B1243" s="1" t="s">
        <v>3896</v>
      </c>
      <c r="C1243" s="1" t="s">
        <v>2572</v>
      </c>
      <c r="D1243" t="str">
        <f t="shared" si="174"/>
        <v>C7CCCB</v>
      </c>
      <c r="E1243" t="str">
        <f t="shared" si="175"/>
        <v>199-204-203</v>
      </c>
      <c r="F1243" t="str">
        <f t="shared" si="176"/>
        <v>199204203</v>
      </c>
      <c r="G1243">
        <f t="shared" si="177"/>
        <v>199</v>
      </c>
      <c r="H1243">
        <f t="shared" si="178"/>
        <v>204</v>
      </c>
      <c r="I1243">
        <f t="shared" si="179"/>
        <v>203</v>
      </c>
      <c r="J1243" t="str">
        <f t="shared" si="171"/>
        <v>apd",</v>
      </c>
      <c r="K1243" t="str">
        <f t="shared" si="171"/>
        <v>ansa peduncularis",</v>
      </c>
      <c r="L1243" t="str">
        <f t="shared" si="172"/>
        <v>apd</v>
      </c>
      <c r="M1243" t="str">
        <f t="shared" si="172"/>
        <v>ansa peduncularis</v>
      </c>
      <c r="N1243" t="s">
        <v>6942</v>
      </c>
      <c r="O1243" t="s">
        <v>6943</v>
      </c>
      <c r="Y1243" t="s">
        <v>6942</v>
      </c>
      <c r="Z1243" t="s">
        <v>6943</v>
      </c>
      <c r="AA1243" s="6" t="str">
        <f t="shared" si="173"/>
        <v/>
      </c>
      <c r="AB1243">
        <v>199</v>
      </c>
      <c r="AC1243">
        <v>204</v>
      </c>
      <c r="AD1243">
        <v>203</v>
      </c>
    </row>
    <row r="1244" spans="1:30" ht="17" x14ac:dyDescent="0.25">
      <c r="A1244" s="1" t="s">
        <v>1246</v>
      </c>
      <c r="B1244" s="1" t="s">
        <v>3897</v>
      </c>
      <c r="C1244" s="1" t="s">
        <v>2573</v>
      </c>
      <c r="D1244" t="str">
        <f t="shared" si="174"/>
        <v>C9C9C9</v>
      </c>
      <c r="E1244" t="str">
        <f t="shared" si="175"/>
        <v>201-201-201</v>
      </c>
      <c r="F1244" t="str">
        <f t="shared" si="176"/>
        <v>201201201</v>
      </c>
      <c r="G1244">
        <f t="shared" si="177"/>
        <v>201</v>
      </c>
      <c r="H1244">
        <f t="shared" si="178"/>
        <v>201</v>
      </c>
      <c r="I1244">
        <f t="shared" si="179"/>
        <v>201</v>
      </c>
      <c r="J1244" t="str">
        <f t="shared" si="171"/>
        <v>act",</v>
      </c>
      <c r="K1244" t="str">
        <f t="shared" si="171"/>
        <v>anterior commissure, temporal limb",</v>
      </c>
      <c r="L1244" t="str">
        <f t="shared" si="172"/>
        <v>act</v>
      </c>
      <c r="M1244" t="str">
        <f t="shared" si="172"/>
        <v>anterior commissure, temporal limb</v>
      </c>
      <c r="N1244" t="s">
        <v>6944</v>
      </c>
      <c r="O1244" t="s">
        <v>6945</v>
      </c>
      <c r="Y1244" t="s">
        <v>6944</v>
      </c>
      <c r="Z1244" t="s">
        <v>6945</v>
      </c>
      <c r="AA1244" s="6">
        <f t="shared" si="173"/>
        <v>908</v>
      </c>
      <c r="AB1244">
        <v>201</v>
      </c>
      <c r="AC1244">
        <v>201</v>
      </c>
      <c r="AD1244">
        <v>201</v>
      </c>
    </row>
    <row r="1245" spans="1:30" ht="17" x14ac:dyDescent="0.25">
      <c r="A1245" s="1" t="s">
        <v>1247</v>
      </c>
      <c r="B1245" s="1" t="s">
        <v>3898</v>
      </c>
      <c r="C1245" s="1" t="s">
        <v>2574</v>
      </c>
      <c r="D1245" t="str">
        <f t="shared" si="174"/>
        <v>CACCC7</v>
      </c>
      <c r="E1245" t="str">
        <f t="shared" si="175"/>
        <v>202-204-199</v>
      </c>
      <c r="F1245" t="str">
        <f t="shared" si="176"/>
        <v>202204199</v>
      </c>
      <c r="G1245">
        <f t="shared" si="177"/>
        <v>202</v>
      </c>
      <c r="H1245">
        <f t="shared" si="178"/>
        <v>204</v>
      </c>
      <c r="I1245">
        <f t="shared" si="179"/>
        <v>199</v>
      </c>
      <c r="J1245" t="str">
        <f t="shared" si="171"/>
        <v>cing",</v>
      </c>
      <c r="K1245" t="str">
        <f t="shared" si="171"/>
        <v>cingulum bundle",</v>
      </c>
      <c r="L1245" t="str">
        <f t="shared" si="172"/>
        <v>cing</v>
      </c>
      <c r="M1245" t="str">
        <f t="shared" si="172"/>
        <v>cingulum bundle</v>
      </c>
      <c r="N1245" t="s">
        <v>6946</v>
      </c>
      <c r="O1245" t="s">
        <v>6947</v>
      </c>
      <c r="Y1245" t="s">
        <v>6946</v>
      </c>
      <c r="Z1245" t="s">
        <v>6947</v>
      </c>
      <c r="AA1245" s="6">
        <f t="shared" si="173"/>
        <v>940</v>
      </c>
      <c r="AB1245">
        <v>202</v>
      </c>
      <c r="AC1245">
        <v>204</v>
      </c>
      <c r="AD1245">
        <v>199</v>
      </c>
    </row>
    <row r="1246" spans="1:30" ht="17" x14ac:dyDescent="0.25">
      <c r="A1246" s="1" t="s">
        <v>1248</v>
      </c>
      <c r="B1246" s="1" t="s">
        <v>3899</v>
      </c>
      <c r="C1246" s="1" t="s">
        <v>2575</v>
      </c>
      <c r="D1246" t="str">
        <f t="shared" si="174"/>
        <v>CCC9C7</v>
      </c>
      <c r="E1246" t="str">
        <f t="shared" si="175"/>
        <v>204-201-199</v>
      </c>
      <c r="F1246" t="str">
        <f t="shared" si="176"/>
        <v>204201199</v>
      </c>
      <c r="G1246">
        <f t="shared" si="177"/>
        <v>204</v>
      </c>
      <c r="H1246">
        <f t="shared" si="178"/>
        <v>201</v>
      </c>
      <c r="I1246">
        <f t="shared" si="179"/>
        <v>199</v>
      </c>
      <c r="J1246" t="str">
        <f t="shared" si="171"/>
        <v>fxs",</v>
      </c>
      <c r="K1246" t="str">
        <f t="shared" si="171"/>
        <v>fornix system",</v>
      </c>
      <c r="L1246" t="str">
        <f t="shared" si="172"/>
        <v>fxs</v>
      </c>
      <c r="M1246" t="str">
        <f t="shared" si="172"/>
        <v>fornix system</v>
      </c>
      <c r="N1246" t="s">
        <v>6948</v>
      </c>
      <c r="O1246" t="s">
        <v>6949</v>
      </c>
      <c r="Y1246" t="s">
        <v>6948</v>
      </c>
      <c r="Z1246" t="s">
        <v>6949</v>
      </c>
      <c r="AA1246" s="6">
        <f t="shared" si="173"/>
        <v>1099</v>
      </c>
      <c r="AB1246">
        <v>204</v>
      </c>
      <c r="AC1246">
        <v>201</v>
      </c>
      <c r="AD1246">
        <v>199</v>
      </c>
    </row>
    <row r="1247" spans="1:30" ht="17" x14ac:dyDescent="0.25">
      <c r="A1247" s="1" t="s">
        <v>1249</v>
      </c>
      <c r="B1247" s="1" t="s">
        <v>3900</v>
      </c>
      <c r="C1247" s="1" t="s">
        <v>2576</v>
      </c>
      <c r="D1247" t="str">
        <f t="shared" si="174"/>
        <v>C7C8CC</v>
      </c>
      <c r="E1247" t="str">
        <f t="shared" si="175"/>
        <v>199-200-204</v>
      </c>
      <c r="F1247" t="str">
        <f t="shared" si="176"/>
        <v>199200204</v>
      </c>
      <c r="G1247">
        <f t="shared" si="177"/>
        <v>199</v>
      </c>
      <c r="H1247">
        <f t="shared" si="178"/>
        <v>200</v>
      </c>
      <c r="I1247">
        <f t="shared" si="179"/>
        <v>204</v>
      </c>
      <c r="J1247" t="str">
        <f t="shared" si="171"/>
        <v>alv",</v>
      </c>
      <c r="K1247" t="str">
        <f t="shared" si="171"/>
        <v>alveus",</v>
      </c>
      <c r="L1247" t="str">
        <f t="shared" si="172"/>
        <v>alv</v>
      </c>
      <c r="M1247" t="str">
        <f t="shared" si="172"/>
        <v>alveus</v>
      </c>
      <c r="N1247" t="s">
        <v>6950</v>
      </c>
      <c r="O1247" t="s">
        <v>6951</v>
      </c>
      <c r="Y1247" t="s">
        <v>6950</v>
      </c>
      <c r="Z1247" t="s">
        <v>6951</v>
      </c>
      <c r="AA1247" s="6">
        <f t="shared" si="173"/>
        <v>466</v>
      </c>
      <c r="AB1247">
        <v>199</v>
      </c>
      <c r="AC1247">
        <v>200</v>
      </c>
      <c r="AD1247">
        <v>204</v>
      </c>
    </row>
    <row r="1248" spans="1:30" ht="17" x14ac:dyDescent="0.25">
      <c r="A1248" s="1" t="s">
        <v>1250</v>
      </c>
      <c r="B1248" s="1" t="s">
        <v>3901</v>
      </c>
      <c r="C1248" s="1" t="s">
        <v>2577</v>
      </c>
      <c r="D1248" t="str">
        <f t="shared" si="174"/>
        <v>CBC8CC</v>
      </c>
      <c r="E1248" t="str">
        <f t="shared" si="175"/>
        <v>203-200-204</v>
      </c>
      <c r="F1248" t="str">
        <f t="shared" si="176"/>
        <v>203200204</v>
      </c>
      <c r="G1248">
        <f t="shared" si="177"/>
        <v>203</v>
      </c>
      <c r="H1248">
        <f t="shared" si="178"/>
        <v>200</v>
      </c>
      <c r="I1248">
        <f t="shared" si="179"/>
        <v>204</v>
      </c>
      <c r="J1248" t="str">
        <f t="shared" si="171"/>
        <v>df",</v>
      </c>
      <c r="K1248" t="str">
        <f t="shared" si="171"/>
        <v>dorsal fornix",</v>
      </c>
      <c r="L1248" t="str">
        <f t="shared" si="172"/>
        <v>df</v>
      </c>
      <c r="M1248" t="str">
        <f t="shared" si="172"/>
        <v>dorsal fornix</v>
      </c>
      <c r="N1248" t="s">
        <v>6952</v>
      </c>
      <c r="O1248" t="s">
        <v>6953</v>
      </c>
      <c r="Y1248" t="s">
        <v>6952</v>
      </c>
      <c r="Z1248" t="s">
        <v>6953</v>
      </c>
      <c r="AA1248" s="6">
        <f t="shared" si="173"/>
        <v>530</v>
      </c>
      <c r="AB1248">
        <v>203</v>
      </c>
      <c r="AC1248">
        <v>200</v>
      </c>
      <c r="AD1248">
        <v>204</v>
      </c>
    </row>
    <row r="1249" spans="1:30" ht="17" x14ac:dyDescent="0.25">
      <c r="A1249" s="1" t="s">
        <v>1251</v>
      </c>
      <c r="B1249" s="1" t="s">
        <v>3902</v>
      </c>
      <c r="C1249" s="1" t="s">
        <v>2578</v>
      </c>
      <c r="D1249" t="str">
        <f t="shared" si="174"/>
        <v>CBC8CB</v>
      </c>
      <c r="E1249" t="str">
        <f t="shared" si="175"/>
        <v>203-200-203</v>
      </c>
      <c r="F1249" t="str">
        <f t="shared" si="176"/>
        <v>203200203</v>
      </c>
      <c r="G1249">
        <f t="shared" si="177"/>
        <v>203</v>
      </c>
      <c r="H1249">
        <f t="shared" si="178"/>
        <v>200</v>
      </c>
      <c r="I1249">
        <f t="shared" si="179"/>
        <v>203</v>
      </c>
      <c r="J1249" t="str">
        <f t="shared" si="171"/>
        <v>fi",</v>
      </c>
      <c r="K1249" t="str">
        <f t="shared" si="171"/>
        <v>fimbria",</v>
      </c>
      <c r="L1249" t="str">
        <f t="shared" si="172"/>
        <v>fi</v>
      </c>
      <c r="M1249" t="str">
        <f t="shared" si="172"/>
        <v>fimbria</v>
      </c>
      <c r="N1249" t="s">
        <v>6954</v>
      </c>
      <c r="O1249" t="s">
        <v>6955</v>
      </c>
      <c r="Y1249" t="s">
        <v>6954</v>
      </c>
      <c r="Z1249" t="s">
        <v>6955</v>
      </c>
      <c r="AA1249" s="6">
        <f t="shared" si="173"/>
        <v>603</v>
      </c>
      <c r="AB1249">
        <v>203</v>
      </c>
      <c r="AC1249">
        <v>200</v>
      </c>
      <c r="AD1249">
        <v>203</v>
      </c>
    </row>
    <row r="1250" spans="1:30" ht="17" x14ac:dyDescent="0.25">
      <c r="A1250" s="1" t="s">
        <v>1252</v>
      </c>
      <c r="B1250" s="1" t="s">
        <v>3903</v>
      </c>
      <c r="C1250" s="1" t="s">
        <v>2579</v>
      </c>
      <c r="D1250" t="str">
        <f t="shared" si="174"/>
        <v>CACBC8</v>
      </c>
      <c r="E1250" t="str">
        <f t="shared" si="175"/>
        <v>202-203-200</v>
      </c>
      <c r="F1250" t="str">
        <f t="shared" si="176"/>
        <v>202203200</v>
      </c>
      <c r="G1250">
        <f t="shared" si="177"/>
        <v>202</v>
      </c>
      <c r="H1250">
        <f t="shared" si="178"/>
        <v>203</v>
      </c>
      <c r="I1250">
        <f t="shared" si="179"/>
        <v>200</v>
      </c>
      <c r="J1250" t="str">
        <f t="shared" si="171"/>
        <v>fxprg",</v>
      </c>
      <c r="K1250" t="str">
        <f t="shared" si="171"/>
        <v>precommissural fornix, general",</v>
      </c>
      <c r="L1250" t="str">
        <f t="shared" si="172"/>
        <v>fxprg</v>
      </c>
      <c r="M1250" t="str">
        <f t="shared" si="172"/>
        <v>precommissural fornix, general</v>
      </c>
      <c r="N1250" t="s">
        <v>6956</v>
      </c>
      <c r="O1250" t="s">
        <v>6957</v>
      </c>
      <c r="Y1250" t="s">
        <v>6956</v>
      </c>
      <c r="Z1250" t="s">
        <v>6957</v>
      </c>
      <c r="AA1250" s="6" t="str">
        <f t="shared" si="173"/>
        <v/>
      </c>
      <c r="AB1250">
        <v>202</v>
      </c>
      <c r="AC1250">
        <v>203</v>
      </c>
      <c r="AD1250">
        <v>200</v>
      </c>
    </row>
    <row r="1251" spans="1:30" ht="17" x14ac:dyDescent="0.25">
      <c r="A1251" s="1" t="s">
        <v>1253</v>
      </c>
      <c r="B1251" s="1" t="s">
        <v>3904</v>
      </c>
      <c r="C1251" s="1" t="s">
        <v>2580</v>
      </c>
      <c r="D1251" t="str">
        <f t="shared" si="174"/>
        <v>CCCCC8</v>
      </c>
      <c r="E1251" t="str">
        <f t="shared" si="175"/>
        <v>204-204-200</v>
      </c>
      <c r="F1251" t="str">
        <f t="shared" si="176"/>
        <v>204204200</v>
      </c>
      <c r="G1251">
        <f t="shared" si="177"/>
        <v>204</v>
      </c>
      <c r="H1251">
        <f t="shared" si="178"/>
        <v>204</v>
      </c>
      <c r="I1251">
        <f t="shared" si="179"/>
        <v>200</v>
      </c>
      <c r="J1251" t="str">
        <f t="shared" si="171"/>
        <v>db",</v>
      </c>
      <c r="K1251" t="str">
        <f t="shared" si="171"/>
        <v>precommissural fornix diagonal band",</v>
      </c>
      <c r="L1251" t="str">
        <f t="shared" si="172"/>
        <v>db</v>
      </c>
      <c r="M1251" t="str">
        <f t="shared" si="172"/>
        <v>precommissural fornix diagonal band</v>
      </c>
      <c r="N1251" t="s">
        <v>6958</v>
      </c>
      <c r="O1251" t="s">
        <v>6959</v>
      </c>
      <c r="Y1251" t="s">
        <v>6958</v>
      </c>
      <c r="Z1251" t="s">
        <v>6959</v>
      </c>
      <c r="AA1251" s="6" t="str">
        <f t="shared" si="173"/>
        <v/>
      </c>
      <c r="AB1251">
        <v>204</v>
      </c>
      <c r="AC1251">
        <v>204</v>
      </c>
      <c r="AD1251">
        <v>200</v>
      </c>
    </row>
    <row r="1252" spans="1:30" ht="17" x14ac:dyDescent="0.25">
      <c r="A1252" s="1" t="s">
        <v>1254</v>
      </c>
      <c r="B1252" s="1" t="s">
        <v>3905</v>
      </c>
      <c r="C1252" s="1" t="s">
        <v>2581</v>
      </c>
      <c r="D1252" t="str">
        <f t="shared" si="174"/>
        <v>C8C8C9</v>
      </c>
      <c r="E1252" t="str">
        <f t="shared" si="175"/>
        <v>200-200-201</v>
      </c>
      <c r="F1252" t="str">
        <f t="shared" si="176"/>
        <v>200200201</v>
      </c>
      <c r="G1252">
        <f t="shared" si="177"/>
        <v>200</v>
      </c>
      <c r="H1252">
        <f t="shared" si="178"/>
        <v>200</v>
      </c>
      <c r="I1252">
        <f t="shared" si="179"/>
        <v>201</v>
      </c>
      <c r="J1252" t="str">
        <f t="shared" si="171"/>
        <v>fxpo",</v>
      </c>
      <c r="K1252" t="str">
        <f t="shared" si="171"/>
        <v>postcommissural fornix",</v>
      </c>
      <c r="L1252" t="str">
        <f t="shared" si="172"/>
        <v>fxpo</v>
      </c>
      <c r="M1252" t="str">
        <f t="shared" si="172"/>
        <v>postcommissural fornix</v>
      </c>
      <c r="N1252" t="s">
        <v>6960</v>
      </c>
      <c r="O1252" t="s">
        <v>6961</v>
      </c>
      <c r="Y1252" t="s">
        <v>6960</v>
      </c>
      <c r="Z1252" t="s">
        <v>6961</v>
      </c>
      <c r="AA1252" s="6">
        <f t="shared" si="173"/>
        <v>737</v>
      </c>
      <c r="AB1252">
        <v>200</v>
      </c>
      <c r="AC1252">
        <v>200</v>
      </c>
      <c r="AD1252">
        <v>201</v>
      </c>
    </row>
    <row r="1253" spans="1:30" ht="17" x14ac:dyDescent="0.25">
      <c r="A1253" s="1" t="s">
        <v>1255</v>
      </c>
      <c r="B1253" s="1" t="s">
        <v>3906</v>
      </c>
      <c r="C1253" s="1" t="s">
        <v>2582</v>
      </c>
      <c r="D1253" t="str">
        <f t="shared" si="174"/>
        <v>CCC8CC</v>
      </c>
      <c r="E1253" t="str">
        <f t="shared" si="175"/>
        <v>204-200-204</v>
      </c>
      <c r="F1253" t="str">
        <f t="shared" si="176"/>
        <v>204200204</v>
      </c>
      <c r="G1253">
        <f t="shared" si="177"/>
        <v>204</v>
      </c>
      <c r="H1253">
        <f t="shared" si="178"/>
        <v>200</v>
      </c>
      <c r="I1253">
        <f t="shared" si="179"/>
        <v>204</v>
      </c>
      <c r="J1253" t="str">
        <f t="shared" si="171"/>
        <v>mct",</v>
      </c>
      <c r="K1253" t="str">
        <f t="shared" si="171"/>
        <v>medial corticohypothalamic tract",</v>
      </c>
      <c r="L1253" t="str">
        <f t="shared" si="172"/>
        <v>mct</v>
      </c>
      <c r="M1253" t="str">
        <f t="shared" si="172"/>
        <v>medial corticohypothalamic tract</v>
      </c>
      <c r="N1253" t="s">
        <v>6962</v>
      </c>
      <c r="O1253" t="s">
        <v>6963</v>
      </c>
      <c r="Y1253" t="s">
        <v>6962</v>
      </c>
      <c r="Z1253" t="s">
        <v>6963</v>
      </c>
      <c r="AA1253" s="6">
        <f t="shared" si="173"/>
        <v>428</v>
      </c>
      <c r="AB1253">
        <v>204</v>
      </c>
      <c r="AC1253">
        <v>200</v>
      </c>
      <c r="AD1253">
        <v>204</v>
      </c>
    </row>
    <row r="1254" spans="1:30" ht="17" x14ac:dyDescent="0.25">
      <c r="A1254" s="1" t="s">
        <v>1256</v>
      </c>
      <c r="B1254" s="1" t="s">
        <v>3907</v>
      </c>
      <c r="C1254" s="1" t="s">
        <v>2583</v>
      </c>
      <c r="D1254" t="str">
        <f t="shared" si="174"/>
        <v>C7C8CA</v>
      </c>
      <c r="E1254" t="str">
        <f t="shared" si="175"/>
        <v>199-200-202</v>
      </c>
      <c r="F1254" t="str">
        <f t="shared" si="176"/>
        <v>199200202</v>
      </c>
      <c r="G1254">
        <f t="shared" si="177"/>
        <v>199</v>
      </c>
      <c r="H1254">
        <f t="shared" si="178"/>
        <v>200</v>
      </c>
      <c r="I1254">
        <f t="shared" si="179"/>
        <v>202</v>
      </c>
      <c r="J1254" t="str">
        <f t="shared" si="171"/>
        <v>fx",</v>
      </c>
      <c r="K1254" t="str">
        <f t="shared" si="171"/>
        <v>columns of the fornix",</v>
      </c>
      <c r="L1254" t="str">
        <f t="shared" si="172"/>
        <v>fx</v>
      </c>
      <c r="M1254" t="str">
        <f t="shared" si="172"/>
        <v>columns of the fornix</v>
      </c>
      <c r="N1254" t="s">
        <v>6964</v>
      </c>
      <c r="O1254" t="s">
        <v>6965</v>
      </c>
      <c r="Y1254" t="s">
        <v>6964</v>
      </c>
      <c r="Z1254" t="s">
        <v>6965</v>
      </c>
      <c r="AA1254" s="6">
        <f t="shared" si="173"/>
        <v>436</v>
      </c>
      <c r="AB1254">
        <v>199</v>
      </c>
      <c r="AC1254">
        <v>200</v>
      </c>
      <c r="AD1254">
        <v>202</v>
      </c>
    </row>
    <row r="1255" spans="1:30" ht="17" x14ac:dyDescent="0.25">
      <c r="A1255" s="1" t="s">
        <v>1257</v>
      </c>
      <c r="B1255" s="1" t="s">
        <v>3908</v>
      </c>
      <c r="C1255" s="1" t="s">
        <v>2584</v>
      </c>
      <c r="D1255" t="str">
        <f t="shared" si="174"/>
        <v>C9C9CC</v>
      </c>
      <c r="E1255" t="str">
        <f t="shared" si="175"/>
        <v>201-201-204</v>
      </c>
      <c r="F1255" t="str">
        <f t="shared" si="176"/>
        <v>201201204</v>
      </c>
      <c r="G1255">
        <f t="shared" si="177"/>
        <v>201</v>
      </c>
      <c r="H1255">
        <f t="shared" si="178"/>
        <v>201</v>
      </c>
      <c r="I1255">
        <f t="shared" si="179"/>
        <v>204</v>
      </c>
      <c r="J1255" t="str">
        <f t="shared" si="171"/>
        <v>hc",</v>
      </c>
      <c r="K1255" t="str">
        <f t="shared" si="171"/>
        <v>hippocampal commissures",</v>
      </c>
      <c r="L1255" t="str">
        <f t="shared" si="172"/>
        <v>hc</v>
      </c>
      <c r="M1255" t="str">
        <f t="shared" si="172"/>
        <v>hippocampal commissures</v>
      </c>
      <c r="N1255" t="s">
        <v>6966</v>
      </c>
      <c r="O1255" t="s">
        <v>6967</v>
      </c>
      <c r="Y1255" t="s">
        <v>6966</v>
      </c>
      <c r="Z1255" t="s">
        <v>6967</v>
      </c>
      <c r="AA1255" s="6">
        <f t="shared" si="173"/>
        <v>618</v>
      </c>
      <c r="AB1255">
        <v>201</v>
      </c>
      <c r="AC1255">
        <v>201</v>
      </c>
      <c r="AD1255">
        <v>204</v>
      </c>
    </row>
    <row r="1256" spans="1:30" ht="17" x14ac:dyDescent="0.25">
      <c r="A1256" s="1" t="s">
        <v>1258</v>
      </c>
      <c r="B1256" s="1" t="s">
        <v>3909</v>
      </c>
      <c r="C1256" s="1" t="s">
        <v>2585</v>
      </c>
      <c r="D1256" t="str">
        <f t="shared" si="174"/>
        <v>C9CCC9</v>
      </c>
      <c r="E1256" t="str">
        <f t="shared" si="175"/>
        <v>201-204-201</v>
      </c>
      <c r="F1256" t="str">
        <f t="shared" si="176"/>
        <v>201204201</v>
      </c>
      <c r="G1256">
        <f t="shared" si="177"/>
        <v>201</v>
      </c>
      <c r="H1256">
        <f t="shared" si="178"/>
        <v>204</v>
      </c>
      <c r="I1256">
        <f t="shared" si="179"/>
        <v>201</v>
      </c>
      <c r="J1256" t="str">
        <f t="shared" si="171"/>
        <v>dhc",</v>
      </c>
      <c r="K1256" t="str">
        <f t="shared" si="171"/>
        <v>dorsal hippocampal commissure",</v>
      </c>
      <c r="L1256" t="str">
        <f t="shared" si="172"/>
        <v>dhc</v>
      </c>
      <c r="M1256" t="str">
        <f t="shared" si="172"/>
        <v>dorsal hippocampal commissure</v>
      </c>
      <c r="N1256" t="s">
        <v>6968</v>
      </c>
      <c r="O1256" t="s">
        <v>6969</v>
      </c>
      <c r="Y1256" t="s">
        <v>6968</v>
      </c>
      <c r="Z1256" t="s">
        <v>6969</v>
      </c>
      <c r="AA1256" s="6">
        <f t="shared" si="173"/>
        <v>443</v>
      </c>
      <c r="AB1256">
        <v>201</v>
      </c>
      <c r="AC1256">
        <v>204</v>
      </c>
      <c r="AD1256">
        <v>201</v>
      </c>
    </row>
    <row r="1257" spans="1:30" ht="17" x14ac:dyDescent="0.25">
      <c r="A1257" s="1" t="s">
        <v>1259</v>
      </c>
      <c r="B1257" s="1" t="s">
        <v>3910</v>
      </c>
      <c r="C1257" s="1" t="s">
        <v>2586</v>
      </c>
      <c r="D1257" t="str">
        <f t="shared" si="174"/>
        <v>C8C9C9</v>
      </c>
      <c r="E1257" t="str">
        <f t="shared" si="175"/>
        <v>200-201-201</v>
      </c>
      <c r="F1257" t="str">
        <f t="shared" si="176"/>
        <v>200201201</v>
      </c>
      <c r="G1257">
        <f t="shared" si="177"/>
        <v>200</v>
      </c>
      <c r="H1257">
        <f t="shared" si="178"/>
        <v>201</v>
      </c>
      <c r="I1257">
        <f t="shared" si="179"/>
        <v>201</v>
      </c>
      <c r="J1257" t="str">
        <f t="shared" si="171"/>
        <v>vhc",</v>
      </c>
      <c r="K1257" t="str">
        <f t="shared" si="171"/>
        <v>ventral hippocampal commissure",</v>
      </c>
      <c r="L1257" t="str">
        <f t="shared" si="172"/>
        <v>vhc</v>
      </c>
      <c r="M1257" t="str">
        <f t="shared" si="172"/>
        <v>ventral hippocampal commissure</v>
      </c>
      <c r="N1257" t="s">
        <v>6970</v>
      </c>
      <c r="O1257" t="s">
        <v>6971</v>
      </c>
      <c r="Y1257" t="s">
        <v>6970</v>
      </c>
      <c r="Z1257" t="s">
        <v>6971</v>
      </c>
      <c r="AA1257" s="6">
        <f t="shared" si="173"/>
        <v>449</v>
      </c>
      <c r="AB1257">
        <v>200</v>
      </c>
      <c r="AC1257">
        <v>201</v>
      </c>
      <c r="AD1257">
        <v>201</v>
      </c>
    </row>
    <row r="1258" spans="1:30" ht="17" x14ac:dyDescent="0.25">
      <c r="A1258" s="1" t="s">
        <v>1260</v>
      </c>
      <c r="B1258" s="1" t="s">
        <v>3911</v>
      </c>
      <c r="C1258" s="1" t="s">
        <v>2587</v>
      </c>
      <c r="D1258" t="str">
        <f t="shared" si="174"/>
        <v>CBCBC8</v>
      </c>
      <c r="E1258" t="str">
        <f t="shared" si="175"/>
        <v>203-203-200</v>
      </c>
      <c r="F1258" t="str">
        <f t="shared" si="176"/>
        <v>203203200</v>
      </c>
      <c r="G1258">
        <f t="shared" si="177"/>
        <v>203</v>
      </c>
      <c r="H1258">
        <f t="shared" si="178"/>
        <v>203</v>
      </c>
      <c r="I1258">
        <f t="shared" si="179"/>
        <v>200</v>
      </c>
      <c r="J1258" t="str">
        <f t="shared" si="171"/>
        <v>per",</v>
      </c>
      <c r="K1258" t="str">
        <f t="shared" si="171"/>
        <v>perforant path",</v>
      </c>
      <c r="L1258" t="str">
        <f t="shared" si="172"/>
        <v>per</v>
      </c>
      <c r="M1258" t="str">
        <f t="shared" si="172"/>
        <v>perforant path</v>
      </c>
      <c r="N1258" t="s">
        <v>6972</v>
      </c>
      <c r="O1258" t="s">
        <v>6973</v>
      </c>
      <c r="Y1258" t="s">
        <v>6972</v>
      </c>
      <c r="Z1258" t="s">
        <v>6973</v>
      </c>
      <c r="AA1258" s="6" t="str">
        <f t="shared" si="173"/>
        <v/>
      </c>
      <c r="AB1258">
        <v>203</v>
      </c>
      <c r="AC1258">
        <v>203</v>
      </c>
      <c r="AD1258">
        <v>200</v>
      </c>
    </row>
    <row r="1259" spans="1:30" ht="17" x14ac:dyDescent="0.25">
      <c r="A1259" s="1" t="s">
        <v>1261</v>
      </c>
      <c r="B1259" s="1" t="s">
        <v>3912</v>
      </c>
      <c r="C1259" s="1" t="s">
        <v>2588</v>
      </c>
      <c r="D1259" t="str">
        <f t="shared" si="174"/>
        <v>CAC7C8</v>
      </c>
      <c r="E1259" t="str">
        <f t="shared" si="175"/>
        <v>202-199-200</v>
      </c>
      <c r="F1259" t="str">
        <f t="shared" si="176"/>
        <v>202199200</v>
      </c>
      <c r="G1259">
        <f t="shared" si="177"/>
        <v>202</v>
      </c>
      <c r="H1259">
        <f t="shared" si="178"/>
        <v>199</v>
      </c>
      <c r="I1259">
        <f t="shared" si="179"/>
        <v>200</v>
      </c>
      <c r="J1259" t="str">
        <f t="shared" si="171"/>
        <v>ab",</v>
      </c>
      <c r="K1259" t="str">
        <f t="shared" si="171"/>
        <v>angular path",</v>
      </c>
      <c r="L1259" t="str">
        <f t="shared" si="172"/>
        <v>ab</v>
      </c>
      <c r="M1259" t="str">
        <f t="shared" si="172"/>
        <v>angular path</v>
      </c>
      <c r="N1259" t="s">
        <v>6974</v>
      </c>
      <c r="O1259" t="s">
        <v>6975</v>
      </c>
      <c r="Y1259" t="s">
        <v>6974</v>
      </c>
      <c r="Z1259" t="s">
        <v>6975</v>
      </c>
      <c r="AA1259" s="6" t="str">
        <f t="shared" si="173"/>
        <v/>
      </c>
      <c r="AB1259">
        <v>202</v>
      </c>
      <c r="AC1259">
        <v>199</v>
      </c>
      <c r="AD1259">
        <v>200</v>
      </c>
    </row>
    <row r="1260" spans="1:30" ht="17" x14ac:dyDescent="0.25">
      <c r="A1260" s="1" t="s">
        <v>1262</v>
      </c>
      <c r="B1260" s="1" t="s">
        <v>3913</v>
      </c>
      <c r="C1260" s="1" t="s">
        <v>2589</v>
      </c>
      <c r="D1260" t="str">
        <f t="shared" si="174"/>
        <v>CBCCCC</v>
      </c>
      <c r="E1260" t="str">
        <f t="shared" si="175"/>
        <v>203-204-204</v>
      </c>
      <c r="F1260" t="str">
        <f t="shared" si="176"/>
        <v>203204204</v>
      </c>
      <c r="G1260">
        <f t="shared" si="177"/>
        <v>203</v>
      </c>
      <c r="H1260">
        <f t="shared" si="178"/>
        <v>204</v>
      </c>
      <c r="I1260">
        <f t="shared" si="179"/>
        <v>204</v>
      </c>
      <c r="J1260" t="str">
        <f t="shared" si="171"/>
        <v>lab",</v>
      </c>
      <c r="K1260" t="str">
        <f t="shared" si="171"/>
        <v>longitudinal association bundle",</v>
      </c>
      <c r="L1260" t="str">
        <f t="shared" si="172"/>
        <v>lab</v>
      </c>
      <c r="M1260" t="str">
        <f t="shared" si="172"/>
        <v>longitudinal association bundle</v>
      </c>
      <c r="N1260" t="s">
        <v>6976</v>
      </c>
      <c r="O1260" t="s">
        <v>6977</v>
      </c>
      <c r="Y1260" t="s">
        <v>6976</v>
      </c>
      <c r="Z1260" t="s">
        <v>6977</v>
      </c>
      <c r="AA1260" s="6" t="str">
        <f t="shared" si="173"/>
        <v/>
      </c>
      <c r="AB1260">
        <v>203</v>
      </c>
      <c r="AC1260">
        <v>204</v>
      </c>
      <c r="AD1260">
        <v>204</v>
      </c>
    </row>
    <row r="1261" spans="1:30" ht="17" x14ac:dyDescent="0.25">
      <c r="A1261" s="1" t="s">
        <v>1263</v>
      </c>
      <c r="B1261" s="1" t="s">
        <v>3914</v>
      </c>
      <c r="C1261" s="1" t="s">
        <v>2590</v>
      </c>
      <c r="D1261" t="str">
        <f t="shared" si="174"/>
        <v>C8CBC7</v>
      </c>
      <c r="E1261" t="str">
        <f t="shared" si="175"/>
        <v>200-203-199</v>
      </c>
      <c r="F1261" t="str">
        <f t="shared" si="176"/>
        <v>200203199</v>
      </c>
      <c r="G1261">
        <f t="shared" si="177"/>
        <v>200</v>
      </c>
      <c r="H1261">
        <f t="shared" si="178"/>
        <v>203</v>
      </c>
      <c r="I1261">
        <f t="shared" si="179"/>
        <v>199</v>
      </c>
      <c r="J1261" t="str">
        <f t="shared" si="171"/>
        <v>st",</v>
      </c>
      <c r="K1261" t="str">
        <f t="shared" si="171"/>
        <v>stria terminalis",</v>
      </c>
      <c r="L1261" t="str">
        <f t="shared" si="172"/>
        <v>st</v>
      </c>
      <c r="M1261" t="str">
        <f t="shared" si="172"/>
        <v>stria terminalis</v>
      </c>
      <c r="N1261" t="s">
        <v>6978</v>
      </c>
      <c r="O1261" t="s">
        <v>6979</v>
      </c>
      <c r="Y1261" t="s">
        <v>6978</v>
      </c>
      <c r="Z1261" t="s">
        <v>6979</v>
      </c>
      <c r="AA1261" s="6">
        <f t="shared" si="173"/>
        <v>301</v>
      </c>
      <c r="AB1261">
        <v>200</v>
      </c>
      <c r="AC1261">
        <v>203</v>
      </c>
      <c r="AD1261">
        <v>199</v>
      </c>
    </row>
    <row r="1262" spans="1:30" ht="17" x14ac:dyDescent="0.25">
      <c r="A1262" s="1" t="s">
        <v>1264</v>
      </c>
      <c r="B1262" s="1" t="s">
        <v>3915</v>
      </c>
      <c r="C1262" s="1" t="s">
        <v>2591</v>
      </c>
      <c r="D1262" t="str">
        <f t="shared" si="174"/>
        <v>C7CAC8</v>
      </c>
      <c r="E1262" t="str">
        <f t="shared" si="175"/>
        <v>199-202-200</v>
      </c>
      <c r="F1262" t="str">
        <f t="shared" si="176"/>
        <v>199202200</v>
      </c>
      <c r="G1262">
        <f t="shared" si="177"/>
        <v>199</v>
      </c>
      <c r="H1262">
        <f t="shared" si="178"/>
        <v>202</v>
      </c>
      <c r="I1262">
        <f t="shared" si="179"/>
        <v>200</v>
      </c>
      <c r="J1262" t="str">
        <f t="shared" si="171"/>
        <v>stc",</v>
      </c>
      <c r="K1262" t="str">
        <f t="shared" si="171"/>
        <v>commissural branch of stria terminalis",</v>
      </c>
      <c r="L1262" t="str">
        <f t="shared" si="172"/>
        <v>stc</v>
      </c>
      <c r="M1262" t="str">
        <f t="shared" si="172"/>
        <v>commissural branch of stria terminalis</v>
      </c>
      <c r="N1262" t="s">
        <v>6980</v>
      </c>
      <c r="O1262" t="s">
        <v>6981</v>
      </c>
      <c r="Y1262" t="s">
        <v>6980</v>
      </c>
      <c r="Z1262" t="s">
        <v>6981</v>
      </c>
      <c r="AA1262" s="6">
        <f t="shared" si="173"/>
        <v>301</v>
      </c>
      <c r="AB1262">
        <v>199</v>
      </c>
      <c r="AC1262">
        <v>202</v>
      </c>
      <c r="AD1262">
        <v>200</v>
      </c>
    </row>
    <row r="1263" spans="1:30" ht="17" x14ac:dyDescent="0.25">
      <c r="A1263" s="1" t="s">
        <v>1265</v>
      </c>
      <c r="B1263" s="1" t="s">
        <v>3916</v>
      </c>
      <c r="C1263" s="1" t="s">
        <v>2592</v>
      </c>
      <c r="D1263" t="str">
        <f t="shared" si="174"/>
        <v>C8CCC9</v>
      </c>
      <c r="E1263" t="str">
        <f t="shared" si="175"/>
        <v>200-204-201</v>
      </c>
      <c r="F1263" t="str">
        <f t="shared" si="176"/>
        <v>200204201</v>
      </c>
      <c r="G1263">
        <f t="shared" si="177"/>
        <v>200</v>
      </c>
      <c r="H1263">
        <f t="shared" si="178"/>
        <v>204</v>
      </c>
      <c r="I1263">
        <f t="shared" si="179"/>
        <v>201</v>
      </c>
      <c r="J1263" t="str">
        <f t="shared" si="171"/>
        <v>mfsbshy",</v>
      </c>
      <c r="K1263" t="str">
        <f t="shared" si="171"/>
        <v>hypothalamus related",</v>
      </c>
      <c r="L1263" t="str">
        <f t="shared" si="172"/>
        <v>mfsbshy</v>
      </c>
      <c r="M1263" t="str">
        <f t="shared" si="172"/>
        <v>hypothalamus related</v>
      </c>
      <c r="N1263" t="s">
        <v>6982</v>
      </c>
      <c r="O1263" t="s">
        <v>6983</v>
      </c>
      <c r="Y1263" t="s">
        <v>6982</v>
      </c>
      <c r="Z1263" t="s">
        <v>6983</v>
      </c>
      <c r="AA1263" s="6">
        <f t="shared" si="173"/>
        <v>824</v>
      </c>
      <c r="AB1263">
        <v>200</v>
      </c>
      <c r="AC1263">
        <v>204</v>
      </c>
      <c r="AD1263">
        <v>201</v>
      </c>
    </row>
    <row r="1264" spans="1:30" ht="17" x14ac:dyDescent="0.25">
      <c r="A1264" s="1" t="s">
        <v>1266</v>
      </c>
      <c r="B1264" s="1" t="s">
        <v>3917</v>
      </c>
      <c r="C1264" s="1" t="s">
        <v>2593</v>
      </c>
      <c r="D1264" t="str">
        <f t="shared" si="174"/>
        <v>CBCCCB</v>
      </c>
      <c r="E1264" t="str">
        <f t="shared" si="175"/>
        <v>203-204-203</v>
      </c>
      <c r="F1264" t="str">
        <f t="shared" si="176"/>
        <v>203204203</v>
      </c>
      <c r="G1264">
        <f t="shared" si="177"/>
        <v>203</v>
      </c>
      <c r="H1264">
        <f t="shared" si="178"/>
        <v>204</v>
      </c>
      <c r="I1264">
        <f t="shared" si="179"/>
        <v>203</v>
      </c>
      <c r="J1264" t="str">
        <f t="shared" si="171"/>
        <v>mfb",</v>
      </c>
      <c r="K1264" t="str">
        <f t="shared" si="171"/>
        <v>medial forebrain bundle",</v>
      </c>
      <c r="L1264" t="str">
        <f t="shared" si="172"/>
        <v>mfb</v>
      </c>
      <c r="M1264" t="str">
        <f t="shared" si="172"/>
        <v>medial forebrain bundle</v>
      </c>
      <c r="N1264" t="s">
        <v>6984</v>
      </c>
      <c r="O1264" t="s">
        <v>6985</v>
      </c>
      <c r="Y1264" t="s">
        <v>6984</v>
      </c>
      <c r="Z1264" t="s">
        <v>6985</v>
      </c>
      <c r="AA1264" s="6">
        <f t="shared" si="173"/>
        <v>54</v>
      </c>
      <c r="AB1264">
        <v>203</v>
      </c>
      <c r="AC1264">
        <v>204</v>
      </c>
      <c r="AD1264">
        <v>203</v>
      </c>
    </row>
    <row r="1265" spans="1:30" ht="17" x14ac:dyDescent="0.25">
      <c r="A1265" s="1" t="s">
        <v>1267</v>
      </c>
      <c r="B1265" s="1" t="s">
        <v>3918</v>
      </c>
      <c r="C1265" s="1" t="s">
        <v>2594</v>
      </c>
      <c r="D1265" t="str">
        <f t="shared" si="174"/>
        <v>CAC9C7</v>
      </c>
      <c r="E1265" t="str">
        <f t="shared" si="175"/>
        <v>202-201-199</v>
      </c>
      <c r="F1265" t="str">
        <f t="shared" si="176"/>
        <v>202201199</v>
      </c>
      <c r="G1265">
        <f t="shared" si="177"/>
        <v>202</v>
      </c>
      <c r="H1265">
        <f t="shared" si="178"/>
        <v>201</v>
      </c>
      <c r="I1265">
        <f t="shared" si="179"/>
        <v>199</v>
      </c>
      <c r="J1265" t="str">
        <f t="shared" si="171"/>
        <v>vlt",</v>
      </c>
      <c r="K1265" t="str">
        <f t="shared" si="171"/>
        <v>ventrolateral hypothalamic tract",</v>
      </c>
      <c r="L1265" t="str">
        <f t="shared" si="172"/>
        <v>vlt</v>
      </c>
      <c r="M1265" t="str">
        <f t="shared" si="172"/>
        <v>ventrolateral hypothalamic tract</v>
      </c>
      <c r="N1265" t="s">
        <v>6986</v>
      </c>
      <c r="O1265" t="s">
        <v>6987</v>
      </c>
      <c r="Y1265" t="s">
        <v>6986</v>
      </c>
      <c r="Z1265" t="s">
        <v>6987</v>
      </c>
      <c r="AA1265" s="6" t="str">
        <f t="shared" si="173"/>
        <v/>
      </c>
      <c r="AB1265">
        <v>202</v>
      </c>
      <c r="AC1265">
        <v>201</v>
      </c>
      <c r="AD1265">
        <v>199</v>
      </c>
    </row>
    <row r="1266" spans="1:30" ht="17" x14ac:dyDescent="0.25">
      <c r="A1266" s="1" t="s">
        <v>1268</v>
      </c>
      <c r="B1266" s="1" t="s">
        <v>3919</v>
      </c>
      <c r="C1266" s="1" t="s">
        <v>2595</v>
      </c>
      <c r="D1266" t="str">
        <f t="shared" si="174"/>
        <v>CACACC</v>
      </c>
      <c r="E1266" t="str">
        <f t="shared" si="175"/>
        <v>202-202-204</v>
      </c>
      <c r="F1266" t="str">
        <f t="shared" si="176"/>
        <v>202202204</v>
      </c>
      <c r="G1266">
        <f t="shared" si="177"/>
        <v>202</v>
      </c>
      <c r="H1266">
        <f t="shared" si="178"/>
        <v>202</v>
      </c>
      <c r="I1266">
        <f t="shared" si="179"/>
        <v>204</v>
      </c>
      <c r="J1266" t="str">
        <f t="shared" si="171"/>
        <v>poc",</v>
      </c>
      <c r="K1266" t="str">
        <f t="shared" si="171"/>
        <v>preoptic commissure",</v>
      </c>
      <c r="L1266" t="str">
        <f t="shared" si="172"/>
        <v>poc</v>
      </c>
      <c r="M1266" t="str">
        <f t="shared" si="172"/>
        <v>preoptic commissure</v>
      </c>
      <c r="N1266" t="s">
        <v>6988</v>
      </c>
      <c r="O1266" t="s">
        <v>6989</v>
      </c>
      <c r="Y1266" t="s">
        <v>6988</v>
      </c>
      <c r="Z1266" t="s">
        <v>6989</v>
      </c>
      <c r="AA1266" s="6" t="str">
        <f t="shared" si="173"/>
        <v/>
      </c>
      <c r="AB1266">
        <v>202</v>
      </c>
      <c r="AC1266">
        <v>202</v>
      </c>
      <c r="AD1266">
        <v>204</v>
      </c>
    </row>
    <row r="1267" spans="1:30" ht="17" x14ac:dyDescent="0.25">
      <c r="A1267" s="1" t="s">
        <v>1269</v>
      </c>
      <c r="B1267" s="1" t="s">
        <v>3920</v>
      </c>
      <c r="C1267" s="1" t="s">
        <v>2596</v>
      </c>
      <c r="D1267" t="str">
        <f t="shared" si="174"/>
        <v>CCCAC9</v>
      </c>
      <c r="E1267" t="str">
        <f t="shared" si="175"/>
        <v>204-202-201</v>
      </c>
      <c r="F1267" t="str">
        <f t="shared" si="176"/>
        <v>204202201</v>
      </c>
      <c r="G1267">
        <f t="shared" si="177"/>
        <v>204</v>
      </c>
      <c r="H1267">
        <f t="shared" si="178"/>
        <v>202</v>
      </c>
      <c r="I1267">
        <f t="shared" si="179"/>
        <v>201</v>
      </c>
      <c r="J1267" t="str">
        <f t="shared" si="171"/>
        <v>sup",</v>
      </c>
      <c r="K1267" t="str">
        <f t="shared" si="171"/>
        <v>supraoptic commissures",</v>
      </c>
      <c r="L1267" t="str">
        <f t="shared" si="172"/>
        <v>sup</v>
      </c>
      <c r="M1267" t="str">
        <f t="shared" si="172"/>
        <v>supraoptic commissures</v>
      </c>
      <c r="N1267" t="s">
        <v>6990</v>
      </c>
      <c r="O1267" t="s">
        <v>6991</v>
      </c>
      <c r="Y1267" t="s">
        <v>6990</v>
      </c>
      <c r="Z1267" t="s">
        <v>6991</v>
      </c>
      <c r="AA1267" s="6">
        <f t="shared" si="173"/>
        <v>349</v>
      </c>
      <c r="AB1267">
        <v>204</v>
      </c>
      <c r="AC1267">
        <v>202</v>
      </c>
      <c r="AD1267">
        <v>201</v>
      </c>
    </row>
    <row r="1268" spans="1:30" ht="17" x14ac:dyDescent="0.25">
      <c r="A1268" s="1" t="s">
        <v>1270</v>
      </c>
      <c r="B1268" s="1" t="s">
        <v>3921</v>
      </c>
      <c r="C1268" s="1" t="s">
        <v>2597</v>
      </c>
      <c r="D1268" t="str">
        <f t="shared" si="174"/>
        <v>C9C8CC</v>
      </c>
      <c r="E1268" t="str">
        <f t="shared" si="175"/>
        <v>201-200-204</v>
      </c>
      <c r="F1268" t="str">
        <f t="shared" si="176"/>
        <v>201200204</v>
      </c>
      <c r="G1268">
        <f t="shared" si="177"/>
        <v>201</v>
      </c>
      <c r="H1268">
        <f t="shared" si="178"/>
        <v>200</v>
      </c>
      <c r="I1268">
        <f t="shared" si="179"/>
        <v>204</v>
      </c>
      <c r="J1268" t="str">
        <f t="shared" si="171"/>
        <v>supa",</v>
      </c>
      <c r="K1268" t="str">
        <f t="shared" si="171"/>
        <v>supraoptic commissures, anterior",</v>
      </c>
      <c r="L1268" t="str">
        <f t="shared" si="172"/>
        <v>supa</v>
      </c>
      <c r="M1268" t="str">
        <f t="shared" si="172"/>
        <v>supraoptic commissures, anterior</v>
      </c>
      <c r="N1268" t="s">
        <v>6992</v>
      </c>
      <c r="O1268" t="s">
        <v>6993</v>
      </c>
      <c r="Y1268" t="s">
        <v>6992</v>
      </c>
      <c r="Z1268" t="s">
        <v>6993</v>
      </c>
      <c r="AA1268" s="6" t="str">
        <f t="shared" si="173"/>
        <v/>
      </c>
      <c r="AB1268">
        <v>201</v>
      </c>
      <c r="AC1268">
        <v>200</v>
      </c>
      <c r="AD1268">
        <v>204</v>
      </c>
    </row>
    <row r="1269" spans="1:30" ht="17" x14ac:dyDescent="0.25">
      <c r="A1269" s="1" t="s">
        <v>1271</v>
      </c>
      <c r="B1269" s="1" t="s">
        <v>3922</v>
      </c>
      <c r="C1269" s="1" t="s">
        <v>2598</v>
      </c>
      <c r="D1269" t="str">
        <f t="shared" si="174"/>
        <v>C8C9CC</v>
      </c>
      <c r="E1269" t="str">
        <f t="shared" si="175"/>
        <v>200-201-204</v>
      </c>
      <c r="F1269" t="str">
        <f t="shared" si="176"/>
        <v>200201204</v>
      </c>
      <c r="G1269">
        <f t="shared" si="177"/>
        <v>200</v>
      </c>
      <c r="H1269">
        <f t="shared" si="178"/>
        <v>201</v>
      </c>
      <c r="I1269">
        <f t="shared" si="179"/>
        <v>204</v>
      </c>
      <c r="J1269" t="str">
        <f t="shared" si="171"/>
        <v>supd",</v>
      </c>
      <c r="K1269" t="str">
        <f t="shared" si="171"/>
        <v>supraoptic commissures, dorsal",</v>
      </c>
      <c r="L1269" t="str">
        <f t="shared" si="172"/>
        <v>supd</v>
      </c>
      <c r="M1269" t="str">
        <f t="shared" si="172"/>
        <v>supraoptic commissures, dorsal</v>
      </c>
      <c r="N1269" t="s">
        <v>6994</v>
      </c>
      <c r="O1269" t="s">
        <v>6995</v>
      </c>
      <c r="Y1269" t="s">
        <v>6994</v>
      </c>
      <c r="Z1269" t="s">
        <v>6995</v>
      </c>
      <c r="AA1269" s="6" t="str">
        <f t="shared" si="173"/>
        <v/>
      </c>
      <c r="AB1269">
        <v>200</v>
      </c>
      <c r="AC1269">
        <v>201</v>
      </c>
      <c r="AD1269">
        <v>204</v>
      </c>
    </row>
    <row r="1270" spans="1:30" ht="17" x14ac:dyDescent="0.25">
      <c r="A1270" s="1" t="s">
        <v>1272</v>
      </c>
      <c r="B1270" s="1" t="s">
        <v>3923</v>
      </c>
      <c r="C1270" s="1" t="s">
        <v>2599</v>
      </c>
      <c r="D1270" t="str">
        <f t="shared" si="174"/>
        <v>CBC7C9</v>
      </c>
      <c r="E1270" t="str">
        <f t="shared" si="175"/>
        <v>203-199-201</v>
      </c>
      <c r="F1270" t="str">
        <f t="shared" si="176"/>
        <v>203199201</v>
      </c>
      <c r="G1270">
        <f t="shared" si="177"/>
        <v>203</v>
      </c>
      <c r="H1270">
        <f t="shared" si="178"/>
        <v>199</v>
      </c>
      <c r="I1270">
        <f t="shared" si="179"/>
        <v>201</v>
      </c>
      <c r="J1270" t="str">
        <f t="shared" si="171"/>
        <v>supv",</v>
      </c>
      <c r="K1270" t="str">
        <f t="shared" si="171"/>
        <v>supraoptic commissures, ventral",</v>
      </c>
      <c r="L1270" t="str">
        <f t="shared" si="172"/>
        <v>supv</v>
      </c>
      <c r="M1270" t="str">
        <f t="shared" si="172"/>
        <v>supraoptic commissures, ventral</v>
      </c>
      <c r="N1270" t="s">
        <v>6996</v>
      </c>
      <c r="O1270" t="s">
        <v>6997</v>
      </c>
      <c r="Y1270" t="s">
        <v>6996</v>
      </c>
      <c r="Z1270" t="s">
        <v>6997</v>
      </c>
      <c r="AA1270" s="6" t="str">
        <f t="shared" si="173"/>
        <v/>
      </c>
      <c r="AB1270">
        <v>203</v>
      </c>
      <c r="AC1270">
        <v>199</v>
      </c>
      <c r="AD1270">
        <v>201</v>
      </c>
    </row>
    <row r="1271" spans="1:30" ht="17" x14ac:dyDescent="0.25">
      <c r="A1271" s="1" t="s">
        <v>1273</v>
      </c>
      <c r="B1271" s="1" t="s">
        <v>3924</v>
      </c>
      <c r="C1271" s="1" t="s">
        <v>2600</v>
      </c>
      <c r="D1271" t="str">
        <f t="shared" si="174"/>
        <v>C7CBC8</v>
      </c>
      <c r="E1271" t="str">
        <f t="shared" si="175"/>
        <v>199-203-200</v>
      </c>
      <c r="F1271" t="str">
        <f t="shared" si="176"/>
        <v>199203200</v>
      </c>
      <c r="G1271">
        <f t="shared" si="177"/>
        <v>199</v>
      </c>
      <c r="H1271">
        <f t="shared" si="178"/>
        <v>203</v>
      </c>
      <c r="I1271">
        <f t="shared" si="179"/>
        <v>200</v>
      </c>
      <c r="J1271" t="str">
        <f t="shared" si="171"/>
        <v>pmx",</v>
      </c>
      <c r="K1271" t="str">
        <f t="shared" si="171"/>
        <v>premammillary commissure",</v>
      </c>
      <c r="L1271" t="str">
        <f t="shared" si="172"/>
        <v>pmx</v>
      </c>
      <c r="M1271" t="str">
        <f t="shared" si="172"/>
        <v>premammillary commissure</v>
      </c>
      <c r="N1271" t="s">
        <v>6998</v>
      </c>
      <c r="O1271" t="s">
        <v>6999</v>
      </c>
      <c r="Y1271" t="s">
        <v>6998</v>
      </c>
      <c r="Z1271" t="s">
        <v>6999</v>
      </c>
      <c r="AA1271" s="6" t="str">
        <f t="shared" si="173"/>
        <v/>
      </c>
      <c r="AB1271">
        <v>199</v>
      </c>
      <c r="AC1271">
        <v>203</v>
      </c>
      <c r="AD1271">
        <v>200</v>
      </c>
    </row>
    <row r="1272" spans="1:30" ht="17" x14ac:dyDescent="0.25">
      <c r="A1272" s="1" t="s">
        <v>1274</v>
      </c>
      <c r="B1272" s="1" t="s">
        <v>3925</v>
      </c>
      <c r="C1272" s="1" t="s">
        <v>2601</v>
      </c>
      <c r="D1272" t="str">
        <f t="shared" si="174"/>
        <v>CACACA</v>
      </c>
      <c r="E1272" t="str">
        <f t="shared" si="175"/>
        <v>202-202-202</v>
      </c>
      <c r="F1272" t="str">
        <f t="shared" si="176"/>
        <v>202202202</v>
      </c>
      <c r="G1272">
        <f t="shared" si="177"/>
        <v>202</v>
      </c>
      <c r="H1272">
        <f t="shared" si="178"/>
        <v>202</v>
      </c>
      <c r="I1272">
        <f t="shared" si="179"/>
        <v>202</v>
      </c>
      <c r="J1272" t="str">
        <f t="shared" si="171"/>
        <v>smd",</v>
      </c>
      <c r="K1272" t="str">
        <f t="shared" si="171"/>
        <v>supramammillary decussation",</v>
      </c>
      <c r="L1272" t="str">
        <f t="shared" si="172"/>
        <v>smd</v>
      </c>
      <c r="M1272" t="str">
        <f t="shared" si="172"/>
        <v>supramammillary decussation</v>
      </c>
      <c r="N1272" t="s">
        <v>7000</v>
      </c>
      <c r="O1272" t="s">
        <v>7001</v>
      </c>
      <c r="Y1272" t="s">
        <v>7000</v>
      </c>
      <c r="Z1272" t="s">
        <v>7001</v>
      </c>
      <c r="AA1272" s="6" t="str">
        <f t="shared" si="173"/>
        <v/>
      </c>
      <c r="AB1272">
        <v>202</v>
      </c>
      <c r="AC1272">
        <v>202</v>
      </c>
      <c r="AD1272">
        <v>202</v>
      </c>
    </row>
    <row r="1273" spans="1:30" ht="17" x14ac:dyDescent="0.25">
      <c r="A1273" s="1" t="s">
        <v>1275</v>
      </c>
      <c r="B1273" s="1" t="s">
        <v>3926</v>
      </c>
      <c r="C1273" s="1" t="s">
        <v>2602</v>
      </c>
      <c r="D1273" t="str">
        <f t="shared" si="174"/>
        <v>CCCCC9</v>
      </c>
      <c r="E1273" t="str">
        <f t="shared" si="175"/>
        <v>204-204-201</v>
      </c>
      <c r="F1273" t="str">
        <f t="shared" si="176"/>
        <v>204204201</v>
      </c>
      <c r="G1273">
        <f t="shared" si="177"/>
        <v>204</v>
      </c>
      <c r="H1273">
        <f t="shared" si="178"/>
        <v>204</v>
      </c>
      <c r="I1273">
        <f t="shared" si="179"/>
        <v>201</v>
      </c>
      <c r="J1273" t="str">
        <f t="shared" si="171"/>
        <v>php",</v>
      </c>
      <c r="K1273" t="str">
        <f t="shared" si="171"/>
        <v>propriohypothalamic pathways",</v>
      </c>
      <c r="L1273" t="str">
        <f t="shared" si="172"/>
        <v>php</v>
      </c>
      <c r="M1273" t="str">
        <f t="shared" si="172"/>
        <v>propriohypothalamic pathways</v>
      </c>
      <c r="N1273" t="s">
        <v>7002</v>
      </c>
      <c r="O1273" t="s">
        <v>7003</v>
      </c>
      <c r="Y1273" t="s">
        <v>7002</v>
      </c>
      <c r="Z1273" t="s">
        <v>7003</v>
      </c>
      <c r="AA1273" s="6" t="str">
        <f t="shared" si="173"/>
        <v/>
      </c>
      <c r="AB1273">
        <v>204</v>
      </c>
      <c r="AC1273">
        <v>204</v>
      </c>
      <c r="AD1273">
        <v>201</v>
      </c>
    </row>
    <row r="1274" spans="1:30" ht="17" x14ac:dyDescent="0.25">
      <c r="A1274" s="1" t="s">
        <v>1276</v>
      </c>
      <c r="B1274" s="1" t="s">
        <v>3927</v>
      </c>
      <c r="C1274" s="1" t="s">
        <v>2603</v>
      </c>
      <c r="D1274" t="str">
        <f t="shared" si="174"/>
        <v>CAC9C9</v>
      </c>
      <c r="E1274" t="str">
        <f t="shared" si="175"/>
        <v>202-201-201</v>
      </c>
      <c r="F1274" t="str">
        <f t="shared" si="176"/>
        <v>202201201</v>
      </c>
      <c r="G1274">
        <f t="shared" si="177"/>
        <v>202</v>
      </c>
      <c r="H1274">
        <f t="shared" si="178"/>
        <v>201</v>
      </c>
      <c r="I1274">
        <f t="shared" si="179"/>
        <v>201</v>
      </c>
      <c r="J1274" t="str">
        <f t="shared" si="171"/>
        <v>phpd",</v>
      </c>
      <c r="K1274" t="str">
        <f t="shared" si="171"/>
        <v>propriohypothalamic pathways, dorsal",</v>
      </c>
      <c r="L1274" t="str">
        <f t="shared" si="172"/>
        <v>phpd</v>
      </c>
      <c r="M1274" t="str">
        <f t="shared" si="172"/>
        <v>propriohypothalamic pathways, dorsal</v>
      </c>
      <c r="N1274" t="s">
        <v>7004</v>
      </c>
      <c r="O1274" t="s">
        <v>7005</v>
      </c>
      <c r="Y1274" t="s">
        <v>7004</v>
      </c>
      <c r="Z1274" t="s">
        <v>7005</v>
      </c>
      <c r="AA1274" s="6" t="str">
        <f t="shared" si="173"/>
        <v/>
      </c>
      <c r="AB1274">
        <v>202</v>
      </c>
      <c r="AC1274">
        <v>201</v>
      </c>
      <c r="AD1274">
        <v>201</v>
      </c>
    </row>
    <row r="1275" spans="1:30" ht="17" x14ac:dyDescent="0.25">
      <c r="A1275" s="1" t="s">
        <v>1277</v>
      </c>
      <c r="B1275" s="1" t="s">
        <v>3928</v>
      </c>
      <c r="C1275" s="1" t="s">
        <v>2604</v>
      </c>
      <c r="D1275" t="str">
        <f t="shared" si="174"/>
        <v>C9CAC9</v>
      </c>
      <c r="E1275" t="str">
        <f t="shared" si="175"/>
        <v>201-202-201</v>
      </c>
      <c r="F1275" t="str">
        <f t="shared" si="176"/>
        <v>201202201</v>
      </c>
      <c r="G1275">
        <f t="shared" si="177"/>
        <v>201</v>
      </c>
      <c r="H1275">
        <f t="shared" si="178"/>
        <v>202</v>
      </c>
      <c r="I1275">
        <f t="shared" si="179"/>
        <v>201</v>
      </c>
      <c r="J1275" t="str">
        <f t="shared" si="171"/>
        <v>phpl",</v>
      </c>
      <c r="K1275" t="str">
        <f t="shared" si="171"/>
        <v>propriohypothalamic pathways, lateral",</v>
      </c>
      <c r="L1275" t="str">
        <f t="shared" si="172"/>
        <v>phpl</v>
      </c>
      <c r="M1275" t="str">
        <f t="shared" si="172"/>
        <v>propriohypothalamic pathways, lateral</v>
      </c>
      <c r="N1275" t="s">
        <v>7006</v>
      </c>
      <c r="O1275" t="s">
        <v>7007</v>
      </c>
      <c r="Y1275" t="s">
        <v>7006</v>
      </c>
      <c r="Z1275" t="s">
        <v>7007</v>
      </c>
      <c r="AA1275" s="6" t="str">
        <f t="shared" si="173"/>
        <v/>
      </c>
      <c r="AB1275">
        <v>201</v>
      </c>
      <c r="AC1275">
        <v>202</v>
      </c>
      <c r="AD1275">
        <v>201</v>
      </c>
    </row>
    <row r="1276" spans="1:30" ht="17" x14ac:dyDescent="0.25">
      <c r="A1276" s="1" t="s">
        <v>1278</v>
      </c>
      <c r="B1276" s="1" t="s">
        <v>3929</v>
      </c>
      <c r="C1276" s="1" t="s">
        <v>2605</v>
      </c>
      <c r="D1276" t="str">
        <f t="shared" si="174"/>
        <v>CCC9CB</v>
      </c>
      <c r="E1276" t="str">
        <f t="shared" si="175"/>
        <v>204-201-203</v>
      </c>
      <c r="F1276" t="str">
        <f t="shared" si="176"/>
        <v>204201203</v>
      </c>
      <c r="G1276">
        <f t="shared" si="177"/>
        <v>204</v>
      </c>
      <c r="H1276">
        <f t="shared" si="178"/>
        <v>201</v>
      </c>
      <c r="I1276">
        <f t="shared" si="179"/>
        <v>203</v>
      </c>
      <c r="J1276" t="str">
        <f t="shared" si="171"/>
        <v>phpm",</v>
      </c>
      <c r="K1276" t="str">
        <f t="shared" si="171"/>
        <v>propriohypothalamic pathways, medial",</v>
      </c>
      <c r="L1276" t="str">
        <f t="shared" si="172"/>
        <v>phpm</v>
      </c>
      <c r="M1276" t="str">
        <f t="shared" si="172"/>
        <v>propriohypothalamic pathways, medial</v>
      </c>
      <c r="N1276" t="s">
        <v>7008</v>
      </c>
      <c r="O1276" t="s">
        <v>7009</v>
      </c>
      <c r="Y1276" t="s">
        <v>7008</v>
      </c>
      <c r="Z1276" t="s">
        <v>7009</v>
      </c>
      <c r="AA1276" s="6" t="str">
        <f t="shared" si="173"/>
        <v/>
      </c>
      <c r="AB1276">
        <v>204</v>
      </c>
      <c r="AC1276">
        <v>201</v>
      </c>
      <c r="AD1276">
        <v>203</v>
      </c>
    </row>
    <row r="1277" spans="1:30" ht="17" x14ac:dyDescent="0.25">
      <c r="A1277" s="1" t="s">
        <v>1279</v>
      </c>
      <c r="B1277" s="1" t="s">
        <v>3930</v>
      </c>
      <c r="C1277" s="1" t="s">
        <v>2606</v>
      </c>
      <c r="D1277" t="str">
        <f t="shared" si="174"/>
        <v>CACAC8</v>
      </c>
      <c r="E1277" t="str">
        <f t="shared" si="175"/>
        <v>202-202-200</v>
      </c>
      <c r="F1277" t="str">
        <f t="shared" si="176"/>
        <v>202202200</v>
      </c>
      <c r="G1277">
        <f t="shared" si="177"/>
        <v>202</v>
      </c>
      <c r="H1277">
        <f t="shared" si="178"/>
        <v>202</v>
      </c>
      <c r="I1277">
        <f t="shared" si="179"/>
        <v>200</v>
      </c>
      <c r="J1277" t="str">
        <f t="shared" si="171"/>
        <v>phpv",</v>
      </c>
      <c r="K1277" t="str">
        <f t="shared" si="171"/>
        <v>propriohypothalamic pathways, ventral",</v>
      </c>
      <c r="L1277" t="str">
        <f t="shared" si="172"/>
        <v>phpv</v>
      </c>
      <c r="M1277" t="str">
        <f t="shared" si="172"/>
        <v>propriohypothalamic pathways, ventral</v>
      </c>
      <c r="N1277" t="s">
        <v>7010</v>
      </c>
      <c r="O1277" t="s">
        <v>7011</v>
      </c>
      <c r="Y1277" t="s">
        <v>7010</v>
      </c>
      <c r="Z1277" t="s">
        <v>7011</v>
      </c>
      <c r="AA1277" s="6" t="str">
        <f t="shared" si="173"/>
        <v/>
      </c>
      <c r="AB1277">
        <v>202</v>
      </c>
      <c r="AC1277">
        <v>202</v>
      </c>
      <c r="AD1277">
        <v>200</v>
      </c>
    </row>
    <row r="1278" spans="1:30" ht="17" x14ac:dyDescent="0.25">
      <c r="A1278" s="1" t="s">
        <v>1280</v>
      </c>
      <c r="B1278" s="1" t="s">
        <v>3931</v>
      </c>
      <c r="C1278" s="1" t="s">
        <v>2607</v>
      </c>
      <c r="D1278" t="str">
        <f t="shared" si="174"/>
        <v>CACBCB</v>
      </c>
      <c r="E1278" t="str">
        <f t="shared" si="175"/>
        <v>202-203-203</v>
      </c>
      <c r="F1278" t="str">
        <f t="shared" si="176"/>
        <v>202203203</v>
      </c>
      <c r="G1278">
        <f t="shared" si="177"/>
        <v>202</v>
      </c>
      <c r="H1278">
        <f t="shared" si="178"/>
        <v>203</v>
      </c>
      <c r="I1278">
        <f t="shared" si="179"/>
        <v>203</v>
      </c>
      <c r="J1278" t="str">
        <f t="shared" si="171"/>
        <v>pvbh",</v>
      </c>
      <c r="K1278" t="str">
        <f t="shared" si="171"/>
        <v>periventricular bundle of the hypothalamus",</v>
      </c>
      <c r="L1278" t="str">
        <f t="shared" si="172"/>
        <v>pvbh</v>
      </c>
      <c r="M1278" t="str">
        <f t="shared" si="172"/>
        <v>periventricular bundle of the hypothalamus</v>
      </c>
      <c r="N1278" t="s">
        <v>7012</v>
      </c>
      <c r="O1278" t="s">
        <v>7013</v>
      </c>
      <c r="Y1278" t="s">
        <v>7012</v>
      </c>
      <c r="Z1278" t="s">
        <v>7013</v>
      </c>
      <c r="AA1278" s="6" t="str">
        <f t="shared" si="173"/>
        <v/>
      </c>
      <c r="AB1278">
        <v>202</v>
      </c>
      <c r="AC1278">
        <v>203</v>
      </c>
      <c r="AD1278">
        <v>203</v>
      </c>
    </row>
    <row r="1279" spans="1:30" ht="17" x14ac:dyDescent="0.25">
      <c r="A1279" s="1" t="s">
        <v>1281</v>
      </c>
      <c r="B1279" s="1" t="s">
        <v>3932</v>
      </c>
      <c r="C1279" s="1" t="s">
        <v>2608</v>
      </c>
      <c r="D1279" t="str">
        <f t="shared" si="174"/>
        <v>CCCBCB</v>
      </c>
      <c r="E1279" t="str">
        <f t="shared" si="175"/>
        <v>204-203-203</v>
      </c>
      <c r="F1279" t="str">
        <f t="shared" si="176"/>
        <v>204203203</v>
      </c>
      <c r="G1279">
        <f t="shared" si="177"/>
        <v>204</v>
      </c>
      <c r="H1279">
        <f t="shared" si="178"/>
        <v>203</v>
      </c>
      <c r="I1279">
        <f t="shared" si="179"/>
        <v>203</v>
      </c>
      <c r="J1279" t="str">
        <f t="shared" si="171"/>
        <v>mfbsma",</v>
      </c>
      <c r="K1279" t="str">
        <f t="shared" si="171"/>
        <v>mammillary related",</v>
      </c>
      <c r="L1279" t="str">
        <f t="shared" si="172"/>
        <v>mfbsma</v>
      </c>
      <c r="M1279" t="str">
        <f t="shared" si="172"/>
        <v>mammillary related</v>
      </c>
      <c r="N1279" t="s">
        <v>7014</v>
      </c>
      <c r="O1279" t="s">
        <v>7015</v>
      </c>
      <c r="Y1279" t="s">
        <v>7014</v>
      </c>
      <c r="Z1279" t="s">
        <v>7015</v>
      </c>
      <c r="AA1279" s="6">
        <f t="shared" si="173"/>
        <v>46</v>
      </c>
      <c r="AB1279">
        <v>204</v>
      </c>
      <c r="AC1279">
        <v>203</v>
      </c>
      <c r="AD1279">
        <v>203</v>
      </c>
    </row>
    <row r="1280" spans="1:30" ht="17" x14ac:dyDescent="0.25">
      <c r="A1280" s="1" t="s">
        <v>1282</v>
      </c>
      <c r="B1280" s="1" t="s">
        <v>3933</v>
      </c>
      <c r="C1280" s="1" t="s">
        <v>2609</v>
      </c>
      <c r="D1280" t="str">
        <f t="shared" si="174"/>
        <v>C8CBCA</v>
      </c>
      <c r="E1280" t="str">
        <f t="shared" si="175"/>
        <v>200-203-202</v>
      </c>
      <c r="F1280" t="str">
        <f t="shared" si="176"/>
        <v>200203202</v>
      </c>
      <c r="G1280">
        <f t="shared" si="177"/>
        <v>200</v>
      </c>
      <c r="H1280">
        <f t="shared" si="178"/>
        <v>203</v>
      </c>
      <c r="I1280">
        <f t="shared" si="179"/>
        <v>202</v>
      </c>
      <c r="J1280" t="str">
        <f t="shared" si="171"/>
        <v>pm",</v>
      </c>
      <c r="K1280" t="str">
        <f t="shared" si="171"/>
        <v>principal mammillary tract",</v>
      </c>
      <c r="L1280" t="str">
        <f t="shared" si="172"/>
        <v>pm</v>
      </c>
      <c r="M1280" t="str">
        <f t="shared" si="172"/>
        <v>principal mammillary tract</v>
      </c>
      <c r="N1280" t="s">
        <v>7016</v>
      </c>
      <c r="O1280" t="s">
        <v>7017</v>
      </c>
      <c r="Y1280" t="s">
        <v>7016</v>
      </c>
      <c r="Z1280" t="s">
        <v>7017</v>
      </c>
      <c r="AA1280" s="6">
        <f t="shared" si="173"/>
        <v>753</v>
      </c>
      <c r="AB1280">
        <v>200</v>
      </c>
      <c r="AC1280">
        <v>203</v>
      </c>
      <c r="AD1280">
        <v>202</v>
      </c>
    </row>
    <row r="1281" spans="1:30" ht="17" x14ac:dyDescent="0.25">
      <c r="A1281" s="1" t="s">
        <v>1283</v>
      </c>
      <c r="B1281" s="1" t="s">
        <v>3934</v>
      </c>
      <c r="C1281" s="1" t="s">
        <v>2610</v>
      </c>
      <c r="D1281" t="str">
        <f t="shared" si="174"/>
        <v>C7C9CC</v>
      </c>
      <c r="E1281" t="str">
        <f t="shared" si="175"/>
        <v>199-201-204</v>
      </c>
      <c r="F1281" t="str">
        <f t="shared" si="176"/>
        <v>199201204</v>
      </c>
      <c r="G1281">
        <f t="shared" si="177"/>
        <v>199</v>
      </c>
      <c r="H1281">
        <f t="shared" si="178"/>
        <v>201</v>
      </c>
      <c r="I1281">
        <f t="shared" si="179"/>
        <v>204</v>
      </c>
      <c r="J1281" t="str">
        <f t="shared" si="171"/>
        <v>mtt",</v>
      </c>
      <c r="K1281" t="str">
        <f t="shared" si="171"/>
        <v>mammillothalamic tract",</v>
      </c>
      <c r="L1281" t="str">
        <f t="shared" si="172"/>
        <v>mtt</v>
      </c>
      <c r="M1281" t="str">
        <f t="shared" si="172"/>
        <v>mammillothalamic tract</v>
      </c>
      <c r="N1281" t="s">
        <v>7018</v>
      </c>
      <c r="O1281" t="s">
        <v>7019</v>
      </c>
      <c r="Y1281" t="s">
        <v>7018</v>
      </c>
      <c r="Z1281" t="s">
        <v>7019</v>
      </c>
      <c r="AA1281" s="6">
        <f t="shared" si="173"/>
        <v>690</v>
      </c>
      <c r="AB1281">
        <v>199</v>
      </c>
      <c r="AC1281">
        <v>201</v>
      </c>
      <c r="AD1281">
        <v>204</v>
      </c>
    </row>
    <row r="1282" spans="1:30" ht="17" x14ac:dyDescent="0.25">
      <c r="A1282" s="1" t="s">
        <v>1284</v>
      </c>
      <c r="B1282" s="1" t="s">
        <v>3935</v>
      </c>
      <c r="C1282" s="1" t="s">
        <v>2611</v>
      </c>
      <c r="D1282" t="str">
        <f t="shared" si="174"/>
        <v>C8C8C8</v>
      </c>
      <c r="E1282" t="str">
        <f t="shared" si="175"/>
        <v>200-200-200</v>
      </c>
      <c r="F1282" t="str">
        <f t="shared" si="176"/>
        <v>200200200</v>
      </c>
      <c r="G1282">
        <f t="shared" si="177"/>
        <v>200</v>
      </c>
      <c r="H1282">
        <f t="shared" si="178"/>
        <v>200</v>
      </c>
      <c r="I1282">
        <f t="shared" si="179"/>
        <v>200</v>
      </c>
      <c r="J1282" t="str">
        <f t="shared" si="171"/>
        <v>mtg",</v>
      </c>
      <c r="K1282" t="str">
        <f t="shared" si="171"/>
        <v>mammillotegmental tract",</v>
      </c>
      <c r="L1282" t="str">
        <f t="shared" si="172"/>
        <v>mtg</v>
      </c>
      <c r="M1282" t="str">
        <f t="shared" si="172"/>
        <v>mammillotegmental tract</v>
      </c>
      <c r="N1282" t="s">
        <v>7020</v>
      </c>
      <c r="O1282" t="s">
        <v>7021</v>
      </c>
      <c r="Y1282" t="s">
        <v>7020</v>
      </c>
      <c r="Z1282" t="s">
        <v>7021</v>
      </c>
      <c r="AA1282" s="6">
        <f t="shared" si="173"/>
        <v>681</v>
      </c>
      <c r="AB1282">
        <v>200</v>
      </c>
      <c r="AC1282">
        <v>200</v>
      </c>
      <c r="AD1282">
        <v>200</v>
      </c>
    </row>
    <row r="1283" spans="1:30" ht="17" x14ac:dyDescent="0.25">
      <c r="A1283" s="1" t="s">
        <v>1285</v>
      </c>
      <c r="B1283" s="1" t="s">
        <v>3936</v>
      </c>
      <c r="C1283" s="1" t="s">
        <v>2612</v>
      </c>
      <c r="D1283" t="str">
        <f t="shared" si="174"/>
        <v>CCCAC8</v>
      </c>
      <c r="E1283" t="str">
        <f t="shared" si="175"/>
        <v>204-202-200</v>
      </c>
      <c r="F1283" t="str">
        <f t="shared" si="176"/>
        <v>204202200</v>
      </c>
      <c r="G1283">
        <f t="shared" si="177"/>
        <v>204</v>
      </c>
      <c r="H1283">
        <f t="shared" si="178"/>
        <v>202</v>
      </c>
      <c r="I1283">
        <f t="shared" si="179"/>
        <v>200</v>
      </c>
      <c r="J1283" t="str">
        <f t="shared" ref="J1283:K1328" si="180">RIGHT(A1283,LEN(A1283)-3)</f>
        <v>mp",</v>
      </c>
      <c r="K1283" t="str">
        <f t="shared" si="180"/>
        <v>mammillary peduncle",</v>
      </c>
      <c r="L1283" t="str">
        <f t="shared" ref="L1283:M1328" si="181">LEFT(J1283,LEN(J1283)-2)</f>
        <v>mp</v>
      </c>
      <c r="M1283" t="str">
        <f t="shared" si="181"/>
        <v>mammillary peduncle</v>
      </c>
      <c r="N1283" t="s">
        <v>7022</v>
      </c>
      <c r="O1283" t="s">
        <v>7023</v>
      </c>
      <c r="Y1283" t="s">
        <v>7022</v>
      </c>
      <c r="Z1283" t="s">
        <v>7023</v>
      </c>
      <c r="AA1283" s="6">
        <f t="shared" ref="AA1283:AA1328" si="182">IFERROR(INDEX(R:R,MATCH($Z1283,S:S,0)),"")</f>
        <v>673</v>
      </c>
      <c r="AB1283">
        <v>204</v>
      </c>
      <c r="AC1283">
        <v>202</v>
      </c>
      <c r="AD1283">
        <v>200</v>
      </c>
    </row>
    <row r="1284" spans="1:30" ht="17" x14ac:dyDescent="0.25">
      <c r="A1284" s="1" t="s">
        <v>1286</v>
      </c>
      <c r="B1284" s="1" t="s">
        <v>3937</v>
      </c>
      <c r="C1284" s="1" t="s">
        <v>2613</v>
      </c>
      <c r="D1284" t="str">
        <f t="shared" ref="D1284:D1328" si="183">RIGHT(LEFT(C1284,9),6)</f>
        <v>CAC7CA</v>
      </c>
      <c r="E1284" t="str">
        <f t="shared" ref="E1284:E1328" si="184">HEX2DEC(LEFT(D1284,2))&amp;"-"&amp;HEX2DEC(MID(D1284,3,2))&amp;"-"&amp;HEX2DEC(RIGHT(D1284,2))</f>
        <v>202-199-202</v>
      </c>
      <c r="F1284" t="str">
        <f t="shared" ref="F1284:F1328" si="185">HEX2DEC(LEFT(D1284,2))&amp;HEX2DEC(MID(D1284,3,2))&amp;HEX2DEC(RIGHT(D1284,2))</f>
        <v>202199202</v>
      </c>
      <c r="G1284">
        <f t="shared" ref="G1284:G1328" si="186">HEX2DEC(LEFT(D1284,2))</f>
        <v>202</v>
      </c>
      <c r="H1284">
        <f t="shared" ref="H1284:H1328" si="187">HEX2DEC(MID(D1284,3,2))</f>
        <v>199</v>
      </c>
      <c r="I1284">
        <f t="shared" ref="I1284:I1328" si="188">HEX2DEC(RIGHT(D1284,2))</f>
        <v>202</v>
      </c>
      <c r="J1284" t="str">
        <f t="shared" si="180"/>
        <v>mfbst",</v>
      </c>
      <c r="K1284" t="str">
        <f t="shared" si="180"/>
        <v>dorsal thalamus related",</v>
      </c>
      <c r="L1284" t="str">
        <f t="shared" si="181"/>
        <v>mfbst</v>
      </c>
      <c r="M1284" t="str">
        <f t="shared" si="181"/>
        <v>dorsal thalamus related</v>
      </c>
      <c r="N1284" t="s">
        <v>7024</v>
      </c>
      <c r="O1284" t="s">
        <v>7025</v>
      </c>
      <c r="Y1284" t="s">
        <v>7024</v>
      </c>
      <c r="Z1284" t="s">
        <v>7025</v>
      </c>
      <c r="AA1284" s="6" t="str">
        <f t="shared" si="182"/>
        <v/>
      </c>
      <c r="AB1284">
        <v>202</v>
      </c>
      <c r="AC1284">
        <v>199</v>
      </c>
      <c r="AD1284">
        <v>202</v>
      </c>
    </row>
    <row r="1285" spans="1:30" ht="17" x14ac:dyDescent="0.25">
      <c r="A1285" s="1" t="s">
        <v>1287</v>
      </c>
      <c r="B1285" s="1" t="s">
        <v>3938</v>
      </c>
      <c r="C1285" s="1" t="s">
        <v>2614</v>
      </c>
      <c r="D1285" t="str">
        <f t="shared" si="183"/>
        <v>C8CCCA</v>
      </c>
      <c r="E1285" t="str">
        <f t="shared" si="184"/>
        <v>200-204-202</v>
      </c>
      <c r="F1285" t="str">
        <f t="shared" si="185"/>
        <v>200204202</v>
      </c>
      <c r="G1285">
        <f t="shared" si="186"/>
        <v>200</v>
      </c>
      <c r="H1285">
        <f t="shared" si="187"/>
        <v>204</v>
      </c>
      <c r="I1285">
        <f t="shared" si="188"/>
        <v>202</v>
      </c>
      <c r="J1285" t="str">
        <f t="shared" si="180"/>
        <v>pvbt",</v>
      </c>
      <c r="K1285" t="str">
        <f t="shared" si="180"/>
        <v>periventricular bundle of the thalamus",</v>
      </c>
      <c r="L1285" t="str">
        <f t="shared" si="181"/>
        <v>pvbt</v>
      </c>
      <c r="M1285" t="str">
        <f t="shared" si="181"/>
        <v>periventricular bundle of the thalamus</v>
      </c>
      <c r="N1285" t="s">
        <v>7026</v>
      </c>
      <c r="O1285" t="s">
        <v>7027</v>
      </c>
      <c r="Y1285" t="s">
        <v>7026</v>
      </c>
      <c r="Z1285" t="s">
        <v>7027</v>
      </c>
      <c r="AA1285" s="6" t="str">
        <f t="shared" si="182"/>
        <v/>
      </c>
      <c r="AB1285">
        <v>200</v>
      </c>
      <c r="AC1285">
        <v>204</v>
      </c>
      <c r="AD1285">
        <v>202</v>
      </c>
    </row>
    <row r="1286" spans="1:30" ht="17" x14ac:dyDescent="0.25">
      <c r="A1286" s="1" t="s">
        <v>1288</v>
      </c>
      <c r="B1286" s="1" t="s">
        <v>3939</v>
      </c>
      <c r="C1286" s="1" t="s">
        <v>2615</v>
      </c>
      <c r="D1286" t="str">
        <f t="shared" si="183"/>
        <v>C8C7CB</v>
      </c>
      <c r="E1286" t="str">
        <f t="shared" si="184"/>
        <v>200-199-203</v>
      </c>
      <c r="F1286" t="str">
        <f t="shared" si="185"/>
        <v>200199203</v>
      </c>
      <c r="G1286">
        <f t="shared" si="186"/>
        <v>200</v>
      </c>
      <c r="H1286">
        <f t="shared" si="187"/>
        <v>199</v>
      </c>
      <c r="I1286">
        <f t="shared" si="188"/>
        <v>203</v>
      </c>
      <c r="J1286" t="str">
        <f t="shared" si="180"/>
        <v>mfbse",</v>
      </c>
      <c r="K1286" t="str">
        <f t="shared" si="180"/>
        <v>epithalamus related",</v>
      </c>
      <c r="L1286" t="str">
        <f t="shared" si="181"/>
        <v>mfbse</v>
      </c>
      <c r="M1286" t="str">
        <f t="shared" si="181"/>
        <v>epithalamus related</v>
      </c>
      <c r="N1286" t="s">
        <v>7028</v>
      </c>
      <c r="O1286" t="s">
        <v>7029</v>
      </c>
      <c r="Y1286" t="s">
        <v>7028</v>
      </c>
      <c r="Z1286" t="s">
        <v>7029</v>
      </c>
      <c r="AA1286" s="6">
        <f t="shared" si="182"/>
        <v>1083</v>
      </c>
      <c r="AB1286">
        <v>200</v>
      </c>
      <c r="AC1286">
        <v>199</v>
      </c>
      <c r="AD1286">
        <v>203</v>
      </c>
    </row>
    <row r="1287" spans="1:30" ht="17" x14ac:dyDescent="0.25">
      <c r="A1287" s="1" t="s">
        <v>1289</v>
      </c>
      <c r="B1287" s="1" t="s">
        <v>3940</v>
      </c>
      <c r="C1287" s="1" t="s">
        <v>2616</v>
      </c>
      <c r="D1287" t="str">
        <f t="shared" si="183"/>
        <v>CCC9C8</v>
      </c>
      <c r="E1287" t="str">
        <f t="shared" si="184"/>
        <v>204-201-200</v>
      </c>
      <c r="F1287" t="str">
        <f t="shared" si="185"/>
        <v>204201200</v>
      </c>
      <c r="G1287">
        <f t="shared" si="186"/>
        <v>204</v>
      </c>
      <c r="H1287">
        <f t="shared" si="187"/>
        <v>201</v>
      </c>
      <c r="I1287">
        <f t="shared" si="188"/>
        <v>200</v>
      </c>
      <c r="J1287" t="str">
        <f t="shared" si="180"/>
        <v>sm",</v>
      </c>
      <c r="K1287" t="str">
        <f t="shared" si="180"/>
        <v>stria medullaris",</v>
      </c>
      <c r="L1287" t="str">
        <f t="shared" si="181"/>
        <v>sm</v>
      </c>
      <c r="M1287" t="str">
        <f t="shared" si="181"/>
        <v>stria medullaris</v>
      </c>
      <c r="N1287" t="s">
        <v>7030</v>
      </c>
      <c r="O1287" t="s">
        <v>7031</v>
      </c>
      <c r="Y1287" t="s">
        <v>7030</v>
      </c>
      <c r="Z1287" t="s">
        <v>7031</v>
      </c>
      <c r="AA1287" s="6">
        <f t="shared" si="182"/>
        <v>802</v>
      </c>
      <c r="AB1287">
        <v>204</v>
      </c>
      <c r="AC1287">
        <v>201</v>
      </c>
      <c r="AD1287">
        <v>200</v>
      </c>
    </row>
    <row r="1288" spans="1:30" ht="17" x14ac:dyDescent="0.25">
      <c r="A1288" s="1" t="s">
        <v>1290</v>
      </c>
      <c r="B1288" s="1" t="s">
        <v>3941</v>
      </c>
      <c r="C1288" s="1" t="s">
        <v>2617</v>
      </c>
      <c r="D1288" t="str">
        <f t="shared" si="183"/>
        <v>C7CAC9</v>
      </c>
      <c r="E1288" t="str">
        <f t="shared" si="184"/>
        <v>199-202-201</v>
      </c>
      <c r="F1288" t="str">
        <f t="shared" si="185"/>
        <v>199202201</v>
      </c>
      <c r="G1288">
        <f t="shared" si="186"/>
        <v>199</v>
      </c>
      <c r="H1288">
        <f t="shared" si="187"/>
        <v>202</v>
      </c>
      <c r="I1288">
        <f t="shared" si="188"/>
        <v>201</v>
      </c>
      <c r="J1288" t="str">
        <f t="shared" si="180"/>
        <v>fr",</v>
      </c>
      <c r="K1288" t="str">
        <f t="shared" si="180"/>
        <v>fasciculus retroflexus",</v>
      </c>
      <c r="L1288" t="str">
        <f t="shared" si="181"/>
        <v>fr</v>
      </c>
      <c r="M1288" t="str">
        <f t="shared" si="181"/>
        <v>fasciculus retroflexus</v>
      </c>
      <c r="N1288" t="s">
        <v>7032</v>
      </c>
      <c r="O1288" t="s">
        <v>7033</v>
      </c>
      <c r="Y1288" t="s">
        <v>7032</v>
      </c>
      <c r="Z1288" t="s">
        <v>7033</v>
      </c>
      <c r="AA1288" s="6">
        <f t="shared" si="182"/>
        <v>595</v>
      </c>
      <c r="AB1288">
        <v>199</v>
      </c>
      <c r="AC1288">
        <v>202</v>
      </c>
      <c r="AD1288">
        <v>201</v>
      </c>
    </row>
    <row r="1289" spans="1:30" ht="17" x14ac:dyDescent="0.25">
      <c r="A1289" s="1" t="s">
        <v>1291</v>
      </c>
      <c r="B1289" s="1" t="s">
        <v>3942</v>
      </c>
      <c r="C1289" s="1" t="s">
        <v>2618</v>
      </c>
      <c r="D1289" t="str">
        <f t="shared" si="183"/>
        <v>C8CCC7</v>
      </c>
      <c r="E1289" t="str">
        <f t="shared" si="184"/>
        <v>200-204-199</v>
      </c>
      <c r="F1289" t="str">
        <f t="shared" si="185"/>
        <v>200204199</v>
      </c>
      <c r="G1289">
        <f t="shared" si="186"/>
        <v>200</v>
      </c>
      <c r="H1289">
        <f t="shared" si="187"/>
        <v>204</v>
      </c>
      <c r="I1289">
        <f t="shared" si="188"/>
        <v>199</v>
      </c>
      <c r="J1289" t="str">
        <f t="shared" si="180"/>
        <v>hbc",</v>
      </c>
      <c r="K1289" t="str">
        <f t="shared" si="180"/>
        <v>habenular commissure",</v>
      </c>
      <c r="L1289" t="str">
        <f t="shared" si="181"/>
        <v>hbc</v>
      </c>
      <c r="M1289" t="str">
        <f t="shared" si="181"/>
        <v>habenular commissure</v>
      </c>
      <c r="N1289" t="s">
        <v>7034</v>
      </c>
      <c r="O1289" t="s">
        <v>7035</v>
      </c>
      <c r="Y1289" t="s">
        <v>7034</v>
      </c>
      <c r="Z1289" t="s">
        <v>7035</v>
      </c>
      <c r="AA1289" s="6">
        <f t="shared" si="182"/>
        <v>611</v>
      </c>
      <c r="AB1289">
        <v>200</v>
      </c>
      <c r="AC1289">
        <v>204</v>
      </c>
      <c r="AD1289">
        <v>199</v>
      </c>
    </row>
    <row r="1290" spans="1:30" ht="17" x14ac:dyDescent="0.25">
      <c r="A1290" s="1" t="s">
        <v>1292</v>
      </c>
      <c r="B1290" s="1" t="s">
        <v>3943</v>
      </c>
      <c r="C1290" s="1" t="s">
        <v>2619</v>
      </c>
      <c r="D1290" t="str">
        <f t="shared" si="183"/>
        <v>C8CACC</v>
      </c>
      <c r="E1290" t="str">
        <f t="shared" si="184"/>
        <v>200-202-204</v>
      </c>
      <c r="F1290" t="str">
        <f t="shared" si="185"/>
        <v>200202204</v>
      </c>
      <c r="G1290">
        <f t="shared" si="186"/>
        <v>200</v>
      </c>
      <c r="H1290">
        <f t="shared" si="187"/>
        <v>202</v>
      </c>
      <c r="I1290">
        <f t="shared" si="188"/>
        <v>204</v>
      </c>
      <c r="J1290" t="str">
        <f t="shared" si="180"/>
        <v>PIS",</v>
      </c>
      <c r="K1290" t="str">
        <f t="shared" si="180"/>
        <v>pineal stalk",</v>
      </c>
      <c r="L1290" t="str">
        <f t="shared" si="181"/>
        <v>PIS</v>
      </c>
      <c r="M1290" t="str">
        <f t="shared" si="181"/>
        <v>pineal stalk</v>
      </c>
      <c r="N1290" t="s">
        <v>7036</v>
      </c>
      <c r="O1290" t="s">
        <v>7037</v>
      </c>
      <c r="Y1290" t="s">
        <v>7036</v>
      </c>
      <c r="Z1290" t="s">
        <v>7037</v>
      </c>
      <c r="AA1290" s="6" t="str">
        <f t="shared" si="182"/>
        <v/>
      </c>
      <c r="AB1290">
        <v>200</v>
      </c>
      <c r="AC1290">
        <v>202</v>
      </c>
      <c r="AD1290">
        <v>204</v>
      </c>
    </row>
    <row r="1291" spans="1:30" ht="17" x14ac:dyDescent="0.25">
      <c r="A1291" s="1" t="s">
        <v>1293</v>
      </c>
      <c r="B1291" s="1" t="s">
        <v>3944</v>
      </c>
      <c r="C1291" s="1" t="s">
        <v>2620</v>
      </c>
      <c r="D1291" t="str">
        <f t="shared" si="183"/>
        <v>CBCBCB</v>
      </c>
      <c r="E1291" t="str">
        <f t="shared" si="184"/>
        <v>203-203-203</v>
      </c>
      <c r="F1291" t="str">
        <f t="shared" si="185"/>
        <v>203203203</v>
      </c>
      <c r="G1291">
        <f t="shared" si="186"/>
        <v>203</v>
      </c>
      <c r="H1291">
        <f t="shared" si="187"/>
        <v>203</v>
      </c>
      <c r="I1291">
        <f t="shared" si="188"/>
        <v>203</v>
      </c>
      <c r="J1291" t="str">
        <f t="shared" si="180"/>
        <v>mfbsm",</v>
      </c>
      <c r="K1291" t="str">
        <f t="shared" si="180"/>
        <v>midbrain related",</v>
      </c>
      <c r="L1291" t="str">
        <f t="shared" si="181"/>
        <v>mfbsm</v>
      </c>
      <c r="M1291" t="str">
        <f t="shared" si="181"/>
        <v>midbrain related</v>
      </c>
      <c r="N1291" t="s">
        <v>7038</v>
      </c>
      <c r="O1291" t="s">
        <v>7039</v>
      </c>
      <c r="Y1291" t="s">
        <v>7038</v>
      </c>
      <c r="Z1291" t="s">
        <v>7039</v>
      </c>
      <c r="AA1291" s="6" t="str">
        <f t="shared" si="182"/>
        <v/>
      </c>
      <c r="AB1291">
        <v>203</v>
      </c>
      <c r="AC1291">
        <v>203</v>
      </c>
      <c r="AD1291">
        <v>203</v>
      </c>
    </row>
    <row r="1292" spans="1:30" ht="17" x14ac:dyDescent="0.25">
      <c r="A1292" s="1" t="s">
        <v>1294</v>
      </c>
      <c r="B1292" s="1" t="s">
        <v>3945</v>
      </c>
      <c r="C1292" s="1" t="s">
        <v>2621</v>
      </c>
      <c r="D1292" t="str">
        <f t="shared" si="183"/>
        <v>CAC9CA</v>
      </c>
      <c r="E1292" t="str">
        <f t="shared" si="184"/>
        <v>202-201-202</v>
      </c>
      <c r="F1292" t="str">
        <f t="shared" si="185"/>
        <v>202201202</v>
      </c>
      <c r="G1292">
        <f t="shared" si="186"/>
        <v>202</v>
      </c>
      <c r="H1292">
        <f t="shared" si="187"/>
        <v>201</v>
      </c>
      <c r="I1292">
        <f t="shared" si="188"/>
        <v>202</v>
      </c>
      <c r="J1292" t="str">
        <f t="shared" si="180"/>
        <v>dlf",</v>
      </c>
      <c r="K1292" t="str">
        <f t="shared" si="180"/>
        <v>dorsal longitudinal fascicle",</v>
      </c>
      <c r="L1292" t="str">
        <f t="shared" si="181"/>
        <v>dlf</v>
      </c>
      <c r="M1292" t="str">
        <f t="shared" si="181"/>
        <v>dorsal longitudinal fascicle</v>
      </c>
      <c r="N1292" t="s">
        <v>7040</v>
      </c>
      <c r="O1292" t="s">
        <v>7041</v>
      </c>
      <c r="Y1292" t="s">
        <v>7040</v>
      </c>
      <c r="Z1292" t="s">
        <v>7041</v>
      </c>
      <c r="AA1292" s="6" t="str">
        <f t="shared" si="182"/>
        <v/>
      </c>
      <c r="AB1292">
        <v>202</v>
      </c>
      <c r="AC1292">
        <v>201</v>
      </c>
      <c r="AD1292">
        <v>202</v>
      </c>
    </row>
    <row r="1293" spans="1:30" ht="17" x14ac:dyDescent="0.25">
      <c r="A1293" s="1" t="s">
        <v>1295</v>
      </c>
      <c r="B1293" s="1" t="s">
        <v>3946</v>
      </c>
      <c r="C1293" s="1" t="s">
        <v>2622</v>
      </c>
      <c r="D1293" t="str">
        <f t="shared" si="183"/>
        <v>C9C7CB</v>
      </c>
      <c r="E1293" t="str">
        <f t="shared" si="184"/>
        <v>201-199-203</v>
      </c>
      <c r="F1293" t="str">
        <f t="shared" si="185"/>
        <v>201199203</v>
      </c>
      <c r="G1293">
        <f t="shared" si="186"/>
        <v>201</v>
      </c>
      <c r="H1293">
        <f t="shared" si="187"/>
        <v>199</v>
      </c>
      <c r="I1293">
        <f t="shared" si="188"/>
        <v>203</v>
      </c>
      <c r="J1293" t="str">
        <f t="shared" si="180"/>
        <v>dtt",</v>
      </c>
      <c r="K1293" t="str">
        <f t="shared" si="180"/>
        <v>dorsal tegmental tract",</v>
      </c>
      <c r="L1293" t="str">
        <f t="shared" si="181"/>
        <v>dtt</v>
      </c>
      <c r="M1293" t="str">
        <f t="shared" si="181"/>
        <v>dorsal tegmental tract</v>
      </c>
      <c r="N1293" t="s">
        <v>7042</v>
      </c>
      <c r="O1293" t="s">
        <v>7043</v>
      </c>
      <c r="Y1293" t="s">
        <v>7042</v>
      </c>
      <c r="Z1293" t="s">
        <v>7043</v>
      </c>
      <c r="AA1293" s="6" t="str">
        <f t="shared" si="182"/>
        <v/>
      </c>
      <c r="AB1293">
        <v>201</v>
      </c>
      <c r="AC1293">
        <v>199</v>
      </c>
      <c r="AD1293">
        <v>203</v>
      </c>
    </row>
    <row r="1294" spans="1:30" ht="17" x14ac:dyDescent="0.25">
      <c r="A1294" s="1" t="s">
        <v>1296</v>
      </c>
      <c r="B1294" s="1" t="s">
        <v>3947</v>
      </c>
      <c r="C1294" s="1" t="s">
        <v>2623</v>
      </c>
      <c r="D1294" t="str">
        <f t="shared" si="183"/>
        <v>AAA8AA</v>
      </c>
      <c r="E1294" t="str">
        <f t="shared" si="184"/>
        <v>170-168-170</v>
      </c>
      <c r="F1294" t="str">
        <f t="shared" si="185"/>
        <v>170168170</v>
      </c>
      <c r="G1294">
        <f t="shared" si="186"/>
        <v>170</v>
      </c>
      <c r="H1294">
        <f t="shared" si="187"/>
        <v>168</v>
      </c>
      <c r="I1294">
        <f t="shared" si="188"/>
        <v>170</v>
      </c>
      <c r="J1294" t="str">
        <f t="shared" si="180"/>
        <v>VS",</v>
      </c>
      <c r="K1294" t="str">
        <f t="shared" si="180"/>
        <v>ventricular systems",</v>
      </c>
      <c r="L1294" t="str">
        <f t="shared" si="181"/>
        <v>VS</v>
      </c>
      <c r="M1294" t="str">
        <f t="shared" si="181"/>
        <v>ventricular systems</v>
      </c>
      <c r="N1294" t="s">
        <v>7044</v>
      </c>
      <c r="O1294" t="s">
        <v>7045</v>
      </c>
      <c r="Y1294" t="s">
        <v>7044</v>
      </c>
      <c r="Z1294" t="s">
        <v>7045</v>
      </c>
      <c r="AA1294" s="6">
        <f t="shared" si="182"/>
        <v>73</v>
      </c>
      <c r="AB1294">
        <v>170</v>
      </c>
      <c r="AC1294">
        <v>168</v>
      </c>
      <c r="AD1294">
        <v>170</v>
      </c>
    </row>
    <row r="1295" spans="1:30" ht="17" x14ac:dyDescent="0.25">
      <c r="A1295" s="1" t="s">
        <v>1297</v>
      </c>
      <c r="B1295" s="1" t="s">
        <v>3948</v>
      </c>
      <c r="C1295" s="1" t="s">
        <v>2624</v>
      </c>
      <c r="D1295" t="str">
        <f t="shared" si="183"/>
        <v>A8AAAA</v>
      </c>
      <c r="E1295" t="str">
        <f t="shared" si="184"/>
        <v>168-170-170</v>
      </c>
      <c r="F1295" t="str">
        <f t="shared" si="185"/>
        <v>168170170</v>
      </c>
      <c r="G1295">
        <f t="shared" si="186"/>
        <v>168</v>
      </c>
      <c r="H1295">
        <f t="shared" si="187"/>
        <v>170</v>
      </c>
      <c r="I1295">
        <f t="shared" si="188"/>
        <v>170</v>
      </c>
      <c r="J1295" t="str">
        <f t="shared" si="180"/>
        <v>VL",</v>
      </c>
      <c r="K1295" t="str">
        <f t="shared" si="180"/>
        <v>lateral ventricle",</v>
      </c>
      <c r="L1295" t="str">
        <f t="shared" si="181"/>
        <v>VL</v>
      </c>
      <c r="M1295" t="str">
        <f t="shared" si="181"/>
        <v>lateral ventricle</v>
      </c>
      <c r="N1295" t="s">
        <v>7046</v>
      </c>
      <c r="O1295" t="s">
        <v>7047</v>
      </c>
      <c r="Y1295" t="s">
        <v>7046</v>
      </c>
      <c r="Z1295" t="s">
        <v>7047</v>
      </c>
      <c r="AA1295" s="6">
        <f t="shared" si="182"/>
        <v>81</v>
      </c>
      <c r="AB1295">
        <v>168</v>
      </c>
      <c r="AC1295">
        <v>170</v>
      </c>
      <c r="AD1295">
        <v>170</v>
      </c>
    </row>
    <row r="1296" spans="1:30" ht="17" x14ac:dyDescent="0.25">
      <c r="A1296" s="1" t="s">
        <v>1298</v>
      </c>
      <c r="B1296" s="1" t="s">
        <v>3949</v>
      </c>
      <c r="C1296" s="1" t="s">
        <v>2625</v>
      </c>
      <c r="D1296" t="str">
        <f t="shared" si="183"/>
        <v>AAA9A8</v>
      </c>
      <c r="E1296" t="str">
        <f t="shared" si="184"/>
        <v>170-169-168</v>
      </c>
      <c r="F1296" t="str">
        <f t="shared" si="185"/>
        <v>170169168</v>
      </c>
      <c r="G1296">
        <f t="shared" si="186"/>
        <v>170</v>
      </c>
      <c r="H1296">
        <f t="shared" si="187"/>
        <v>169</v>
      </c>
      <c r="I1296">
        <f t="shared" si="188"/>
        <v>168</v>
      </c>
      <c r="J1296" t="str">
        <f t="shared" si="180"/>
        <v>RC",</v>
      </c>
      <c r="K1296" t="str">
        <f t="shared" si="180"/>
        <v>rhinocele",</v>
      </c>
      <c r="L1296" t="str">
        <f t="shared" si="181"/>
        <v>RC</v>
      </c>
      <c r="M1296" t="str">
        <f t="shared" si="181"/>
        <v>rhinocele</v>
      </c>
      <c r="N1296" t="s">
        <v>7048</v>
      </c>
      <c r="O1296" t="s">
        <v>7049</v>
      </c>
      <c r="Y1296" t="s">
        <v>7048</v>
      </c>
      <c r="Z1296" t="s">
        <v>7049</v>
      </c>
      <c r="AA1296" s="6" t="str">
        <f t="shared" si="182"/>
        <v/>
      </c>
      <c r="AB1296">
        <v>170</v>
      </c>
      <c r="AC1296">
        <v>169</v>
      </c>
      <c r="AD1296">
        <v>168</v>
      </c>
    </row>
    <row r="1297" spans="1:30" ht="17" x14ac:dyDescent="0.25">
      <c r="A1297" s="1" t="s">
        <v>1299</v>
      </c>
      <c r="B1297" s="1" t="s">
        <v>3950</v>
      </c>
      <c r="C1297" s="1" t="s">
        <v>2626</v>
      </c>
      <c r="D1297" t="str">
        <f t="shared" si="183"/>
        <v>AAA8A9</v>
      </c>
      <c r="E1297" t="str">
        <f t="shared" si="184"/>
        <v>170-168-169</v>
      </c>
      <c r="F1297" t="str">
        <f t="shared" si="185"/>
        <v>170168169</v>
      </c>
      <c r="G1297">
        <f t="shared" si="186"/>
        <v>170</v>
      </c>
      <c r="H1297">
        <f t="shared" si="187"/>
        <v>168</v>
      </c>
      <c r="I1297">
        <f t="shared" si="188"/>
        <v>169</v>
      </c>
      <c r="J1297" t="str">
        <f t="shared" si="180"/>
        <v>SEZ",</v>
      </c>
      <c r="K1297" t="str">
        <f t="shared" si="180"/>
        <v>subependymal zone",</v>
      </c>
      <c r="L1297" t="str">
        <f t="shared" si="181"/>
        <v>SEZ</v>
      </c>
      <c r="M1297" t="str">
        <f t="shared" si="181"/>
        <v>subependymal zone</v>
      </c>
      <c r="N1297" t="s">
        <v>7050</v>
      </c>
      <c r="O1297" t="s">
        <v>7051</v>
      </c>
      <c r="Y1297" t="s">
        <v>7050</v>
      </c>
      <c r="Z1297" t="s">
        <v>7051</v>
      </c>
      <c r="AA1297" s="6">
        <f t="shared" si="182"/>
        <v>98</v>
      </c>
      <c r="AB1297">
        <v>170</v>
      </c>
      <c r="AC1297">
        <v>168</v>
      </c>
      <c r="AD1297">
        <v>169</v>
      </c>
    </row>
    <row r="1298" spans="1:30" ht="17" x14ac:dyDescent="0.25">
      <c r="A1298" s="1" t="s">
        <v>1300</v>
      </c>
      <c r="B1298" s="1" t="s">
        <v>3951</v>
      </c>
      <c r="C1298" s="1" t="s">
        <v>2627</v>
      </c>
      <c r="D1298" t="str">
        <f t="shared" si="183"/>
        <v>A9AAA8</v>
      </c>
      <c r="E1298" t="str">
        <f t="shared" si="184"/>
        <v>169-170-168</v>
      </c>
      <c r="F1298" t="str">
        <f t="shared" si="185"/>
        <v>169170168</v>
      </c>
      <c r="G1298">
        <f t="shared" si="186"/>
        <v>169</v>
      </c>
      <c r="H1298">
        <f t="shared" si="187"/>
        <v>170</v>
      </c>
      <c r="I1298">
        <f t="shared" si="188"/>
        <v>168</v>
      </c>
      <c r="J1298" t="str">
        <f t="shared" si="180"/>
        <v>chpl",</v>
      </c>
      <c r="K1298" t="str">
        <f t="shared" si="180"/>
        <v>choroid plexus",</v>
      </c>
      <c r="L1298" t="str">
        <f t="shared" si="181"/>
        <v>chpl</v>
      </c>
      <c r="M1298" t="str">
        <f t="shared" si="181"/>
        <v>choroid plexus</v>
      </c>
      <c r="N1298" t="s">
        <v>7052</v>
      </c>
      <c r="O1298" t="s">
        <v>7053</v>
      </c>
      <c r="Y1298" t="s">
        <v>7052</v>
      </c>
      <c r="Z1298" t="s">
        <v>7053</v>
      </c>
      <c r="AA1298" s="6">
        <f t="shared" si="182"/>
        <v>108</v>
      </c>
      <c r="AB1298">
        <v>169</v>
      </c>
      <c r="AC1298">
        <v>170</v>
      </c>
      <c r="AD1298">
        <v>168</v>
      </c>
    </row>
    <row r="1299" spans="1:30" ht="17" x14ac:dyDescent="0.25">
      <c r="A1299" s="1" t="s">
        <v>1301</v>
      </c>
      <c r="B1299" s="1" t="s">
        <v>3952</v>
      </c>
      <c r="C1299" s="1" t="s">
        <v>2628</v>
      </c>
      <c r="D1299" t="str">
        <f t="shared" si="183"/>
        <v>A9A8AA</v>
      </c>
      <c r="E1299" t="str">
        <f t="shared" si="184"/>
        <v>169-168-170</v>
      </c>
      <c r="F1299" t="str">
        <f t="shared" si="185"/>
        <v>169168170</v>
      </c>
      <c r="G1299">
        <f t="shared" si="186"/>
        <v>169</v>
      </c>
      <c r="H1299">
        <f t="shared" si="187"/>
        <v>168</v>
      </c>
      <c r="I1299">
        <f t="shared" si="188"/>
        <v>170</v>
      </c>
      <c r="J1299" t="str">
        <f t="shared" si="180"/>
        <v>chfl",</v>
      </c>
      <c r="K1299" t="str">
        <f t="shared" si="180"/>
        <v>choroid fissure",</v>
      </c>
      <c r="L1299" t="str">
        <f t="shared" si="181"/>
        <v>chfl</v>
      </c>
      <c r="M1299" t="str">
        <f t="shared" si="181"/>
        <v>choroid fissure</v>
      </c>
      <c r="N1299" t="s">
        <v>7054</v>
      </c>
      <c r="O1299" t="s">
        <v>7055</v>
      </c>
      <c r="Y1299" t="s">
        <v>7054</v>
      </c>
      <c r="Z1299" t="s">
        <v>7055</v>
      </c>
      <c r="AA1299" s="6" t="str">
        <f t="shared" si="182"/>
        <v/>
      </c>
      <c r="AB1299">
        <v>169</v>
      </c>
      <c r="AC1299">
        <v>168</v>
      </c>
      <c r="AD1299">
        <v>170</v>
      </c>
    </row>
    <row r="1300" spans="1:30" ht="17" x14ac:dyDescent="0.25">
      <c r="A1300" s="1" t="s">
        <v>1302</v>
      </c>
      <c r="B1300" s="1" t="s">
        <v>3953</v>
      </c>
      <c r="C1300" s="1" t="s">
        <v>2629</v>
      </c>
      <c r="D1300" t="str">
        <f t="shared" si="183"/>
        <v>A8AAA9</v>
      </c>
      <c r="E1300" t="str">
        <f t="shared" si="184"/>
        <v>168-170-169</v>
      </c>
      <c r="F1300" t="str">
        <f t="shared" si="185"/>
        <v>168170169</v>
      </c>
      <c r="G1300">
        <f t="shared" si="186"/>
        <v>168</v>
      </c>
      <c r="H1300">
        <f t="shared" si="187"/>
        <v>170</v>
      </c>
      <c r="I1300">
        <f t="shared" si="188"/>
        <v>169</v>
      </c>
      <c r="J1300" t="str">
        <f t="shared" si="180"/>
        <v>IVF",</v>
      </c>
      <c r="K1300" t="str">
        <f t="shared" si="180"/>
        <v>interventricular foramen",</v>
      </c>
      <c r="L1300" t="str">
        <f t="shared" si="181"/>
        <v>IVF</v>
      </c>
      <c r="M1300" t="str">
        <f t="shared" si="181"/>
        <v>interventricular foramen</v>
      </c>
      <c r="N1300" t="s">
        <v>7056</v>
      </c>
      <c r="O1300" t="s">
        <v>7057</v>
      </c>
      <c r="Y1300" t="s">
        <v>7056</v>
      </c>
      <c r="Z1300" t="s">
        <v>7057</v>
      </c>
      <c r="AA1300" s="6" t="str">
        <f t="shared" si="182"/>
        <v/>
      </c>
      <c r="AB1300">
        <v>168</v>
      </c>
      <c r="AC1300">
        <v>170</v>
      </c>
      <c r="AD1300">
        <v>169</v>
      </c>
    </row>
    <row r="1301" spans="1:30" ht="17" x14ac:dyDescent="0.25">
      <c r="A1301" s="1" t="s">
        <v>1303</v>
      </c>
      <c r="B1301" s="1" t="s">
        <v>3954</v>
      </c>
      <c r="C1301" s="1" t="s">
        <v>2630</v>
      </c>
      <c r="D1301" t="str">
        <f t="shared" si="183"/>
        <v>A8A9AA</v>
      </c>
      <c r="E1301" t="str">
        <f t="shared" si="184"/>
        <v>168-169-170</v>
      </c>
      <c r="F1301" t="str">
        <f t="shared" si="185"/>
        <v>168169170</v>
      </c>
      <c r="G1301">
        <f t="shared" si="186"/>
        <v>168</v>
      </c>
      <c r="H1301">
        <f t="shared" si="187"/>
        <v>169</v>
      </c>
      <c r="I1301">
        <f t="shared" si="188"/>
        <v>170</v>
      </c>
      <c r="J1301" t="str">
        <f t="shared" si="180"/>
        <v>V3",</v>
      </c>
      <c r="K1301" t="str">
        <f t="shared" si="180"/>
        <v>third ventricle",</v>
      </c>
      <c r="L1301" t="str">
        <f t="shared" si="181"/>
        <v>V3</v>
      </c>
      <c r="M1301" t="str">
        <f t="shared" si="181"/>
        <v>third ventricle</v>
      </c>
      <c r="N1301" t="s">
        <v>7058</v>
      </c>
      <c r="O1301" t="s">
        <v>7059</v>
      </c>
      <c r="Y1301" t="s">
        <v>7058</v>
      </c>
      <c r="Z1301" t="s">
        <v>7059</v>
      </c>
      <c r="AA1301" s="6">
        <f t="shared" si="182"/>
        <v>129</v>
      </c>
      <c r="AB1301">
        <v>168</v>
      </c>
      <c r="AC1301">
        <v>169</v>
      </c>
      <c r="AD1301">
        <v>170</v>
      </c>
    </row>
    <row r="1302" spans="1:30" ht="17" x14ac:dyDescent="0.25">
      <c r="A1302" s="1" t="s">
        <v>1304</v>
      </c>
      <c r="B1302" s="1" t="s">
        <v>3955</v>
      </c>
      <c r="C1302" s="1" t="s">
        <v>2631</v>
      </c>
      <c r="D1302" t="str">
        <f t="shared" si="183"/>
        <v>A9A9A8</v>
      </c>
      <c r="E1302" t="str">
        <f t="shared" si="184"/>
        <v>169-169-168</v>
      </c>
      <c r="F1302" t="str">
        <f t="shared" si="185"/>
        <v>169169168</v>
      </c>
      <c r="G1302">
        <f t="shared" si="186"/>
        <v>169</v>
      </c>
      <c r="H1302">
        <f t="shared" si="187"/>
        <v>169</v>
      </c>
      <c r="I1302">
        <f t="shared" si="188"/>
        <v>168</v>
      </c>
      <c r="J1302" t="str">
        <f t="shared" si="180"/>
        <v>AQ",</v>
      </c>
      <c r="K1302" t="str">
        <f t="shared" si="180"/>
        <v>cerebral aqueduct",</v>
      </c>
      <c r="L1302" t="str">
        <f t="shared" si="181"/>
        <v>AQ</v>
      </c>
      <c r="M1302" t="str">
        <f t="shared" si="181"/>
        <v>cerebral aqueduct</v>
      </c>
      <c r="N1302" t="s">
        <v>7060</v>
      </c>
      <c r="O1302" t="s">
        <v>7061</v>
      </c>
      <c r="Y1302" t="s">
        <v>7060</v>
      </c>
      <c r="Z1302" t="s">
        <v>7061</v>
      </c>
      <c r="AA1302" s="6">
        <f t="shared" si="182"/>
        <v>140</v>
      </c>
      <c r="AB1302">
        <v>169</v>
      </c>
      <c r="AC1302">
        <v>169</v>
      </c>
      <c r="AD1302">
        <v>168</v>
      </c>
    </row>
    <row r="1303" spans="1:30" ht="17" x14ac:dyDescent="0.25">
      <c r="A1303" s="1" t="s">
        <v>1305</v>
      </c>
      <c r="B1303" s="1" t="s">
        <v>3956</v>
      </c>
      <c r="C1303" s="1" t="s">
        <v>2632</v>
      </c>
      <c r="D1303" t="str">
        <f t="shared" si="183"/>
        <v>AAA9A7</v>
      </c>
      <c r="E1303" t="str">
        <f t="shared" si="184"/>
        <v>170-169-167</v>
      </c>
      <c r="F1303" t="str">
        <f t="shared" si="185"/>
        <v>170169167</v>
      </c>
      <c r="G1303">
        <f t="shared" si="186"/>
        <v>170</v>
      </c>
      <c r="H1303">
        <f t="shared" si="187"/>
        <v>169</v>
      </c>
      <c r="I1303">
        <f t="shared" si="188"/>
        <v>167</v>
      </c>
      <c r="J1303" t="str">
        <f t="shared" si="180"/>
        <v>V4",</v>
      </c>
      <c r="K1303" t="str">
        <f t="shared" si="180"/>
        <v>fourth ventricle",</v>
      </c>
      <c r="L1303" t="str">
        <f t="shared" si="181"/>
        <v>V4</v>
      </c>
      <c r="M1303" t="str">
        <f t="shared" si="181"/>
        <v>fourth ventricle</v>
      </c>
      <c r="N1303" t="s">
        <v>7062</v>
      </c>
      <c r="O1303" t="s">
        <v>7063</v>
      </c>
      <c r="Y1303" t="s">
        <v>7062</v>
      </c>
      <c r="Z1303" t="s">
        <v>7063</v>
      </c>
      <c r="AA1303" s="6">
        <f t="shared" si="182"/>
        <v>145</v>
      </c>
      <c r="AB1303">
        <v>170</v>
      </c>
      <c r="AC1303">
        <v>169</v>
      </c>
      <c r="AD1303">
        <v>167</v>
      </c>
    </row>
    <row r="1304" spans="1:30" ht="17" x14ac:dyDescent="0.25">
      <c r="A1304" s="1" t="s">
        <v>1306</v>
      </c>
      <c r="B1304" s="1" t="s">
        <v>3957</v>
      </c>
      <c r="C1304" s="1" t="s">
        <v>2633</v>
      </c>
      <c r="D1304" t="str">
        <f t="shared" si="183"/>
        <v>A9AAA7</v>
      </c>
      <c r="E1304" t="str">
        <f t="shared" si="184"/>
        <v>169-170-167</v>
      </c>
      <c r="F1304" t="str">
        <f t="shared" si="185"/>
        <v>169170167</v>
      </c>
      <c r="G1304">
        <f t="shared" si="186"/>
        <v>169</v>
      </c>
      <c r="H1304">
        <f t="shared" si="187"/>
        <v>170</v>
      </c>
      <c r="I1304">
        <f t="shared" si="188"/>
        <v>167</v>
      </c>
      <c r="J1304" t="str">
        <f t="shared" si="180"/>
        <v>V4r",</v>
      </c>
      <c r="K1304" t="str">
        <f t="shared" si="180"/>
        <v>lateral recess",</v>
      </c>
      <c r="L1304" t="str">
        <f t="shared" si="181"/>
        <v>V4r</v>
      </c>
      <c r="M1304" t="str">
        <f t="shared" si="181"/>
        <v>lateral recess</v>
      </c>
      <c r="N1304" t="s">
        <v>7064</v>
      </c>
      <c r="O1304" t="s">
        <v>7065</v>
      </c>
      <c r="Y1304" t="s">
        <v>7064</v>
      </c>
      <c r="Z1304" t="s">
        <v>7065</v>
      </c>
      <c r="AA1304" s="6">
        <f t="shared" si="182"/>
        <v>153</v>
      </c>
      <c r="AB1304">
        <v>169</v>
      </c>
      <c r="AC1304">
        <v>170</v>
      </c>
      <c r="AD1304">
        <v>167</v>
      </c>
    </row>
    <row r="1305" spans="1:30" ht="17" x14ac:dyDescent="0.25">
      <c r="A1305" s="1" t="s">
        <v>1307</v>
      </c>
      <c r="B1305" s="1" t="s">
        <v>3958</v>
      </c>
      <c r="C1305" s="1" t="s">
        <v>2634</v>
      </c>
      <c r="D1305" t="str">
        <f t="shared" si="183"/>
        <v>A7AAA9</v>
      </c>
      <c r="E1305" t="str">
        <f t="shared" si="184"/>
        <v>167-170-169</v>
      </c>
      <c r="F1305" t="str">
        <f t="shared" si="185"/>
        <v>167170169</v>
      </c>
      <c r="G1305">
        <f t="shared" si="186"/>
        <v>167</v>
      </c>
      <c r="H1305">
        <f t="shared" si="187"/>
        <v>170</v>
      </c>
      <c r="I1305">
        <f t="shared" si="188"/>
        <v>169</v>
      </c>
      <c r="J1305" t="str">
        <f t="shared" si="180"/>
        <v>c",</v>
      </c>
      <c r="K1305" t="str">
        <f t="shared" si="180"/>
        <v>central canal, spinal cord\/medulla",</v>
      </c>
      <c r="L1305" t="str">
        <f t="shared" si="181"/>
        <v>c</v>
      </c>
      <c r="M1305" t="str">
        <f t="shared" si="181"/>
        <v>central canal, spinal cord\/medulla</v>
      </c>
      <c r="N1305" t="s">
        <v>7066</v>
      </c>
      <c r="O1305" t="s">
        <v>7238</v>
      </c>
      <c r="Y1305" t="s">
        <v>7066</v>
      </c>
      <c r="Z1305" t="s">
        <v>7238</v>
      </c>
      <c r="AA1305" s="6">
        <f t="shared" si="182"/>
        <v>164</v>
      </c>
      <c r="AB1305">
        <v>167</v>
      </c>
      <c r="AC1305">
        <v>170</v>
      </c>
      <c r="AD1305">
        <v>169</v>
      </c>
    </row>
    <row r="1306" spans="1:30" ht="17" x14ac:dyDescent="0.25">
      <c r="A1306" s="1" t="s">
        <v>1308</v>
      </c>
      <c r="B1306" s="1" t="s">
        <v>3959</v>
      </c>
      <c r="C1306" s="1" t="s">
        <v>2635</v>
      </c>
      <c r="D1306" t="str">
        <f t="shared" si="183"/>
        <v>AAA8A8</v>
      </c>
      <c r="E1306" t="str">
        <f t="shared" si="184"/>
        <v>170-168-168</v>
      </c>
      <c r="F1306" t="str">
        <f t="shared" si="185"/>
        <v>170168168</v>
      </c>
      <c r="G1306">
        <f t="shared" si="186"/>
        <v>170</v>
      </c>
      <c r="H1306">
        <f t="shared" si="187"/>
        <v>168</v>
      </c>
      <c r="I1306">
        <f t="shared" si="188"/>
        <v>168</v>
      </c>
      <c r="J1306" t="str">
        <f t="shared" si="180"/>
        <v>grv",</v>
      </c>
      <c r="K1306" t="str">
        <f t="shared" si="180"/>
        <v>grooves",</v>
      </c>
      <c r="L1306" t="str">
        <f t="shared" si="181"/>
        <v>grv</v>
      </c>
      <c r="M1306" t="str">
        <f t="shared" si="181"/>
        <v>grooves</v>
      </c>
      <c r="N1306" t="s">
        <v>7067</v>
      </c>
      <c r="O1306" t="s">
        <v>7068</v>
      </c>
      <c r="Y1306" t="s">
        <v>7067</v>
      </c>
      <c r="Z1306" t="s">
        <v>7068</v>
      </c>
      <c r="AA1306" s="6" t="str">
        <f t="shared" si="182"/>
        <v/>
      </c>
      <c r="AB1306">
        <v>170</v>
      </c>
      <c r="AC1306">
        <v>168</v>
      </c>
      <c r="AD1306">
        <v>168</v>
      </c>
    </row>
    <row r="1307" spans="1:30" ht="17" x14ac:dyDescent="0.25">
      <c r="A1307" s="1" t="s">
        <v>1309</v>
      </c>
      <c r="B1307" s="1" t="s">
        <v>3960</v>
      </c>
      <c r="C1307" s="1" t="s">
        <v>2636</v>
      </c>
      <c r="D1307" t="str">
        <f t="shared" si="183"/>
        <v>A8AAA8</v>
      </c>
      <c r="E1307" t="str">
        <f t="shared" si="184"/>
        <v>168-170-168</v>
      </c>
      <c r="F1307" t="str">
        <f t="shared" si="185"/>
        <v>168170168</v>
      </c>
      <c r="G1307">
        <f t="shared" si="186"/>
        <v>168</v>
      </c>
      <c r="H1307">
        <f t="shared" si="187"/>
        <v>170</v>
      </c>
      <c r="I1307">
        <f t="shared" si="188"/>
        <v>168</v>
      </c>
      <c r="J1307" t="str">
        <f t="shared" si="180"/>
        <v>grv of CTX",</v>
      </c>
      <c r="K1307" t="str">
        <f t="shared" si="180"/>
        <v>grooves of the cerebral cortex",</v>
      </c>
      <c r="L1307" t="str">
        <f t="shared" si="181"/>
        <v>grv of CTX</v>
      </c>
      <c r="M1307" t="str">
        <f t="shared" si="181"/>
        <v>grooves of the cerebral cortex</v>
      </c>
      <c r="N1307" t="s">
        <v>7069</v>
      </c>
      <c r="O1307" t="s">
        <v>7070</v>
      </c>
      <c r="Y1307" t="s">
        <v>7069</v>
      </c>
      <c r="Z1307" t="s">
        <v>7070</v>
      </c>
      <c r="AA1307" s="6" t="str">
        <f t="shared" si="182"/>
        <v/>
      </c>
      <c r="AB1307">
        <v>168</v>
      </c>
      <c r="AC1307">
        <v>170</v>
      </c>
      <c r="AD1307">
        <v>168</v>
      </c>
    </row>
    <row r="1308" spans="1:30" ht="17" x14ac:dyDescent="0.25">
      <c r="A1308" s="1" t="s">
        <v>1310</v>
      </c>
      <c r="B1308" s="1" t="s">
        <v>3961</v>
      </c>
      <c r="C1308" s="1" t="s">
        <v>2637</v>
      </c>
      <c r="D1308" t="str">
        <f t="shared" si="183"/>
        <v>AAAAA7</v>
      </c>
      <c r="E1308" t="str">
        <f t="shared" si="184"/>
        <v>170-170-167</v>
      </c>
      <c r="F1308" t="str">
        <f t="shared" si="185"/>
        <v>170170167</v>
      </c>
      <c r="G1308">
        <f t="shared" si="186"/>
        <v>170</v>
      </c>
      <c r="H1308">
        <f t="shared" si="187"/>
        <v>170</v>
      </c>
      <c r="I1308">
        <f t="shared" si="188"/>
        <v>167</v>
      </c>
      <c r="J1308" t="str">
        <f t="shared" si="180"/>
        <v>eg",</v>
      </c>
      <c r="K1308" t="str">
        <f t="shared" si="180"/>
        <v>endorhinal groove",</v>
      </c>
      <c r="L1308" t="str">
        <f t="shared" si="181"/>
        <v>eg</v>
      </c>
      <c r="M1308" t="str">
        <f t="shared" si="181"/>
        <v>endorhinal groove</v>
      </c>
      <c r="N1308" t="s">
        <v>7071</v>
      </c>
      <c r="O1308" t="s">
        <v>7072</v>
      </c>
      <c r="Y1308" t="s">
        <v>7071</v>
      </c>
      <c r="Z1308" t="s">
        <v>7072</v>
      </c>
      <c r="AA1308" s="6" t="str">
        <f t="shared" si="182"/>
        <v/>
      </c>
      <c r="AB1308">
        <v>170</v>
      </c>
      <c r="AC1308">
        <v>170</v>
      </c>
      <c r="AD1308">
        <v>167</v>
      </c>
    </row>
    <row r="1309" spans="1:30" ht="17" x14ac:dyDescent="0.25">
      <c r="A1309" s="1" t="s">
        <v>1311</v>
      </c>
      <c r="B1309" s="1" t="s">
        <v>3962</v>
      </c>
      <c r="C1309" s="1" t="s">
        <v>2638</v>
      </c>
      <c r="D1309" t="str">
        <f t="shared" si="183"/>
        <v>AAA7AA</v>
      </c>
      <c r="E1309" t="str">
        <f t="shared" si="184"/>
        <v>170-167-170</v>
      </c>
      <c r="F1309" t="str">
        <f t="shared" si="185"/>
        <v>170167170</v>
      </c>
      <c r="G1309">
        <f t="shared" si="186"/>
        <v>170</v>
      </c>
      <c r="H1309">
        <f t="shared" si="187"/>
        <v>167</v>
      </c>
      <c r="I1309">
        <f t="shared" si="188"/>
        <v>170</v>
      </c>
      <c r="J1309" t="str">
        <f t="shared" si="180"/>
        <v>hf",</v>
      </c>
      <c r="K1309" t="str">
        <f t="shared" si="180"/>
        <v>hippocampal fissure",</v>
      </c>
      <c r="L1309" t="str">
        <f t="shared" si="181"/>
        <v>hf</v>
      </c>
      <c r="M1309" t="str">
        <f t="shared" si="181"/>
        <v>hippocampal fissure</v>
      </c>
      <c r="N1309" t="s">
        <v>7073</v>
      </c>
      <c r="O1309" t="s">
        <v>7074</v>
      </c>
      <c r="Y1309" t="s">
        <v>7073</v>
      </c>
      <c r="Z1309" t="s">
        <v>7074</v>
      </c>
      <c r="AA1309" s="6" t="str">
        <f t="shared" si="182"/>
        <v/>
      </c>
      <c r="AB1309">
        <v>170</v>
      </c>
      <c r="AC1309">
        <v>167</v>
      </c>
      <c r="AD1309">
        <v>170</v>
      </c>
    </row>
    <row r="1310" spans="1:30" ht="17" x14ac:dyDescent="0.25">
      <c r="A1310" s="1" t="s">
        <v>1312</v>
      </c>
      <c r="B1310" s="1" t="s">
        <v>3963</v>
      </c>
      <c r="C1310" s="1" t="s">
        <v>2639</v>
      </c>
      <c r="D1310" t="str">
        <f t="shared" si="183"/>
        <v>AAA7A9</v>
      </c>
      <c r="E1310" t="str">
        <f t="shared" si="184"/>
        <v>170-167-169</v>
      </c>
      <c r="F1310" t="str">
        <f t="shared" si="185"/>
        <v>170167169</v>
      </c>
      <c r="G1310">
        <f t="shared" si="186"/>
        <v>170</v>
      </c>
      <c r="H1310">
        <f t="shared" si="187"/>
        <v>167</v>
      </c>
      <c r="I1310">
        <f t="shared" si="188"/>
        <v>169</v>
      </c>
      <c r="J1310" t="str">
        <f t="shared" si="180"/>
        <v>rf",</v>
      </c>
      <c r="K1310" t="str">
        <f t="shared" si="180"/>
        <v>rhinal fissure",</v>
      </c>
      <c r="L1310" t="str">
        <f t="shared" si="181"/>
        <v>rf</v>
      </c>
      <c r="M1310" t="str">
        <f t="shared" si="181"/>
        <v>rhinal fissure</v>
      </c>
      <c r="N1310" t="s">
        <v>7075</v>
      </c>
      <c r="O1310" t="s">
        <v>7076</v>
      </c>
      <c r="Y1310" t="s">
        <v>7075</v>
      </c>
      <c r="Z1310" t="s">
        <v>7076</v>
      </c>
      <c r="AA1310" s="6" t="str">
        <f t="shared" si="182"/>
        <v/>
      </c>
      <c r="AB1310">
        <v>170</v>
      </c>
      <c r="AC1310">
        <v>167</v>
      </c>
      <c r="AD1310">
        <v>169</v>
      </c>
    </row>
    <row r="1311" spans="1:30" ht="17" x14ac:dyDescent="0.25">
      <c r="A1311" s="1" t="s">
        <v>1313</v>
      </c>
      <c r="B1311" s="1" t="s">
        <v>3964</v>
      </c>
      <c r="C1311" s="1" t="s">
        <v>2640</v>
      </c>
      <c r="D1311" t="str">
        <f t="shared" si="183"/>
        <v>A9A8A8</v>
      </c>
      <c r="E1311" t="str">
        <f t="shared" si="184"/>
        <v>169-168-168</v>
      </c>
      <c r="F1311" t="str">
        <f t="shared" si="185"/>
        <v>169168168</v>
      </c>
      <c r="G1311">
        <f t="shared" si="186"/>
        <v>169</v>
      </c>
      <c r="H1311">
        <f t="shared" si="187"/>
        <v>168</v>
      </c>
      <c r="I1311">
        <f t="shared" si="188"/>
        <v>168</v>
      </c>
      <c r="J1311" t="str">
        <f t="shared" si="180"/>
        <v>ri",</v>
      </c>
      <c r="K1311" t="str">
        <f t="shared" si="180"/>
        <v>rhinal incisure",</v>
      </c>
      <c r="L1311" t="str">
        <f t="shared" si="181"/>
        <v>ri</v>
      </c>
      <c r="M1311" t="str">
        <f t="shared" si="181"/>
        <v>rhinal incisure</v>
      </c>
      <c r="N1311" t="s">
        <v>7077</v>
      </c>
      <c r="O1311" t="s">
        <v>7078</v>
      </c>
      <c r="Y1311" t="s">
        <v>7077</v>
      </c>
      <c r="Z1311" t="s">
        <v>7078</v>
      </c>
      <c r="AA1311" s="6" t="str">
        <f t="shared" si="182"/>
        <v/>
      </c>
      <c r="AB1311">
        <v>169</v>
      </c>
      <c r="AC1311">
        <v>168</v>
      </c>
      <c r="AD1311">
        <v>168</v>
      </c>
    </row>
    <row r="1312" spans="1:30" ht="17" x14ac:dyDescent="0.25">
      <c r="A1312" s="1" t="s">
        <v>1314</v>
      </c>
      <c r="B1312" s="1" t="s">
        <v>3965</v>
      </c>
      <c r="C1312" s="1" t="s">
        <v>2641</v>
      </c>
      <c r="D1312" t="str">
        <f t="shared" si="183"/>
        <v>A8A8AA</v>
      </c>
      <c r="E1312" t="str">
        <f t="shared" si="184"/>
        <v>168-168-170</v>
      </c>
      <c r="F1312" t="str">
        <f t="shared" si="185"/>
        <v>168168170</v>
      </c>
      <c r="G1312">
        <f t="shared" si="186"/>
        <v>168</v>
      </c>
      <c r="H1312">
        <f t="shared" si="187"/>
        <v>168</v>
      </c>
      <c r="I1312">
        <f t="shared" si="188"/>
        <v>170</v>
      </c>
      <c r="J1312" t="str">
        <f t="shared" si="180"/>
        <v>grv of CBX",</v>
      </c>
      <c r="K1312" t="str">
        <f t="shared" si="180"/>
        <v>grooves of the cerebellar cortex",</v>
      </c>
      <c r="L1312" t="str">
        <f t="shared" si="181"/>
        <v>grv of CBX</v>
      </c>
      <c r="M1312" t="str">
        <f t="shared" si="181"/>
        <v>grooves of the cerebellar cortex</v>
      </c>
      <c r="N1312" t="s">
        <v>7079</v>
      </c>
      <c r="O1312" t="s">
        <v>7080</v>
      </c>
      <c r="Y1312" t="s">
        <v>7079</v>
      </c>
      <c r="Z1312" t="s">
        <v>7080</v>
      </c>
      <c r="AA1312" s="6" t="str">
        <f t="shared" si="182"/>
        <v/>
      </c>
      <c r="AB1312">
        <v>168</v>
      </c>
      <c r="AC1312">
        <v>168</v>
      </c>
      <c r="AD1312">
        <v>170</v>
      </c>
    </row>
    <row r="1313" spans="1:30" ht="17" x14ac:dyDescent="0.25">
      <c r="A1313" s="1" t="s">
        <v>1315</v>
      </c>
      <c r="B1313" s="1" t="s">
        <v>3966</v>
      </c>
      <c r="C1313" s="1" t="s">
        <v>2642</v>
      </c>
      <c r="D1313" t="str">
        <f t="shared" si="183"/>
        <v>A8A9A8</v>
      </c>
      <c r="E1313" t="str">
        <f t="shared" si="184"/>
        <v>168-169-168</v>
      </c>
      <c r="F1313" t="str">
        <f t="shared" si="185"/>
        <v>168169168</v>
      </c>
      <c r="G1313">
        <f t="shared" si="186"/>
        <v>168</v>
      </c>
      <c r="H1313">
        <f t="shared" si="187"/>
        <v>169</v>
      </c>
      <c r="I1313">
        <f t="shared" si="188"/>
        <v>168</v>
      </c>
      <c r="J1313" t="str">
        <f t="shared" si="180"/>
        <v>pce",</v>
      </c>
      <c r="K1313" t="str">
        <f t="shared" si="180"/>
        <v>precentral fissure",</v>
      </c>
      <c r="L1313" t="str">
        <f t="shared" si="181"/>
        <v>pce</v>
      </c>
      <c r="M1313" t="str">
        <f t="shared" si="181"/>
        <v>precentral fissure</v>
      </c>
      <c r="N1313" t="s">
        <v>7081</v>
      </c>
      <c r="O1313" t="s">
        <v>7082</v>
      </c>
      <c r="Y1313" t="s">
        <v>7081</v>
      </c>
      <c r="Z1313" t="s">
        <v>7082</v>
      </c>
      <c r="AA1313" s="6" t="str">
        <f t="shared" si="182"/>
        <v/>
      </c>
      <c r="AB1313">
        <v>168</v>
      </c>
      <c r="AC1313">
        <v>169</v>
      </c>
      <c r="AD1313">
        <v>168</v>
      </c>
    </row>
    <row r="1314" spans="1:30" ht="17" x14ac:dyDescent="0.25">
      <c r="A1314" s="1" t="s">
        <v>1316</v>
      </c>
      <c r="B1314" s="1" t="s">
        <v>3967</v>
      </c>
      <c r="C1314" s="1" t="s">
        <v>2643</v>
      </c>
      <c r="D1314" t="str">
        <f t="shared" si="183"/>
        <v>A8A9A9</v>
      </c>
      <c r="E1314" t="str">
        <f t="shared" si="184"/>
        <v>168-169-169</v>
      </c>
      <c r="F1314" t="str">
        <f t="shared" si="185"/>
        <v>168169169</v>
      </c>
      <c r="G1314">
        <f t="shared" si="186"/>
        <v>168</v>
      </c>
      <c r="H1314">
        <f t="shared" si="187"/>
        <v>169</v>
      </c>
      <c r="I1314">
        <f t="shared" si="188"/>
        <v>169</v>
      </c>
      <c r="J1314" t="str">
        <f t="shared" si="180"/>
        <v>pcf",</v>
      </c>
      <c r="K1314" t="str">
        <f t="shared" si="180"/>
        <v>preculminate fissure",</v>
      </c>
      <c r="L1314" t="str">
        <f t="shared" si="181"/>
        <v>pcf</v>
      </c>
      <c r="M1314" t="str">
        <f t="shared" si="181"/>
        <v>preculminate fissure</v>
      </c>
      <c r="N1314" t="s">
        <v>7083</v>
      </c>
      <c r="O1314" t="s">
        <v>7084</v>
      </c>
      <c r="Y1314" t="s">
        <v>7083</v>
      </c>
      <c r="Z1314" t="s">
        <v>7084</v>
      </c>
      <c r="AA1314" s="6" t="str">
        <f t="shared" si="182"/>
        <v/>
      </c>
      <c r="AB1314">
        <v>168</v>
      </c>
      <c r="AC1314">
        <v>169</v>
      </c>
      <c r="AD1314">
        <v>169</v>
      </c>
    </row>
    <row r="1315" spans="1:30" ht="17" x14ac:dyDescent="0.25">
      <c r="A1315" s="1" t="s">
        <v>1317</v>
      </c>
      <c r="B1315" s="1" t="s">
        <v>3968</v>
      </c>
      <c r="C1315" s="1" t="s">
        <v>2644</v>
      </c>
      <c r="D1315" t="str">
        <f t="shared" si="183"/>
        <v>A9A7AA</v>
      </c>
      <c r="E1315" t="str">
        <f t="shared" si="184"/>
        <v>169-167-170</v>
      </c>
      <c r="F1315" t="str">
        <f t="shared" si="185"/>
        <v>169167170</v>
      </c>
      <c r="G1315">
        <f t="shared" si="186"/>
        <v>169</v>
      </c>
      <c r="H1315">
        <f t="shared" si="187"/>
        <v>167</v>
      </c>
      <c r="I1315">
        <f t="shared" si="188"/>
        <v>170</v>
      </c>
      <c r="J1315" t="str">
        <f t="shared" si="180"/>
        <v>pri",</v>
      </c>
      <c r="K1315" t="str">
        <f t="shared" si="180"/>
        <v>primary fissure",</v>
      </c>
      <c r="L1315" t="str">
        <f t="shared" si="181"/>
        <v>pri</v>
      </c>
      <c r="M1315" t="str">
        <f t="shared" si="181"/>
        <v>primary fissure</v>
      </c>
      <c r="N1315" t="s">
        <v>7085</v>
      </c>
      <c r="O1315" t="s">
        <v>7086</v>
      </c>
      <c r="Y1315" t="s">
        <v>7085</v>
      </c>
      <c r="Z1315" t="s">
        <v>7086</v>
      </c>
      <c r="AA1315" s="6" t="str">
        <f t="shared" si="182"/>
        <v/>
      </c>
      <c r="AB1315">
        <v>169</v>
      </c>
      <c r="AC1315">
        <v>167</v>
      </c>
      <c r="AD1315">
        <v>170</v>
      </c>
    </row>
    <row r="1316" spans="1:30" ht="17" x14ac:dyDescent="0.25">
      <c r="A1316" s="1" t="s">
        <v>1318</v>
      </c>
      <c r="B1316" s="1" t="s">
        <v>3969</v>
      </c>
      <c r="C1316" s="1" t="s">
        <v>2645</v>
      </c>
      <c r="D1316" t="str">
        <f t="shared" si="183"/>
        <v>A8A8A9</v>
      </c>
      <c r="E1316" t="str">
        <f t="shared" si="184"/>
        <v>168-168-169</v>
      </c>
      <c r="F1316" t="str">
        <f t="shared" si="185"/>
        <v>168168169</v>
      </c>
      <c r="G1316">
        <f t="shared" si="186"/>
        <v>168</v>
      </c>
      <c r="H1316">
        <f t="shared" si="187"/>
        <v>168</v>
      </c>
      <c r="I1316">
        <f t="shared" si="188"/>
        <v>169</v>
      </c>
      <c r="J1316" t="str">
        <f t="shared" si="180"/>
        <v>psf",</v>
      </c>
      <c r="K1316" t="str">
        <f t="shared" si="180"/>
        <v>posterior superior fissure",</v>
      </c>
      <c r="L1316" t="str">
        <f t="shared" si="181"/>
        <v>psf</v>
      </c>
      <c r="M1316" t="str">
        <f t="shared" si="181"/>
        <v>posterior superior fissure</v>
      </c>
      <c r="N1316" t="s">
        <v>7087</v>
      </c>
      <c r="O1316" t="s">
        <v>7088</v>
      </c>
      <c r="Y1316" t="s">
        <v>7087</v>
      </c>
      <c r="Z1316" t="s">
        <v>7088</v>
      </c>
      <c r="AA1316" s="6" t="str">
        <f t="shared" si="182"/>
        <v/>
      </c>
      <c r="AB1316">
        <v>168</v>
      </c>
      <c r="AC1316">
        <v>168</v>
      </c>
      <c r="AD1316">
        <v>169</v>
      </c>
    </row>
    <row r="1317" spans="1:30" ht="17" x14ac:dyDescent="0.25">
      <c r="A1317" s="1" t="s">
        <v>1319</v>
      </c>
      <c r="B1317" s="1" t="s">
        <v>3970</v>
      </c>
      <c r="C1317" s="1" t="s">
        <v>2646</v>
      </c>
      <c r="D1317" t="str">
        <f t="shared" si="183"/>
        <v>A7AAAA</v>
      </c>
      <c r="E1317" t="str">
        <f t="shared" si="184"/>
        <v>167-170-170</v>
      </c>
      <c r="F1317" t="str">
        <f t="shared" si="185"/>
        <v>167170170</v>
      </c>
      <c r="G1317">
        <f t="shared" si="186"/>
        <v>167</v>
      </c>
      <c r="H1317">
        <f t="shared" si="187"/>
        <v>170</v>
      </c>
      <c r="I1317">
        <f t="shared" si="188"/>
        <v>170</v>
      </c>
      <c r="J1317" t="str">
        <f t="shared" si="180"/>
        <v>ppf",</v>
      </c>
      <c r="K1317" t="str">
        <f t="shared" si="180"/>
        <v>prepyramidal fissure",</v>
      </c>
      <c r="L1317" t="str">
        <f t="shared" si="181"/>
        <v>ppf</v>
      </c>
      <c r="M1317" t="str">
        <f t="shared" si="181"/>
        <v>prepyramidal fissure</v>
      </c>
      <c r="N1317" t="s">
        <v>7089</v>
      </c>
      <c r="O1317" t="s">
        <v>7090</v>
      </c>
      <c r="Y1317" t="s">
        <v>7089</v>
      </c>
      <c r="Z1317" t="s">
        <v>7090</v>
      </c>
      <c r="AA1317" s="6" t="str">
        <f t="shared" si="182"/>
        <v/>
      </c>
      <c r="AB1317">
        <v>167</v>
      </c>
      <c r="AC1317">
        <v>170</v>
      </c>
      <c r="AD1317">
        <v>170</v>
      </c>
    </row>
    <row r="1318" spans="1:30" ht="17" x14ac:dyDescent="0.25">
      <c r="A1318" s="1" t="s">
        <v>1320</v>
      </c>
      <c r="B1318" s="1" t="s">
        <v>3971</v>
      </c>
      <c r="C1318" s="1" t="s">
        <v>2647</v>
      </c>
      <c r="D1318" t="str">
        <f t="shared" si="183"/>
        <v>AAAAAA</v>
      </c>
      <c r="E1318" t="str">
        <f t="shared" si="184"/>
        <v>170-170-170</v>
      </c>
      <c r="F1318" t="str">
        <f t="shared" si="185"/>
        <v>170170170</v>
      </c>
      <c r="G1318">
        <f t="shared" si="186"/>
        <v>170</v>
      </c>
      <c r="H1318">
        <f t="shared" si="187"/>
        <v>170</v>
      </c>
      <c r="I1318">
        <f t="shared" si="188"/>
        <v>170</v>
      </c>
      <c r="J1318" t="str">
        <f t="shared" si="180"/>
        <v>sec",</v>
      </c>
      <c r="K1318" t="str">
        <f t="shared" si="180"/>
        <v>secondary fissure",</v>
      </c>
      <c r="L1318" t="str">
        <f t="shared" si="181"/>
        <v>sec</v>
      </c>
      <c r="M1318" t="str">
        <f t="shared" si="181"/>
        <v>secondary fissure</v>
      </c>
      <c r="N1318" t="s">
        <v>7091</v>
      </c>
      <c r="O1318" t="s">
        <v>7092</v>
      </c>
      <c r="Y1318" t="s">
        <v>7091</v>
      </c>
      <c r="Z1318" t="s">
        <v>7092</v>
      </c>
      <c r="AA1318" s="6" t="str">
        <f t="shared" si="182"/>
        <v/>
      </c>
      <c r="AB1318">
        <v>170</v>
      </c>
      <c r="AC1318">
        <v>170</v>
      </c>
      <c r="AD1318">
        <v>170</v>
      </c>
    </row>
    <row r="1319" spans="1:30" ht="17" x14ac:dyDescent="0.25">
      <c r="A1319" s="1" t="s">
        <v>1321</v>
      </c>
      <c r="B1319" s="1" t="s">
        <v>3972</v>
      </c>
      <c r="C1319" s="1" t="s">
        <v>2648</v>
      </c>
      <c r="D1319" t="str">
        <f t="shared" si="183"/>
        <v>AAAAA9</v>
      </c>
      <c r="E1319" t="str">
        <f t="shared" si="184"/>
        <v>170-170-169</v>
      </c>
      <c r="F1319" t="str">
        <f t="shared" si="185"/>
        <v>170170169</v>
      </c>
      <c r="G1319">
        <f t="shared" si="186"/>
        <v>170</v>
      </c>
      <c r="H1319">
        <f t="shared" si="187"/>
        <v>170</v>
      </c>
      <c r="I1319">
        <f t="shared" si="188"/>
        <v>169</v>
      </c>
      <c r="J1319" t="str">
        <f t="shared" si="180"/>
        <v>plf",</v>
      </c>
      <c r="K1319" t="str">
        <f t="shared" si="180"/>
        <v>posterolateral fissure",</v>
      </c>
      <c r="L1319" t="str">
        <f t="shared" si="181"/>
        <v>plf</v>
      </c>
      <c r="M1319" t="str">
        <f t="shared" si="181"/>
        <v>posterolateral fissure</v>
      </c>
      <c r="N1319" t="s">
        <v>7093</v>
      </c>
      <c r="O1319" t="s">
        <v>7094</v>
      </c>
      <c r="Y1319" t="s">
        <v>7093</v>
      </c>
      <c r="Z1319" t="s">
        <v>7094</v>
      </c>
      <c r="AA1319" s="6" t="str">
        <f t="shared" si="182"/>
        <v/>
      </c>
      <c r="AB1319">
        <v>170</v>
      </c>
      <c r="AC1319">
        <v>170</v>
      </c>
      <c r="AD1319">
        <v>169</v>
      </c>
    </row>
    <row r="1320" spans="1:30" ht="17" x14ac:dyDescent="0.25">
      <c r="A1320" s="1" t="s">
        <v>1322</v>
      </c>
      <c r="B1320" s="1" t="s">
        <v>3973</v>
      </c>
      <c r="C1320" s="1" t="s">
        <v>2649</v>
      </c>
      <c r="D1320" t="str">
        <f t="shared" si="183"/>
        <v>AAA9AA</v>
      </c>
      <c r="E1320" t="str">
        <f t="shared" si="184"/>
        <v>170-169-170</v>
      </c>
      <c r="F1320" t="str">
        <f t="shared" si="185"/>
        <v>170169170</v>
      </c>
      <c r="G1320">
        <f t="shared" si="186"/>
        <v>170</v>
      </c>
      <c r="H1320">
        <f t="shared" si="187"/>
        <v>169</v>
      </c>
      <c r="I1320">
        <f t="shared" si="188"/>
        <v>170</v>
      </c>
      <c r="J1320" t="str">
        <f t="shared" si="180"/>
        <v>nf",</v>
      </c>
      <c r="K1320" t="str">
        <f t="shared" si="180"/>
        <v>nodular fissure",</v>
      </c>
      <c r="L1320" t="str">
        <f t="shared" si="181"/>
        <v>nf</v>
      </c>
      <c r="M1320" t="str">
        <f t="shared" si="181"/>
        <v>nodular fissure</v>
      </c>
      <c r="N1320" t="s">
        <v>7095</v>
      </c>
      <c r="O1320" t="s">
        <v>7096</v>
      </c>
      <c r="Y1320" t="s">
        <v>7095</v>
      </c>
      <c r="Z1320" t="s">
        <v>7096</v>
      </c>
      <c r="AA1320" s="6" t="str">
        <f t="shared" si="182"/>
        <v/>
      </c>
      <c r="AB1320">
        <v>170</v>
      </c>
      <c r="AC1320">
        <v>169</v>
      </c>
      <c r="AD1320">
        <v>170</v>
      </c>
    </row>
    <row r="1321" spans="1:30" ht="17" x14ac:dyDescent="0.25">
      <c r="A1321" s="1" t="s">
        <v>1323</v>
      </c>
      <c r="B1321" s="1" t="s">
        <v>3974</v>
      </c>
      <c r="C1321" s="1" t="s">
        <v>2650</v>
      </c>
      <c r="D1321" t="str">
        <f t="shared" si="183"/>
        <v>A9AAAA</v>
      </c>
      <c r="E1321" t="str">
        <f t="shared" si="184"/>
        <v>169-170-170</v>
      </c>
      <c r="F1321" t="str">
        <f t="shared" si="185"/>
        <v>169170170</v>
      </c>
      <c r="G1321">
        <f t="shared" si="186"/>
        <v>169</v>
      </c>
      <c r="H1321">
        <f t="shared" si="187"/>
        <v>170</v>
      </c>
      <c r="I1321">
        <f t="shared" si="188"/>
        <v>170</v>
      </c>
      <c r="J1321" t="str">
        <f t="shared" si="180"/>
        <v>sif",</v>
      </c>
      <c r="K1321" t="str">
        <f t="shared" si="180"/>
        <v>simple fissure",</v>
      </c>
      <c r="L1321" t="str">
        <f t="shared" si="181"/>
        <v>sif</v>
      </c>
      <c r="M1321" t="str">
        <f t="shared" si="181"/>
        <v>simple fissure</v>
      </c>
      <c r="N1321" t="s">
        <v>7097</v>
      </c>
      <c r="O1321" t="s">
        <v>7098</v>
      </c>
      <c r="Y1321" t="s">
        <v>7097</v>
      </c>
      <c r="Z1321" t="s">
        <v>7098</v>
      </c>
      <c r="AA1321" s="6" t="str">
        <f t="shared" si="182"/>
        <v/>
      </c>
      <c r="AB1321">
        <v>169</v>
      </c>
      <c r="AC1321">
        <v>170</v>
      </c>
      <c r="AD1321">
        <v>170</v>
      </c>
    </row>
    <row r="1322" spans="1:30" ht="17" x14ac:dyDescent="0.25">
      <c r="A1322" s="1" t="s">
        <v>1324</v>
      </c>
      <c r="B1322" s="1" t="s">
        <v>3975</v>
      </c>
      <c r="C1322" s="1" t="s">
        <v>2651</v>
      </c>
      <c r="D1322" t="str">
        <f t="shared" si="183"/>
        <v>AAA9A9</v>
      </c>
      <c r="E1322" t="str">
        <f t="shared" si="184"/>
        <v>170-169-169</v>
      </c>
      <c r="F1322" t="str">
        <f t="shared" si="185"/>
        <v>170169169</v>
      </c>
      <c r="G1322">
        <f t="shared" si="186"/>
        <v>170</v>
      </c>
      <c r="H1322">
        <f t="shared" si="187"/>
        <v>169</v>
      </c>
      <c r="I1322">
        <f t="shared" si="188"/>
        <v>169</v>
      </c>
      <c r="J1322" t="str">
        <f t="shared" si="180"/>
        <v>icf",</v>
      </c>
      <c r="K1322" t="str">
        <f t="shared" si="180"/>
        <v>intercrural fissure",</v>
      </c>
      <c r="L1322" t="str">
        <f t="shared" si="181"/>
        <v>icf</v>
      </c>
      <c r="M1322" t="str">
        <f t="shared" si="181"/>
        <v>intercrural fissure</v>
      </c>
      <c r="N1322" t="s">
        <v>7099</v>
      </c>
      <c r="O1322" t="s">
        <v>7100</v>
      </c>
      <c r="Y1322" t="s">
        <v>7099</v>
      </c>
      <c r="Z1322" t="s">
        <v>7100</v>
      </c>
      <c r="AA1322" s="6" t="str">
        <f t="shared" si="182"/>
        <v/>
      </c>
      <c r="AB1322">
        <v>170</v>
      </c>
      <c r="AC1322">
        <v>169</v>
      </c>
      <c r="AD1322">
        <v>169</v>
      </c>
    </row>
    <row r="1323" spans="1:30" ht="17" x14ac:dyDescent="0.25">
      <c r="A1323" s="1" t="s">
        <v>1325</v>
      </c>
      <c r="B1323" s="1" t="s">
        <v>3976</v>
      </c>
      <c r="C1323" s="1" t="s">
        <v>2652</v>
      </c>
      <c r="D1323" t="str">
        <f t="shared" si="183"/>
        <v>A9AAA9</v>
      </c>
      <c r="E1323" t="str">
        <f t="shared" si="184"/>
        <v>169-170-169</v>
      </c>
      <c r="F1323" t="str">
        <f t="shared" si="185"/>
        <v>169170169</v>
      </c>
      <c r="G1323">
        <f t="shared" si="186"/>
        <v>169</v>
      </c>
      <c r="H1323">
        <f t="shared" si="187"/>
        <v>170</v>
      </c>
      <c r="I1323">
        <f t="shared" si="188"/>
        <v>169</v>
      </c>
      <c r="J1323" t="str">
        <f t="shared" si="180"/>
        <v>apf",</v>
      </c>
      <c r="K1323" t="str">
        <f t="shared" si="180"/>
        <v>ansoparamedian fissure",</v>
      </c>
      <c r="L1323" t="str">
        <f t="shared" si="181"/>
        <v>apf</v>
      </c>
      <c r="M1323" t="str">
        <f t="shared" si="181"/>
        <v>ansoparamedian fissure</v>
      </c>
      <c r="N1323" t="s">
        <v>7101</v>
      </c>
      <c r="O1323" t="s">
        <v>7102</v>
      </c>
      <c r="Y1323" t="s">
        <v>7101</v>
      </c>
      <c r="Z1323" t="s">
        <v>7102</v>
      </c>
      <c r="AA1323" s="6" t="str">
        <f t="shared" si="182"/>
        <v/>
      </c>
      <c r="AB1323">
        <v>169</v>
      </c>
      <c r="AC1323">
        <v>170</v>
      </c>
      <c r="AD1323">
        <v>169</v>
      </c>
    </row>
    <row r="1324" spans="1:30" ht="17" x14ac:dyDescent="0.25">
      <c r="A1324" s="1" t="s">
        <v>1326</v>
      </c>
      <c r="B1324" s="1" t="s">
        <v>3977</v>
      </c>
      <c r="C1324" s="1" t="s">
        <v>2653</v>
      </c>
      <c r="D1324" t="str">
        <f t="shared" si="183"/>
        <v>A9A9AA</v>
      </c>
      <c r="E1324" t="str">
        <f t="shared" si="184"/>
        <v>169-169-170</v>
      </c>
      <c r="F1324" t="str">
        <f t="shared" si="185"/>
        <v>169169170</v>
      </c>
      <c r="G1324">
        <f t="shared" si="186"/>
        <v>169</v>
      </c>
      <c r="H1324">
        <f t="shared" si="187"/>
        <v>169</v>
      </c>
      <c r="I1324">
        <f t="shared" si="188"/>
        <v>170</v>
      </c>
      <c r="J1324" t="str">
        <f t="shared" si="180"/>
        <v>ipf",</v>
      </c>
      <c r="K1324" t="str">
        <f t="shared" si="180"/>
        <v>intraparafloccular fissure",</v>
      </c>
      <c r="L1324" t="str">
        <f t="shared" si="181"/>
        <v>ipf</v>
      </c>
      <c r="M1324" t="str">
        <f t="shared" si="181"/>
        <v>intraparafloccular fissure</v>
      </c>
      <c r="N1324" t="s">
        <v>7103</v>
      </c>
      <c r="O1324" t="s">
        <v>7104</v>
      </c>
      <c r="Y1324" t="s">
        <v>7103</v>
      </c>
      <c r="Z1324" t="s">
        <v>7104</v>
      </c>
      <c r="AA1324" s="6" t="str">
        <f t="shared" si="182"/>
        <v/>
      </c>
      <c r="AB1324">
        <v>169</v>
      </c>
      <c r="AC1324">
        <v>169</v>
      </c>
      <c r="AD1324">
        <v>170</v>
      </c>
    </row>
    <row r="1325" spans="1:30" ht="17" x14ac:dyDescent="0.25">
      <c r="A1325" s="1" t="s">
        <v>1327</v>
      </c>
      <c r="B1325" s="1" t="s">
        <v>3978</v>
      </c>
      <c r="C1325" s="1" t="s">
        <v>2654</v>
      </c>
      <c r="D1325" t="str">
        <f t="shared" si="183"/>
        <v>A9A9A9</v>
      </c>
      <c r="E1325" t="str">
        <f t="shared" si="184"/>
        <v>169-169-169</v>
      </c>
      <c r="F1325" t="str">
        <f t="shared" si="185"/>
        <v>169169169</v>
      </c>
      <c r="G1325">
        <f t="shared" si="186"/>
        <v>169</v>
      </c>
      <c r="H1325">
        <f t="shared" si="187"/>
        <v>169</v>
      </c>
      <c r="I1325">
        <f t="shared" si="188"/>
        <v>169</v>
      </c>
      <c r="J1325" t="str">
        <f t="shared" si="180"/>
        <v>pms",</v>
      </c>
      <c r="K1325" t="str">
        <f t="shared" si="180"/>
        <v>paramedian sulcus",</v>
      </c>
      <c r="L1325" t="str">
        <f t="shared" si="181"/>
        <v>pms</v>
      </c>
      <c r="M1325" t="str">
        <f t="shared" si="181"/>
        <v>paramedian sulcus</v>
      </c>
      <c r="N1325" t="s">
        <v>7105</v>
      </c>
      <c r="O1325" t="s">
        <v>7106</v>
      </c>
      <c r="Y1325" t="s">
        <v>7105</v>
      </c>
      <c r="Z1325" t="s">
        <v>7106</v>
      </c>
      <c r="AA1325" s="6" t="str">
        <f t="shared" si="182"/>
        <v/>
      </c>
      <c r="AB1325">
        <v>169</v>
      </c>
      <c r="AC1325">
        <v>169</v>
      </c>
      <c r="AD1325">
        <v>169</v>
      </c>
    </row>
    <row r="1326" spans="1:30" ht="17" x14ac:dyDescent="0.25">
      <c r="A1326" s="1" t="s">
        <v>1328</v>
      </c>
      <c r="B1326" s="1" t="s">
        <v>3979</v>
      </c>
      <c r="C1326" s="1" t="s">
        <v>2655</v>
      </c>
      <c r="D1326" t="str">
        <f t="shared" si="183"/>
        <v>AAAAA8</v>
      </c>
      <c r="E1326" t="str">
        <f t="shared" si="184"/>
        <v>170-170-168</v>
      </c>
      <c r="F1326" t="str">
        <f t="shared" si="185"/>
        <v>170170168</v>
      </c>
      <c r="G1326">
        <f t="shared" si="186"/>
        <v>170</v>
      </c>
      <c r="H1326">
        <f t="shared" si="187"/>
        <v>170</v>
      </c>
      <c r="I1326">
        <f t="shared" si="188"/>
        <v>168</v>
      </c>
      <c r="J1326" t="str">
        <f t="shared" si="180"/>
        <v>pfs",</v>
      </c>
      <c r="K1326" t="str">
        <f t="shared" si="180"/>
        <v>parafloccular sulcus",</v>
      </c>
      <c r="L1326" t="str">
        <f t="shared" si="181"/>
        <v>pfs</v>
      </c>
      <c r="M1326" t="str">
        <f t="shared" si="181"/>
        <v>parafloccular sulcus</v>
      </c>
      <c r="N1326" t="s">
        <v>7107</v>
      </c>
      <c r="O1326" t="s">
        <v>7108</v>
      </c>
      <c r="Y1326" t="s">
        <v>7107</v>
      </c>
      <c r="Z1326" t="s">
        <v>7108</v>
      </c>
      <c r="AA1326" s="6" t="str">
        <f t="shared" si="182"/>
        <v/>
      </c>
      <c r="AB1326">
        <v>170</v>
      </c>
      <c r="AC1326">
        <v>170</v>
      </c>
      <c r="AD1326">
        <v>168</v>
      </c>
    </row>
    <row r="1327" spans="1:30" ht="17" x14ac:dyDescent="0.25">
      <c r="A1327" s="1" t="s">
        <v>1329</v>
      </c>
      <c r="B1327" s="1" t="s">
        <v>3980</v>
      </c>
      <c r="C1327" s="1" t="s">
        <v>2656</v>
      </c>
      <c r="D1327" t="str">
        <f t="shared" si="183"/>
        <v>A9A8A9</v>
      </c>
      <c r="E1327" t="str">
        <f t="shared" si="184"/>
        <v>169-168-169</v>
      </c>
      <c r="F1327" t="str">
        <f t="shared" si="185"/>
        <v>169168169</v>
      </c>
      <c r="G1327">
        <f t="shared" si="186"/>
        <v>169</v>
      </c>
      <c r="H1327">
        <f t="shared" si="187"/>
        <v>168</v>
      </c>
      <c r="I1327">
        <f t="shared" si="188"/>
        <v>169</v>
      </c>
      <c r="J1327" t="str">
        <f t="shared" si="180"/>
        <v>IPF",</v>
      </c>
      <c r="K1327" t="str">
        <f t="shared" si="180"/>
        <v>Interpeduncular fossa",</v>
      </c>
      <c r="L1327" t="str">
        <f t="shared" si="181"/>
        <v>IPF</v>
      </c>
      <c r="M1327" t="str">
        <f t="shared" si="181"/>
        <v>Interpeduncular fossa</v>
      </c>
      <c r="N1327" t="s">
        <v>7109</v>
      </c>
      <c r="O1327" t="s">
        <v>7110</v>
      </c>
      <c r="Y1327" t="s">
        <v>7109</v>
      </c>
      <c r="Z1327" t="s">
        <v>7110</v>
      </c>
      <c r="AA1327" s="6" t="str">
        <f t="shared" si="182"/>
        <v/>
      </c>
      <c r="AB1327">
        <v>169</v>
      </c>
      <c r="AC1327">
        <v>168</v>
      </c>
      <c r="AD1327">
        <v>169</v>
      </c>
    </row>
    <row r="1328" spans="1:30" ht="17" x14ac:dyDescent="0.25">
      <c r="A1328" s="1" t="s">
        <v>1330</v>
      </c>
      <c r="B1328" s="1" t="s">
        <v>1330</v>
      </c>
      <c r="C1328" s="1" t="s">
        <v>2657</v>
      </c>
      <c r="D1328" t="str">
        <f t="shared" si="183"/>
        <v>7F2E7E</v>
      </c>
      <c r="E1328" t="str">
        <f t="shared" si="184"/>
        <v>127-46-126</v>
      </c>
      <c r="F1328" t="str">
        <f t="shared" si="185"/>
        <v>12746126</v>
      </c>
      <c r="G1328">
        <f t="shared" si="186"/>
        <v>127</v>
      </c>
      <c r="H1328">
        <f t="shared" si="187"/>
        <v>46</v>
      </c>
      <c r="I1328">
        <f t="shared" si="188"/>
        <v>126</v>
      </c>
      <c r="J1328" t="str">
        <f t="shared" si="180"/>
        <v>retina"</v>
      </c>
      <c r="K1328" t="str">
        <f t="shared" si="180"/>
        <v>retina"</v>
      </c>
      <c r="L1328" t="str">
        <f t="shared" si="181"/>
        <v>retin</v>
      </c>
      <c r="M1328" t="str">
        <f t="shared" si="181"/>
        <v>retin</v>
      </c>
      <c r="N1328" t="s">
        <v>7111</v>
      </c>
      <c r="O1328" t="s">
        <v>7111</v>
      </c>
      <c r="Y1328" t="s">
        <v>7111</v>
      </c>
      <c r="Z1328" t="s">
        <v>7111</v>
      </c>
      <c r="AA1328" s="6" t="str">
        <f t="shared" si="182"/>
        <v/>
      </c>
      <c r="AB1328">
        <v>127</v>
      </c>
      <c r="AC1328">
        <v>46</v>
      </c>
      <c r="AD1328">
        <v>126</v>
      </c>
    </row>
    <row r="1329" spans="1:3" ht="17" x14ac:dyDescent="0.25">
      <c r="A1329" s="1"/>
      <c r="B1329" s="1"/>
      <c r="C132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16FB-60F9-EC41-9D1D-7788690702B1}">
  <sheetPr codeName="Sheet4"/>
  <dimension ref="A1:K840"/>
  <sheetViews>
    <sheetView tabSelected="1" workbookViewId="0">
      <selection activeCell="E1" sqref="E1"/>
    </sheetView>
  </sheetViews>
  <sheetFormatPr baseColWidth="10" defaultRowHeight="16" x14ac:dyDescent="0.2"/>
  <cols>
    <col min="4" max="4" width="51.5" bestFit="1" customWidth="1"/>
  </cols>
  <sheetData>
    <row r="1" spans="1:11" x14ac:dyDescent="0.2">
      <c r="A1" s="4" t="s">
        <v>7239</v>
      </c>
      <c r="B1" s="4" t="s">
        <v>7243</v>
      </c>
      <c r="C1" s="4" t="s">
        <v>7244</v>
      </c>
      <c r="D1" s="4" t="s">
        <v>7245</v>
      </c>
      <c r="E1" s="4" t="s">
        <v>7240</v>
      </c>
      <c r="F1" s="4" t="s">
        <v>7241</v>
      </c>
      <c r="G1" s="4" t="s">
        <v>7242</v>
      </c>
      <c r="H1" s="4" t="s">
        <v>3983</v>
      </c>
      <c r="I1" s="4" t="s">
        <v>3984</v>
      </c>
      <c r="J1" s="4" t="s">
        <v>3985</v>
      </c>
    </row>
    <row r="2" spans="1:11" x14ac:dyDescent="0.2">
      <c r="A2">
        <v>0</v>
      </c>
      <c r="B2">
        <v>0</v>
      </c>
      <c r="C2">
        <v>0</v>
      </c>
      <c r="D2" t="s">
        <v>7246</v>
      </c>
      <c r="E2">
        <v>997</v>
      </c>
      <c r="F2" t="s">
        <v>4590</v>
      </c>
      <c r="G2" t="s">
        <v>4590</v>
      </c>
      <c r="H2">
        <v>0</v>
      </c>
      <c r="I2">
        <v>0</v>
      </c>
      <c r="J2">
        <v>0</v>
      </c>
      <c r="K2" s="562" t="str" cm="1">
        <f t="array" ref="K2">myRGB(H2,I2,J2)</f>
        <v/>
      </c>
    </row>
    <row r="3" spans="1:11" x14ac:dyDescent="0.2">
      <c r="A3">
        <v>1</v>
      </c>
      <c r="B3">
        <v>997</v>
      </c>
      <c r="C3">
        <v>1</v>
      </c>
      <c r="D3" t="s">
        <v>7247</v>
      </c>
      <c r="E3">
        <v>8</v>
      </c>
      <c r="F3" t="s">
        <v>4592</v>
      </c>
      <c r="G3" t="s">
        <v>4591</v>
      </c>
      <c r="H3">
        <v>191</v>
      </c>
      <c r="I3">
        <v>218</v>
      </c>
      <c r="J3">
        <v>227</v>
      </c>
      <c r="K3" s="777" t="str" cm="1">
        <f t="array" ref="K3">myRGB(H3,I3,J3)</f>
        <v/>
      </c>
    </row>
    <row r="4" spans="1:11" x14ac:dyDescent="0.2">
      <c r="A4">
        <v>2</v>
      </c>
      <c r="B4">
        <v>8</v>
      </c>
      <c r="C4">
        <v>2</v>
      </c>
      <c r="D4" t="s">
        <v>7248</v>
      </c>
      <c r="E4">
        <v>567</v>
      </c>
      <c r="F4" t="s">
        <v>4594</v>
      </c>
      <c r="G4" t="s">
        <v>4593</v>
      </c>
      <c r="H4">
        <v>176</v>
      </c>
      <c r="I4">
        <v>240</v>
      </c>
      <c r="J4">
        <v>255</v>
      </c>
      <c r="K4" s="458" t="str" cm="1">
        <f t="array" ref="K4">myRGB(H4,I4,J4)</f>
        <v/>
      </c>
    </row>
    <row r="5" spans="1:11" x14ac:dyDescent="0.2">
      <c r="A5">
        <v>3</v>
      </c>
      <c r="B5">
        <v>567</v>
      </c>
      <c r="C5">
        <v>3</v>
      </c>
      <c r="D5" t="s">
        <v>7249</v>
      </c>
      <c r="E5">
        <v>688</v>
      </c>
      <c r="F5" t="s">
        <v>4596</v>
      </c>
      <c r="G5" t="s">
        <v>4595</v>
      </c>
      <c r="H5">
        <v>176</v>
      </c>
      <c r="I5">
        <v>255</v>
      </c>
      <c r="J5">
        <v>184</v>
      </c>
      <c r="K5" s="170" t="str" cm="1">
        <f t="array" ref="K5">myRGB(H5,I5,J5)</f>
        <v/>
      </c>
    </row>
    <row r="6" spans="1:11" x14ac:dyDescent="0.2">
      <c r="A6">
        <v>4</v>
      </c>
      <c r="B6">
        <v>688</v>
      </c>
      <c r="C6">
        <v>4</v>
      </c>
      <c r="D6" t="s">
        <v>7250</v>
      </c>
      <c r="E6">
        <v>695</v>
      </c>
      <c r="F6" t="s">
        <v>4598</v>
      </c>
      <c r="G6" t="s">
        <v>4597</v>
      </c>
      <c r="H6">
        <v>112</v>
      </c>
      <c r="I6">
        <v>255</v>
      </c>
      <c r="J6">
        <v>112</v>
      </c>
      <c r="K6" s="491" t="str" cm="1">
        <f t="array" ref="K6">myRGB(H6,I6,J6)</f>
        <v/>
      </c>
    </row>
    <row r="7" spans="1:11" x14ac:dyDescent="0.2">
      <c r="A7">
        <v>5</v>
      </c>
      <c r="B7">
        <v>695</v>
      </c>
      <c r="C7">
        <v>5</v>
      </c>
      <c r="D7" t="s">
        <v>7251</v>
      </c>
      <c r="E7">
        <v>315</v>
      </c>
      <c r="F7" t="s">
        <v>4599</v>
      </c>
      <c r="G7" t="s">
        <v>4599</v>
      </c>
      <c r="H7">
        <v>112</v>
      </c>
      <c r="I7">
        <v>255</v>
      </c>
      <c r="J7">
        <v>113</v>
      </c>
      <c r="K7" s="143" t="str" cm="1">
        <f t="array" ref="K7">myRGB(H7,I7,J7)</f>
        <v/>
      </c>
    </row>
    <row r="8" spans="1:11" x14ac:dyDescent="0.2">
      <c r="A8">
        <v>6</v>
      </c>
      <c r="B8">
        <v>315</v>
      </c>
      <c r="C8">
        <v>6</v>
      </c>
      <c r="D8" t="s">
        <v>7252</v>
      </c>
      <c r="E8">
        <v>184</v>
      </c>
      <c r="F8" t="s">
        <v>4601</v>
      </c>
      <c r="G8" t="s">
        <v>4600</v>
      </c>
      <c r="H8">
        <v>38</v>
      </c>
      <c r="I8">
        <v>143</v>
      </c>
      <c r="J8">
        <v>68</v>
      </c>
      <c r="K8" s="267" t="str" cm="1">
        <f t="array" ref="K8">myRGB(H8,I8,J8)</f>
        <v/>
      </c>
    </row>
    <row r="9" spans="1:11" x14ac:dyDescent="0.2">
      <c r="A9">
        <v>7</v>
      </c>
      <c r="B9">
        <v>184</v>
      </c>
      <c r="C9">
        <v>7</v>
      </c>
      <c r="D9" t="s">
        <v>7253</v>
      </c>
      <c r="E9">
        <v>68</v>
      </c>
      <c r="F9" t="s">
        <v>4603</v>
      </c>
      <c r="G9" t="s">
        <v>4602</v>
      </c>
      <c r="H9">
        <v>38</v>
      </c>
      <c r="I9">
        <v>143</v>
      </c>
      <c r="J9">
        <v>69</v>
      </c>
      <c r="K9" s="285" t="str" cm="1">
        <f t="array" ref="K9">myRGB(H9,I9,J9)</f>
        <v/>
      </c>
    </row>
    <row r="10" spans="1:11" x14ac:dyDescent="0.2">
      <c r="A10">
        <v>8</v>
      </c>
      <c r="B10">
        <v>184</v>
      </c>
      <c r="C10">
        <v>7</v>
      </c>
      <c r="D10" t="s">
        <v>7254</v>
      </c>
      <c r="E10">
        <v>667</v>
      </c>
      <c r="F10" t="s">
        <v>7173</v>
      </c>
      <c r="G10" t="s">
        <v>7112</v>
      </c>
      <c r="H10">
        <v>38</v>
      </c>
      <c r="I10">
        <v>142</v>
      </c>
      <c r="J10">
        <v>69</v>
      </c>
      <c r="K10" s="338" t="str" cm="1">
        <f t="array" ref="K10">myRGB(H10,I10,J10)</f>
        <v/>
      </c>
    </row>
    <row r="11" spans="1:11" x14ac:dyDescent="0.2">
      <c r="A11">
        <v>9</v>
      </c>
      <c r="B11">
        <v>184</v>
      </c>
      <c r="C11">
        <v>7</v>
      </c>
      <c r="D11" t="s">
        <v>7255</v>
      </c>
      <c r="E11">
        <v>526157192</v>
      </c>
      <c r="F11" t="s">
        <v>4605</v>
      </c>
      <c r="G11" t="s">
        <v>4604</v>
      </c>
      <c r="H11">
        <v>37</v>
      </c>
      <c r="I11">
        <v>143</v>
      </c>
      <c r="J11">
        <v>69</v>
      </c>
      <c r="K11" s="234" t="str" cm="1">
        <f t="array" ref="K11">myRGB(H11,I11,J11)</f>
        <v/>
      </c>
    </row>
    <row r="12" spans="1:11" x14ac:dyDescent="0.2">
      <c r="A12">
        <v>10</v>
      </c>
      <c r="B12">
        <v>184</v>
      </c>
      <c r="C12">
        <v>7</v>
      </c>
      <c r="D12" t="s">
        <v>7256</v>
      </c>
      <c r="E12">
        <v>526157196</v>
      </c>
      <c r="F12" t="s">
        <v>4607</v>
      </c>
      <c r="G12" t="s">
        <v>4606</v>
      </c>
      <c r="H12">
        <v>38</v>
      </c>
      <c r="I12">
        <v>142</v>
      </c>
      <c r="J12">
        <v>68</v>
      </c>
      <c r="K12" s="160" t="str" cm="1">
        <f t="array" ref="K12">myRGB(H12,I12,J12)</f>
        <v/>
      </c>
    </row>
    <row r="13" spans="1:11" x14ac:dyDescent="0.2">
      <c r="A13">
        <v>11</v>
      </c>
      <c r="B13">
        <v>184</v>
      </c>
      <c r="C13">
        <v>7</v>
      </c>
      <c r="D13" t="s">
        <v>7257</v>
      </c>
      <c r="E13">
        <v>526322264</v>
      </c>
      <c r="F13" t="s">
        <v>4609</v>
      </c>
      <c r="G13" t="s">
        <v>4608</v>
      </c>
      <c r="H13">
        <v>37</v>
      </c>
      <c r="I13">
        <v>143</v>
      </c>
      <c r="J13">
        <v>68</v>
      </c>
      <c r="K13" s="372" t="str" cm="1">
        <f t="array" ref="K13">myRGB(H13,I13,J13)</f>
        <v/>
      </c>
    </row>
    <row r="14" spans="1:11" x14ac:dyDescent="0.2">
      <c r="A14">
        <v>12</v>
      </c>
      <c r="B14">
        <v>315</v>
      </c>
      <c r="C14">
        <v>6</v>
      </c>
      <c r="D14" t="s">
        <v>7258</v>
      </c>
      <c r="E14">
        <v>500</v>
      </c>
      <c r="F14" t="s">
        <v>4611</v>
      </c>
      <c r="G14" t="s">
        <v>4610</v>
      </c>
      <c r="H14">
        <v>31</v>
      </c>
      <c r="I14">
        <v>156</v>
      </c>
      <c r="J14">
        <v>89</v>
      </c>
      <c r="K14" s="128" t="str" cm="1">
        <f t="array" ref="K14">myRGB(H14,I14,J14)</f>
        <v/>
      </c>
    </row>
    <row r="15" spans="1:11" x14ac:dyDescent="0.2">
      <c r="A15">
        <v>18</v>
      </c>
      <c r="B15">
        <v>500</v>
      </c>
      <c r="C15">
        <v>7</v>
      </c>
      <c r="D15" t="s">
        <v>7259</v>
      </c>
      <c r="E15">
        <v>985</v>
      </c>
      <c r="F15" t="s">
        <v>4621</v>
      </c>
      <c r="G15" t="s">
        <v>4620</v>
      </c>
      <c r="H15">
        <v>30</v>
      </c>
      <c r="I15">
        <v>155</v>
      </c>
      <c r="J15">
        <v>90</v>
      </c>
      <c r="K15" s="350" t="str" cm="1">
        <f t="array" ref="K15">myRGB(H15,I15,J15)</f>
        <v/>
      </c>
    </row>
    <row r="16" spans="1:11" x14ac:dyDescent="0.2">
      <c r="A16">
        <v>19</v>
      </c>
      <c r="B16">
        <v>985</v>
      </c>
      <c r="C16">
        <v>8</v>
      </c>
      <c r="D16" t="s">
        <v>7260</v>
      </c>
      <c r="E16">
        <v>320</v>
      </c>
      <c r="F16" t="s">
        <v>4623</v>
      </c>
      <c r="G16" t="s">
        <v>4622</v>
      </c>
      <c r="H16">
        <v>30</v>
      </c>
      <c r="I16">
        <v>157</v>
      </c>
      <c r="J16">
        <v>90</v>
      </c>
      <c r="K16" s="324" t="str" cm="1">
        <f t="array" ref="K16">myRGB(H16,I16,J16)</f>
        <v/>
      </c>
    </row>
    <row r="17" spans="1:11" x14ac:dyDescent="0.2">
      <c r="A17">
        <v>20</v>
      </c>
      <c r="B17">
        <v>985</v>
      </c>
      <c r="C17">
        <v>8</v>
      </c>
      <c r="D17" t="s">
        <v>7261</v>
      </c>
      <c r="E17">
        <v>943</v>
      </c>
      <c r="F17" t="s">
        <v>7175</v>
      </c>
      <c r="G17" t="s">
        <v>7114</v>
      </c>
      <c r="H17">
        <v>31</v>
      </c>
      <c r="I17">
        <v>156</v>
      </c>
      <c r="J17">
        <v>88</v>
      </c>
      <c r="K17" s="186" t="str" cm="1">
        <f t="array" ref="K17">myRGB(H17,I17,J17)</f>
        <v/>
      </c>
    </row>
    <row r="18" spans="1:11" x14ac:dyDescent="0.2">
      <c r="A18">
        <v>21</v>
      </c>
      <c r="B18">
        <v>985</v>
      </c>
      <c r="C18">
        <v>8</v>
      </c>
      <c r="D18" t="s">
        <v>7262</v>
      </c>
      <c r="E18">
        <v>648</v>
      </c>
      <c r="F18" t="s">
        <v>4625</v>
      </c>
      <c r="G18" t="s">
        <v>4624</v>
      </c>
      <c r="H18">
        <v>30</v>
      </c>
      <c r="I18">
        <v>156</v>
      </c>
      <c r="J18">
        <v>90</v>
      </c>
      <c r="K18" s="55" t="str" cm="1">
        <f t="array" ref="K18">myRGB(H18,I18,J18)</f>
        <v/>
      </c>
    </row>
    <row r="19" spans="1:11" x14ac:dyDescent="0.2">
      <c r="A19">
        <v>22</v>
      </c>
      <c r="B19">
        <v>985</v>
      </c>
      <c r="C19">
        <v>8</v>
      </c>
      <c r="D19" t="s">
        <v>7263</v>
      </c>
      <c r="E19">
        <v>844</v>
      </c>
      <c r="F19" t="s">
        <v>4627</v>
      </c>
      <c r="G19" t="s">
        <v>4626</v>
      </c>
      <c r="H19">
        <v>31</v>
      </c>
      <c r="I19">
        <v>155</v>
      </c>
      <c r="J19">
        <v>90</v>
      </c>
      <c r="K19" s="252" t="str" cm="1">
        <f t="array" ref="K19">myRGB(H19,I19,J19)</f>
        <v/>
      </c>
    </row>
    <row r="20" spans="1:11" x14ac:dyDescent="0.2">
      <c r="A20">
        <v>23</v>
      </c>
      <c r="B20">
        <v>985</v>
      </c>
      <c r="C20">
        <v>8</v>
      </c>
      <c r="D20" t="s">
        <v>7264</v>
      </c>
      <c r="E20">
        <v>882</v>
      </c>
      <c r="F20" t="s">
        <v>4629</v>
      </c>
      <c r="G20" t="s">
        <v>4628</v>
      </c>
      <c r="H20">
        <v>29</v>
      </c>
      <c r="I20">
        <v>157</v>
      </c>
      <c r="J20">
        <v>90</v>
      </c>
      <c r="K20" s="212" t="str" cm="1">
        <f t="array" ref="K20">myRGB(H20,I20,J20)</f>
        <v/>
      </c>
    </row>
    <row r="21" spans="1:11" x14ac:dyDescent="0.2">
      <c r="A21">
        <v>24</v>
      </c>
      <c r="B21">
        <v>500</v>
      </c>
      <c r="C21">
        <v>7</v>
      </c>
      <c r="D21" t="s">
        <v>7265</v>
      </c>
      <c r="E21">
        <v>993</v>
      </c>
      <c r="F21" t="s">
        <v>4631</v>
      </c>
      <c r="G21" t="s">
        <v>4630</v>
      </c>
      <c r="H21">
        <v>29</v>
      </c>
      <c r="I21">
        <v>157</v>
      </c>
      <c r="J21">
        <v>89</v>
      </c>
      <c r="K21" s="54" t="str" cm="1">
        <f t="array" ref="K21">myRGB(H21,I21,J21)</f>
        <v/>
      </c>
    </row>
    <row r="22" spans="1:11" x14ac:dyDescent="0.2">
      <c r="A22">
        <v>25</v>
      </c>
      <c r="B22">
        <v>993</v>
      </c>
      <c r="C22">
        <v>8</v>
      </c>
      <c r="D22" t="s">
        <v>7266</v>
      </c>
      <c r="E22">
        <v>656</v>
      </c>
      <c r="F22" t="s">
        <v>4633</v>
      </c>
      <c r="G22" t="s">
        <v>4632</v>
      </c>
      <c r="H22">
        <v>30</v>
      </c>
      <c r="I22">
        <v>156</v>
      </c>
      <c r="J22">
        <v>89</v>
      </c>
      <c r="K22" s="323" t="str" cm="1">
        <f t="array" ref="K22">myRGB(H22,I22,J22)</f>
        <v/>
      </c>
    </row>
    <row r="23" spans="1:11" x14ac:dyDescent="0.2">
      <c r="A23">
        <v>26</v>
      </c>
      <c r="B23">
        <v>993</v>
      </c>
      <c r="C23">
        <v>8</v>
      </c>
      <c r="D23" t="s">
        <v>7267</v>
      </c>
      <c r="E23">
        <v>962</v>
      </c>
      <c r="F23" t="s">
        <v>7176</v>
      </c>
      <c r="G23" t="s">
        <v>7115</v>
      </c>
      <c r="H23">
        <v>30</v>
      </c>
      <c r="I23">
        <v>157</v>
      </c>
      <c r="J23">
        <v>88</v>
      </c>
      <c r="K23" s="251" t="str" cm="1">
        <f t="array" ref="K23">myRGB(H23,I23,J23)</f>
        <v/>
      </c>
    </row>
    <row r="24" spans="1:11" x14ac:dyDescent="0.2">
      <c r="A24">
        <v>27</v>
      </c>
      <c r="B24">
        <v>993</v>
      </c>
      <c r="C24">
        <v>8</v>
      </c>
      <c r="D24" t="s">
        <v>7268</v>
      </c>
      <c r="E24">
        <v>767</v>
      </c>
      <c r="F24" t="s">
        <v>4635</v>
      </c>
      <c r="G24" t="s">
        <v>4634</v>
      </c>
      <c r="H24">
        <v>31</v>
      </c>
      <c r="I24">
        <v>157</v>
      </c>
      <c r="J24">
        <v>88</v>
      </c>
      <c r="K24" s="53" t="str" cm="1">
        <f t="array" ref="K24">myRGB(H24,I24,J24)</f>
        <v/>
      </c>
    </row>
    <row r="25" spans="1:11" x14ac:dyDescent="0.2">
      <c r="A25">
        <v>28</v>
      </c>
      <c r="B25">
        <v>993</v>
      </c>
      <c r="C25">
        <v>8</v>
      </c>
      <c r="D25" t="s">
        <v>7269</v>
      </c>
      <c r="E25">
        <v>1021</v>
      </c>
      <c r="F25" t="s">
        <v>4637</v>
      </c>
      <c r="G25" t="s">
        <v>4636</v>
      </c>
      <c r="H25">
        <v>29</v>
      </c>
      <c r="I25">
        <v>156</v>
      </c>
      <c r="J25">
        <v>90</v>
      </c>
      <c r="K25" s="127" t="str" cm="1">
        <f t="array" ref="K25">myRGB(H25,I25,J25)</f>
        <v/>
      </c>
    </row>
    <row r="26" spans="1:11" x14ac:dyDescent="0.2">
      <c r="A26">
        <v>29</v>
      </c>
      <c r="B26">
        <v>993</v>
      </c>
      <c r="C26">
        <v>8</v>
      </c>
      <c r="D26" t="s">
        <v>7270</v>
      </c>
      <c r="E26">
        <v>1085</v>
      </c>
      <c r="F26" t="s">
        <v>4639</v>
      </c>
      <c r="G26" t="s">
        <v>4638</v>
      </c>
      <c r="H26">
        <v>30</v>
      </c>
      <c r="I26">
        <v>156</v>
      </c>
      <c r="J26">
        <v>88</v>
      </c>
      <c r="K26" s="349" t="str" cm="1">
        <f t="array" ref="K26">myRGB(H26,I26,J26)</f>
        <v/>
      </c>
    </row>
    <row r="27" spans="1:11" x14ac:dyDescent="0.2">
      <c r="A27">
        <v>30</v>
      </c>
      <c r="B27">
        <v>315</v>
      </c>
      <c r="C27">
        <v>6</v>
      </c>
      <c r="D27" t="s">
        <v>7271</v>
      </c>
      <c r="E27">
        <v>453</v>
      </c>
      <c r="F27" t="s">
        <v>4641</v>
      </c>
      <c r="G27" t="s">
        <v>4640</v>
      </c>
      <c r="H27">
        <v>27</v>
      </c>
      <c r="I27">
        <v>128</v>
      </c>
      <c r="J27">
        <v>97</v>
      </c>
      <c r="K27" s="358" t="str" cm="1">
        <f t="array" ref="K27">myRGB(H27,I27,J27)</f>
        <v/>
      </c>
    </row>
    <row r="28" spans="1:11" x14ac:dyDescent="0.2">
      <c r="A28">
        <v>37</v>
      </c>
      <c r="B28">
        <v>453</v>
      </c>
      <c r="C28">
        <v>7</v>
      </c>
      <c r="D28" t="s">
        <v>7272</v>
      </c>
      <c r="E28">
        <v>322</v>
      </c>
      <c r="F28" t="s">
        <v>4653</v>
      </c>
      <c r="G28" t="s">
        <v>4652</v>
      </c>
      <c r="H28">
        <v>25</v>
      </c>
      <c r="I28">
        <v>128</v>
      </c>
      <c r="J28">
        <v>99</v>
      </c>
      <c r="K28" s="331" t="str" cm="1">
        <f t="array" ref="K28">myRGB(H28,I28,J28)</f>
        <v/>
      </c>
    </row>
    <row r="29" spans="1:11" x14ac:dyDescent="0.2">
      <c r="A29">
        <v>44</v>
      </c>
      <c r="B29">
        <v>322</v>
      </c>
      <c r="C29">
        <v>8</v>
      </c>
      <c r="D29" t="s">
        <v>7273</v>
      </c>
      <c r="E29">
        <v>353</v>
      </c>
      <c r="F29" t="s">
        <v>4665</v>
      </c>
      <c r="G29" t="s">
        <v>4664</v>
      </c>
      <c r="H29">
        <v>26</v>
      </c>
      <c r="I29">
        <v>128</v>
      </c>
      <c r="J29">
        <v>100</v>
      </c>
      <c r="K29" s="256" t="str" cm="1">
        <f t="array" ref="K29">myRGB(H29,I29,J29)</f>
        <v/>
      </c>
    </row>
    <row r="30" spans="1:11" x14ac:dyDescent="0.2">
      <c r="A30">
        <v>45</v>
      </c>
      <c r="B30">
        <v>353</v>
      </c>
      <c r="C30">
        <v>9</v>
      </c>
      <c r="D30" t="s">
        <v>7274</v>
      </c>
      <c r="E30">
        <v>558</v>
      </c>
      <c r="F30" t="s">
        <v>4667</v>
      </c>
      <c r="G30" t="s">
        <v>4666</v>
      </c>
      <c r="H30">
        <v>25</v>
      </c>
      <c r="I30">
        <v>126</v>
      </c>
      <c r="J30">
        <v>99</v>
      </c>
      <c r="K30" s="216" t="str" cm="1">
        <f t="array" ref="K30">myRGB(H30,I30,J30)</f>
        <v/>
      </c>
    </row>
    <row r="31" spans="1:11" x14ac:dyDescent="0.2">
      <c r="A31">
        <v>46</v>
      </c>
      <c r="B31">
        <v>353</v>
      </c>
      <c r="C31">
        <v>9</v>
      </c>
      <c r="D31" t="s">
        <v>7275</v>
      </c>
      <c r="E31">
        <v>838</v>
      </c>
      <c r="F31" t="s">
        <v>7179</v>
      </c>
      <c r="G31" t="s">
        <v>7118</v>
      </c>
      <c r="H31">
        <v>27</v>
      </c>
      <c r="I31">
        <v>127</v>
      </c>
      <c r="J31">
        <v>100</v>
      </c>
      <c r="K31" s="131" t="str" cm="1">
        <f t="array" ref="K31">myRGB(H31,I31,J31)</f>
        <v/>
      </c>
    </row>
    <row r="32" spans="1:11" x14ac:dyDescent="0.2">
      <c r="A32">
        <v>47</v>
      </c>
      <c r="B32">
        <v>353</v>
      </c>
      <c r="C32">
        <v>9</v>
      </c>
      <c r="D32" t="s">
        <v>7276</v>
      </c>
      <c r="E32">
        <v>654</v>
      </c>
      <c r="F32" t="s">
        <v>4669</v>
      </c>
      <c r="G32" t="s">
        <v>4668</v>
      </c>
      <c r="H32">
        <v>26</v>
      </c>
      <c r="I32">
        <v>128</v>
      </c>
      <c r="J32">
        <v>98</v>
      </c>
      <c r="K32" s="190" t="str" cm="1">
        <f t="array" ref="K32">myRGB(H32,I32,J32)</f>
        <v/>
      </c>
    </row>
    <row r="33" spans="1:11" x14ac:dyDescent="0.2">
      <c r="A33">
        <v>48</v>
      </c>
      <c r="B33">
        <v>353</v>
      </c>
      <c r="C33">
        <v>9</v>
      </c>
      <c r="D33" t="s">
        <v>7277</v>
      </c>
      <c r="E33">
        <v>702</v>
      </c>
      <c r="F33" t="s">
        <v>4671</v>
      </c>
      <c r="G33" t="s">
        <v>4670</v>
      </c>
      <c r="H33">
        <v>25</v>
      </c>
      <c r="I33">
        <v>126</v>
      </c>
      <c r="J33">
        <v>98</v>
      </c>
      <c r="K33" s="62" t="str" cm="1">
        <f t="array" ref="K33">myRGB(H33,I33,J33)</f>
        <v/>
      </c>
    </row>
    <row r="34" spans="1:11" x14ac:dyDescent="0.2">
      <c r="A34">
        <v>49</v>
      </c>
      <c r="B34">
        <v>353</v>
      </c>
      <c r="C34">
        <v>9</v>
      </c>
      <c r="D34" t="s">
        <v>7278</v>
      </c>
      <c r="E34">
        <v>889</v>
      </c>
      <c r="F34" t="s">
        <v>4673</v>
      </c>
      <c r="G34" t="s">
        <v>4672</v>
      </c>
      <c r="H34">
        <v>24</v>
      </c>
      <c r="I34">
        <v>125</v>
      </c>
      <c r="J34">
        <v>98</v>
      </c>
      <c r="K34" s="353" t="str" cm="1">
        <f t="array" ref="K34">myRGB(H34,I34,J34)</f>
        <v/>
      </c>
    </row>
    <row r="35" spans="1:11" x14ac:dyDescent="0.2">
      <c r="A35">
        <v>50</v>
      </c>
      <c r="B35">
        <v>353</v>
      </c>
      <c r="C35">
        <v>9</v>
      </c>
      <c r="D35" t="s">
        <v>7279</v>
      </c>
      <c r="E35">
        <v>929</v>
      </c>
      <c r="F35" t="s">
        <v>4675</v>
      </c>
      <c r="G35" t="s">
        <v>4674</v>
      </c>
      <c r="H35">
        <v>27</v>
      </c>
      <c r="I35">
        <v>126</v>
      </c>
      <c r="J35">
        <v>100</v>
      </c>
      <c r="K35" s="327" t="str" cm="1">
        <f t="array" ref="K35">myRGB(H35,I35,J35)</f>
        <v/>
      </c>
    </row>
    <row r="36" spans="1:11" x14ac:dyDescent="0.2">
      <c r="A36">
        <v>51</v>
      </c>
      <c r="B36">
        <v>322</v>
      </c>
      <c r="C36">
        <v>8</v>
      </c>
      <c r="D36" t="s">
        <v>7280</v>
      </c>
      <c r="E36">
        <v>329</v>
      </c>
      <c r="F36" t="s">
        <v>4677</v>
      </c>
      <c r="G36" t="s">
        <v>4676</v>
      </c>
      <c r="H36">
        <v>25</v>
      </c>
      <c r="I36">
        <v>127</v>
      </c>
      <c r="J36">
        <v>100</v>
      </c>
      <c r="K36" s="259" t="str" cm="1">
        <f t="array" ref="K36">myRGB(H36,I36,J36)</f>
        <v/>
      </c>
    </row>
    <row r="37" spans="1:11" x14ac:dyDescent="0.2">
      <c r="A37">
        <v>52</v>
      </c>
      <c r="B37">
        <v>329</v>
      </c>
      <c r="C37">
        <v>9</v>
      </c>
      <c r="D37" t="s">
        <v>7281</v>
      </c>
      <c r="E37">
        <v>981</v>
      </c>
      <c r="F37" t="s">
        <v>4679</v>
      </c>
      <c r="G37" t="s">
        <v>4678</v>
      </c>
      <c r="H37">
        <v>24</v>
      </c>
      <c r="I37">
        <v>128</v>
      </c>
      <c r="J37">
        <v>96</v>
      </c>
      <c r="K37" s="258" t="str" cm="1">
        <f t="array" ref="K37">myRGB(H37,I37,J37)</f>
        <v/>
      </c>
    </row>
    <row r="38" spans="1:11" x14ac:dyDescent="0.2">
      <c r="A38">
        <v>53</v>
      </c>
      <c r="B38">
        <v>329</v>
      </c>
      <c r="C38">
        <v>9</v>
      </c>
      <c r="D38" t="s">
        <v>7282</v>
      </c>
      <c r="E38">
        <v>201</v>
      </c>
      <c r="F38" t="s">
        <v>7180</v>
      </c>
      <c r="G38" t="s">
        <v>7119</v>
      </c>
      <c r="H38">
        <v>24</v>
      </c>
      <c r="I38">
        <v>127</v>
      </c>
      <c r="J38">
        <v>99</v>
      </c>
      <c r="K38" s="269" t="str" cm="1">
        <f t="array" ref="K38">myRGB(H38,I38,J38)</f>
        <v/>
      </c>
    </row>
    <row r="39" spans="1:11" x14ac:dyDescent="0.2">
      <c r="A39">
        <v>54</v>
      </c>
      <c r="B39">
        <v>329</v>
      </c>
      <c r="C39">
        <v>9</v>
      </c>
      <c r="D39" t="s">
        <v>7283</v>
      </c>
      <c r="E39">
        <v>1047</v>
      </c>
      <c r="F39" t="s">
        <v>4681</v>
      </c>
      <c r="G39" t="s">
        <v>4680</v>
      </c>
      <c r="H39">
        <v>25</v>
      </c>
      <c r="I39">
        <v>124</v>
      </c>
      <c r="J39">
        <v>100</v>
      </c>
      <c r="K39" s="144" t="str" cm="1">
        <f t="array" ref="K39">myRGB(H39,I39,J39)</f>
        <v/>
      </c>
    </row>
    <row r="40" spans="1:11" x14ac:dyDescent="0.2">
      <c r="A40">
        <v>55</v>
      </c>
      <c r="B40">
        <v>329</v>
      </c>
      <c r="C40">
        <v>9</v>
      </c>
      <c r="D40" t="s">
        <v>7284</v>
      </c>
      <c r="E40">
        <v>1070</v>
      </c>
      <c r="F40" t="s">
        <v>4683</v>
      </c>
      <c r="G40" t="s">
        <v>4682</v>
      </c>
      <c r="H40">
        <v>26</v>
      </c>
      <c r="I40">
        <v>125</v>
      </c>
      <c r="J40">
        <v>98</v>
      </c>
      <c r="K40" s="356" t="str" cm="1">
        <f t="array" ref="K40">myRGB(H40,I40,J40)</f>
        <v/>
      </c>
    </row>
    <row r="41" spans="1:11" x14ac:dyDescent="0.2">
      <c r="A41">
        <v>56</v>
      </c>
      <c r="B41">
        <v>329</v>
      </c>
      <c r="C41">
        <v>9</v>
      </c>
      <c r="D41" t="s">
        <v>7285</v>
      </c>
      <c r="E41">
        <v>1038</v>
      </c>
      <c r="F41" t="s">
        <v>4685</v>
      </c>
      <c r="G41" t="s">
        <v>4684</v>
      </c>
      <c r="H41">
        <v>25</v>
      </c>
      <c r="I41">
        <v>128</v>
      </c>
      <c r="J41">
        <v>96</v>
      </c>
      <c r="K41" s="193" t="str" cm="1">
        <f t="array" ref="K41">myRGB(H41,I41,J41)</f>
        <v/>
      </c>
    </row>
    <row r="42" spans="1:11" x14ac:dyDescent="0.2">
      <c r="A42">
        <v>57</v>
      </c>
      <c r="B42">
        <v>329</v>
      </c>
      <c r="C42">
        <v>9</v>
      </c>
      <c r="D42" t="s">
        <v>7286</v>
      </c>
      <c r="E42">
        <v>1062</v>
      </c>
      <c r="F42" t="s">
        <v>4687</v>
      </c>
      <c r="G42" t="s">
        <v>4686</v>
      </c>
      <c r="H42">
        <v>26</v>
      </c>
      <c r="I42">
        <v>126</v>
      </c>
      <c r="J42">
        <v>97</v>
      </c>
      <c r="K42" s="134" t="str" cm="1">
        <f t="array" ref="K42">myRGB(H42,I42,J42)</f>
        <v/>
      </c>
    </row>
    <row r="43" spans="1:11" x14ac:dyDescent="0.2">
      <c r="A43">
        <v>65</v>
      </c>
      <c r="B43">
        <v>322</v>
      </c>
      <c r="C43">
        <v>8</v>
      </c>
      <c r="D43" t="s">
        <v>7287</v>
      </c>
      <c r="E43">
        <v>337</v>
      </c>
      <c r="F43" t="s">
        <v>4701</v>
      </c>
      <c r="G43" t="s">
        <v>4700</v>
      </c>
      <c r="H43">
        <v>25</v>
      </c>
      <c r="I43">
        <v>127</v>
      </c>
      <c r="J43">
        <v>99</v>
      </c>
      <c r="K43" s="218" t="str" cm="1">
        <f t="array" ref="K43">myRGB(H43,I43,J43)</f>
        <v/>
      </c>
    </row>
    <row r="44" spans="1:11" x14ac:dyDescent="0.2">
      <c r="A44">
        <v>66</v>
      </c>
      <c r="B44">
        <v>337</v>
      </c>
      <c r="C44">
        <v>9</v>
      </c>
      <c r="D44" t="s">
        <v>7288</v>
      </c>
      <c r="E44">
        <v>1030</v>
      </c>
      <c r="F44" t="s">
        <v>4703</v>
      </c>
      <c r="G44" t="s">
        <v>4702</v>
      </c>
      <c r="H44">
        <v>24</v>
      </c>
      <c r="I44">
        <v>127</v>
      </c>
      <c r="J44">
        <v>96</v>
      </c>
      <c r="K44" s="192" t="str" cm="1">
        <f t="array" ref="K44">myRGB(H44,I44,J44)</f>
        <v/>
      </c>
    </row>
    <row r="45" spans="1:11" x14ac:dyDescent="0.2">
      <c r="A45">
        <v>67</v>
      </c>
      <c r="B45">
        <v>337</v>
      </c>
      <c r="C45">
        <v>9</v>
      </c>
      <c r="D45" t="s">
        <v>7289</v>
      </c>
      <c r="E45">
        <v>113</v>
      </c>
      <c r="F45" t="s">
        <v>7182</v>
      </c>
      <c r="G45" t="s">
        <v>7121</v>
      </c>
      <c r="H45">
        <v>24</v>
      </c>
      <c r="I45">
        <v>127</v>
      </c>
      <c r="J45">
        <v>100</v>
      </c>
      <c r="K45" s="329" t="str" cm="1">
        <f t="array" ref="K45">myRGB(H45,I45,J45)</f>
        <v/>
      </c>
    </row>
    <row r="46" spans="1:11" x14ac:dyDescent="0.2">
      <c r="A46">
        <v>68</v>
      </c>
      <c r="B46">
        <v>337</v>
      </c>
      <c r="C46">
        <v>9</v>
      </c>
      <c r="D46" t="s">
        <v>7290</v>
      </c>
      <c r="E46">
        <v>1094</v>
      </c>
      <c r="F46" t="s">
        <v>4705</v>
      </c>
      <c r="G46" t="s">
        <v>4704</v>
      </c>
      <c r="H46">
        <v>28</v>
      </c>
      <c r="I46">
        <v>127</v>
      </c>
      <c r="J46">
        <v>100</v>
      </c>
      <c r="K46" s="133" t="str" cm="1">
        <f t="array" ref="K46">myRGB(H46,I46,J46)</f>
        <v/>
      </c>
    </row>
    <row r="47" spans="1:11" x14ac:dyDescent="0.2">
      <c r="A47">
        <v>69</v>
      </c>
      <c r="B47">
        <v>337</v>
      </c>
      <c r="C47">
        <v>9</v>
      </c>
      <c r="D47" t="s">
        <v>7291</v>
      </c>
      <c r="E47">
        <v>1128</v>
      </c>
      <c r="F47" t="s">
        <v>4707</v>
      </c>
      <c r="G47" t="s">
        <v>4706</v>
      </c>
      <c r="H47">
        <v>25</v>
      </c>
      <c r="I47">
        <v>124</v>
      </c>
      <c r="J47">
        <v>99</v>
      </c>
      <c r="K47" s="355" t="str" cm="1">
        <f t="array" ref="K47">myRGB(H47,I47,J47)</f>
        <v/>
      </c>
    </row>
    <row r="48" spans="1:11" x14ac:dyDescent="0.2">
      <c r="A48">
        <v>70</v>
      </c>
      <c r="B48">
        <v>337</v>
      </c>
      <c r="C48">
        <v>9</v>
      </c>
      <c r="D48" t="s">
        <v>7292</v>
      </c>
      <c r="E48">
        <v>478</v>
      </c>
      <c r="F48" t="s">
        <v>4709</v>
      </c>
      <c r="G48" t="s">
        <v>4708</v>
      </c>
      <c r="H48">
        <v>26</v>
      </c>
      <c r="I48">
        <v>127</v>
      </c>
      <c r="J48">
        <v>100</v>
      </c>
      <c r="K48" s="65" t="str" cm="1">
        <f t="array" ref="K48">myRGB(H48,I48,J48)</f>
        <v/>
      </c>
    </row>
    <row r="49" spans="1:11" x14ac:dyDescent="0.2">
      <c r="A49">
        <v>71</v>
      </c>
      <c r="B49">
        <v>337</v>
      </c>
      <c r="C49">
        <v>9</v>
      </c>
      <c r="D49" t="s">
        <v>7293</v>
      </c>
      <c r="E49">
        <v>510</v>
      </c>
      <c r="F49" t="s">
        <v>4711</v>
      </c>
      <c r="G49" t="s">
        <v>4710</v>
      </c>
      <c r="H49">
        <v>25</v>
      </c>
      <c r="I49">
        <v>127</v>
      </c>
      <c r="J49">
        <v>98</v>
      </c>
      <c r="K49" s="257" t="str" cm="1">
        <f t="array" ref="K49">myRGB(H49,I49,J49)</f>
        <v/>
      </c>
    </row>
    <row r="50" spans="1:11" x14ac:dyDescent="0.2">
      <c r="A50">
        <v>72</v>
      </c>
      <c r="B50">
        <v>322</v>
      </c>
      <c r="C50">
        <v>8</v>
      </c>
      <c r="D50" t="s">
        <v>7294</v>
      </c>
      <c r="E50">
        <v>345</v>
      </c>
      <c r="F50" t="s">
        <v>4713</v>
      </c>
      <c r="G50" t="s">
        <v>4712</v>
      </c>
      <c r="H50">
        <v>24</v>
      </c>
      <c r="I50">
        <v>128</v>
      </c>
      <c r="J50">
        <v>98</v>
      </c>
      <c r="K50" s="217" t="str" cm="1">
        <f t="array" ref="K50">myRGB(H50,I50,J50)</f>
        <v/>
      </c>
    </row>
    <row r="51" spans="1:11" x14ac:dyDescent="0.2">
      <c r="A51">
        <v>73</v>
      </c>
      <c r="B51">
        <v>345</v>
      </c>
      <c r="C51">
        <v>9</v>
      </c>
      <c r="D51" t="s">
        <v>7295</v>
      </c>
      <c r="E51">
        <v>878</v>
      </c>
      <c r="F51" t="s">
        <v>4715</v>
      </c>
      <c r="G51" t="s">
        <v>4714</v>
      </c>
      <c r="H51">
        <v>24</v>
      </c>
      <c r="I51">
        <v>126</v>
      </c>
      <c r="J51">
        <v>97</v>
      </c>
      <c r="K51" s="354" t="str" cm="1">
        <f t="array" ref="K51">myRGB(H51,I51,J51)</f>
        <v/>
      </c>
    </row>
    <row r="52" spans="1:11" x14ac:dyDescent="0.2">
      <c r="A52">
        <v>74</v>
      </c>
      <c r="B52">
        <v>345</v>
      </c>
      <c r="C52">
        <v>9</v>
      </c>
      <c r="D52" t="s">
        <v>7296</v>
      </c>
      <c r="E52">
        <v>657</v>
      </c>
      <c r="F52" t="s">
        <v>7183</v>
      </c>
      <c r="G52" t="s">
        <v>7122</v>
      </c>
      <c r="H52">
        <v>26</v>
      </c>
      <c r="I52">
        <v>126</v>
      </c>
      <c r="J52">
        <v>100</v>
      </c>
      <c r="K52" s="132" t="str" cm="1">
        <f t="array" ref="K52">myRGB(H52,I52,J52)</f>
        <v/>
      </c>
    </row>
    <row r="53" spans="1:11" x14ac:dyDescent="0.2">
      <c r="A53">
        <v>75</v>
      </c>
      <c r="B53">
        <v>345</v>
      </c>
      <c r="C53">
        <v>9</v>
      </c>
      <c r="D53" t="s">
        <v>7297</v>
      </c>
      <c r="E53">
        <v>950</v>
      </c>
      <c r="F53" t="s">
        <v>4717</v>
      </c>
      <c r="G53" t="s">
        <v>4716</v>
      </c>
      <c r="H53">
        <v>27</v>
      </c>
      <c r="I53">
        <v>127</v>
      </c>
      <c r="J53">
        <v>98</v>
      </c>
      <c r="K53" s="328" t="str" cm="1">
        <f t="array" ref="K53">myRGB(H53,I53,J53)</f>
        <v/>
      </c>
    </row>
    <row r="54" spans="1:11" x14ac:dyDescent="0.2">
      <c r="A54">
        <v>76</v>
      </c>
      <c r="B54">
        <v>345</v>
      </c>
      <c r="C54">
        <v>9</v>
      </c>
      <c r="D54" t="s">
        <v>7298</v>
      </c>
      <c r="E54">
        <v>974</v>
      </c>
      <c r="F54" t="s">
        <v>4719</v>
      </c>
      <c r="G54" t="s">
        <v>4718</v>
      </c>
      <c r="H54">
        <v>27</v>
      </c>
      <c r="I54">
        <v>126</v>
      </c>
      <c r="J54">
        <v>99</v>
      </c>
      <c r="K54" s="63" t="str" cm="1">
        <f t="array" ref="K54">myRGB(H54,I54,J54)</f>
        <v/>
      </c>
    </row>
    <row r="55" spans="1:11" x14ac:dyDescent="0.2">
      <c r="A55">
        <v>77</v>
      </c>
      <c r="B55">
        <v>345</v>
      </c>
      <c r="C55">
        <v>9</v>
      </c>
      <c r="D55" t="s">
        <v>7299</v>
      </c>
      <c r="E55">
        <v>1102</v>
      </c>
      <c r="F55" t="s">
        <v>4721</v>
      </c>
      <c r="G55" t="s">
        <v>4720</v>
      </c>
      <c r="H55">
        <v>24</v>
      </c>
      <c r="I55">
        <v>125</v>
      </c>
      <c r="J55">
        <v>97</v>
      </c>
      <c r="K55" s="191" t="str" cm="1">
        <f t="array" ref="K55">myRGB(H55,I55,J55)</f>
        <v/>
      </c>
    </row>
    <row r="56" spans="1:11" x14ac:dyDescent="0.2">
      <c r="A56">
        <v>78</v>
      </c>
      <c r="B56">
        <v>345</v>
      </c>
      <c r="C56">
        <v>9</v>
      </c>
      <c r="D56" t="s">
        <v>7300</v>
      </c>
      <c r="E56">
        <v>2</v>
      </c>
      <c r="F56" t="s">
        <v>4723</v>
      </c>
      <c r="G56" t="s">
        <v>4722</v>
      </c>
      <c r="H56">
        <v>24</v>
      </c>
      <c r="I56">
        <v>128</v>
      </c>
      <c r="J56">
        <v>100</v>
      </c>
      <c r="K56" s="64" t="str" cm="1">
        <f t="array" ref="K56">myRGB(H56,I56,J56)</f>
        <v/>
      </c>
    </row>
    <row r="57" spans="1:11" x14ac:dyDescent="0.2">
      <c r="A57">
        <v>79</v>
      </c>
      <c r="B57">
        <v>322</v>
      </c>
      <c r="C57">
        <v>8</v>
      </c>
      <c r="D57" t="s">
        <v>7301</v>
      </c>
      <c r="E57">
        <v>369</v>
      </c>
      <c r="F57" t="s">
        <v>4725</v>
      </c>
      <c r="G57" t="s">
        <v>4724</v>
      </c>
      <c r="H57">
        <v>24</v>
      </c>
      <c r="I57">
        <v>126</v>
      </c>
      <c r="J57">
        <v>99</v>
      </c>
      <c r="K57" s="326" t="str" cm="1">
        <f t="array" ref="K57">myRGB(H57,I57,J57)</f>
        <v/>
      </c>
    </row>
    <row r="58" spans="1:11" x14ac:dyDescent="0.2">
      <c r="A58">
        <v>80</v>
      </c>
      <c r="B58">
        <v>369</v>
      </c>
      <c r="C58">
        <v>9</v>
      </c>
      <c r="D58" t="s">
        <v>7302</v>
      </c>
      <c r="E58">
        <v>450</v>
      </c>
      <c r="F58" t="s">
        <v>4727</v>
      </c>
      <c r="G58" t="s">
        <v>4726</v>
      </c>
      <c r="H58">
        <v>25</v>
      </c>
      <c r="I58">
        <v>126</v>
      </c>
      <c r="J58">
        <v>100</v>
      </c>
      <c r="K58" s="254" t="str" cm="1">
        <f t="array" ref="K58">myRGB(H58,I58,J58)</f>
        <v/>
      </c>
    </row>
    <row r="59" spans="1:11" x14ac:dyDescent="0.2">
      <c r="A59">
        <v>81</v>
      </c>
      <c r="B59">
        <v>369</v>
      </c>
      <c r="C59">
        <v>9</v>
      </c>
      <c r="D59" t="s">
        <v>7303</v>
      </c>
      <c r="E59">
        <v>854</v>
      </c>
      <c r="F59" t="s">
        <v>7184</v>
      </c>
      <c r="G59" t="s">
        <v>7123</v>
      </c>
      <c r="H59">
        <v>25</v>
      </c>
      <c r="I59">
        <v>127</v>
      </c>
      <c r="J59">
        <v>97</v>
      </c>
      <c r="K59" s="58" t="str" cm="1">
        <f t="array" ref="K59">myRGB(H59,I59,J59)</f>
        <v/>
      </c>
    </row>
    <row r="60" spans="1:11" x14ac:dyDescent="0.2">
      <c r="A60">
        <v>82</v>
      </c>
      <c r="B60">
        <v>369</v>
      </c>
      <c r="C60">
        <v>9</v>
      </c>
      <c r="D60" t="s">
        <v>7304</v>
      </c>
      <c r="E60">
        <v>577</v>
      </c>
      <c r="F60" t="s">
        <v>4729</v>
      </c>
      <c r="G60" t="s">
        <v>4728</v>
      </c>
      <c r="H60">
        <v>26</v>
      </c>
      <c r="I60">
        <v>127</v>
      </c>
      <c r="J60">
        <v>99</v>
      </c>
      <c r="K60" s="214" t="str" cm="1">
        <f t="array" ref="K60">myRGB(H60,I60,J60)</f>
        <v/>
      </c>
    </row>
    <row r="61" spans="1:11" x14ac:dyDescent="0.2">
      <c r="A61">
        <v>83</v>
      </c>
      <c r="B61">
        <v>369</v>
      </c>
      <c r="C61">
        <v>9</v>
      </c>
      <c r="D61" t="s">
        <v>7305</v>
      </c>
      <c r="E61">
        <v>625</v>
      </c>
      <c r="F61" t="s">
        <v>4731</v>
      </c>
      <c r="G61" t="s">
        <v>4730</v>
      </c>
      <c r="H61">
        <v>24</v>
      </c>
      <c r="I61">
        <v>126</v>
      </c>
      <c r="J61">
        <v>98</v>
      </c>
      <c r="K61" s="188" t="str" cm="1">
        <f t="array" ref="K61">myRGB(H61,I61,J61)</f>
        <v/>
      </c>
    </row>
    <row r="62" spans="1:11" x14ac:dyDescent="0.2">
      <c r="A62">
        <v>84</v>
      </c>
      <c r="B62">
        <v>369</v>
      </c>
      <c r="C62">
        <v>9</v>
      </c>
      <c r="D62" t="s">
        <v>7306</v>
      </c>
      <c r="E62">
        <v>945</v>
      </c>
      <c r="F62" t="s">
        <v>4733</v>
      </c>
      <c r="G62" t="s">
        <v>4732</v>
      </c>
      <c r="H62">
        <v>25</v>
      </c>
      <c r="I62">
        <v>125</v>
      </c>
      <c r="J62">
        <v>97</v>
      </c>
      <c r="K62" s="129" t="str" cm="1">
        <f t="array" ref="K62">myRGB(H62,I62,J62)</f>
        <v/>
      </c>
    </row>
    <row r="63" spans="1:11" x14ac:dyDescent="0.2">
      <c r="A63">
        <v>85</v>
      </c>
      <c r="B63">
        <v>369</v>
      </c>
      <c r="C63">
        <v>9</v>
      </c>
      <c r="D63" t="s">
        <v>7307</v>
      </c>
      <c r="E63">
        <v>1026</v>
      </c>
      <c r="F63" t="s">
        <v>4735</v>
      </c>
      <c r="G63" t="s">
        <v>4734</v>
      </c>
      <c r="H63">
        <v>28</v>
      </c>
      <c r="I63">
        <v>128</v>
      </c>
      <c r="J63">
        <v>100</v>
      </c>
      <c r="K63" s="59" t="str" cm="1">
        <f t="array" ref="K63">myRGB(H63,I63,J63)</f>
        <v/>
      </c>
    </row>
    <row r="64" spans="1:11" x14ac:dyDescent="0.2">
      <c r="A64">
        <v>86</v>
      </c>
      <c r="B64">
        <v>322</v>
      </c>
      <c r="C64">
        <v>8</v>
      </c>
      <c r="D64" t="s">
        <v>7308</v>
      </c>
      <c r="E64">
        <v>361</v>
      </c>
      <c r="F64" t="s">
        <v>4737</v>
      </c>
      <c r="G64" t="s">
        <v>4736</v>
      </c>
      <c r="H64">
        <v>24</v>
      </c>
      <c r="I64">
        <v>127</v>
      </c>
      <c r="J64">
        <v>98</v>
      </c>
      <c r="K64" s="61" t="str" cm="1">
        <f t="array" ref="K64">myRGB(H64,I64,J64)</f>
        <v/>
      </c>
    </row>
    <row r="65" spans="1:11" x14ac:dyDescent="0.2">
      <c r="A65">
        <v>87</v>
      </c>
      <c r="B65">
        <v>361</v>
      </c>
      <c r="C65">
        <v>9</v>
      </c>
      <c r="D65" t="s">
        <v>7309</v>
      </c>
      <c r="E65">
        <v>1006</v>
      </c>
      <c r="F65" t="s">
        <v>4739</v>
      </c>
      <c r="G65" t="s">
        <v>4738</v>
      </c>
      <c r="H65">
        <v>24</v>
      </c>
      <c r="I65">
        <v>124</v>
      </c>
      <c r="J65">
        <v>100</v>
      </c>
      <c r="K65" s="255" t="str" cm="1">
        <f t="array" ref="K65">myRGB(H65,I65,J65)</f>
        <v/>
      </c>
    </row>
    <row r="66" spans="1:11" x14ac:dyDescent="0.2">
      <c r="A66">
        <v>88</v>
      </c>
      <c r="B66">
        <v>361</v>
      </c>
      <c r="C66">
        <v>9</v>
      </c>
      <c r="D66" t="s">
        <v>7310</v>
      </c>
      <c r="E66">
        <v>670</v>
      </c>
      <c r="F66" t="s">
        <v>7185</v>
      </c>
      <c r="G66" t="s">
        <v>7124</v>
      </c>
      <c r="H66">
        <v>24</v>
      </c>
      <c r="I66">
        <v>128</v>
      </c>
      <c r="J66">
        <v>97</v>
      </c>
      <c r="K66" s="130" t="str" cm="1">
        <f t="array" ref="K66">myRGB(H66,I66,J66)</f>
        <v/>
      </c>
    </row>
    <row r="67" spans="1:11" x14ac:dyDescent="0.2">
      <c r="A67">
        <v>89</v>
      </c>
      <c r="B67">
        <v>361</v>
      </c>
      <c r="C67">
        <v>9</v>
      </c>
      <c r="D67" t="s">
        <v>7311</v>
      </c>
      <c r="E67">
        <v>1086</v>
      </c>
      <c r="F67" t="s">
        <v>4741</v>
      </c>
      <c r="G67" t="s">
        <v>4740</v>
      </c>
      <c r="H67">
        <v>27</v>
      </c>
      <c r="I67">
        <v>126</v>
      </c>
      <c r="J67">
        <v>98</v>
      </c>
      <c r="K67" s="215" t="str" cm="1">
        <f t="array" ref="K67">myRGB(H67,I67,J67)</f>
        <v/>
      </c>
    </row>
    <row r="68" spans="1:11" x14ac:dyDescent="0.2">
      <c r="A68">
        <v>90</v>
      </c>
      <c r="B68">
        <v>361</v>
      </c>
      <c r="C68">
        <v>9</v>
      </c>
      <c r="D68" t="s">
        <v>7312</v>
      </c>
      <c r="E68">
        <v>1111</v>
      </c>
      <c r="F68" t="s">
        <v>4743</v>
      </c>
      <c r="G68" t="s">
        <v>4742</v>
      </c>
      <c r="H68">
        <v>25</v>
      </c>
      <c r="I68">
        <v>127</v>
      </c>
      <c r="J68">
        <v>96</v>
      </c>
      <c r="K68" s="189" t="str" cm="1">
        <f t="array" ref="K68">myRGB(H68,I68,J68)</f>
        <v/>
      </c>
    </row>
    <row r="69" spans="1:11" x14ac:dyDescent="0.2">
      <c r="A69">
        <v>91</v>
      </c>
      <c r="B69">
        <v>361</v>
      </c>
      <c r="C69">
        <v>9</v>
      </c>
      <c r="D69" t="s">
        <v>7313</v>
      </c>
      <c r="E69">
        <v>9</v>
      </c>
      <c r="F69" t="s">
        <v>4745</v>
      </c>
      <c r="G69" t="s">
        <v>4744</v>
      </c>
      <c r="H69">
        <v>24</v>
      </c>
      <c r="I69">
        <v>128</v>
      </c>
      <c r="J69">
        <v>99</v>
      </c>
      <c r="K69" s="352" t="str" cm="1">
        <f t="array" ref="K69">myRGB(H69,I69,J69)</f>
        <v/>
      </c>
    </row>
    <row r="70" spans="1:11" x14ac:dyDescent="0.2">
      <c r="A70">
        <v>92</v>
      </c>
      <c r="B70">
        <v>361</v>
      </c>
      <c r="C70">
        <v>9</v>
      </c>
      <c r="D70" t="s">
        <v>7314</v>
      </c>
      <c r="E70">
        <v>461</v>
      </c>
      <c r="F70" t="s">
        <v>4747</v>
      </c>
      <c r="G70" t="s">
        <v>4746</v>
      </c>
      <c r="H70">
        <v>26</v>
      </c>
      <c r="I70">
        <v>128</v>
      </c>
      <c r="J70">
        <v>99</v>
      </c>
      <c r="K70" s="60" t="str" cm="1">
        <f t="array" ref="K70">myRGB(H70,I70,J70)</f>
        <v/>
      </c>
    </row>
    <row r="71" spans="1:11" x14ac:dyDescent="0.2">
      <c r="A71">
        <v>93</v>
      </c>
      <c r="B71">
        <v>322</v>
      </c>
      <c r="C71">
        <v>8</v>
      </c>
      <c r="D71" t="s">
        <v>7315</v>
      </c>
      <c r="E71">
        <v>182305689</v>
      </c>
      <c r="F71" t="s">
        <v>4749</v>
      </c>
      <c r="G71" t="s">
        <v>4748</v>
      </c>
      <c r="H71">
        <v>26</v>
      </c>
      <c r="I71">
        <v>125</v>
      </c>
      <c r="J71">
        <v>100</v>
      </c>
      <c r="K71" s="260" t="str" cm="1">
        <f t="array" ref="K71">myRGB(H71,I71,J71)</f>
        <v/>
      </c>
    </row>
    <row r="72" spans="1:11" x14ac:dyDescent="0.2">
      <c r="A72">
        <v>94</v>
      </c>
      <c r="B72">
        <v>182305689</v>
      </c>
      <c r="C72">
        <v>9</v>
      </c>
      <c r="D72" t="s">
        <v>7316</v>
      </c>
      <c r="E72">
        <v>182305693</v>
      </c>
      <c r="F72" t="s">
        <v>4751</v>
      </c>
      <c r="G72" t="s">
        <v>4750</v>
      </c>
      <c r="H72">
        <v>27</v>
      </c>
      <c r="I72">
        <v>128</v>
      </c>
      <c r="J72">
        <v>98</v>
      </c>
      <c r="K72" s="219" t="str" cm="1">
        <f t="array" ref="K72">myRGB(H72,I72,J72)</f>
        <v/>
      </c>
    </row>
    <row r="73" spans="1:11" x14ac:dyDescent="0.2">
      <c r="A73">
        <v>95</v>
      </c>
      <c r="B73">
        <v>182305689</v>
      </c>
      <c r="C73">
        <v>9</v>
      </c>
      <c r="D73" t="s">
        <v>7317</v>
      </c>
      <c r="E73">
        <v>182305697</v>
      </c>
      <c r="F73" t="s">
        <v>7186</v>
      </c>
      <c r="G73" t="s">
        <v>7125</v>
      </c>
      <c r="H73">
        <v>28</v>
      </c>
      <c r="I73">
        <v>127</v>
      </c>
      <c r="J73">
        <v>99</v>
      </c>
      <c r="K73" s="194" t="str" cm="1">
        <f t="array" ref="K73">myRGB(H73,I73,J73)</f>
        <v/>
      </c>
    </row>
    <row r="74" spans="1:11" x14ac:dyDescent="0.2">
      <c r="A74">
        <v>96</v>
      </c>
      <c r="B74">
        <v>182305689</v>
      </c>
      <c r="C74">
        <v>9</v>
      </c>
      <c r="D74" t="s">
        <v>7318</v>
      </c>
      <c r="E74">
        <v>182305701</v>
      </c>
      <c r="F74" t="s">
        <v>4753</v>
      </c>
      <c r="G74" t="s">
        <v>4752</v>
      </c>
      <c r="H74">
        <v>25</v>
      </c>
      <c r="I74">
        <v>126</v>
      </c>
      <c r="J74">
        <v>97</v>
      </c>
      <c r="K74" s="145" t="str" cm="1">
        <f t="array" ref="K74">myRGB(H74,I74,J74)</f>
        <v/>
      </c>
    </row>
    <row r="75" spans="1:11" x14ac:dyDescent="0.2">
      <c r="A75">
        <v>97</v>
      </c>
      <c r="B75">
        <v>182305689</v>
      </c>
      <c r="C75">
        <v>9</v>
      </c>
      <c r="D75" t="s">
        <v>7319</v>
      </c>
      <c r="E75">
        <v>182305705</v>
      </c>
      <c r="F75" t="s">
        <v>4755</v>
      </c>
      <c r="G75" t="s">
        <v>4754</v>
      </c>
      <c r="H75">
        <v>25</v>
      </c>
      <c r="I75">
        <v>125</v>
      </c>
      <c r="J75">
        <v>98</v>
      </c>
      <c r="K75" s="357" t="str" cm="1">
        <f t="array" ref="K75">myRGB(H75,I75,J75)</f>
        <v/>
      </c>
    </row>
    <row r="76" spans="1:11" x14ac:dyDescent="0.2">
      <c r="A76">
        <v>98</v>
      </c>
      <c r="B76">
        <v>182305689</v>
      </c>
      <c r="C76">
        <v>9</v>
      </c>
      <c r="D76" t="s">
        <v>7320</v>
      </c>
      <c r="E76">
        <v>182305709</v>
      </c>
      <c r="F76" t="s">
        <v>4757</v>
      </c>
      <c r="G76" t="s">
        <v>4756</v>
      </c>
      <c r="H76">
        <v>26</v>
      </c>
      <c r="I76">
        <v>127</v>
      </c>
      <c r="J76">
        <v>97</v>
      </c>
      <c r="K76" s="330" t="str" cm="1">
        <f t="array" ref="K76">myRGB(H76,I76,J76)</f>
        <v/>
      </c>
    </row>
    <row r="77" spans="1:11" x14ac:dyDescent="0.2">
      <c r="A77">
        <v>99</v>
      </c>
      <c r="B77">
        <v>182305689</v>
      </c>
      <c r="C77">
        <v>9</v>
      </c>
      <c r="D77" t="s">
        <v>7321</v>
      </c>
      <c r="E77">
        <v>182305713</v>
      </c>
      <c r="F77" t="s">
        <v>4759</v>
      </c>
      <c r="G77" t="s">
        <v>4758</v>
      </c>
      <c r="H77">
        <v>26</v>
      </c>
      <c r="I77">
        <v>125</v>
      </c>
      <c r="J77">
        <v>99</v>
      </c>
      <c r="K77" s="270" t="str" cm="1">
        <f t="array" ref="K77">myRGB(H77,I77,J77)</f>
        <v/>
      </c>
    </row>
    <row r="78" spans="1:11" x14ac:dyDescent="0.2">
      <c r="A78">
        <v>100</v>
      </c>
      <c r="B78">
        <v>453</v>
      </c>
      <c r="C78">
        <v>7</v>
      </c>
      <c r="D78" t="s">
        <v>7322</v>
      </c>
      <c r="E78">
        <v>378</v>
      </c>
      <c r="F78" t="s">
        <v>4761</v>
      </c>
      <c r="G78" t="s">
        <v>4760</v>
      </c>
      <c r="H78">
        <v>25</v>
      </c>
      <c r="I78">
        <v>128</v>
      </c>
      <c r="J78">
        <v>98</v>
      </c>
      <c r="K78" s="351" t="str" cm="1">
        <f t="array" ref="K78">myRGB(H78,I78,J78)</f>
        <v/>
      </c>
    </row>
    <row r="79" spans="1:11" x14ac:dyDescent="0.2">
      <c r="A79">
        <v>101</v>
      </c>
      <c r="B79">
        <v>378</v>
      </c>
      <c r="C79">
        <v>8</v>
      </c>
      <c r="D79" t="s">
        <v>7323</v>
      </c>
      <c r="E79">
        <v>873</v>
      </c>
      <c r="F79" t="s">
        <v>4763</v>
      </c>
      <c r="G79" t="s">
        <v>4762</v>
      </c>
      <c r="H79">
        <v>26</v>
      </c>
      <c r="I79">
        <v>126</v>
      </c>
      <c r="J79">
        <v>98</v>
      </c>
      <c r="K79" s="187" t="str" cm="1">
        <f t="array" ref="K79">myRGB(H79,I79,J79)</f>
        <v/>
      </c>
    </row>
    <row r="80" spans="1:11" x14ac:dyDescent="0.2">
      <c r="A80">
        <v>102</v>
      </c>
      <c r="B80">
        <v>378</v>
      </c>
      <c r="C80">
        <v>8</v>
      </c>
      <c r="D80" t="s">
        <v>7324</v>
      </c>
      <c r="E80">
        <v>806</v>
      </c>
      <c r="F80" t="s">
        <v>7187</v>
      </c>
      <c r="G80" t="s">
        <v>7126</v>
      </c>
      <c r="H80">
        <v>27</v>
      </c>
      <c r="I80">
        <v>128</v>
      </c>
      <c r="J80">
        <v>99</v>
      </c>
      <c r="K80" s="253" t="str" cm="1">
        <f t="array" ref="K80">myRGB(H80,I80,J80)</f>
        <v/>
      </c>
    </row>
    <row r="81" spans="1:11" x14ac:dyDescent="0.2">
      <c r="A81">
        <v>103</v>
      </c>
      <c r="B81">
        <v>378</v>
      </c>
      <c r="C81">
        <v>8</v>
      </c>
      <c r="D81" t="s">
        <v>7325</v>
      </c>
      <c r="E81">
        <v>1035</v>
      </c>
      <c r="F81" t="s">
        <v>4765</v>
      </c>
      <c r="G81" t="s">
        <v>4764</v>
      </c>
      <c r="H81">
        <v>24</v>
      </c>
      <c r="I81">
        <v>124</v>
      </c>
      <c r="J81">
        <v>99</v>
      </c>
      <c r="K81" s="325" t="str" cm="1">
        <f t="array" ref="K81">myRGB(H81,I81,J81)</f>
        <v/>
      </c>
    </row>
    <row r="82" spans="1:11" x14ac:dyDescent="0.2">
      <c r="A82">
        <v>104</v>
      </c>
      <c r="B82">
        <v>378</v>
      </c>
      <c r="C82">
        <v>8</v>
      </c>
      <c r="D82" t="s">
        <v>7326</v>
      </c>
      <c r="E82">
        <v>1090</v>
      </c>
      <c r="F82" t="s">
        <v>4767</v>
      </c>
      <c r="G82" t="s">
        <v>4766</v>
      </c>
      <c r="H82">
        <v>28</v>
      </c>
      <c r="I82">
        <v>128</v>
      </c>
      <c r="J82">
        <v>99</v>
      </c>
      <c r="K82" s="57" t="str" cm="1">
        <f t="array" ref="K82">myRGB(H82,I82,J82)</f>
        <v/>
      </c>
    </row>
    <row r="83" spans="1:11" x14ac:dyDescent="0.2">
      <c r="A83">
        <v>105</v>
      </c>
      <c r="B83">
        <v>378</v>
      </c>
      <c r="C83">
        <v>8</v>
      </c>
      <c r="D83" t="s">
        <v>7327</v>
      </c>
      <c r="E83">
        <v>862</v>
      </c>
      <c r="F83" t="s">
        <v>4769</v>
      </c>
      <c r="G83" t="s">
        <v>4768</v>
      </c>
      <c r="H83">
        <v>25</v>
      </c>
      <c r="I83">
        <v>125</v>
      </c>
      <c r="J83">
        <v>99</v>
      </c>
      <c r="K83" s="213" t="str" cm="1">
        <f t="array" ref="K83">myRGB(H83,I83,J83)</f>
        <v/>
      </c>
    </row>
    <row r="84" spans="1:11" x14ac:dyDescent="0.2">
      <c r="A84">
        <v>106</v>
      </c>
      <c r="B84">
        <v>378</v>
      </c>
      <c r="C84">
        <v>8</v>
      </c>
      <c r="D84" t="s">
        <v>7328</v>
      </c>
      <c r="E84">
        <v>893</v>
      </c>
      <c r="F84" t="s">
        <v>4771</v>
      </c>
      <c r="G84" t="s">
        <v>4770</v>
      </c>
      <c r="H84">
        <v>26</v>
      </c>
      <c r="I84">
        <v>128</v>
      </c>
      <c r="J84">
        <v>97</v>
      </c>
      <c r="K84" s="56" t="str" cm="1">
        <f t="array" ref="K84">myRGB(H84,I84,J84)</f>
        <v/>
      </c>
    </row>
    <row r="85" spans="1:11" x14ac:dyDescent="0.2">
      <c r="A85">
        <v>107</v>
      </c>
      <c r="B85">
        <v>315</v>
      </c>
      <c r="C85">
        <v>6</v>
      </c>
      <c r="D85" t="s">
        <v>7329</v>
      </c>
      <c r="E85">
        <v>1057</v>
      </c>
      <c r="F85" t="s">
        <v>4773</v>
      </c>
      <c r="G85" t="s">
        <v>4772</v>
      </c>
      <c r="H85">
        <v>1</v>
      </c>
      <c r="I85">
        <v>155</v>
      </c>
      <c r="J85">
        <v>117</v>
      </c>
      <c r="K85" s="374" t="str" cm="1">
        <f t="array" ref="K85">myRGB(H85,I85,J85)</f>
        <v/>
      </c>
    </row>
    <row r="86" spans="1:11" x14ac:dyDescent="0.2">
      <c r="A86">
        <v>108</v>
      </c>
      <c r="B86">
        <v>1057</v>
      </c>
      <c r="C86">
        <v>7</v>
      </c>
      <c r="D86" t="s">
        <v>7330</v>
      </c>
      <c r="E86">
        <v>36</v>
      </c>
      <c r="F86" t="s">
        <v>4775</v>
      </c>
      <c r="G86" t="s">
        <v>4774</v>
      </c>
      <c r="H86">
        <v>0</v>
      </c>
      <c r="I86">
        <v>156</v>
      </c>
      <c r="J86">
        <v>117</v>
      </c>
      <c r="K86" s="161" t="str" cm="1">
        <f t="array" ref="K86">myRGB(H86,I86,J86)</f>
        <v/>
      </c>
    </row>
    <row r="87" spans="1:11" x14ac:dyDescent="0.2">
      <c r="A87">
        <v>109</v>
      </c>
      <c r="B87">
        <v>1057</v>
      </c>
      <c r="C87">
        <v>7</v>
      </c>
      <c r="D87" t="s">
        <v>7331</v>
      </c>
      <c r="E87">
        <v>180</v>
      </c>
      <c r="F87" t="s">
        <v>7188</v>
      </c>
      <c r="G87" t="s">
        <v>7127</v>
      </c>
      <c r="H87">
        <v>0</v>
      </c>
      <c r="I87">
        <v>155</v>
      </c>
      <c r="J87">
        <v>117</v>
      </c>
      <c r="K87" s="235" t="str" cm="1">
        <f t="array" ref="K87">myRGB(H87,I87,J87)</f>
        <v/>
      </c>
    </row>
    <row r="88" spans="1:11" x14ac:dyDescent="0.2">
      <c r="A88">
        <v>110</v>
      </c>
      <c r="B88">
        <v>1057</v>
      </c>
      <c r="C88">
        <v>7</v>
      </c>
      <c r="D88" t="s">
        <v>7332</v>
      </c>
      <c r="E88">
        <v>148</v>
      </c>
      <c r="F88" t="s">
        <v>4777</v>
      </c>
      <c r="G88" t="s">
        <v>4776</v>
      </c>
      <c r="H88">
        <v>0</v>
      </c>
      <c r="I88">
        <v>156</v>
      </c>
      <c r="J88">
        <v>116</v>
      </c>
      <c r="K88" s="287" t="str" cm="1">
        <f t="array" ref="K88">myRGB(H88,I88,J88)</f>
        <v/>
      </c>
    </row>
    <row r="89" spans="1:11" x14ac:dyDescent="0.2">
      <c r="A89">
        <v>111</v>
      </c>
      <c r="B89">
        <v>1057</v>
      </c>
      <c r="C89">
        <v>7</v>
      </c>
      <c r="D89" t="s">
        <v>7333</v>
      </c>
      <c r="E89">
        <v>187</v>
      </c>
      <c r="F89" t="s">
        <v>4779</v>
      </c>
      <c r="G89" t="s">
        <v>4778</v>
      </c>
      <c r="H89">
        <v>1</v>
      </c>
      <c r="I89">
        <v>156</v>
      </c>
      <c r="J89">
        <v>117</v>
      </c>
      <c r="K89" s="202" t="str" cm="1">
        <f t="array" ref="K89">myRGB(H89,I89,J89)</f>
        <v/>
      </c>
    </row>
    <row r="90" spans="1:11" x14ac:dyDescent="0.2">
      <c r="A90">
        <v>112</v>
      </c>
      <c r="B90">
        <v>1057</v>
      </c>
      <c r="C90">
        <v>7</v>
      </c>
      <c r="D90" t="s">
        <v>7334</v>
      </c>
      <c r="E90">
        <v>638</v>
      </c>
      <c r="F90" t="s">
        <v>4781</v>
      </c>
      <c r="G90" t="s">
        <v>4780</v>
      </c>
      <c r="H90">
        <v>0</v>
      </c>
      <c r="I90">
        <v>155</v>
      </c>
      <c r="J90">
        <v>116</v>
      </c>
      <c r="K90" s="373" t="str" cm="1">
        <f t="array" ref="K90">myRGB(H90,I90,J90)</f>
        <v/>
      </c>
    </row>
    <row r="91" spans="1:11" x14ac:dyDescent="0.2">
      <c r="A91">
        <v>113</v>
      </c>
      <c r="B91">
        <v>1057</v>
      </c>
      <c r="C91">
        <v>7</v>
      </c>
      <c r="D91" t="s">
        <v>7335</v>
      </c>
      <c r="E91">
        <v>662</v>
      </c>
      <c r="F91" t="s">
        <v>4783</v>
      </c>
      <c r="G91" t="s">
        <v>4782</v>
      </c>
      <c r="H91">
        <v>1</v>
      </c>
      <c r="I91">
        <v>156</v>
      </c>
      <c r="J91">
        <v>116</v>
      </c>
      <c r="K91" s="286" t="str" cm="1">
        <f t="array" ref="K91">myRGB(H91,I91,J91)</f>
        <v/>
      </c>
    </row>
    <row r="92" spans="1:11" x14ac:dyDescent="0.2">
      <c r="A92">
        <v>114</v>
      </c>
      <c r="B92">
        <v>315</v>
      </c>
      <c r="C92">
        <v>6</v>
      </c>
      <c r="D92" t="s">
        <v>7336</v>
      </c>
      <c r="E92">
        <v>677</v>
      </c>
      <c r="F92" t="s">
        <v>4785</v>
      </c>
      <c r="G92" t="s">
        <v>4784</v>
      </c>
      <c r="H92">
        <v>17</v>
      </c>
      <c r="I92">
        <v>173</v>
      </c>
      <c r="J92">
        <v>131</v>
      </c>
      <c r="K92" s="203" t="str" cm="1">
        <f t="array" ref="K92">myRGB(H92,I92,J92)</f>
        <v/>
      </c>
    </row>
    <row r="93" spans="1:11" x14ac:dyDescent="0.2">
      <c r="A93">
        <v>115</v>
      </c>
      <c r="B93">
        <v>677</v>
      </c>
      <c r="C93">
        <v>7</v>
      </c>
      <c r="D93" t="s">
        <v>7337</v>
      </c>
      <c r="E93">
        <v>897</v>
      </c>
      <c r="F93" t="s">
        <v>4787</v>
      </c>
      <c r="G93" t="s">
        <v>4786</v>
      </c>
      <c r="H93">
        <v>18</v>
      </c>
      <c r="I93">
        <v>173</v>
      </c>
      <c r="J93">
        <v>131</v>
      </c>
      <c r="K93" s="35" t="str" cm="1">
        <f t="array" ref="K93">myRGB(H93,I93,J93)</f>
        <v/>
      </c>
    </row>
    <row r="94" spans="1:11" x14ac:dyDescent="0.2">
      <c r="A94">
        <v>116</v>
      </c>
      <c r="B94">
        <v>677</v>
      </c>
      <c r="C94">
        <v>7</v>
      </c>
      <c r="D94" t="s">
        <v>7338</v>
      </c>
      <c r="E94">
        <v>1106</v>
      </c>
      <c r="F94" t="s">
        <v>7189</v>
      </c>
      <c r="G94" t="s">
        <v>7128</v>
      </c>
      <c r="H94">
        <v>18</v>
      </c>
      <c r="I94">
        <v>172</v>
      </c>
      <c r="J94">
        <v>131</v>
      </c>
      <c r="K94" s="118" t="str" cm="1">
        <f t="array" ref="K94">myRGB(H94,I94,J94)</f>
        <v/>
      </c>
    </row>
    <row r="95" spans="1:11" x14ac:dyDescent="0.2">
      <c r="A95">
        <v>117</v>
      </c>
      <c r="B95">
        <v>677</v>
      </c>
      <c r="C95">
        <v>7</v>
      </c>
      <c r="D95" t="s">
        <v>7339</v>
      </c>
      <c r="E95">
        <v>1010</v>
      </c>
      <c r="F95" t="s">
        <v>4789</v>
      </c>
      <c r="G95" t="s">
        <v>4788</v>
      </c>
      <c r="H95">
        <v>17</v>
      </c>
      <c r="I95">
        <v>172</v>
      </c>
      <c r="J95">
        <v>130</v>
      </c>
      <c r="K95" s="177" t="str" cm="1">
        <f t="array" ref="K95">myRGB(H95,I95,J95)</f>
        <v/>
      </c>
    </row>
    <row r="96" spans="1:11" x14ac:dyDescent="0.2">
      <c r="A96">
        <v>118</v>
      </c>
      <c r="B96">
        <v>677</v>
      </c>
      <c r="C96">
        <v>7</v>
      </c>
      <c r="D96" t="s">
        <v>7340</v>
      </c>
      <c r="E96">
        <v>1058</v>
      </c>
      <c r="F96" t="s">
        <v>4791</v>
      </c>
      <c r="G96" t="s">
        <v>4790</v>
      </c>
      <c r="H96">
        <v>18</v>
      </c>
      <c r="I96">
        <v>173</v>
      </c>
      <c r="J96">
        <v>130</v>
      </c>
      <c r="K96" s="36" t="str" cm="1">
        <f t="array" ref="K96">myRGB(H96,I96,J96)</f>
        <v/>
      </c>
    </row>
    <row r="97" spans="1:11" x14ac:dyDescent="0.2">
      <c r="A97">
        <v>119</v>
      </c>
      <c r="B97">
        <v>677</v>
      </c>
      <c r="C97">
        <v>7</v>
      </c>
      <c r="D97" t="s">
        <v>7341</v>
      </c>
      <c r="E97">
        <v>857</v>
      </c>
      <c r="F97" t="s">
        <v>4793</v>
      </c>
      <c r="G97" t="s">
        <v>4792</v>
      </c>
      <c r="H97">
        <v>17</v>
      </c>
      <c r="I97">
        <v>172</v>
      </c>
      <c r="J97">
        <v>131</v>
      </c>
      <c r="K97" s="314" t="str" cm="1">
        <f t="array" ref="K97">myRGB(H97,I97,J97)</f>
        <v/>
      </c>
    </row>
    <row r="98" spans="1:11" x14ac:dyDescent="0.2">
      <c r="A98">
        <v>120</v>
      </c>
      <c r="B98">
        <v>677</v>
      </c>
      <c r="C98">
        <v>7</v>
      </c>
      <c r="D98" t="s">
        <v>7342</v>
      </c>
      <c r="E98">
        <v>849</v>
      </c>
      <c r="F98" t="s">
        <v>4795</v>
      </c>
      <c r="G98" t="s">
        <v>4794</v>
      </c>
      <c r="H98">
        <v>17</v>
      </c>
      <c r="I98">
        <v>173</v>
      </c>
      <c r="J98">
        <v>130</v>
      </c>
      <c r="K98" s="340" t="str" cm="1">
        <f t="array" ref="K98">myRGB(H98,I98,J98)</f>
        <v/>
      </c>
    </row>
    <row r="99" spans="1:11" x14ac:dyDescent="0.2">
      <c r="A99">
        <v>121</v>
      </c>
      <c r="B99">
        <v>315</v>
      </c>
      <c r="C99">
        <v>6</v>
      </c>
      <c r="D99" t="s">
        <v>7343</v>
      </c>
      <c r="E99">
        <v>247</v>
      </c>
      <c r="F99" t="s">
        <v>4797</v>
      </c>
      <c r="G99" t="s">
        <v>4796</v>
      </c>
      <c r="H99">
        <v>1</v>
      </c>
      <c r="I99">
        <v>146</v>
      </c>
      <c r="J99">
        <v>153</v>
      </c>
      <c r="K99" s="282" t="str" cm="1">
        <f t="array" ref="K99">myRGB(H99,I99,J99)</f>
        <v/>
      </c>
    </row>
    <row r="100" spans="1:11" x14ac:dyDescent="0.2">
      <c r="A100">
        <v>122</v>
      </c>
      <c r="B100">
        <v>247</v>
      </c>
      <c r="C100">
        <v>7</v>
      </c>
      <c r="D100" t="s">
        <v>7344</v>
      </c>
      <c r="E100">
        <v>1011</v>
      </c>
      <c r="F100" t="s">
        <v>4799</v>
      </c>
      <c r="G100" t="s">
        <v>4798</v>
      </c>
      <c r="H100">
        <v>4</v>
      </c>
      <c r="I100">
        <v>147</v>
      </c>
      <c r="J100">
        <v>153</v>
      </c>
      <c r="K100" s="155" t="str" cm="1">
        <f t="array" ref="K100">myRGB(H100,I100,J100)</f>
        <v/>
      </c>
    </row>
    <row r="101" spans="1:11" x14ac:dyDescent="0.2">
      <c r="A101">
        <v>123</v>
      </c>
      <c r="B101">
        <v>1011</v>
      </c>
      <c r="C101">
        <v>8</v>
      </c>
      <c r="D101" t="s">
        <v>7345</v>
      </c>
      <c r="E101">
        <v>527</v>
      </c>
      <c r="F101" t="s">
        <v>4801</v>
      </c>
      <c r="G101" t="s">
        <v>4800</v>
      </c>
      <c r="H101">
        <v>3</v>
      </c>
      <c r="I101">
        <v>147</v>
      </c>
      <c r="J101">
        <v>153</v>
      </c>
      <c r="K101" s="228" t="str" cm="1">
        <f t="array" ref="K101">myRGB(H101,I101,J101)</f>
        <v/>
      </c>
    </row>
    <row r="102" spans="1:11" x14ac:dyDescent="0.2">
      <c r="A102">
        <v>124</v>
      </c>
      <c r="B102">
        <v>1011</v>
      </c>
      <c r="C102">
        <v>8</v>
      </c>
      <c r="D102" t="s">
        <v>7346</v>
      </c>
      <c r="E102">
        <v>600</v>
      </c>
      <c r="F102" t="s">
        <v>7190</v>
      </c>
      <c r="G102" t="s">
        <v>7129</v>
      </c>
      <c r="H102">
        <v>2</v>
      </c>
      <c r="I102">
        <v>147</v>
      </c>
      <c r="J102">
        <v>151</v>
      </c>
      <c r="K102" s="154" t="str" cm="1">
        <f t="array" ref="K102">myRGB(H102,I102,J102)</f>
        <v/>
      </c>
    </row>
    <row r="103" spans="1:11" x14ac:dyDescent="0.2">
      <c r="A103">
        <v>125</v>
      </c>
      <c r="B103">
        <v>1011</v>
      </c>
      <c r="C103">
        <v>8</v>
      </c>
      <c r="D103" t="s">
        <v>7347</v>
      </c>
      <c r="E103">
        <v>678</v>
      </c>
      <c r="F103" t="s">
        <v>4803</v>
      </c>
      <c r="G103" t="s">
        <v>4802</v>
      </c>
      <c r="H103">
        <v>3</v>
      </c>
      <c r="I103">
        <v>147</v>
      </c>
      <c r="J103">
        <v>152</v>
      </c>
      <c r="K103" s="366" t="str" cm="1">
        <f t="array" ref="K103">myRGB(H103,I103,J103)</f>
        <v/>
      </c>
    </row>
    <row r="104" spans="1:11" x14ac:dyDescent="0.2">
      <c r="A104">
        <v>126</v>
      </c>
      <c r="B104">
        <v>1011</v>
      </c>
      <c r="C104">
        <v>8</v>
      </c>
      <c r="D104" t="s">
        <v>7348</v>
      </c>
      <c r="E104">
        <v>252</v>
      </c>
      <c r="F104" t="s">
        <v>4805</v>
      </c>
      <c r="G104" t="s">
        <v>4804</v>
      </c>
      <c r="H104">
        <v>2</v>
      </c>
      <c r="I104">
        <v>147</v>
      </c>
      <c r="J104">
        <v>152</v>
      </c>
      <c r="K104" s="265" t="str" cm="1">
        <f t="array" ref="K104">myRGB(H104,I104,J104)</f>
        <v/>
      </c>
    </row>
    <row r="105" spans="1:11" x14ac:dyDescent="0.2">
      <c r="A105">
        <v>127</v>
      </c>
      <c r="B105">
        <v>1011</v>
      </c>
      <c r="C105">
        <v>8</v>
      </c>
      <c r="D105" t="s">
        <v>7349</v>
      </c>
      <c r="E105">
        <v>156</v>
      </c>
      <c r="F105" t="s">
        <v>4807</v>
      </c>
      <c r="G105" t="s">
        <v>4806</v>
      </c>
      <c r="H105">
        <v>1</v>
      </c>
      <c r="I105">
        <v>147</v>
      </c>
      <c r="J105">
        <v>153</v>
      </c>
      <c r="K105" s="367" t="str" cm="1">
        <f t="array" ref="K105">myRGB(H105,I105,J105)</f>
        <v/>
      </c>
    </row>
    <row r="106" spans="1:11" x14ac:dyDescent="0.2">
      <c r="A106">
        <v>128</v>
      </c>
      <c r="B106">
        <v>1011</v>
      </c>
      <c r="C106">
        <v>8</v>
      </c>
      <c r="D106" t="s">
        <v>7350</v>
      </c>
      <c r="E106">
        <v>243</v>
      </c>
      <c r="F106" t="s">
        <v>4809</v>
      </c>
      <c r="G106" t="s">
        <v>4808</v>
      </c>
      <c r="H106">
        <v>1</v>
      </c>
      <c r="I106">
        <v>147</v>
      </c>
      <c r="J106">
        <v>152</v>
      </c>
      <c r="K106" s="280" t="str" cm="1">
        <f t="array" ref="K106">myRGB(H106,I106,J106)</f>
        <v/>
      </c>
    </row>
    <row r="107" spans="1:11" x14ac:dyDescent="0.2">
      <c r="A107">
        <v>136</v>
      </c>
      <c r="B107">
        <v>247</v>
      </c>
      <c r="C107">
        <v>7</v>
      </c>
      <c r="D107" t="s">
        <v>7351</v>
      </c>
      <c r="E107">
        <v>1002</v>
      </c>
      <c r="F107" t="s">
        <v>4823</v>
      </c>
      <c r="G107" t="s">
        <v>4822</v>
      </c>
      <c r="H107">
        <v>3</v>
      </c>
      <c r="I107">
        <v>146</v>
      </c>
      <c r="J107">
        <v>151</v>
      </c>
      <c r="K107" s="230" t="str" cm="1">
        <f t="array" ref="K107">myRGB(H107,I107,J107)</f>
        <v/>
      </c>
    </row>
    <row r="108" spans="1:11" x14ac:dyDescent="0.2">
      <c r="A108">
        <v>137</v>
      </c>
      <c r="B108">
        <v>1002</v>
      </c>
      <c r="C108">
        <v>8</v>
      </c>
      <c r="D108" t="s">
        <v>7352</v>
      </c>
      <c r="E108">
        <v>735</v>
      </c>
      <c r="F108" t="s">
        <v>4825</v>
      </c>
      <c r="G108" t="s">
        <v>4824</v>
      </c>
      <c r="H108">
        <v>2</v>
      </c>
      <c r="I108">
        <v>146</v>
      </c>
      <c r="J108">
        <v>151</v>
      </c>
      <c r="K108" s="368" t="str" cm="1">
        <f t="array" ref="K108">myRGB(H108,I108,J108)</f>
        <v/>
      </c>
    </row>
    <row r="109" spans="1:11" x14ac:dyDescent="0.2">
      <c r="A109">
        <v>138</v>
      </c>
      <c r="B109">
        <v>1002</v>
      </c>
      <c r="C109">
        <v>8</v>
      </c>
      <c r="D109" t="s">
        <v>7353</v>
      </c>
      <c r="E109">
        <v>251</v>
      </c>
      <c r="F109" t="s">
        <v>7192</v>
      </c>
      <c r="G109" t="s">
        <v>7131</v>
      </c>
      <c r="H109">
        <v>1</v>
      </c>
      <c r="I109">
        <v>146</v>
      </c>
      <c r="J109">
        <v>152</v>
      </c>
      <c r="K109" s="141" t="str" cm="1">
        <f t="array" ref="K109">myRGB(H109,I109,J109)</f>
        <v/>
      </c>
    </row>
    <row r="110" spans="1:11" x14ac:dyDescent="0.2">
      <c r="A110">
        <v>139</v>
      </c>
      <c r="B110">
        <v>1002</v>
      </c>
      <c r="C110">
        <v>8</v>
      </c>
      <c r="D110" t="s">
        <v>7354</v>
      </c>
      <c r="E110">
        <v>816</v>
      </c>
      <c r="F110" t="s">
        <v>4827</v>
      </c>
      <c r="G110" t="s">
        <v>4826</v>
      </c>
      <c r="H110">
        <v>3</v>
      </c>
      <c r="I110">
        <v>147</v>
      </c>
      <c r="J110">
        <v>151</v>
      </c>
      <c r="K110" s="281" t="str" cm="1">
        <f t="array" ref="K110">myRGB(H110,I110,J110)</f>
        <v/>
      </c>
    </row>
    <row r="111" spans="1:11" x14ac:dyDescent="0.2">
      <c r="A111">
        <v>140</v>
      </c>
      <c r="B111">
        <v>1002</v>
      </c>
      <c r="C111">
        <v>8</v>
      </c>
      <c r="D111" t="s">
        <v>7355</v>
      </c>
      <c r="E111">
        <v>847</v>
      </c>
      <c r="F111" t="s">
        <v>4829</v>
      </c>
      <c r="G111" t="s">
        <v>4828</v>
      </c>
      <c r="H111">
        <v>3</v>
      </c>
      <c r="I111">
        <v>145</v>
      </c>
      <c r="J111">
        <v>153</v>
      </c>
      <c r="K111" s="229" t="str" cm="1">
        <f t="array" ref="K111">myRGB(H111,I111,J111)</f>
        <v/>
      </c>
    </row>
    <row r="112" spans="1:11" x14ac:dyDescent="0.2">
      <c r="A112">
        <v>141</v>
      </c>
      <c r="B112">
        <v>1002</v>
      </c>
      <c r="C112">
        <v>8</v>
      </c>
      <c r="D112" t="s">
        <v>7356</v>
      </c>
      <c r="E112">
        <v>954</v>
      </c>
      <c r="F112" t="s">
        <v>4831</v>
      </c>
      <c r="G112" t="s">
        <v>4830</v>
      </c>
      <c r="H112">
        <v>1</v>
      </c>
      <c r="I112">
        <v>147</v>
      </c>
      <c r="J112">
        <v>150</v>
      </c>
      <c r="K112" s="200" t="str" cm="1">
        <f t="array" ref="K112">myRGB(H112,I112,J112)</f>
        <v/>
      </c>
    </row>
    <row r="113" spans="1:11" x14ac:dyDescent="0.2">
      <c r="A113">
        <v>142</v>
      </c>
      <c r="B113">
        <v>1002</v>
      </c>
      <c r="C113">
        <v>8</v>
      </c>
      <c r="D113" t="s">
        <v>7357</v>
      </c>
      <c r="E113">
        <v>1005</v>
      </c>
      <c r="F113" t="s">
        <v>4833</v>
      </c>
      <c r="G113" t="s">
        <v>4832</v>
      </c>
      <c r="H113">
        <v>3</v>
      </c>
      <c r="I113">
        <v>145</v>
      </c>
      <c r="J113">
        <v>152</v>
      </c>
      <c r="K113" s="156" t="str" cm="1">
        <f t="array" ref="K113">myRGB(H113,I113,J113)</f>
        <v/>
      </c>
    </row>
    <row r="114" spans="1:11" x14ac:dyDescent="0.2">
      <c r="A114">
        <v>143</v>
      </c>
      <c r="B114">
        <v>247</v>
      </c>
      <c r="C114">
        <v>7</v>
      </c>
      <c r="D114" t="s">
        <v>7358</v>
      </c>
      <c r="E114">
        <v>1027</v>
      </c>
      <c r="F114" t="s">
        <v>4835</v>
      </c>
      <c r="G114" t="s">
        <v>4834</v>
      </c>
      <c r="H114">
        <v>2</v>
      </c>
      <c r="I114">
        <v>147</v>
      </c>
      <c r="J114">
        <v>150</v>
      </c>
      <c r="K114" s="226" t="str" cm="1">
        <f t="array" ref="K114">myRGB(H114,I114,J114)</f>
        <v/>
      </c>
    </row>
    <row r="115" spans="1:11" x14ac:dyDescent="0.2">
      <c r="A115">
        <v>144</v>
      </c>
      <c r="B115">
        <v>1027</v>
      </c>
      <c r="C115">
        <v>8</v>
      </c>
      <c r="D115" t="s">
        <v>7359</v>
      </c>
      <c r="E115">
        <v>696</v>
      </c>
      <c r="F115" t="s">
        <v>4837</v>
      </c>
      <c r="G115" t="s">
        <v>4836</v>
      </c>
      <c r="H115">
        <v>3</v>
      </c>
      <c r="I115">
        <v>146</v>
      </c>
      <c r="J115">
        <v>153</v>
      </c>
      <c r="K115" s="277" t="str" cm="1">
        <f t="array" ref="K115">myRGB(H115,I115,J115)</f>
        <v/>
      </c>
    </row>
    <row r="116" spans="1:11" x14ac:dyDescent="0.2">
      <c r="A116">
        <v>145</v>
      </c>
      <c r="B116">
        <v>1027</v>
      </c>
      <c r="C116">
        <v>8</v>
      </c>
      <c r="D116" t="s">
        <v>7360</v>
      </c>
      <c r="E116">
        <v>643</v>
      </c>
      <c r="F116" t="s">
        <v>7193</v>
      </c>
      <c r="G116" t="s">
        <v>7132</v>
      </c>
      <c r="H116">
        <v>2</v>
      </c>
      <c r="I116">
        <v>145</v>
      </c>
      <c r="J116">
        <v>153</v>
      </c>
      <c r="K116" s="364" t="str" cm="1">
        <f t="array" ref="K116">myRGB(H116,I116,J116)</f>
        <v/>
      </c>
    </row>
    <row r="117" spans="1:11" x14ac:dyDescent="0.2">
      <c r="A117">
        <v>146</v>
      </c>
      <c r="B117">
        <v>1027</v>
      </c>
      <c r="C117">
        <v>8</v>
      </c>
      <c r="D117" t="s">
        <v>7361</v>
      </c>
      <c r="E117">
        <v>759</v>
      </c>
      <c r="F117" t="s">
        <v>4839</v>
      </c>
      <c r="G117" t="s">
        <v>4838</v>
      </c>
      <c r="H117">
        <v>3</v>
      </c>
      <c r="I117">
        <v>146</v>
      </c>
      <c r="J117">
        <v>152</v>
      </c>
      <c r="K117" s="264" t="str" cm="1">
        <f t="array" ref="K117">myRGB(H117,I117,J117)</f>
        <v/>
      </c>
    </row>
    <row r="118" spans="1:11" x14ac:dyDescent="0.2">
      <c r="A118">
        <v>147</v>
      </c>
      <c r="B118">
        <v>1027</v>
      </c>
      <c r="C118">
        <v>8</v>
      </c>
      <c r="D118" t="s">
        <v>7362</v>
      </c>
      <c r="E118">
        <v>791</v>
      </c>
      <c r="F118" t="s">
        <v>4841</v>
      </c>
      <c r="G118" t="s">
        <v>4840</v>
      </c>
      <c r="H118">
        <v>1</v>
      </c>
      <c r="I118">
        <v>145</v>
      </c>
      <c r="J118">
        <v>151</v>
      </c>
      <c r="K118" s="225" t="str" cm="1">
        <f t="array" ref="K118">myRGB(H118,I118,J118)</f>
        <v/>
      </c>
    </row>
    <row r="119" spans="1:11" x14ac:dyDescent="0.2">
      <c r="A119">
        <v>148</v>
      </c>
      <c r="B119">
        <v>1027</v>
      </c>
      <c r="C119">
        <v>8</v>
      </c>
      <c r="D119" t="s">
        <v>7363</v>
      </c>
      <c r="E119">
        <v>249</v>
      </c>
      <c r="F119" t="s">
        <v>4843</v>
      </c>
      <c r="G119" t="s">
        <v>4842</v>
      </c>
      <c r="H119">
        <v>2</v>
      </c>
      <c r="I119">
        <v>147</v>
      </c>
      <c r="J119">
        <v>153</v>
      </c>
      <c r="K119" s="199" t="str" cm="1">
        <f t="array" ref="K119">myRGB(H119,I119,J119)</f>
        <v/>
      </c>
    </row>
    <row r="120" spans="1:11" x14ac:dyDescent="0.2">
      <c r="A120">
        <v>149</v>
      </c>
      <c r="B120">
        <v>1027</v>
      </c>
      <c r="C120">
        <v>8</v>
      </c>
      <c r="D120" t="s">
        <v>7364</v>
      </c>
      <c r="E120">
        <v>456</v>
      </c>
      <c r="F120" t="s">
        <v>4845</v>
      </c>
      <c r="G120" t="s">
        <v>4844</v>
      </c>
      <c r="H120">
        <v>2</v>
      </c>
      <c r="I120">
        <v>146</v>
      </c>
      <c r="J120">
        <v>152</v>
      </c>
      <c r="K120" s="152" t="str" cm="1">
        <f t="array" ref="K120">myRGB(H120,I120,J120)</f>
        <v/>
      </c>
    </row>
    <row r="121" spans="1:11" x14ac:dyDescent="0.2">
      <c r="A121">
        <v>150</v>
      </c>
      <c r="B121">
        <v>247</v>
      </c>
      <c r="C121">
        <v>7</v>
      </c>
      <c r="D121" t="s">
        <v>7365</v>
      </c>
      <c r="E121">
        <v>1018</v>
      </c>
      <c r="F121" t="s">
        <v>4847</v>
      </c>
      <c r="G121" t="s">
        <v>4846</v>
      </c>
      <c r="H121">
        <v>1</v>
      </c>
      <c r="I121">
        <v>146</v>
      </c>
      <c r="J121">
        <v>150</v>
      </c>
      <c r="K121" s="336" t="str" cm="1">
        <f t="array" ref="K121">myRGB(H121,I121,J121)</f>
        <v/>
      </c>
    </row>
    <row r="122" spans="1:11" x14ac:dyDescent="0.2">
      <c r="A122">
        <v>151</v>
      </c>
      <c r="B122">
        <v>1018</v>
      </c>
      <c r="C122">
        <v>8</v>
      </c>
      <c r="D122" t="s">
        <v>7366</v>
      </c>
      <c r="E122">
        <v>959</v>
      </c>
      <c r="F122" t="s">
        <v>4849</v>
      </c>
      <c r="G122" t="s">
        <v>4848</v>
      </c>
      <c r="H122">
        <v>1</v>
      </c>
      <c r="I122">
        <v>144</v>
      </c>
      <c r="J122">
        <v>153</v>
      </c>
      <c r="K122" s="365" t="str" cm="1">
        <f t="array" ref="K122">myRGB(H122,I122,J122)</f>
        <v/>
      </c>
    </row>
    <row r="123" spans="1:11" x14ac:dyDescent="0.2">
      <c r="A123">
        <v>152</v>
      </c>
      <c r="B123">
        <v>1018</v>
      </c>
      <c r="C123">
        <v>8</v>
      </c>
      <c r="D123" t="s">
        <v>7367</v>
      </c>
      <c r="E123">
        <v>755</v>
      </c>
      <c r="F123" t="s">
        <v>7194</v>
      </c>
      <c r="G123" t="s">
        <v>7133</v>
      </c>
      <c r="H123">
        <v>2</v>
      </c>
      <c r="I123">
        <v>145</v>
      </c>
      <c r="J123">
        <v>152</v>
      </c>
      <c r="K123" s="140" t="str" cm="1">
        <f t="array" ref="K123">myRGB(H123,I123,J123)</f>
        <v/>
      </c>
    </row>
    <row r="124" spans="1:11" x14ac:dyDescent="0.2">
      <c r="A124">
        <v>153</v>
      </c>
      <c r="B124">
        <v>1018</v>
      </c>
      <c r="C124">
        <v>8</v>
      </c>
      <c r="D124" t="s">
        <v>7368</v>
      </c>
      <c r="E124">
        <v>990</v>
      </c>
      <c r="F124" t="s">
        <v>4851</v>
      </c>
      <c r="G124" t="s">
        <v>4850</v>
      </c>
      <c r="H124">
        <v>2</v>
      </c>
      <c r="I124">
        <v>145</v>
      </c>
      <c r="J124">
        <v>151</v>
      </c>
      <c r="K124" s="278" t="str" cm="1">
        <f t="array" ref="K124">myRGB(H124,I124,J124)</f>
        <v/>
      </c>
    </row>
    <row r="125" spans="1:11" x14ac:dyDescent="0.2">
      <c r="A125">
        <v>154</v>
      </c>
      <c r="B125">
        <v>1018</v>
      </c>
      <c r="C125">
        <v>8</v>
      </c>
      <c r="D125" t="s">
        <v>7369</v>
      </c>
      <c r="E125">
        <v>1023</v>
      </c>
      <c r="F125" t="s">
        <v>4853</v>
      </c>
      <c r="G125" t="s">
        <v>4852</v>
      </c>
      <c r="H125">
        <v>1</v>
      </c>
      <c r="I125">
        <v>144</v>
      </c>
      <c r="J125">
        <v>152</v>
      </c>
      <c r="K125" s="279" t="str" cm="1">
        <f t="array" ref="K125">myRGB(H125,I125,J125)</f>
        <v/>
      </c>
    </row>
    <row r="126" spans="1:11" x14ac:dyDescent="0.2">
      <c r="A126">
        <v>155</v>
      </c>
      <c r="B126">
        <v>1018</v>
      </c>
      <c r="C126">
        <v>8</v>
      </c>
      <c r="D126" t="s">
        <v>7370</v>
      </c>
      <c r="E126">
        <v>520</v>
      </c>
      <c r="F126" t="s">
        <v>4855</v>
      </c>
      <c r="G126" t="s">
        <v>4854</v>
      </c>
      <c r="H126">
        <v>1</v>
      </c>
      <c r="I126">
        <v>147</v>
      </c>
      <c r="J126">
        <v>151</v>
      </c>
      <c r="K126" s="227" t="str" cm="1">
        <f t="array" ref="K126">myRGB(H126,I126,J126)</f>
        <v/>
      </c>
    </row>
    <row r="127" spans="1:11" x14ac:dyDescent="0.2">
      <c r="A127">
        <v>156</v>
      </c>
      <c r="B127">
        <v>1018</v>
      </c>
      <c r="C127">
        <v>8</v>
      </c>
      <c r="D127" t="s">
        <v>7371</v>
      </c>
      <c r="E127">
        <v>598</v>
      </c>
      <c r="F127" t="s">
        <v>4857</v>
      </c>
      <c r="G127" t="s">
        <v>4856</v>
      </c>
      <c r="H127">
        <v>1</v>
      </c>
      <c r="I127">
        <v>145</v>
      </c>
      <c r="J127">
        <v>152</v>
      </c>
      <c r="K127" s="153" t="str" cm="1">
        <f t="array" ref="K127">myRGB(H127,I127,J127)</f>
        <v/>
      </c>
    </row>
    <row r="128" spans="1:11" x14ac:dyDescent="0.2">
      <c r="A128">
        <v>157</v>
      </c>
      <c r="B128">
        <v>315</v>
      </c>
      <c r="C128">
        <v>6</v>
      </c>
      <c r="D128" t="s">
        <v>7372</v>
      </c>
      <c r="E128">
        <v>669</v>
      </c>
      <c r="F128" t="s">
        <v>4859</v>
      </c>
      <c r="G128" t="s">
        <v>4858</v>
      </c>
      <c r="H128">
        <v>9</v>
      </c>
      <c r="I128">
        <v>132</v>
      </c>
      <c r="J128">
        <v>137</v>
      </c>
      <c r="K128" s="250" t="str" cm="1">
        <f t="array" ref="K128">myRGB(H128,I128,J128)</f>
        <v/>
      </c>
    </row>
    <row r="129" spans="1:11" x14ac:dyDescent="0.2">
      <c r="A129">
        <v>164</v>
      </c>
      <c r="B129">
        <v>669</v>
      </c>
      <c r="C129">
        <v>7</v>
      </c>
      <c r="D129" t="s">
        <v>7373</v>
      </c>
      <c r="E129">
        <v>402</v>
      </c>
      <c r="F129" t="s">
        <v>4871</v>
      </c>
      <c r="G129" t="s">
        <v>4870</v>
      </c>
      <c r="H129">
        <v>9</v>
      </c>
      <c r="I129">
        <v>131</v>
      </c>
      <c r="J129">
        <v>140</v>
      </c>
      <c r="K129" s="344" t="str" cm="1">
        <f t="array" ref="K129">myRGB(H129,I129,J129)</f>
        <v/>
      </c>
    </row>
    <row r="130" spans="1:11" x14ac:dyDescent="0.2">
      <c r="A130">
        <v>165</v>
      </c>
      <c r="B130">
        <v>402</v>
      </c>
      <c r="C130">
        <v>8</v>
      </c>
      <c r="D130" t="s">
        <v>7374</v>
      </c>
      <c r="E130">
        <v>1074</v>
      </c>
      <c r="F130" t="s">
        <v>4873</v>
      </c>
      <c r="G130" t="s">
        <v>4872</v>
      </c>
      <c r="H130">
        <v>11</v>
      </c>
      <c r="I130">
        <v>131</v>
      </c>
      <c r="J130">
        <v>139</v>
      </c>
      <c r="K130" s="318" t="str" cm="1">
        <f t="array" ref="K130">myRGB(H130,I130,J130)</f>
        <v/>
      </c>
    </row>
    <row r="131" spans="1:11" x14ac:dyDescent="0.2">
      <c r="A131">
        <v>166</v>
      </c>
      <c r="B131">
        <v>402</v>
      </c>
      <c r="C131">
        <v>8</v>
      </c>
      <c r="D131" t="s">
        <v>7375</v>
      </c>
      <c r="E131">
        <v>905</v>
      </c>
      <c r="F131" t="s">
        <v>7196</v>
      </c>
      <c r="G131" t="s">
        <v>7135</v>
      </c>
      <c r="H131">
        <v>9</v>
      </c>
      <c r="I131">
        <v>131</v>
      </c>
      <c r="J131">
        <v>137</v>
      </c>
      <c r="K131" s="42" t="str" cm="1">
        <f t="array" ref="K131">myRGB(H131,I131,J131)</f>
        <v/>
      </c>
    </row>
    <row r="132" spans="1:11" x14ac:dyDescent="0.2">
      <c r="A132">
        <v>167</v>
      </c>
      <c r="B132">
        <v>402</v>
      </c>
      <c r="C132">
        <v>8</v>
      </c>
      <c r="D132" t="s">
        <v>7376</v>
      </c>
      <c r="E132">
        <v>1114</v>
      </c>
      <c r="F132" t="s">
        <v>4875</v>
      </c>
      <c r="G132" t="s">
        <v>4874</v>
      </c>
      <c r="H132">
        <v>8</v>
      </c>
      <c r="I132">
        <v>133</v>
      </c>
      <c r="J132">
        <v>136</v>
      </c>
      <c r="K132" s="43" t="str" cm="1">
        <f t="array" ref="K132">myRGB(H132,I132,J132)</f>
        <v/>
      </c>
    </row>
    <row r="133" spans="1:11" x14ac:dyDescent="0.2">
      <c r="A133">
        <v>168</v>
      </c>
      <c r="B133">
        <v>402</v>
      </c>
      <c r="C133">
        <v>8</v>
      </c>
      <c r="D133" t="s">
        <v>7377</v>
      </c>
      <c r="E133">
        <v>233</v>
      </c>
      <c r="F133" t="s">
        <v>4877</v>
      </c>
      <c r="G133" t="s">
        <v>4876</v>
      </c>
      <c r="H133">
        <v>8</v>
      </c>
      <c r="I133">
        <v>132</v>
      </c>
      <c r="J133">
        <v>139</v>
      </c>
      <c r="K133" s="246" t="str" cm="1">
        <f t="array" ref="K133">myRGB(H133,I133,J133)</f>
        <v/>
      </c>
    </row>
    <row r="134" spans="1:11" x14ac:dyDescent="0.2">
      <c r="A134">
        <v>169</v>
      </c>
      <c r="B134">
        <v>402</v>
      </c>
      <c r="C134">
        <v>8</v>
      </c>
      <c r="D134" t="s">
        <v>7378</v>
      </c>
      <c r="E134">
        <v>601</v>
      </c>
      <c r="F134" t="s">
        <v>4879</v>
      </c>
      <c r="G134" t="s">
        <v>4878</v>
      </c>
      <c r="H134">
        <v>9</v>
      </c>
      <c r="I134">
        <v>130</v>
      </c>
      <c r="J134">
        <v>140</v>
      </c>
      <c r="K134" s="206" t="str" cm="1">
        <f t="array" ref="K134">myRGB(H134,I134,J134)</f>
        <v/>
      </c>
    </row>
    <row r="135" spans="1:11" x14ac:dyDescent="0.2">
      <c r="A135">
        <v>170</v>
      </c>
      <c r="B135">
        <v>402</v>
      </c>
      <c r="C135">
        <v>8</v>
      </c>
      <c r="D135" t="s">
        <v>7379</v>
      </c>
      <c r="E135">
        <v>649</v>
      </c>
      <c r="F135" t="s">
        <v>4881</v>
      </c>
      <c r="G135" t="s">
        <v>4880</v>
      </c>
      <c r="H135">
        <v>11</v>
      </c>
      <c r="I135">
        <v>132</v>
      </c>
      <c r="J135">
        <v>140</v>
      </c>
      <c r="K135" s="180" t="str" cm="1">
        <f t="array" ref="K135">myRGB(H135,I135,J135)</f>
        <v/>
      </c>
    </row>
    <row r="136" spans="1:11" x14ac:dyDescent="0.2">
      <c r="A136">
        <v>171</v>
      </c>
      <c r="B136">
        <v>669</v>
      </c>
      <c r="C136">
        <v>7</v>
      </c>
      <c r="D136" t="s">
        <v>7380</v>
      </c>
      <c r="E136">
        <v>394</v>
      </c>
      <c r="F136" t="s">
        <v>4883</v>
      </c>
      <c r="G136" t="s">
        <v>4882</v>
      </c>
      <c r="H136">
        <v>8</v>
      </c>
      <c r="I136">
        <v>131</v>
      </c>
      <c r="J136">
        <v>139</v>
      </c>
      <c r="K136" s="319" t="str" cm="1">
        <f t="array" ref="K136">myRGB(H136,I136,J136)</f>
        <v/>
      </c>
    </row>
    <row r="137" spans="1:11" x14ac:dyDescent="0.2">
      <c r="A137">
        <v>172</v>
      </c>
      <c r="B137">
        <v>394</v>
      </c>
      <c r="C137">
        <v>8</v>
      </c>
      <c r="D137" t="s">
        <v>7381</v>
      </c>
      <c r="E137">
        <v>281</v>
      </c>
      <c r="F137" t="s">
        <v>4885</v>
      </c>
      <c r="G137" t="s">
        <v>4884</v>
      </c>
      <c r="H137">
        <v>9</v>
      </c>
      <c r="I137">
        <v>132</v>
      </c>
      <c r="J137">
        <v>139</v>
      </c>
      <c r="K137" s="207" t="str" cm="1">
        <f t="array" ref="K137">myRGB(H137,I137,J137)</f>
        <v/>
      </c>
    </row>
    <row r="138" spans="1:11" x14ac:dyDescent="0.2">
      <c r="A138">
        <v>173</v>
      </c>
      <c r="B138">
        <v>394</v>
      </c>
      <c r="C138">
        <v>8</v>
      </c>
      <c r="D138" t="s">
        <v>7382</v>
      </c>
      <c r="E138">
        <v>1066</v>
      </c>
      <c r="F138" t="s">
        <v>7197</v>
      </c>
      <c r="G138" t="s">
        <v>7136</v>
      </c>
      <c r="H138">
        <v>11</v>
      </c>
      <c r="I138">
        <v>132</v>
      </c>
      <c r="J138">
        <v>138</v>
      </c>
      <c r="K138" s="247" t="str" cm="1">
        <f t="array" ref="K138">myRGB(H138,I138,J138)</f>
        <v/>
      </c>
    </row>
    <row r="139" spans="1:11" x14ac:dyDescent="0.2">
      <c r="A139">
        <v>174</v>
      </c>
      <c r="B139">
        <v>394</v>
      </c>
      <c r="C139">
        <v>8</v>
      </c>
      <c r="D139" t="s">
        <v>7383</v>
      </c>
      <c r="E139">
        <v>401</v>
      </c>
      <c r="F139" t="s">
        <v>4887</v>
      </c>
      <c r="G139" t="s">
        <v>4886</v>
      </c>
      <c r="H139">
        <v>9</v>
      </c>
      <c r="I139">
        <v>133</v>
      </c>
      <c r="J139">
        <v>138</v>
      </c>
      <c r="K139" s="181" t="str" cm="1">
        <f t="array" ref="K139">myRGB(H139,I139,J139)</f>
        <v/>
      </c>
    </row>
    <row r="140" spans="1:11" x14ac:dyDescent="0.2">
      <c r="A140">
        <v>175</v>
      </c>
      <c r="B140">
        <v>394</v>
      </c>
      <c r="C140">
        <v>8</v>
      </c>
      <c r="D140" t="s">
        <v>7384</v>
      </c>
      <c r="E140">
        <v>433</v>
      </c>
      <c r="F140" t="s">
        <v>4889</v>
      </c>
      <c r="G140" t="s">
        <v>4888</v>
      </c>
      <c r="H140">
        <v>10</v>
      </c>
      <c r="I140">
        <v>132</v>
      </c>
      <c r="J140">
        <v>139</v>
      </c>
      <c r="K140" s="44" t="str" cm="1">
        <f t="array" ref="K140">myRGB(H140,I140,J140)</f>
        <v/>
      </c>
    </row>
    <row r="141" spans="1:11" x14ac:dyDescent="0.2">
      <c r="A141">
        <v>176</v>
      </c>
      <c r="B141">
        <v>394</v>
      </c>
      <c r="C141">
        <v>8</v>
      </c>
      <c r="D141" t="s">
        <v>7385</v>
      </c>
      <c r="E141">
        <v>1046</v>
      </c>
      <c r="F141" t="s">
        <v>4891</v>
      </c>
      <c r="G141" t="s">
        <v>4890</v>
      </c>
      <c r="H141">
        <v>10</v>
      </c>
      <c r="I141">
        <v>130</v>
      </c>
      <c r="J141">
        <v>139</v>
      </c>
      <c r="K141" s="45" t="str" cm="1">
        <f t="array" ref="K141">myRGB(H141,I141,J141)</f>
        <v/>
      </c>
    </row>
    <row r="142" spans="1:11" x14ac:dyDescent="0.2">
      <c r="A142">
        <v>177</v>
      </c>
      <c r="B142">
        <v>394</v>
      </c>
      <c r="C142">
        <v>8</v>
      </c>
      <c r="D142" t="s">
        <v>7386</v>
      </c>
      <c r="E142">
        <v>441</v>
      </c>
      <c r="F142" t="s">
        <v>4893</v>
      </c>
      <c r="G142" t="s">
        <v>4892</v>
      </c>
      <c r="H142">
        <v>8</v>
      </c>
      <c r="I142">
        <v>131</v>
      </c>
      <c r="J142">
        <v>138</v>
      </c>
      <c r="K142" s="122" t="str" cm="1">
        <f t="array" ref="K142">myRGB(H142,I142,J142)</f>
        <v/>
      </c>
    </row>
    <row r="143" spans="1:11" x14ac:dyDescent="0.2">
      <c r="A143">
        <v>178</v>
      </c>
      <c r="B143">
        <v>669</v>
      </c>
      <c r="C143">
        <v>7</v>
      </c>
      <c r="D143" t="s">
        <v>7387</v>
      </c>
      <c r="E143">
        <v>409</v>
      </c>
      <c r="F143" t="s">
        <v>4895</v>
      </c>
      <c r="G143" t="s">
        <v>4894</v>
      </c>
      <c r="H143">
        <v>10</v>
      </c>
      <c r="I143">
        <v>132</v>
      </c>
      <c r="J143">
        <v>140</v>
      </c>
      <c r="K143" s="121" t="str" cm="1">
        <f t="array" ref="K143">myRGB(H143,I143,J143)</f>
        <v/>
      </c>
    </row>
    <row r="144" spans="1:11" x14ac:dyDescent="0.2">
      <c r="A144">
        <v>179</v>
      </c>
      <c r="B144">
        <v>409</v>
      </c>
      <c r="C144">
        <v>8</v>
      </c>
      <c r="D144" t="s">
        <v>7388</v>
      </c>
      <c r="E144">
        <v>421</v>
      </c>
      <c r="F144" t="s">
        <v>4897</v>
      </c>
      <c r="G144" t="s">
        <v>4896</v>
      </c>
      <c r="H144">
        <v>9</v>
      </c>
      <c r="I144">
        <v>132</v>
      </c>
      <c r="J144">
        <v>138</v>
      </c>
      <c r="K144" s="317" t="str" cm="1">
        <f t="array" ref="K144">myRGB(H144,I144,J144)</f>
        <v/>
      </c>
    </row>
    <row r="145" spans="1:11" x14ac:dyDescent="0.2">
      <c r="A145">
        <v>180</v>
      </c>
      <c r="B145">
        <v>409</v>
      </c>
      <c r="C145">
        <v>8</v>
      </c>
      <c r="D145" t="s">
        <v>7389</v>
      </c>
      <c r="E145">
        <v>973</v>
      </c>
      <c r="F145" t="s">
        <v>7198</v>
      </c>
      <c r="G145" t="s">
        <v>7137</v>
      </c>
      <c r="H145">
        <v>10</v>
      </c>
      <c r="I145">
        <v>132</v>
      </c>
      <c r="J145">
        <v>137</v>
      </c>
      <c r="K145" s="179" t="str" cm="1">
        <f t="array" ref="K145">myRGB(H145,I145,J145)</f>
        <v/>
      </c>
    </row>
    <row r="146" spans="1:11" x14ac:dyDescent="0.2">
      <c r="A146">
        <v>181</v>
      </c>
      <c r="B146">
        <v>409</v>
      </c>
      <c r="C146">
        <v>8</v>
      </c>
      <c r="D146" t="s">
        <v>7390</v>
      </c>
      <c r="E146">
        <v>573</v>
      </c>
      <c r="F146" t="s">
        <v>4899</v>
      </c>
      <c r="G146" t="s">
        <v>4898</v>
      </c>
      <c r="H146">
        <v>8</v>
      </c>
      <c r="I146">
        <v>130</v>
      </c>
      <c r="J146">
        <v>139</v>
      </c>
      <c r="K146" s="41" t="str" cm="1">
        <f t="array" ref="K146">myRGB(H146,I146,J146)</f>
        <v/>
      </c>
    </row>
    <row r="147" spans="1:11" x14ac:dyDescent="0.2">
      <c r="A147">
        <v>182</v>
      </c>
      <c r="B147">
        <v>409</v>
      </c>
      <c r="C147">
        <v>8</v>
      </c>
      <c r="D147" t="s">
        <v>7391</v>
      </c>
      <c r="E147">
        <v>613</v>
      </c>
      <c r="F147" t="s">
        <v>4901</v>
      </c>
      <c r="G147" t="s">
        <v>4900</v>
      </c>
      <c r="H147">
        <v>11</v>
      </c>
      <c r="I147">
        <v>133</v>
      </c>
      <c r="J147">
        <v>139</v>
      </c>
      <c r="K147" s="245" t="str" cm="1">
        <f t="array" ref="K147">myRGB(H147,I147,J147)</f>
        <v/>
      </c>
    </row>
    <row r="148" spans="1:11" x14ac:dyDescent="0.2">
      <c r="A148">
        <v>183</v>
      </c>
      <c r="B148">
        <v>409</v>
      </c>
      <c r="C148">
        <v>8</v>
      </c>
      <c r="D148" t="s">
        <v>7392</v>
      </c>
      <c r="E148">
        <v>74</v>
      </c>
      <c r="F148" t="s">
        <v>4903</v>
      </c>
      <c r="G148" t="s">
        <v>4902</v>
      </c>
      <c r="H148">
        <v>8</v>
      </c>
      <c r="I148">
        <v>132</v>
      </c>
      <c r="J148">
        <v>140</v>
      </c>
      <c r="K148" s="205" t="str" cm="1">
        <f t="array" ref="K148">myRGB(H148,I148,J148)</f>
        <v/>
      </c>
    </row>
    <row r="149" spans="1:11" x14ac:dyDescent="0.2">
      <c r="A149">
        <v>184</v>
      </c>
      <c r="B149">
        <v>409</v>
      </c>
      <c r="C149">
        <v>8</v>
      </c>
      <c r="D149" t="s">
        <v>7393</v>
      </c>
      <c r="E149">
        <v>121</v>
      </c>
      <c r="F149" t="s">
        <v>4905</v>
      </c>
      <c r="G149" t="s">
        <v>4904</v>
      </c>
      <c r="H149">
        <v>9</v>
      </c>
      <c r="I149">
        <v>133</v>
      </c>
      <c r="J149">
        <v>140</v>
      </c>
      <c r="K149" s="343" t="str" cm="1">
        <f t="array" ref="K149">myRGB(H149,I149,J149)</f>
        <v/>
      </c>
    </row>
    <row r="150" spans="1:11" x14ac:dyDescent="0.2">
      <c r="A150">
        <v>185</v>
      </c>
      <c r="B150">
        <v>669</v>
      </c>
      <c r="C150">
        <v>7</v>
      </c>
      <c r="D150" t="s">
        <v>7394</v>
      </c>
      <c r="E150">
        <v>385</v>
      </c>
      <c r="F150" t="s">
        <v>4907</v>
      </c>
      <c r="G150" t="s">
        <v>4906</v>
      </c>
      <c r="H150">
        <v>10</v>
      </c>
      <c r="I150">
        <v>133</v>
      </c>
      <c r="J150">
        <v>140</v>
      </c>
      <c r="K150" s="47" t="str" cm="1">
        <f t="array" ref="K150">myRGB(H150,I150,J150)</f>
        <v/>
      </c>
    </row>
    <row r="151" spans="1:11" x14ac:dyDescent="0.2">
      <c r="A151">
        <v>186</v>
      </c>
      <c r="B151">
        <v>385</v>
      </c>
      <c r="C151">
        <v>8</v>
      </c>
      <c r="D151" t="s">
        <v>7395</v>
      </c>
      <c r="E151">
        <v>593</v>
      </c>
      <c r="F151" t="s">
        <v>4909</v>
      </c>
      <c r="G151" t="s">
        <v>4908</v>
      </c>
      <c r="H151">
        <v>9</v>
      </c>
      <c r="I151">
        <v>133</v>
      </c>
      <c r="J151">
        <v>137</v>
      </c>
      <c r="K151" s="182" t="str" cm="1">
        <f t="array" ref="K151">myRGB(H151,I151,J151)</f>
        <v/>
      </c>
    </row>
    <row r="152" spans="1:11" x14ac:dyDescent="0.2">
      <c r="A152">
        <v>187</v>
      </c>
      <c r="B152">
        <v>385</v>
      </c>
      <c r="C152">
        <v>8</v>
      </c>
      <c r="D152" t="s">
        <v>7396</v>
      </c>
      <c r="E152">
        <v>821</v>
      </c>
      <c r="F152" t="s">
        <v>7199</v>
      </c>
      <c r="G152" t="s">
        <v>7138</v>
      </c>
      <c r="H152">
        <v>10</v>
      </c>
      <c r="I152">
        <v>130</v>
      </c>
      <c r="J152">
        <v>140</v>
      </c>
      <c r="K152" s="345" t="str" cm="1">
        <f t="array" ref="K152">myRGB(H152,I152,J152)</f>
        <v/>
      </c>
    </row>
    <row r="153" spans="1:11" x14ac:dyDescent="0.2">
      <c r="A153">
        <v>188</v>
      </c>
      <c r="B153">
        <v>385</v>
      </c>
      <c r="C153">
        <v>8</v>
      </c>
      <c r="D153" t="s">
        <v>7397</v>
      </c>
      <c r="E153">
        <v>721</v>
      </c>
      <c r="F153" t="s">
        <v>4911</v>
      </c>
      <c r="G153" t="s">
        <v>4910</v>
      </c>
      <c r="H153">
        <v>11</v>
      </c>
      <c r="I153">
        <v>132</v>
      </c>
      <c r="J153">
        <v>139</v>
      </c>
      <c r="K153" s="46" t="str" cm="1">
        <f t="array" ref="K153">myRGB(H153,I153,J153)</f>
        <v/>
      </c>
    </row>
    <row r="154" spans="1:11" x14ac:dyDescent="0.2">
      <c r="A154">
        <v>189</v>
      </c>
      <c r="B154">
        <v>385</v>
      </c>
      <c r="C154">
        <v>8</v>
      </c>
      <c r="D154" t="s">
        <v>7398</v>
      </c>
      <c r="E154">
        <v>778</v>
      </c>
      <c r="F154" t="s">
        <v>4913</v>
      </c>
      <c r="G154" t="s">
        <v>4912</v>
      </c>
      <c r="H154">
        <v>8</v>
      </c>
      <c r="I154">
        <v>131</v>
      </c>
      <c r="J154">
        <v>137</v>
      </c>
      <c r="K154" s="123" t="str" cm="1">
        <f t="array" ref="K154">myRGB(H154,I154,J154)</f>
        <v/>
      </c>
    </row>
    <row r="155" spans="1:11" x14ac:dyDescent="0.2">
      <c r="A155">
        <v>190</v>
      </c>
      <c r="B155">
        <v>385</v>
      </c>
      <c r="C155">
        <v>8</v>
      </c>
      <c r="D155" t="s">
        <v>7399</v>
      </c>
      <c r="E155">
        <v>33</v>
      </c>
      <c r="F155" t="s">
        <v>4915</v>
      </c>
      <c r="G155" t="s">
        <v>4914</v>
      </c>
      <c r="H155">
        <v>8</v>
      </c>
      <c r="I155">
        <v>133</v>
      </c>
      <c r="J155">
        <v>140</v>
      </c>
      <c r="K155" s="208" t="str" cm="1">
        <f t="array" ref="K155">myRGB(H155,I155,J155)</f>
        <v/>
      </c>
    </row>
    <row r="156" spans="1:11" x14ac:dyDescent="0.2">
      <c r="A156">
        <v>191</v>
      </c>
      <c r="B156">
        <v>385</v>
      </c>
      <c r="C156">
        <v>8</v>
      </c>
      <c r="D156" t="s">
        <v>7400</v>
      </c>
      <c r="E156">
        <v>305</v>
      </c>
      <c r="F156" t="s">
        <v>4917</v>
      </c>
      <c r="G156" t="s">
        <v>4916</v>
      </c>
      <c r="H156">
        <v>8</v>
      </c>
      <c r="I156">
        <v>133</v>
      </c>
      <c r="J156">
        <v>138</v>
      </c>
      <c r="K156" s="248" t="str" cm="1">
        <f t="array" ref="K156">myRGB(H156,I156,J156)</f>
        <v/>
      </c>
    </row>
    <row r="157" spans="1:11" x14ac:dyDescent="0.2">
      <c r="A157">
        <v>192</v>
      </c>
      <c r="B157">
        <v>669</v>
      </c>
      <c r="C157">
        <v>7</v>
      </c>
      <c r="D157" t="s">
        <v>7401</v>
      </c>
      <c r="E157">
        <v>425</v>
      </c>
      <c r="F157" t="s">
        <v>4919</v>
      </c>
      <c r="G157" t="s">
        <v>4918</v>
      </c>
      <c r="H157">
        <v>9</v>
      </c>
      <c r="I157">
        <v>131</v>
      </c>
      <c r="J157">
        <v>139</v>
      </c>
      <c r="K157" s="40" t="str" cm="1">
        <f t="array" ref="K157">myRGB(H157,I157,J157)</f>
        <v/>
      </c>
    </row>
    <row r="158" spans="1:11" x14ac:dyDescent="0.2">
      <c r="A158">
        <v>193</v>
      </c>
      <c r="B158">
        <v>425</v>
      </c>
      <c r="C158">
        <v>8</v>
      </c>
      <c r="D158" t="s">
        <v>7402</v>
      </c>
      <c r="E158">
        <v>750</v>
      </c>
      <c r="F158" t="s">
        <v>4921</v>
      </c>
      <c r="G158" t="s">
        <v>4920</v>
      </c>
      <c r="H158">
        <v>10</v>
      </c>
      <c r="I158">
        <v>131</v>
      </c>
      <c r="J158">
        <v>138</v>
      </c>
      <c r="K158" s="39" t="str" cm="1">
        <f t="array" ref="K158">myRGB(H158,I158,J158)</f>
        <v/>
      </c>
    </row>
    <row r="159" spans="1:11" x14ac:dyDescent="0.2">
      <c r="A159">
        <v>194</v>
      </c>
      <c r="B159">
        <v>425</v>
      </c>
      <c r="C159">
        <v>8</v>
      </c>
      <c r="D159" t="s">
        <v>7403</v>
      </c>
      <c r="E159">
        <v>269</v>
      </c>
      <c r="F159" t="s">
        <v>7200</v>
      </c>
      <c r="G159" t="s">
        <v>7139</v>
      </c>
      <c r="H159">
        <v>9</v>
      </c>
      <c r="I159">
        <v>132</v>
      </c>
      <c r="J159">
        <v>140</v>
      </c>
      <c r="K159" s="120" t="str" cm="1">
        <f t="array" ref="K159">myRGB(H159,I159,J159)</f>
        <v/>
      </c>
    </row>
    <row r="160" spans="1:11" x14ac:dyDescent="0.2">
      <c r="A160">
        <v>195</v>
      </c>
      <c r="B160">
        <v>425</v>
      </c>
      <c r="C160">
        <v>8</v>
      </c>
      <c r="D160" t="s">
        <v>7404</v>
      </c>
      <c r="E160">
        <v>869</v>
      </c>
      <c r="F160" t="s">
        <v>4923</v>
      </c>
      <c r="G160" t="s">
        <v>4922</v>
      </c>
      <c r="H160">
        <v>11</v>
      </c>
      <c r="I160">
        <v>133</v>
      </c>
      <c r="J160">
        <v>138</v>
      </c>
      <c r="K160" s="244" t="str" cm="1">
        <f t="array" ref="K160">myRGB(H160,I160,J160)</f>
        <v/>
      </c>
    </row>
    <row r="161" spans="1:11" x14ac:dyDescent="0.2">
      <c r="A161">
        <v>196</v>
      </c>
      <c r="B161">
        <v>425</v>
      </c>
      <c r="C161">
        <v>8</v>
      </c>
      <c r="D161" t="s">
        <v>7405</v>
      </c>
      <c r="E161">
        <v>902</v>
      </c>
      <c r="F161" t="s">
        <v>4925</v>
      </c>
      <c r="G161" t="s">
        <v>4924</v>
      </c>
      <c r="H161">
        <v>11</v>
      </c>
      <c r="I161">
        <v>131</v>
      </c>
      <c r="J161">
        <v>140</v>
      </c>
      <c r="K161" s="204" t="str" cm="1">
        <f t="array" ref="K161">myRGB(H161,I161,J161)</f>
        <v/>
      </c>
    </row>
    <row r="162" spans="1:11" x14ac:dyDescent="0.2">
      <c r="A162">
        <v>197</v>
      </c>
      <c r="B162">
        <v>425</v>
      </c>
      <c r="C162">
        <v>8</v>
      </c>
      <c r="D162" t="s">
        <v>7406</v>
      </c>
      <c r="E162">
        <v>377</v>
      </c>
      <c r="F162" t="s">
        <v>4927</v>
      </c>
      <c r="G162" t="s">
        <v>4926</v>
      </c>
      <c r="H162">
        <v>8</v>
      </c>
      <c r="I162">
        <v>131</v>
      </c>
      <c r="J162">
        <v>140</v>
      </c>
      <c r="K162" s="342" t="str" cm="1">
        <f t="array" ref="K162">myRGB(H162,I162,J162)</f>
        <v/>
      </c>
    </row>
    <row r="163" spans="1:11" x14ac:dyDescent="0.2">
      <c r="A163">
        <v>198</v>
      </c>
      <c r="B163">
        <v>425</v>
      </c>
      <c r="C163">
        <v>8</v>
      </c>
      <c r="D163" t="s">
        <v>7407</v>
      </c>
      <c r="E163">
        <v>393</v>
      </c>
      <c r="F163" t="s">
        <v>4929</v>
      </c>
      <c r="G163" t="s">
        <v>4928</v>
      </c>
      <c r="H163">
        <v>8</v>
      </c>
      <c r="I163">
        <v>132</v>
      </c>
      <c r="J163">
        <v>138</v>
      </c>
      <c r="K163" s="316" t="str" cm="1">
        <f t="array" ref="K163">myRGB(H163,I163,J163)</f>
        <v/>
      </c>
    </row>
    <row r="164" spans="1:11" x14ac:dyDescent="0.2">
      <c r="A164">
        <v>199</v>
      </c>
      <c r="B164">
        <v>669</v>
      </c>
      <c r="C164">
        <v>7</v>
      </c>
      <c r="D164" t="s">
        <v>7409</v>
      </c>
      <c r="E164">
        <v>533</v>
      </c>
      <c r="F164" t="s">
        <v>7408</v>
      </c>
      <c r="G164" t="s">
        <v>4930</v>
      </c>
      <c r="H164">
        <v>10</v>
      </c>
      <c r="I164">
        <v>131</v>
      </c>
      <c r="J164">
        <v>139</v>
      </c>
      <c r="K164" s="178" t="str" cm="1">
        <f t="array" ref="K164">myRGB(H164,I164,J164)</f>
        <v/>
      </c>
    </row>
    <row r="165" spans="1:11" x14ac:dyDescent="0.2">
      <c r="A165">
        <v>200</v>
      </c>
      <c r="B165">
        <v>533</v>
      </c>
      <c r="C165">
        <v>8</v>
      </c>
      <c r="D165" t="s">
        <v>7411</v>
      </c>
      <c r="E165">
        <v>805</v>
      </c>
      <c r="F165" t="s">
        <v>7410</v>
      </c>
      <c r="G165" t="s">
        <v>4932</v>
      </c>
      <c r="H165">
        <v>10</v>
      </c>
      <c r="I165">
        <v>133</v>
      </c>
      <c r="J165">
        <v>137</v>
      </c>
      <c r="K165" s="243" t="str" cm="1">
        <f t="array" ref="K165">myRGB(H165,I165,J165)</f>
        <v/>
      </c>
    </row>
    <row r="166" spans="1:11" x14ac:dyDescent="0.2">
      <c r="A166">
        <v>201</v>
      </c>
      <c r="B166">
        <v>533</v>
      </c>
      <c r="C166">
        <v>8</v>
      </c>
      <c r="D166" t="s">
        <v>7413</v>
      </c>
      <c r="E166">
        <v>41</v>
      </c>
      <c r="F166" t="s">
        <v>7412</v>
      </c>
      <c r="G166" t="s">
        <v>7140</v>
      </c>
      <c r="H166">
        <v>8</v>
      </c>
      <c r="I166">
        <v>133</v>
      </c>
      <c r="J166">
        <v>139</v>
      </c>
      <c r="K166" s="119" t="str" cm="1">
        <f t="array" ref="K166">myRGB(H166,I166,J166)</f>
        <v/>
      </c>
    </row>
    <row r="167" spans="1:11" x14ac:dyDescent="0.2">
      <c r="A167">
        <v>202</v>
      </c>
      <c r="B167">
        <v>533</v>
      </c>
      <c r="C167">
        <v>8</v>
      </c>
      <c r="D167" t="s">
        <v>7415</v>
      </c>
      <c r="E167">
        <v>501</v>
      </c>
      <c r="F167" t="s">
        <v>7414</v>
      </c>
      <c r="G167" t="s">
        <v>4934</v>
      </c>
      <c r="H167">
        <v>9</v>
      </c>
      <c r="I167">
        <v>130</v>
      </c>
      <c r="J167">
        <v>139</v>
      </c>
      <c r="K167" s="315" t="str" cm="1">
        <f t="array" ref="K167">myRGB(H167,I167,J167)</f>
        <v/>
      </c>
    </row>
    <row r="168" spans="1:11" x14ac:dyDescent="0.2">
      <c r="A168">
        <v>203</v>
      </c>
      <c r="B168">
        <v>533</v>
      </c>
      <c r="C168">
        <v>8</v>
      </c>
      <c r="D168" t="s">
        <v>7417</v>
      </c>
      <c r="E168">
        <v>565</v>
      </c>
      <c r="F168" t="s">
        <v>7416</v>
      </c>
      <c r="G168" t="s">
        <v>4936</v>
      </c>
      <c r="H168">
        <v>8</v>
      </c>
      <c r="I168">
        <v>132</v>
      </c>
      <c r="J168">
        <v>137</v>
      </c>
      <c r="K168" s="37" t="str" cm="1">
        <f t="array" ref="K168">myRGB(H168,I168,J168)</f>
        <v/>
      </c>
    </row>
    <row r="169" spans="1:11" x14ac:dyDescent="0.2">
      <c r="A169">
        <v>204</v>
      </c>
      <c r="B169">
        <v>533</v>
      </c>
      <c r="C169">
        <v>8</v>
      </c>
      <c r="D169" t="s">
        <v>7419</v>
      </c>
      <c r="E169">
        <v>257</v>
      </c>
      <c r="F169" t="s">
        <v>7418</v>
      </c>
      <c r="G169" t="s">
        <v>4938</v>
      </c>
      <c r="H169">
        <v>9</v>
      </c>
      <c r="I169">
        <v>133</v>
      </c>
      <c r="J169">
        <v>139</v>
      </c>
      <c r="K169" s="38" t="str" cm="1">
        <f t="array" ref="K169">myRGB(H169,I169,J169)</f>
        <v/>
      </c>
    </row>
    <row r="170" spans="1:11" x14ac:dyDescent="0.2">
      <c r="A170">
        <v>205</v>
      </c>
      <c r="B170">
        <v>533</v>
      </c>
      <c r="C170">
        <v>8</v>
      </c>
      <c r="D170" t="s">
        <v>7421</v>
      </c>
      <c r="E170">
        <v>469</v>
      </c>
      <c r="F170" t="s">
        <v>7420</v>
      </c>
      <c r="G170" t="s">
        <v>4940</v>
      </c>
      <c r="H170">
        <v>8</v>
      </c>
      <c r="I170">
        <v>133</v>
      </c>
      <c r="J170">
        <v>137</v>
      </c>
      <c r="K170" s="341" t="str" cm="1">
        <f t="array" ref="K170">myRGB(H170,I170,J170)</f>
        <v/>
      </c>
    </row>
    <row r="171" spans="1:11" x14ac:dyDescent="0.2">
      <c r="A171">
        <v>206</v>
      </c>
      <c r="B171">
        <v>669</v>
      </c>
      <c r="C171">
        <v>7</v>
      </c>
      <c r="D171" t="s">
        <v>7422</v>
      </c>
      <c r="E171">
        <v>312782574</v>
      </c>
      <c r="F171" t="s">
        <v>4943</v>
      </c>
      <c r="G171" t="s">
        <v>4942</v>
      </c>
      <c r="H171">
        <v>10</v>
      </c>
      <c r="I171">
        <v>133</v>
      </c>
      <c r="J171">
        <v>139</v>
      </c>
      <c r="K171" s="210" t="str" cm="1">
        <f t="array" ref="K171">myRGB(H171,I171,J171)</f>
        <v/>
      </c>
    </row>
    <row r="172" spans="1:11" x14ac:dyDescent="0.2">
      <c r="A172">
        <v>207</v>
      </c>
      <c r="B172">
        <v>312782574</v>
      </c>
      <c r="C172">
        <v>8</v>
      </c>
      <c r="D172" t="s">
        <v>7423</v>
      </c>
      <c r="E172">
        <v>312782578</v>
      </c>
      <c r="F172" t="s">
        <v>4945</v>
      </c>
      <c r="G172" t="s">
        <v>4944</v>
      </c>
      <c r="H172">
        <v>12</v>
      </c>
      <c r="I172">
        <v>133</v>
      </c>
      <c r="J172">
        <v>140</v>
      </c>
      <c r="K172" s="184" t="str" cm="1">
        <f t="array" ref="K172">myRGB(H172,I172,J172)</f>
        <v/>
      </c>
    </row>
    <row r="173" spans="1:11" x14ac:dyDescent="0.2">
      <c r="A173">
        <v>208</v>
      </c>
      <c r="B173">
        <v>312782574</v>
      </c>
      <c r="C173">
        <v>8</v>
      </c>
      <c r="D173" t="s">
        <v>7424</v>
      </c>
      <c r="E173">
        <v>312782582</v>
      </c>
      <c r="F173" t="s">
        <v>7202</v>
      </c>
      <c r="G173" t="s">
        <v>7141</v>
      </c>
      <c r="H173">
        <v>10</v>
      </c>
      <c r="I173">
        <v>133</v>
      </c>
      <c r="J173">
        <v>138</v>
      </c>
      <c r="K173" s="50" t="str" cm="1">
        <f t="array" ref="K173">myRGB(H173,I173,J173)</f>
        <v/>
      </c>
    </row>
    <row r="174" spans="1:11" x14ac:dyDescent="0.2">
      <c r="A174">
        <v>209</v>
      </c>
      <c r="B174">
        <v>312782574</v>
      </c>
      <c r="C174">
        <v>8</v>
      </c>
      <c r="D174" t="s">
        <v>7425</v>
      </c>
      <c r="E174">
        <v>312782586</v>
      </c>
      <c r="F174" t="s">
        <v>4947</v>
      </c>
      <c r="G174" t="s">
        <v>4946</v>
      </c>
      <c r="H174">
        <v>8</v>
      </c>
      <c r="I174">
        <v>130</v>
      </c>
      <c r="J174">
        <v>140</v>
      </c>
      <c r="K174" s="125" t="str" cm="1">
        <f t="array" ref="K174">myRGB(H174,I174,J174)</f>
        <v/>
      </c>
    </row>
    <row r="175" spans="1:11" x14ac:dyDescent="0.2">
      <c r="A175">
        <v>210</v>
      </c>
      <c r="B175">
        <v>312782574</v>
      </c>
      <c r="C175">
        <v>8</v>
      </c>
      <c r="D175" t="s">
        <v>7426</v>
      </c>
      <c r="E175">
        <v>312782590</v>
      </c>
      <c r="F175" t="s">
        <v>4949</v>
      </c>
      <c r="G175" t="s">
        <v>4948</v>
      </c>
      <c r="H175">
        <v>10</v>
      </c>
      <c r="I175">
        <v>132</v>
      </c>
      <c r="J175">
        <v>138</v>
      </c>
      <c r="K175" s="347" t="str" cm="1">
        <f t="array" ref="K175">myRGB(H175,I175,J175)</f>
        <v/>
      </c>
    </row>
    <row r="176" spans="1:11" x14ac:dyDescent="0.2">
      <c r="A176">
        <v>211</v>
      </c>
      <c r="B176">
        <v>312782574</v>
      </c>
      <c r="C176">
        <v>8</v>
      </c>
      <c r="D176" t="s">
        <v>7427</v>
      </c>
      <c r="E176">
        <v>312782594</v>
      </c>
      <c r="F176" t="s">
        <v>4951</v>
      </c>
      <c r="G176" t="s">
        <v>4950</v>
      </c>
      <c r="H176">
        <v>8</v>
      </c>
      <c r="I176">
        <v>132</v>
      </c>
      <c r="J176">
        <v>136</v>
      </c>
      <c r="K176" s="321" t="str" cm="1">
        <f t="array" ref="K176">myRGB(H176,I176,J176)</f>
        <v/>
      </c>
    </row>
    <row r="177" spans="1:11" x14ac:dyDescent="0.2">
      <c r="A177">
        <v>212</v>
      </c>
      <c r="B177">
        <v>312782574</v>
      </c>
      <c r="C177">
        <v>8</v>
      </c>
      <c r="D177" t="s">
        <v>7428</v>
      </c>
      <c r="E177">
        <v>312782598</v>
      </c>
      <c r="F177" t="s">
        <v>4953</v>
      </c>
      <c r="G177" t="s">
        <v>4952</v>
      </c>
      <c r="H177">
        <v>8</v>
      </c>
      <c r="I177">
        <v>129</v>
      </c>
      <c r="J177">
        <v>139</v>
      </c>
      <c r="K177" s="49" t="str" cm="1">
        <f t="array" ref="K177">myRGB(H177,I177,J177)</f>
        <v/>
      </c>
    </row>
    <row r="178" spans="1:11" x14ac:dyDescent="0.2">
      <c r="A178">
        <v>213</v>
      </c>
      <c r="B178">
        <v>669</v>
      </c>
      <c r="C178">
        <v>7</v>
      </c>
      <c r="D178" t="s">
        <v>7429</v>
      </c>
      <c r="E178">
        <v>312782628</v>
      </c>
      <c r="F178" t="s">
        <v>4955</v>
      </c>
      <c r="G178" t="s">
        <v>4954</v>
      </c>
      <c r="H178">
        <v>9</v>
      </c>
      <c r="I178">
        <v>133</v>
      </c>
      <c r="J178">
        <v>136</v>
      </c>
      <c r="K178" s="249" t="str" cm="1">
        <f t="array" ref="K178">myRGB(H178,I178,J178)</f>
        <v/>
      </c>
    </row>
    <row r="179" spans="1:11" x14ac:dyDescent="0.2">
      <c r="A179">
        <v>214</v>
      </c>
      <c r="B179">
        <v>312782628</v>
      </c>
      <c r="C179">
        <v>8</v>
      </c>
      <c r="D179" t="s">
        <v>7430</v>
      </c>
      <c r="E179">
        <v>312782632</v>
      </c>
      <c r="F179" t="s">
        <v>4957</v>
      </c>
      <c r="G179" t="s">
        <v>4956</v>
      </c>
      <c r="H179">
        <v>9</v>
      </c>
      <c r="I179">
        <v>129</v>
      </c>
      <c r="J179">
        <v>140</v>
      </c>
      <c r="K179" s="209" t="str" cm="1">
        <f t="array" ref="K179">myRGB(H179,I179,J179)</f>
        <v/>
      </c>
    </row>
    <row r="180" spans="1:11" x14ac:dyDescent="0.2">
      <c r="A180">
        <v>215</v>
      </c>
      <c r="B180">
        <v>312782628</v>
      </c>
      <c r="C180">
        <v>8</v>
      </c>
      <c r="D180" t="s">
        <v>7431</v>
      </c>
      <c r="E180">
        <v>312782636</v>
      </c>
      <c r="F180" t="s">
        <v>7203</v>
      </c>
      <c r="G180" t="s">
        <v>7142</v>
      </c>
      <c r="H180">
        <v>10</v>
      </c>
      <c r="I180">
        <v>131</v>
      </c>
      <c r="J180">
        <v>137</v>
      </c>
      <c r="K180" s="183" t="str" cm="1">
        <f t="array" ref="K180">myRGB(H180,I180,J180)</f>
        <v/>
      </c>
    </row>
    <row r="181" spans="1:11" x14ac:dyDescent="0.2">
      <c r="A181">
        <v>216</v>
      </c>
      <c r="B181">
        <v>312782628</v>
      </c>
      <c r="C181">
        <v>8</v>
      </c>
      <c r="D181" t="s">
        <v>7432</v>
      </c>
      <c r="E181">
        <v>312782640</v>
      </c>
      <c r="F181" t="s">
        <v>4959</v>
      </c>
      <c r="G181" t="s">
        <v>4958</v>
      </c>
      <c r="H181">
        <v>10</v>
      </c>
      <c r="I181">
        <v>130</v>
      </c>
      <c r="J181">
        <v>138</v>
      </c>
      <c r="K181" s="48" t="str" cm="1">
        <f t="array" ref="K181">myRGB(H181,I181,J181)</f>
        <v/>
      </c>
    </row>
    <row r="182" spans="1:11" x14ac:dyDescent="0.2">
      <c r="A182">
        <v>217</v>
      </c>
      <c r="B182">
        <v>312782628</v>
      </c>
      <c r="C182">
        <v>8</v>
      </c>
      <c r="D182" t="s">
        <v>7433</v>
      </c>
      <c r="E182">
        <v>312782644</v>
      </c>
      <c r="F182" t="s">
        <v>4961</v>
      </c>
      <c r="G182" t="s">
        <v>4960</v>
      </c>
      <c r="H182">
        <v>11</v>
      </c>
      <c r="I182">
        <v>131</v>
      </c>
      <c r="J182">
        <v>138</v>
      </c>
      <c r="K182" s="124" t="str" cm="1">
        <f t="array" ref="K182">myRGB(H182,I182,J182)</f>
        <v/>
      </c>
    </row>
    <row r="183" spans="1:11" x14ac:dyDescent="0.2">
      <c r="A183">
        <v>218</v>
      </c>
      <c r="B183">
        <v>312782628</v>
      </c>
      <c r="C183">
        <v>8</v>
      </c>
      <c r="D183" t="s">
        <v>7434</v>
      </c>
      <c r="E183">
        <v>312782648</v>
      </c>
      <c r="F183" t="s">
        <v>4963</v>
      </c>
      <c r="G183" t="s">
        <v>4962</v>
      </c>
      <c r="H183">
        <v>12</v>
      </c>
      <c r="I183">
        <v>133</v>
      </c>
      <c r="J183">
        <v>139</v>
      </c>
      <c r="K183" s="346" t="str" cm="1">
        <f t="array" ref="K183">myRGB(H183,I183,J183)</f>
        <v/>
      </c>
    </row>
    <row r="184" spans="1:11" x14ac:dyDescent="0.2">
      <c r="A184">
        <v>219</v>
      </c>
      <c r="B184">
        <v>312782628</v>
      </c>
      <c r="C184">
        <v>8</v>
      </c>
      <c r="D184" t="s">
        <v>7435</v>
      </c>
      <c r="E184">
        <v>312782652</v>
      </c>
      <c r="F184" t="s">
        <v>4965</v>
      </c>
      <c r="G184" t="s">
        <v>4964</v>
      </c>
      <c r="H184">
        <v>12</v>
      </c>
      <c r="I184">
        <v>132</v>
      </c>
      <c r="J184">
        <v>140</v>
      </c>
      <c r="K184" s="320" t="str" cm="1">
        <f t="array" ref="K184">myRGB(H184,I184,J184)</f>
        <v/>
      </c>
    </row>
    <row r="185" spans="1:11" x14ac:dyDescent="0.2">
      <c r="A185">
        <v>220</v>
      </c>
      <c r="B185">
        <v>315</v>
      </c>
      <c r="C185">
        <v>6</v>
      </c>
      <c r="D185" t="s">
        <v>7436</v>
      </c>
      <c r="E185">
        <v>31</v>
      </c>
      <c r="F185" t="s">
        <v>4967</v>
      </c>
      <c r="G185" t="s">
        <v>4966</v>
      </c>
      <c r="H185">
        <v>64</v>
      </c>
      <c r="I185">
        <v>166</v>
      </c>
      <c r="J185">
        <v>102</v>
      </c>
      <c r="K185" s="360" t="str" cm="1">
        <f t="array" ref="K185">myRGB(H185,I185,J185)</f>
        <v/>
      </c>
    </row>
    <row r="186" spans="1:11" x14ac:dyDescent="0.2">
      <c r="A186">
        <v>226</v>
      </c>
      <c r="B186">
        <v>31</v>
      </c>
      <c r="C186">
        <v>7</v>
      </c>
      <c r="D186" t="s">
        <v>7437</v>
      </c>
      <c r="E186">
        <v>39</v>
      </c>
      <c r="F186" t="s">
        <v>4977</v>
      </c>
      <c r="G186" t="s">
        <v>4976</v>
      </c>
      <c r="H186">
        <v>64</v>
      </c>
      <c r="I186">
        <v>166</v>
      </c>
      <c r="J186">
        <v>101</v>
      </c>
      <c r="K186" s="273" t="str" cm="1">
        <f t="array" ref="K186">myRGB(H186,I186,J186)</f>
        <v/>
      </c>
    </row>
    <row r="187" spans="1:11" x14ac:dyDescent="0.2">
      <c r="A187">
        <v>227</v>
      </c>
      <c r="B187">
        <v>39</v>
      </c>
      <c r="C187">
        <v>8</v>
      </c>
      <c r="D187" t="s">
        <v>7438</v>
      </c>
      <c r="E187">
        <v>935</v>
      </c>
      <c r="F187" t="s">
        <v>4979</v>
      </c>
      <c r="G187" t="s">
        <v>4978</v>
      </c>
      <c r="H187">
        <v>62</v>
      </c>
      <c r="I187">
        <v>166</v>
      </c>
      <c r="J187">
        <v>101</v>
      </c>
      <c r="K187" s="359" t="str" cm="1">
        <f t="array" ref="K187">myRGB(H187,I187,J187)</f>
        <v/>
      </c>
    </row>
    <row r="188" spans="1:11" x14ac:dyDescent="0.2">
      <c r="A188">
        <v>228</v>
      </c>
      <c r="B188">
        <v>39</v>
      </c>
      <c r="C188">
        <v>8</v>
      </c>
      <c r="D188" t="s">
        <v>7439</v>
      </c>
      <c r="E188">
        <v>211</v>
      </c>
      <c r="F188" t="s">
        <v>7205</v>
      </c>
      <c r="G188" t="s">
        <v>7144</v>
      </c>
      <c r="H188">
        <v>64</v>
      </c>
      <c r="I188">
        <v>165</v>
      </c>
      <c r="J188">
        <v>101</v>
      </c>
      <c r="K188" s="222" t="str" cm="1">
        <f t="array" ref="K188">myRGB(H188,I188,J188)</f>
        <v/>
      </c>
    </row>
    <row r="189" spans="1:11" x14ac:dyDescent="0.2">
      <c r="A189">
        <v>229</v>
      </c>
      <c r="B189">
        <v>39</v>
      </c>
      <c r="C189">
        <v>8</v>
      </c>
      <c r="D189" t="s">
        <v>7440</v>
      </c>
      <c r="E189">
        <v>1015</v>
      </c>
      <c r="F189" t="s">
        <v>4981</v>
      </c>
      <c r="G189" t="s">
        <v>4980</v>
      </c>
      <c r="H189">
        <v>62</v>
      </c>
      <c r="I189">
        <v>165</v>
      </c>
      <c r="J189">
        <v>102</v>
      </c>
      <c r="K189" s="262" t="str" cm="1">
        <f t="array" ref="K189">myRGB(H189,I189,J189)</f>
        <v/>
      </c>
    </row>
    <row r="190" spans="1:11" x14ac:dyDescent="0.2">
      <c r="A190">
        <v>230</v>
      </c>
      <c r="B190">
        <v>39</v>
      </c>
      <c r="C190">
        <v>8</v>
      </c>
      <c r="D190" t="s">
        <v>7441</v>
      </c>
      <c r="E190">
        <v>919</v>
      </c>
      <c r="F190" t="s">
        <v>4983</v>
      </c>
      <c r="G190" t="s">
        <v>4982</v>
      </c>
      <c r="H190">
        <v>63</v>
      </c>
      <c r="I190">
        <v>166</v>
      </c>
      <c r="J190">
        <v>100</v>
      </c>
      <c r="K190" s="196" t="str" cm="1">
        <f t="array" ref="K190">myRGB(H190,I190,J190)</f>
        <v/>
      </c>
    </row>
    <row r="191" spans="1:11" x14ac:dyDescent="0.2">
      <c r="A191">
        <v>231</v>
      </c>
      <c r="B191">
        <v>39</v>
      </c>
      <c r="C191">
        <v>8</v>
      </c>
      <c r="D191" t="s">
        <v>7442</v>
      </c>
      <c r="E191">
        <v>927</v>
      </c>
      <c r="F191" t="s">
        <v>4985</v>
      </c>
      <c r="G191" t="s">
        <v>4984</v>
      </c>
      <c r="H191">
        <v>63</v>
      </c>
      <c r="I191">
        <v>164</v>
      </c>
      <c r="J191">
        <v>102</v>
      </c>
      <c r="K191" s="137" t="str" cm="1">
        <f t="array" ref="K191">myRGB(H191,I191,J191)</f>
        <v/>
      </c>
    </row>
    <row r="192" spans="1:11" x14ac:dyDescent="0.2">
      <c r="A192">
        <v>232</v>
      </c>
      <c r="B192">
        <v>31</v>
      </c>
      <c r="C192">
        <v>7</v>
      </c>
      <c r="D192" t="s">
        <v>7443</v>
      </c>
      <c r="E192">
        <v>48</v>
      </c>
      <c r="F192" t="s">
        <v>4987</v>
      </c>
      <c r="G192" t="s">
        <v>4986</v>
      </c>
      <c r="H192">
        <v>64</v>
      </c>
      <c r="I192">
        <v>165</v>
      </c>
      <c r="J192">
        <v>102</v>
      </c>
      <c r="K192" s="333" t="str" cm="1">
        <f t="array" ref="K192">myRGB(H192,I192,J192)</f>
        <v/>
      </c>
    </row>
    <row r="193" spans="1:11" x14ac:dyDescent="0.2">
      <c r="A193">
        <v>233</v>
      </c>
      <c r="B193">
        <v>48</v>
      </c>
      <c r="C193">
        <v>8</v>
      </c>
      <c r="D193" t="s">
        <v>7444</v>
      </c>
      <c r="E193">
        <v>588</v>
      </c>
      <c r="F193" t="s">
        <v>4989</v>
      </c>
      <c r="G193" t="s">
        <v>4988</v>
      </c>
      <c r="H193">
        <v>64</v>
      </c>
      <c r="I193">
        <v>166</v>
      </c>
      <c r="J193">
        <v>100</v>
      </c>
      <c r="K193" s="221" t="str" cm="1">
        <f t="array" ref="K193">myRGB(H193,I193,J193)</f>
        <v/>
      </c>
    </row>
    <row r="194" spans="1:11" x14ac:dyDescent="0.2">
      <c r="A194">
        <v>234</v>
      </c>
      <c r="B194">
        <v>48</v>
      </c>
      <c r="C194">
        <v>8</v>
      </c>
      <c r="D194" t="s">
        <v>7445</v>
      </c>
      <c r="E194">
        <v>296</v>
      </c>
      <c r="F194" t="s">
        <v>7206</v>
      </c>
      <c r="G194" t="s">
        <v>7145</v>
      </c>
      <c r="H194">
        <v>63</v>
      </c>
      <c r="I194">
        <v>165</v>
      </c>
      <c r="J194">
        <v>102</v>
      </c>
      <c r="K194" s="272" t="str" cm="1">
        <f t="array" ref="K194">myRGB(H194,I194,J194)</f>
        <v/>
      </c>
    </row>
    <row r="195" spans="1:11" x14ac:dyDescent="0.2">
      <c r="A195">
        <v>235</v>
      </c>
      <c r="B195">
        <v>48</v>
      </c>
      <c r="C195">
        <v>8</v>
      </c>
      <c r="D195" t="s">
        <v>7446</v>
      </c>
      <c r="E195">
        <v>772</v>
      </c>
      <c r="F195" t="s">
        <v>4991</v>
      </c>
      <c r="G195" t="s">
        <v>4990</v>
      </c>
      <c r="H195">
        <v>62</v>
      </c>
      <c r="I195">
        <v>166</v>
      </c>
      <c r="J195">
        <v>102</v>
      </c>
      <c r="K195" s="195" t="str" cm="1">
        <f t="array" ref="K195">myRGB(H195,I195,J195)</f>
        <v/>
      </c>
    </row>
    <row r="196" spans="1:11" x14ac:dyDescent="0.2">
      <c r="A196">
        <v>236</v>
      </c>
      <c r="B196">
        <v>48</v>
      </c>
      <c r="C196">
        <v>8</v>
      </c>
      <c r="D196" t="s">
        <v>7447</v>
      </c>
      <c r="E196">
        <v>810</v>
      </c>
      <c r="F196" t="s">
        <v>4993</v>
      </c>
      <c r="G196" t="s">
        <v>4992</v>
      </c>
      <c r="H196">
        <v>64</v>
      </c>
      <c r="I196">
        <v>165</v>
      </c>
      <c r="J196">
        <v>100</v>
      </c>
      <c r="K196" s="147" t="str" cm="1">
        <f t="array" ref="K196">myRGB(H196,I196,J196)</f>
        <v/>
      </c>
    </row>
    <row r="197" spans="1:11" x14ac:dyDescent="0.2">
      <c r="A197">
        <v>237</v>
      </c>
      <c r="B197">
        <v>48</v>
      </c>
      <c r="C197">
        <v>8</v>
      </c>
      <c r="D197" t="s">
        <v>7448</v>
      </c>
      <c r="E197">
        <v>819</v>
      </c>
      <c r="F197" t="s">
        <v>4995</v>
      </c>
      <c r="G197" t="s">
        <v>4994</v>
      </c>
      <c r="H197">
        <v>64</v>
      </c>
      <c r="I197">
        <v>164</v>
      </c>
      <c r="J197">
        <v>101</v>
      </c>
      <c r="K197" s="136" t="str" cm="1">
        <f t="array" ref="K197">myRGB(H197,I197,J197)</f>
        <v/>
      </c>
    </row>
    <row r="198" spans="1:11" x14ac:dyDescent="0.2">
      <c r="A198">
        <v>238</v>
      </c>
      <c r="B198">
        <v>315</v>
      </c>
      <c r="C198">
        <v>6</v>
      </c>
      <c r="D198" t="s">
        <v>7449</v>
      </c>
      <c r="E198">
        <v>972</v>
      </c>
      <c r="F198" t="s">
        <v>4997</v>
      </c>
      <c r="G198" t="s">
        <v>4996</v>
      </c>
      <c r="H198">
        <v>46</v>
      </c>
      <c r="I198">
        <v>167</v>
      </c>
      <c r="J198">
        <v>80</v>
      </c>
      <c r="K198" s="76" t="str" cm="1">
        <f t="array" ref="K198">myRGB(H198,I198,J198)</f>
        <v/>
      </c>
    </row>
    <row r="199" spans="1:11" x14ac:dyDescent="0.2">
      <c r="A199">
        <v>239</v>
      </c>
      <c r="B199">
        <v>972</v>
      </c>
      <c r="C199">
        <v>7</v>
      </c>
      <c r="D199" t="s">
        <v>7450</v>
      </c>
      <c r="E199">
        <v>171</v>
      </c>
      <c r="F199" t="s">
        <v>4999</v>
      </c>
      <c r="G199" t="s">
        <v>4998</v>
      </c>
      <c r="H199">
        <v>47</v>
      </c>
      <c r="I199">
        <v>167</v>
      </c>
      <c r="J199">
        <v>80</v>
      </c>
      <c r="K199" s="173" t="str" cm="1">
        <f t="array" ref="K199">myRGB(H199,I199,J199)</f>
        <v/>
      </c>
    </row>
    <row r="200" spans="1:11" x14ac:dyDescent="0.2">
      <c r="A200">
        <v>241</v>
      </c>
      <c r="B200">
        <v>972</v>
      </c>
      <c r="C200">
        <v>7</v>
      </c>
      <c r="D200" t="s">
        <v>7451</v>
      </c>
      <c r="E200">
        <v>304</v>
      </c>
      <c r="F200" t="s">
        <v>7207</v>
      </c>
      <c r="G200" t="s">
        <v>7146</v>
      </c>
      <c r="H200">
        <v>47</v>
      </c>
      <c r="I200">
        <v>167</v>
      </c>
      <c r="J200">
        <v>79</v>
      </c>
      <c r="K200" s="98" t="str" cm="1">
        <f t="array" ref="K200">myRGB(H200,I200,J200)</f>
        <v/>
      </c>
    </row>
    <row r="201" spans="1:11" x14ac:dyDescent="0.2">
      <c r="A201">
        <v>242</v>
      </c>
      <c r="B201">
        <v>972</v>
      </c>
      <c r="C201">
        <v>7</v>
      </c>
      <c r="D201" t="s">
        <v>7452</v>
      </c>
      <c r="E201">
        <v>363</v>
      </c>
      <c r="F201" t="s">
        <v>5003</v>
      </c>
      <c r="G201" t="s">
        <v>5002</v>
      </c>
      <c r="H201">
        <v>46</v>
      </c>
      <c r="I201">
        <v>168</v>
      </c>
      <c r="J201">
        <v>79</v>
      </c>
      <c r="K201" s="75" t="str" cm="1">
        <f t="array" ref="K201">myRGB(H201,I201,J201)</f>
        <v/>
      </c>
    </row>
    <row r="202" spans="1:11" x14ac:dyDescent="0.2">
      <c r="A202">
        <v>243</v>
      </c>
      <c r="B202">
        <v>972</v>
      </c>
      <c r="C202">
        <v>7</v>
      </c>
      <c r="D202" t="s">
        <v>7453</v>
      </c>
      <c r="E202">
        <v>84</v>
      </c>
      <c r="F202" t="s">
        <v>5005</v>
      </c>
      <c r="G202" t="s">
        <v>5004</v>
      </c>
      <c r="H202">
        <v>47</v>
      </c>
      <c r="I202">
        <v>168</v>
      </c>
      <c r="J202">
        <v>80</v>
      </c>
      <c r="K202" s="21" t="str" cm="1">
        <f t="array" ref="K202">myRGB(H202,I202,J202)</f>
        <v/>
      </c>
    </row>
    <row r="203" spans="1:11" x14ac:dyDescent="0.2">
      <c r="A203">
        <v>244</v>
      </c>
      <c r="B203">
        <v>972</v>
      </c>
      <c r="C203">
        <v>7</v>
      </c>
      <c r="D203" t="s">
        <v>7454</v>
      </c>
      <c r="E203">
        <v>132</v>
      </c>
      <c r="F203" t="s">
        <v>5007</v>
      </c>
      <c r="G203" t="s">
        <v>5006</v>
      </c>
      <c r="H203">
        <v>47</v>
      </c>
      <c r="I203">
        <v>168</v>
      </c>
      <c r="J203">
        <v>79</v>
      </c>
      <c r="K203" s="22" t="str" cm="1">
        <f t="array" ref="K203">myRGB(H203,I203,J203)</f>
        <v/>
      </c>
    </row>
    <row r="204" spans="1:11" x14ac:dyDescent="0.2">
      <c r="A204">
        <v>245</v>
      </c>
      <c r="B204">
        <v>315</v>
      </c>
      <c r="C204">
        <v>6</v>
      </c>
      <c r="D204" t="s">
        <v>7455</v>
      </c>
      <c r="E204">
        <v>44</v>
      </c>
      <c r="F204" t="s">
        <v>5009</v>
      </c>
      <c r="G204" t="s">
        <v>5008</v>
      </c>
      <c r="H204">
        <v>89</v>
      </c>
      <c r="I204">
        <v>179</v>
      </c>
      <c r="J204">
        <v>99</v>
      </c>
      <c r="K204" s="332" t="str" cm="1">
        <f t="array" ref="K204">myRGB(H204,I204,J204)</f>
        <v/>
      </c>
    </row>
    <row r="205" spans="1:11" x14ac:dyDescent="0.2">
      <c r="A205">
        <v>246</v>
      </c>
      <c r="B205">
        <v>44</v>
      </c>
      <c r="C205">
        <v>7</v>
      </c>
      <c r="D205" t="s">
        <v>7456</v>
      </c>
      <c r="E205">
        <v>707</v>
      </c>
      <c r="F205" t="s">
        <v>5011</v>
      </c>
      <c r="G205" t="s">
        <v>5010</v>
      </c>
      <c r="H205">
        <v>89</v>
      </c>
      <c r="I205">
        <v>178</v>
      </c>
      <c r="J205">
        <v>99</v>
      </c>
      <c r="K205" s="146" t="str" cm="1">
        <f t="array" ref="K205">myRGB(H205,I205,J205)</f>
        <v/>
      </c>
    </row>
    <row r="206" spans="1:11" x14ac:dyDescent="0.2">
      <c r="A206">
        <v>248</v>
      </c>
      <c r="B206">
        <v>44</v>
      </c>
      <c r="C206">
        <v>7</v>
      </c>
      <c r="D206" t="s">
        <v>7457</v>
      </c>
      <c r="E206">
        <v>556</v>
      </c>
      <c r="F206" t="s">
        <v>7208</v>
      </c>
      <c r="G206" t="s">
        <v>7147</v>
      </c>
      <c r="H206">
        <v>89</v>
      </c>
      <c r="I206">
        <v>179</v>
      </c>
      <c r="J206">
        <v>98</v>
      </c>
      <c r="K206" s="220" t="str" cm="1">
        <f t="array" ref="K206">myRGB(H206,I206,J206)</f>
        <v/>
      </c>
    </row>
    <row r="207" spans="1:11" x14ac:dyDescent="0.2">
      <c r="A207">
        <v>249</v>
      </c>
      <c r="B207">
        <v>44</v>
      </c>
      <c r="C207">
        <v>7</v>
      </c>
      <c r="D207" t="s">
        <v>7458</v>
      </c>
      <c r="E207">
        <v>827</v>
      </c>
      <c r="F207" t="s">
        <v>5015</v>
      </c>
      <c r="G207" t="s">
        <v>5014</v>
      </c>
      <c r="H207">
        <v>89</v>
      </c>
      <c r="I207">
        <v>178</v>
      </c>
      <c r="J207">
        <v>98</v>
      </c>
      <c r="K207" s="135" t="str" cm="1">
        <f t="array" ref="K207">myRGB(H207,I207,J207)</f>
        <v/>
      </c>
    </row>
    <row r="208" spans="1:11" x14ac:dyDescent="0.2">
      <c r="A208">
        <v>250</v>
      </c>
      <c r="B208">
        <v>44</v>
      </c>
      <c r="C208">
        <v>7</v>
      </c>
      <c r="D208" t="s">
        <v>7459</v>
      </c>
      <c r="E208">
        <v>1054</v>
      </c>
      <c r="F208" t="s">
        <v>5017</v>
      </c>
      <c r="G208" t="s">
        <v>5016</v>
      </c>
      <c r="H208">
        <v>88</v>
      </c>
      <c r="I208">
        <v>179</v>
      </c>
      <c r="J208">
        <v>98</v>
      </c>
      <c r="K208" s="271" t="str" cm="1">
        <f t="array" ref="K208">myRGB(H208,I208,J208)</f>
        <v/>
      </c>
    </row>
    <row r="209" spans="1:11" x14ac:dyDescent="0.2">
      <c r="A209">
        <v>251</v>
      </c>
      <c r="B209">
        <v>44</v>
      </c>
      <c r="C209">
        <v>7</v>
      </c>
      <c r="D209" t="s">
        <v>7460</v>
      </c>
      <c r="E209">
        <v>1081</v>
      </c>
      <c r="F209" t="s">
        <v>5019</v>
      </c>
      <c r="G209" t="s">
        <v>5018</v>
      </c>
      <c r="H209">
        <v>88</v>
      </c>
      <c r="I209">
        <v>178</v>
      </c>
      <c r="J209">
        <v>99</v>
      </c>
      <c r="K209" s="261" t="str" cm="1">
        <f t="array" ref="K209">myRGB(H209,I209,J209)</f>
        <v/>
      </c>
    </row>
    <row r="210" spans="1:11" x14ac:dyDescent="0.2">
      <c r="A210">
        <v>252</v>
      </c>
      <c r="B210">
        <v>315</v>
      </c>
      <c r="C210">
        <v>6</v>
      </c>
      <c r="D210" t="s">
        <v>7461</v>
      </c>
      <c r="E210">
        <v>714</v>
      </c>
      <c r="F210" t="s">
        <v>5021</v>
      </c>
      <c r="G210" t="s">
        <v>5020</v>
      </c>
      <c r="H210">
        <v>35</v>
      </c>
      <c r="I210">
        <v>137</v>
      </c>
      <c r="J210">
        <v>92</v>
      </c>
      <c r="K210" s="242" t="str" cm="1">
        <f t="array" ref="K210">myRGB(H210,I210,J210)</f>
        <v/>
      </c>
    </row>
    <row r="211" spans="1:11" x14ac:dyDescent="0.2">
      <c r="A211">
        <v>258</v>
      </c>
      <c r="B211">
        <v>714</v>
      </c>
      <c r="C211">
        <v>7</v>
      </c>
      <c r="D211" t="s">
        <v>7462</v>
      </c>
      <c r="E211">
        <v>723</v>
      </c>
      <c r="F211" t="s">
        <v>5031</v>
      </c>
      <c r="G211" t="s">
        <v>5030</v>
      </c>
      <c r="H211">
        <v>35</v>
      </c>
      <c r="I211">
        <v>136</v>
      </c>
      <c r="J211">
        <v>93</v>
      </c>
      <c r="K211" s="111" t="str" cm="1">
        <f t="array" ref="K211">myRGB(H211,I211,J211)</f>
        <v/>
      </c>
    </row>
    <row r="212" spans="1:11" x14ac:dyDescent="0.2">
      <c r="A212">
        <v>259</v>
      </c>
      <c r="B212">
        <v>723</v>
      </c>
      <c r="C212">
        <v>8</v>
      </c>
      <c r="D212" t="s">
        <v>7463</v>
      </c>
      <c r="E212">
        <v>448</v>
      </c>
      <c r="F212" t="s">
        <v>5033</v>
      </c>
      <c r="G212" t="s">
        <v>5032</v>
      </c>
      <c r="H212">
        <v>35</v>
      </c>
      <c r="I212">
        <v>138</v>
      </c>
      <c r="J212">
        <v>93</v>
      </c>
      <c r="K212" s="176" t="str" cm="1">
        <f t="array" ref="K212">myRGB(H212,I212,J212)</f>
        <v/>
      </c>
    </row>
    <row r="213" spans="1:11" x14ac:dyDescent="0.2">
      <c r="A213">
        <v>260</v>
      </c>
      <c r="B213">
        <v>723</v>
      </c>
      <c r="C213">
        <v>8</v>
      </c>
      <c r="D213" t="s">
        <v>7464</v>
      </c>
      <c r="E213">
        <v>412</v>
      </c>
      <c r="F213" t="s">
        <v>7210</v>
      </c>
      <c r="G213" t="s">
        <v>7149</v>
      </c>
      <c r="H213">
        <v>35</v>
      </c>
      <c r="I213">
        <v>138</v>
      </c>
      <c r="J213">
        <v>94</v>
      </c>
      <c r="K213" s="88" t="str" cm="1">
        <f t="array" ref="K213">myRGB(H213,I213,J213)</f>
        <v/>
      </c>
    </row>
    <row r="214" spans="1:11" x14ac:dyDescent="0.2">
      <c r="A214">
        <v>261</v>
      </c>
      <c r="B214">
        <v>723</v>
      </c>
      <c r="C214">
        <v>8</v>
      </c>
      <c r="D214" t="s">
        <v>7465</v>
      </c>
      <c r="E214">
        <v>630</v>
      </c>
      <c r="F214" t="s">
        <v>5035</v>
      </c>
      <c r="G214" t="s">
        <v>5034</v>
      </c>
      <c r="H214">
        <v>34</v>
      </c>
      <c r="I214">
        <v>138</v>
      </c>
      <c r="J214">
        <v>93</v>
      </c>
      <c r="K214" s="87" t="str" cm="1">
        <f t="array" ref="K214">myRGB(H214,I214,J214)</f>
        <v/>
      </c>
    </row>
    <row r="215" spans="1:11" x14ac:dyDescent="0.2">
      <c r="A215">
        <v>262</v>
      </c>
      <c r="B215">
        <v>723</v>
      </c>
      <c r="C215">
        <v>8</v>
      </c>
      <c r="D215" t="s">
        <v>7466</v>
      </c>
      <c r="E215">
        <v>440</v>
      </c>
      <c r="F215" t="s">
        <v>5037</v>
      </c>
      <c r="G215" t="s">
        <v>5036</v>
      </c>
      <c r="H215">
        <v>36</v>
      </c>
      <c r="I215">
        <v>137</v>
      </c>
      <c r="J215">
        <v>93</v>
      </c>
      <c r="K215" s="34" t="str" cm="1">
        <f t="array" ref="K215">myRGB(H215,I215,J215)</f>
        <v/>
      </c>
    </row>
    <row r="216" spans="1:11" x14ac:dyDescent="0.2">
      <c r="A216">
        <v>263</v>
      </c>
      <c r="B216">
        <v>723</v>
      </c>
      <c r="C216">
        <v>8</v>
      </c>
      <c r="D216" t="s">
        <v>7467</v>
      </c>
      <c r="E216">
        <v>488</v>
      </c>
      <c r="F216" t="s">
        <v>5039</v>
      </c>
      <c r="G216" t="s">
        <v>5038</v>
      </c>
      <c r="H216">
        <v>36</v>
      </c>
      <c r="I216">
        <v>138</v>
      </c>
      <c r="J216">
        <v>92</v>
      </c>
      <c r="K216" s="110" t="str" cm="1">
        <f t="array" ref="K216">myRGB(H216,I216,J216)</f>
        <v/>
      </c>
    </row>
    <row r="217" spans="1:11" x14ac:dyDescent="0.2">
      <c r="A217">
        <v>264</v>
      </c>
      <c r="B217">
        <v>714</v>
      </c>
      <c r="C217">
        <v>7</v>
      </c>
      <c r="D217" t="s">
        <v>7468</v>
      </c>
      <c r="E217">
        <v>731</v>
      </c>
      <c r="F217" t="s">
        <v>5041</v>
      </c>
      <c r="G217" t="s">
        <v>5040</v>
      </c>
      <c r="H217">
        <v>34</v>
      </c>
      <c r="I217">
        <v>137</v>
      </c>
      <c r="J217">
        <v>93</v>
      </c>
      <c r="K217" s="33" t="str" cm="1">
        <f t="array" ref="K217">myRGB(H217,I217,J217)</f>
        <v/>
      </c>
    </row>
    <row r="218" spans="1:11" x14ac:dyDescent="0.2">
      <c r="A218">
        <v>265</v>
      </c>
      <c r="B218">
        <v>731</v>
      </c>
      <c r="C218">
        <v>8</v>
      </c>
      <c r="D218" t="s">
        <v>7469</v>
      </c>
      <c r="E218">
        <v>484</v>
      </c>
      <c r="F218" t="s">
        <v>5043</v>
      </c>
      <c r="G218" t="s">
        <v>5042</v>
      </c>
      <c r="H218">
        <v>35</v>
      </c>
      <c r="I218">
        <v>137</v>
      </c>
      <c r="J218">
        <v>93</v>
      </c>
      <c r="K218" s="117" t="str" cm="1">
        <f t="array" ref="K218">myRGB(H218,I218,J218)</f>
        <v/>
      </c>
    </row>
    <row r="219" spans="1:11" x14ac:dyDescent="0.2">
      <c r="A219">
        <v>267</v>
      </c>
      <c r="B219">
        <v>731</v>
      </c>
      <c r="C219">
        <v>8</v>
      </c>
      <c r="D219" t="s">
        <v>7470</v>
      </c>
      <c r="E219">
        <v>582</v>
      </c>
      <c r="F219" t="s">
        <v>7211</v>
      </c>
      <c r="G219" t="s">
        <v>7150</v>
      </c>
      <c r="H219">
        <v>36</v>
      </c>
      <c r="I219">
        <v>136</v>
      </c>
      <c r="J219">
        <v>93</v>
      </c>
      <c r="K219" s="86" t="str" cm="1">
        <f t="array" ref="K219">myRGB(H219,I219,J219)</f>
        <v/>
      </c>
    </row>
    <row r="220" spans="1:11" x14ac:dyDescent="0.2">
      <c r="A220">
        <v>268</v>
      </c>
      <c r="B220">
        <v>731</v>
      </c>
      <c r="C220">
        <v>8</v>
      </c>
      <c r="D220" t="s">
        <v>7471</v>
      </c>
      <c r="E220">
        <v>620</v>
      </c>
      <c r="F220" t="s">
        <v>5047</v>
      </c>
      <c r="G220" t="s">
        <v>5046</v>
      </c>
      <c r="H220">
        <v>35</v>
      </c>
      <c r="I220">
        <v>136</v>
      </c>
      <c r="J220">
        <v>94</v>
      </c>
      <c r="K220" s="32" t="str" cm="1">
        <f t="array" ref="K220">myRGB(H220,I220,J220)</f>
        <v/>
      </c>
    </row>
    <row r="221" spans="1:11" x14ac:dyDescent="0.2">
      <c r="A221">
        <v>269</v>
      </c>
      <c r="B221">
        <v>731</v>
      </c>
      <c r="C221">
        <v>8</v>
      </c>
      <c r="D221" t="s">
        <v>7472</v>
      </c>
      <c r="E221">
        <v>910</v>
      </c>
      <c r="F221" t="s">
        <v>5049</v>
      </c>
      <c r="G221" t="s">
        <v>5048</v>
      </c>
      <c r="H221">
        <v>34</v>
      </c>
      <c r="I221">
        <v>136</v>
      </c>
      <c r="J221">
        <v>94</v>
      </c>
      <c r="K221" s="313" t="str" cm="1">
        <f t="array" ref="K221">myRGB(H221,I221,J221)</f>
        <v/>
      </c>
    </row>
    <row r="222" spans="1:11" x14ac:dyDescent="0.2">
      <c r="A222">
        <v>270</v>
      </c>
      <c r="B222">
        <v>731</v>
      </c>
      <c r="C222">
        <v>8</v>
      </c>
      <c r="D222" t="s">
        <v>7473</v>
      </c>
      <c r="E222">
        <v>527696977</v>
      </c>
      <c r="F222" t="s">
        <v>5051</v>
      </c>
      <c r="G222" t="s">
        <v>5050</v>
      </c>
      <c r="H222">
        <v>36</v>
      </c>
      <c r="I222">
        <v>135</v>
      </c>
      <c r="J222">
        <v>94</v>
      </c>
      <c r="K222" s="109" t="str" cm="1">
        <f t="array" ref="K222">myRGB(H222,I222,J222)</f>
        <v/>
      </c>
    </row>
    <row r="223" spans="1:11" x14ac:dyDescent="0.2">
      <c r="A223">
        <v>272</v>
      </c>
      <c r="B223">
        <v>714</v>
      </c>
      <c r="C223">
        <v>7</v>
      </c>
      <c r="D223" t="s">
        <v>7474</v>
      </c>
      <c r="E223">
        <v>746</v>
      </c>
      <c r="F223" t="s">
        <v>5055</v>
      </c>
      <c r="G223" t="s">
        <v>5054</v>
      </c>
      <c r="H223">
        <v>34</v>
      </c>
      <c r="I223">
        <v>138</v>
      </c>
      <c r="J223">
        <v>92</v>
      </c>
      <c r="K223" s="108" t="str" cm="1">
        <f t="array" ref="K223">myRGB(H223,I223,J223)</f>
        <v/>
      </c>
    </row>
    <row r="224" spans="1:11" x14ac:dyDescent="0.2">
      <c r="A224">
        <v>273</v>
      </c>
      <c r="B224">
        <v>746</v>
      </c>
      <c r="C224">
        <v>8</v>
      </c>
      <c r="D224" t="s">
        <v>7475</v>
      </c>
      <c r="E224">
        <v>969</v>
      </c>
      <c r="F224" t="s">
        <v>5057</v>
      </c>
      <c r="G224" t="s">
        <v>5056</v>
      </c>
      <c r="H224">
        <v>36</v>
      </c>
      <c r="I224">
        <v>138</v>
      </c>
      <c r="J224">
        <v>91</v>
      </c>
      <c r="K224" s="84" t="str" cm="1">
        <f t="array" ref="K224">myRGB(H224,I224,J224)</f>
        <v/>
      </c>
    </row>
    <row r="225" spans="1:11" x14ac:dyDescent="0.2">
      <c r="A225">
        <v>274</v>
      </c>
      <c r="B225">
        <v>746</v>
      </c>
      <c r="C225">
        <v>8</v>
      </c>
      <c r="D225" t="s">
        <v>7476</v>
      </c>
      <c r="E225">
        <v>288</v>
      </c>
      <c r="F225" t="s">
        <v>7212</v>
      </c>
      <c r="G225" t="s">
        <v>7151</v>
      </c>
      <c r="H225">
        <v>36</v>
      </c>
      <c r="I225">
        <v>138</v>
      </c>
      <c r="J225">
        <v>93</v>
      </c>
      <c r="K225" s="31" t="str" cm="1">
        <f t="array" ref="K225">myRGB(H225,I225,J225)</f>
        <v/>
      </c>
    </row>
    <row r="226" spans="1:11" x14ac:dyDescent="0.2">
      <c r="A226">
        <v>275</v>
      </c>
      <c r="B226">
        <v>746</v>
      </c>
      <c r="C226">
        <v>8</v>
      </c>
      <c r="D226" t="s">
        <v>7477</v>
      </c>
      <c r="E226">
        <v>1125</v>
      </c>
      <c r="F226" t="s">
        <v>5059</v>
      </c>
      <c r="G226" t="s">
        <v>5058</v>
      </c>
      <c r="H226">
        <v>35</v>
      </c>
      <c r="I226">
        <v>136</v>
      </c>
      <c r="J226">
        <v>92</v>
      </c>
      <c r="K226" s="85" t="str" cm="1">
        <f t="array" ref="K226">myRGB(H226,I226,J226)</f>
        <v/>
      </c>
    </row>
    <row r="227" spans="1:11" x14ac:dyDescent="0.2">
      <c r="A227">
        <v>276</v>
      </c>
      <c r="B227">
        <v>746</v>
      </c>
      <c r="C227">
        <v>8</v>
      </c>
      <c r="D227" t="s">
        <v>7478</v>
      </c>
      <c r="E227">
        <v>608</v>
      </c>
      <c r="F227" t="s">
        <v>5061</v>
      </c>
      <c r="G227" t="s">
        <v>5060</v>
      </c>
      <c r="H227">
        <v>35</v>
      </c>
      <c r="I227">
        <v>138</v>
      </c>
      <c r="J227">
        <v>92</v>
      </c>
      <c r="K227" s="241" t="str" cm="1">
        <f t="array" ref="K227">myRGB(H227,I227,J227)</f>
        <v/>
      </c>
    </row>
    <row r="228" spans="1:11" x14ac:dyDescent="0.2">
      <c r="A228">
        <v>277</v>
      </c>
      <c r="B228">
        <v>746</v>
      </c>
      <c r="C228">
        <v>8</v>
      </c>
      <c r="D228" t="s">
        <v>7479</v>
      </c>
      <c r="E228">
        <v>680</v>
      </c>
      <c r="F228" t="s">
        <v>5063</v>
      </c>
      <c r="G228" t="s">
        <v>5062</v>
      </c>
      <c r="H228">
        <v>34</v>
      </c>
      <c r="I228">
        <v>137</v>
      </c>
      <c r="J228">
        <v>94</v>
      </c>
      <c r="K228" s="107" t="str" cm="1">
        <f t="array" ref="K228">myRGB(H228,I228,J228)</f>
        <v/>
      </c>
    </row>
    <row r="229" spans="1:11" x14ac:dyDescent="0.2">
      <c r="A229">
        <v>278</v>
      </c>
      <c r="B229">
        <v>315</v>
      </c>
      <c r="C229">
        <v>6</v>
      </c>
      <c r="D229" t="s">
        <v>7480</v>
      </c>
      <c r="E229">
        <v>95</v>
      </c>
      <c r="F229" t="s">
        <v>5065</v>
      </c>
      <c r="G229" t="s">
        <v>5064</v>
      </c>
      <c r="H229">
        <v>33</v>
      </c>
      <c r="I229">
        <v>152</v>
      </c>
      <c r="J229">
        <v>102</v>
      </c>
      <c r="K229" s="27" t="str" cm="1">
        <f t="array" ref="K229">myRGB(H229,I229,J229)</f>
        <v/>
      </c>
    </row>
    <row r="230" spans="1:11" x14ac:dyDescent="0.2">
      <c r="A230">
        <v>279</v>
      </c>
      <c r="B230">
        <v>95</v>
      </c>
      <c r="C230">
        <v>7</v>
      </c>
      <c r="D230" t="s">
        <v>7481</v>
      </c>
      <c r="E230">
        <v>104</v>
      </c>
      <c r="F230" t="s">
        <v>5067</v>
      </c>
      <c r="G230" t="s">
        <v>5066</v>
      </c>
      <c r="H230">
        <v>33</v>
      </c>
      <c r="I230">
        <v>152</v>
      </c>
      <c r="J230">
        <v>101</v>
      </c>
      <c r="K230" s="240" t="str" cm="1">
        <f t="array" ref="K230">myRGB(H230,I230,J230)</f>
        <v/>
      </c>
    </row>
    <row r="231" spans="1:11" x14ac:dyDescent="0.2">
      <c r="A231">
        <v>280</v>
      </c>
      <c r="B231">
        <v>104</v>
      </c>
      <c r="C231">
        <v>8</v>
      </c>
      <c r="D231" t="s">
        <v>7482</v>
      </c>
      <c r="E231">
        <v>996</v>
      </c>
      <c r="F231" t="s">
        <v>5069</v>
      </c>
      <c r="G231" t="s">
        <v>5068</v>
      </c>
      <c r="H231">
        <v>32</v>
      </c>
      <c r="I231">
        <v>151</v>
      </c>
      <c r="J231">
        <v>100</v>
      </c>
      <c r="K231" s="102" t="str" cm="1">
        <f t="array" ref="K231">myRGB(H231,I231,J231)</f>
        <v/>
      </c>
    </row>
    <row r="232" spans="1:11" x14ac:dyDescent="0.2">
      <c r="A232">
        <v>281</v>
      </c>
      <c r="B232">
        <v>104</v>
      </c>
      <c r="C232">
        <v>8</v>
      </c>
      <c r="D232" t="s">
        <v>7483</v>
      </c>
      <c r="E232">
        <v>328</v>
      </c>
      <c r="F232" t="s">
        <v>7213</v>
      </c>
      <c r="G232" t="s">
        <v>7152</v>
      </c>
      <c r="H232">
        <v>32</v>
      </c>
      <c r="I232">
        <v>151</v>
      </c>
      <c r="J232">
        <v>101</v>
      </c>
      <c r="K232" s="80" t="str" cm="1">
        <f t="array" ref="K232">myRGB(H232,I232,J232)</f>
        <v/>
      </c>
    </row>
    <row r="233" spans="1:11" x14ac:dyDescent="0.2">
      <c r="A233">
        <v>282</v>
      </c>
      <c r="B233">
        <v>104</v>
      </c>
      <c r="C233">
        <v>8</v>
      </c>
      <c r="D233" t="s">
        <v>7484</v>
      </c>
      <c r="E233">
        <v>1101</v>
      </c>
      <c r="F233" t="s">
        <v>5071</v>
      </c>
      <c r="G233" t="s">
        <v>5070</v>
      </c>
      <c r="H233">
        <v>32</v>
      </c>
      <c r="I233">
        <v>150</v>
      </c>
      <c r="J233">
        <v>101</v>
      </c>
      <c r="K233" s="103" t="str" cm="1">
        <f t="array" ref="K233">myRGB(H233,I233,J233)</f>
        <v/>
      </c>
    </row>
    <row r="234" spans="1:11" x14ac:dyDescent="0.2">
      <c r="A234">
        <v>283</v>
      </c>
      <c r="B234">
        <v>104</v>
      </c>
      <c r="C234">
        <v>8</v>
      </c>
      <c r="D234" t="s">
        <v>7485</v>
      </c>
      <c r="E234">
        <v>783</v>
      </c>
      <c r="F234" t="s">
        <v>5073</v>
      </c>
      <c r="G234" t="s">
        <v>5072</v>
      </c>
      <c r="H234">
        <v>32</v>
      </c>
      <c r="I234">
        <v>150</v>
      </c>
      <c r="J234">
        <v>102</v>
      </c>
      <c r="K234" s="26" t="str" cm="1">
        <f t="array" ref="K234">myRGB(H234,I234,J234)</f>
        <v/>
      </c>
    </row>
    <row r="235" spans="1:11" x14ac:dyDescent="0.2">
      <c r="A235">
        <v>284</v>
      </c>
      <c r="B235">
        <v>104</v>
      </c>
      <c r="C235">
        <v>8</v>
      </c>
      <c r="D235" t="s">
        <v>7486</v>
      </c>
      <c r="E235">
        <v>831</v>
      </c>
      <c r="F235" t="s">
        <v>5075</v>
      </c>
      <c r="G235" t="s">
        <v>5074</v>
      </c>
      <c r="H235">
        <v>31</v>
      </c>
      <c r="I235">
        <v>151</v>
      </c>
      <c r="J235">
        <v>102</v>
      </c>
      <c r="K235" s="174" t="str" cm="1">
        <f t="array" ref="K235">myRGB(H235,I235,J235)</f>
        <v/>
      </c>
    </row>
    <row r="236" spans="1:11" x14ac:dyDescent="0.2">
      <c r="A236">
        <v>285</v>
      </c>
      <c r="B236">
        <v>95</v>
      </c>
      <c r="C236">
        <v>7</v>
      </c>
      <c r="D236" t="s">
        <v>7487</v>
      </c>
      <c r="E236">
        <v>111</v>
      </c>
      <c r="F236" t="s">
        <v>5077</v>
      </c>
      <c r="G236" t="s">
        <v>5076</v>
      </c>
      <c r="H236">
        <v>33</v>
      </c>
      <c r="I236">
        <v>151</v>
      </c>
      <c r="J236">
        <v>102</v>
      </c>
      <c r="K236" s="79" t="str" cm="1">
        <f t="array" ref="K236">myRGB(H236,I236,J236)</f>
        <v/>
      </c>
    </row>
    <row r="237" spans="1:11" x14ac:dyDescent="0.2">
      <c r="A237">
        <v>286</v>
      </c>
      <c r="B237">
        <v>111</v>
      </c>
      <c r="C237">
        <v>8</v>
      </c>
      <c r="D237" t="s">
        <v>7488</v>
      </c>
      <c r="E237">
        <v>120</v>
      </c>
      <c r="F237" t="s">
        <v>5079</v>
      </c>
      <c r="G237" t="s">
        <v>5078</v>
      </c>
      <c r="H237">
        <v>33</v>
      </c>
      <c r="I237">
        <v>151</v>
      </c>
      <c r="J237">
        <v>101</v>
      </c>
      <c r="K237" s="25" t="str" cm="1">
        <f t="array" ref="K237">myRGB(H237,I237,J237)</f>
        <v/>
      </c>
    </row>
    <row r="238" spans="1:11" x14ac:dyDescent="0.2">
      <c r="A238">
        <v>287</v>
      </c>
      <c r="B238">
        <v>111</v>
      </c>
      <c r="C238">
        <v>8</v>
      </c>
      <c r="D238" t="s">
        <v>7489</v>
      </c>
      <c r="E238">
        <v>163</v>
      </c>
      <c r="F238" t="s">
        <v>7214</v>
      </c>
      <c r="G238" t="s">
        <v>7153</v>
      </c>
      <c r="H238">
        <v>32</v>
      </c>
      <c r="I238">
        <v>152</v>
      </c>
      <c r="J238">
        <v>101</v>
      </c>
      <c r="K238" s="115" t="str" cm="1">
        <f t="array" ref="K238">myRGB(H238,I238,J238)</f>
        <v/>
      </c>
    </row>
    <row r="239" spans="1:11" x14ac:dyDescent="0.2">
      <c r="A239">
        <v>288</v>
      </c>
      <c r="B239">
        <v>111</v>
      </c>
      <c r="C239">
        <v>8</v>
      </c>
      <c r="D239" t="s">
        <v>7490</v>
      </c>
      <c r="E239">
        <v>344</v>
      </c>
      <c r="F239" t="s">
        <v>5081</v>
      </c>
      <c r="G239" t="s">
        <v>5080</v>
      </c>
      <c r="H239">
        <v>33</v>
      </c>
      <c r="I239">
        <v>152</v>
      </c>
      <c r="J239">
        <v>100</v>
      </c>
      <c r="K239" s="78" t="str" cm="1">
        <f t="array" ref="K239">myRGB(H239,I239,J239)</f>
        <v/>
      </c>
    </row>
    <row r="240" spans="1:11" x14ac:dyDescent="0.2">
      <c r="A240">
        <v>289</v>
      </c>
      <c r="B240">
        <v>111</v>
      </c>
      <c r="C240">
        <v>8</v>
      </c>
      <c r="D240" t="s">
        <v>7491</v>
      </c>
      <c r="E240">
        <v>314</v>
      </c>
      <c r="F240" t="s">
        <v>5083</v>
      </c>
      <c r="G240" t="s">
        <v>5082</v>
      </c>
      <c r="H240">
        <v>32</v>
      </c>
      <c r="I240">
        <v>151</v>
      </c>
      <c r="J240">
        <v>102</v>
      </c>
      <c r="K240" s="101" t="str" cm="1">
        <f t="array" ref="K240">myRGB(H240,I240,J240)</f>
        <v/>
      </c>
    </row>
    <row r="241" spans="1:11" x14ac:dyDescent="0.2">
      <c r="A241">
        <v>290</v>
      </c>
      <c r="B241">
        <v>111</v>
      </c>
      <c r="C241">
        <v>8</v>
      </c>
      <c r="D241" t="s">
        <v>7492</v>
      </c>
      <c r="E241">
        <v>355</v>
      </c>
      <c r="F241" t="s">
        <v>5085</v>
      </c>
      <c r="G241" t="s">
        <v>5084</v>
      </c>
      <c r="H241">
        <v>33</v>
      </c>
      <c r="I241">
        <v>150</v>
      </c>
      <c r="J241">
        <v>102</v>
      </c>
      <c r="K241" s="24" t="str" cm="1">
        <f t="array" ref="K241">myRGB(H241,I241,J241)</f>
        <v/>
      </c>
    </row>
    <row r="242" spans="1:11" x14ac:dyDescent="0.2">
      <c r="A242">
        <v>291</v>
      </c>
      <c r="B242">
        <v>95</v>
      </c>
      <c r="C242">
        <v>7</v>
      </c>
      <c r="D242" t="s">
        <v>7493</v>
      </c>
      <c r="E242">
        <v>119</v>
      </c>
      <c r="F242" t="s">
        <v>5087</v>
      </c>
      <c r="G242" t="s">
        <v>5086</v>
      </c>
      <c r="H242">
        <v>32</v>
      </c>
      <c r="I242">
        <v>152</v>
      </c>
      <c r="J242">
        <v>102</v>
      </c>
      <c r="K242" s="311" t="str" cm="1">
        <f t="array" ref="K242">myRGB(H242,I242,J242)</f>
        <v/>
      </c>
    </row>
    <row r="243" spans="1:11" x14ac:dyDescent="0.2">
      <c r="A243">
        <v>292</v>
      </c>
      <c r="B243">
        <v>119</v>
      </c>
      <c r="C243">
        <v>8</v>
      </c>
      <c r="D243" t="s">
        <v>7494</v>
      </c>
      <c r="E243">
        <v>704</v>
      </c>
      <c r="F243" t="s">
        <v>5089</v>
      </c>
      <c r="G243" t="s">
        <v>5088</v>
      </c>
      <c r="H243">
        <v>32</v>
      </c>
      <c r="I243">
        <v>152</v>
      </c>
      <c r="J243">
        <v>100</v>
      </c>
      <c r="K243" s="239" t="str" cm="1">
        <f t="array" ref="K243">myRGB(H243,I243,J243)</f>
        <v/>
      </c>
    </row>
    <row r="244" spans="1:11" x14ac:dyDescent="0.2">
      <c r="A244">
        <v>293</v>
      </c>
      <c r="B244">
        <v>119</v>
      </c>
      <c r="C244">
        <v>8</v>
      </c>
      <c r="D244" t="s">
        <v>7495</v>
      </c>
      <c r="E244">
        <v>694</v>
      </c>
      <c r="F244" t="s">
        <v>7215</v>
      </c>
      <c r="G244" t="s">
        <v>7154</v>
      </c>
      <c r="H244">
        <v>33</v>
      </c>
      <c r="I244">
        <v>151</v>
      </c>
      <c r="J244">
        <v>100</v>
      </c>
      <c r="K244" s="77" t="str" cm="1">
        <f t="array" ref="K244">myRGB(H244,I244,J244)</f>
        <v/>
      </c>
    </row>
    <row r="245" spans="1:11" x14ac:dyDescent="0.2">
      <c r="A245">
        <v>294</v>
      </c>
      <c r="B245">
        <v>119</v>
      </c>
      <c r="C245">
        <v>8</v>
      </c>
      <c r="D245" t="s">
        <v>7496</v>
      </c>
      <c r="E245">
        <v>800</v>
      </c>
      <c r="F245" t="s">
        <v>5091</v>
      </c>
      <c r="G245" t="s">
        <v>5090</v>
      </c>
      <c r="H245">
        <v>31</v>
      </c>
      <c r="I245">
        <v>152</v>
      </c>
      <c r="J245">
        <v>101</v>
      </c>
      <c r="K245" s="99" t="str" cm="1">
        <f t="array" ref="K245">myRGB(H245,I245,J245)</f>
        <v/>
      </c>
    </row>
    <row r="246" spans="1:11" x14ac:dyDescent="0.2">
      <c r="A246">
        <v>295</v>
      </c>
      <c r="B246">
        <v>119</v>
      </c>
      <c r="C246">
        <v>8</v>
      </c>
      <c r="D246" t="s">
        <v>7497</v>
      </c>
      <c r="E246">
        <v>675</v>
      </c>
      <c r="F246" t="s">
        <v>5093</v>
      </c>
      <c r="G246" t="s">
        <v>5092</v>
      </c>
      <c r="H246">
        <v>31</v>
      </c>
      <c r="I246">
        <v>152</v>
      </c>
      <c r="J246">
        <v>102</v>
      </c>
      <c r="K246" s="100" t="str" cm="1">
        <f t="array" ref="K246">myRGB(H246,I246,J246)</f>
        <v/>
      </c>
    </row>
    <row r="247" spans="1:11" x14ac:dyDescent="0.2">
      <c r="A247">
        <v>296</v>
      </c>
      <c r="B247">
        <v>119</v>
      </c>
      <c r="C247">
        <v>8</v>
      </c>
      <c r="D247" t="s">
        <v>7498</v>
      </c>
      <c r="E247">
        <v>699</v>
      </c>
      <c r="F247" t="s">
        <v>5095</v>
      </c>
      <c r="G247" t="s">
        <v>5094</v>
      </c>
      <c r="H247">
        <v>33</v>
      </c>
      <c r="I247">
        <v>150</v>
      </c>
      <c r="J247">
        <v>101</v>
      </c>
      <c r="K247" s="23" t="str" cm="1">
        <f t="array" ref="K247">myRGB(H247,I247,J247)</f>
        <v/>
      </c>
    </row>
    <row r="248" spans="1:11" x14ac:dyDescent="0.2">
      <c r="A248">
        <v>297</v>
      </c>
      <c r="B248">
        <v>315</v>
      </c>
      <c r="C248">
        <v>6</v>
      </c>
      <c r="D248" t="s">
        <v>7499</v>
      </c>
      <c r="E248">
        <v>254</v>
      </c>
      <c r="F248" t="s">
        <v>5097</v>
      </c>
      <c r="G248" t="s">
        <v>5096</v>
      </c>
      <c r="H248">
        <v>26</v>
      </c>
      <c r="I248">
        <v>166</v>
      </c>
      <c r="J248">
        <v>152</v>
      </c>
      <c r="K248" s="151" t="str" cm="1">
        <f t="array" ref="K248">myRGB(H248,I248,J248)</f>
        <v/>
      </c>
    </row>
    <row r="249" spans="1:11" x14ac:dyDescent="0.2">
      <c r="A249">
        <v>298</v>
      </c>
      <c r="B249">
        <v>254</v>
      </c>
      <c r="C249">
        <v>7</v>
      </c>
      <c r="D249" t="s">
        <v>7500</v>
      </c>
      <c r="E249">
        <v>894</v>
      </c>
      <c r="F249" t="s">
        <v>5099</v>
      </c>
      <c r="G249" t="s">
        <v>5098</v>
      </c>
      <c r="H249">
        <v>27</v>
      </c>
      <c r="I249">
        <v>164</v>
      </c>
      <c r="J249">
        <v>151</v>
      </c>
      <c r="K249" s="334" t="str" cm="1">
        <f t="array" ref="K249">myRGB(H249,I249,J249)</f>
        <v/>
      </c>
    </row>
    <row r="250" spans="1:11" x14ac:dyDescent="0.2">
      <c r="A250">
        <v>299</v>
      </c>
      <c r="B250">
        <v>894</v>
      </c>
      <c r="C250">
        <v>8</v>
      </c>
      <c r="D250" t="s">
        <v>7501</v>
      </c>
      <c r="E250">
        <v>671</v>
      </c>
      <c r="F250" t="s">
        <v>5101</v>
      </c>
      <c r="G250" t="s">
        <v>5100</v>
      </c>
      <c r="H250">
        <v>27</v>
      </c>
      <c r="I250">
        <v>166</v>
      </c>
      <c r="J250">
        <v>150</v>
      </c>
      <c r="K250" s="263" t="str" cm="1">
        <f t="array" ref="K250">myRGB(H250,I250,J250)</f>
        <v/>
      </c>
    </row>
    <row r="251" spans="1:11" x14ac:dyDescent="0.2">
      <c r="A251">
        <v>300</v>
      </c>
      <c r="B251">
        <v>894</v>
      </c>
      <c r="C251">
        <v>8</v>
      </c>
      <c r="D251" t="s">
        <v>7502</v>
      </c>
      <c r="E251">
        <v>965</v>
      </c>
      <c r="F251" t="s">
        <v>7216</v>
      </c>
      <c r="G251" t="s">
        <v>7155</v>
      </c>
      <c r="H251">
        <v>26</v>
      </c>
      <c r="I251">
        <v>164</v>
      </c>
      <c r="J251">
        <v>150</v>
      </c>
      <c r="K251" s="138" t="str" cm="1">
        <f t="array" ref="K251">myRGB(H251,I251,J251)</f>
        <v/>
      </c>
    </row>
    <row r="252" spans="1:11" x14ac:dyDescent="0.2">
      <c r="A252">
        <v>301</v>
      </c>
      <c r="B252">
        <v>894</v>
      </c>
      <c r="C252">
        <v>8</v>
      </c>
      <c r="D252" t="s">
        <v>7503</v>
      </c>
      <c r="E252">
        <v>774</v>
      </c>
      <c r="F252" t="s">
        <v>5103</v>
      </c>
      <c r="G252" t="s">
        <v>5102</v>
      </c>
      <c r="H252">
        <v>28</v>
      </c>
      <c r="I252">
        <v>166</v>
      </c>
      <c r="J252">
        <v>151</v>
      </c>
      <c r="K252" s="197" t="str" cm="1">
        <f t="array" ref="K252">myRGB(H252,I252,J252)</f>
        <v/>
      </c>
    </row>
    <row r="253" spans="1:11" x14ac:dyDescent="0.2">
      <c r="A253">
        <v>302</v>
      </c>
      <c r="B253">
        <v>894</v>
      </c>
      <c r="C253">
        <v>8</v>
      </c>
      <c r="D253" t="s">
        <v>7504</v>
      </c>
      <c r="E253">
        <v>906</v>
      </c>
      <c r="F253" t="s">
        <v>5105</v>
      </c>
      <c r="G253" t="s">
        <v>5104</v>
      </c>
      <c r="H253">
        <v>28</v>
      </c>
      <c r="I253">
        <v>165</v>
      </c>
      <c r="J253">
        <v>151</v>
      </c>
      <c r="K253" s="148" t="str" cm="1">
        <f t="array" ref="K253">myRGB(H253,I253,J253)</f>
        <v/>
      </c>
    </row>
    <row r="254" spans="1:11" x14ac:dyDescent="0.2">
      <c r="A254">
        <v>303</v>
      </c>
      <c r="B254">
        <v>894</v>
      </c>
      <c r="C254">
        <v>8</v>
      </c>
      <c r="D254" t="s">
        <v>7505</v>
      </c>
      <c r="E254">
        <v>279</v>
      </c>
      <c r="F254" t="s">
        <v>5107</v>
      </c>
      <c r="G254" t="s">
        <v>5106</v>
      </c>
      <c r="H254">
        <v>26</v>
      </c>
      <c r="I254">
        <v>165</v>
      </c>
      <c r="J254">
        <v>152</v>
      </c>
      <c r="K254" s="274" t="str" cm="1">
        <f t="array" ref="K254">myRGB(H254,I254,J254)</f>
        <v/>
      </c>
    </row>
    <row r="255" spans="1:11" x14ac:dyDescent="0.2">
      <c r="A255">
        <v>325</v>
      </c>
      <c r="B255">
        <v>254</v>
      </c>
      <c r="C255">
        <v>7</v>
      </c>
      <c r="D255" t="s">
        <v>7506</v>
      </c>
      <c r="E255">
        <v>879</v>
      </c>
      <c r="F255" t="s">
        <v>5145</v>
      </c>
      <c r="G255" t="s">
        <v>5144</v>
      </c>
      <c r="H255">
        <v>28</v>
      </c>
      <c r="I255">
        <v>165</v>
      </c>
      <c r="J255">
        <v>152</v>
      </c>
      <c r="K255" s="363" t="str" cm="1">
        <f t="array" ref="K255">myRGB(H255,I255,J255)</f>
        <v/>
      </c>
    </row>
    <row r="256" spans="1:11" x14ac:dyDescent="0.2">
      <c r="A256">
        <v>326</v>
      </c>
      <c r="B256">
        <v>879</v>
      </c>
      <c r="C256">
        <v>8</v>
      </c>
      <c r="D256" t="s">
        <v>7507</v>
      </c>
      <c r="E256">
        <v>442</v>
      </c>
      <c r="F256" t="s">
        <v>5147</v>
      </c>
      <c r="G256" t="s">
        <v>5146</v>
      </c>
      <c r="H256">
        <v>27</v>
      </c>
      <c r="I256">
        <v>165</v>
      </c>
      <c r="J256">
        <v>152</v>
      </c>
      <c r="K256" s="150" t="str" cm="1">
        <f t="array" ref="K256">myRGB(H256,I256,J256)</f>
        <v/>
      </c>
    </row>
    <row r="257" spans="1:11" x14ac:dyDescent="0.2">
      <c r="A257">
        <v>327</v>
      </c>
      <c r="B257">
        <v>879</v>
      </c>
      <c r="C257">
        <v>8</v>
      </c>
      <c r="D257" t="s">
        <v>7508</v>
      </c>
      <c r="E257">
        <v>434</v>
      </c>
      <c r="F257" t="s">
        <v>7220</v>
      </c>
      <c r="G257" t="s">
        <v>7159</v>
      </c>
      <c r="H257">
        <v>27</v>
      </c>
      <c r="I257">
        <v>166</v>
      </c>
      <c r="J257">
        <v>151</v>
      </c>
      <c r="K257" s="224" t="str" cm="1">
        <f t="array" ref="K257">myRGB(H257,I257,J257)</f>
        <v/>
      </c>
    </row>
    <row r="258" spans="1:11" x14ac:dyDescent="0.2">
      <c r="A258">
        <v>329</v>
      </c>
      <c r="B258">
        <v>879</v>
      </c>
      <c r="C258">
        <v>8</v>
      </c>
      <c r="D258" t="s">
        <v>7509</v>
      </c>
      <c r="E258">
        <v>610</v>
      </c>
      <c r="F258" t="s">
        <v>5151</v>
      </c>
      <c r="G258" t="s">
        <v>5150</v>
      </c>
      <c r="H258">
        <v>26</v>
      </c>
      <c r="I258">
        <v>165</v>
      </c>
      <c r="J258">
        <v>150</v>
      </c>
      <c r="K258" s="139" t="str" cm="1">
        <f t="array" ref="K258">myRGB(H258,I258,J258)</f>
        <v/>
      </c>
    </row>
    <row r="259" spans="1:11" x14ac:dyDescent="0.2">
      <c r="A259">
        <v>330</v>
      </c>
      <c r="B259">
        <v>879</v>
      </c>
      <c r="C259">
        <v>8</v>
      </c>
      <c r="D259" t="s">
        <v>7510</v>
      </c>
      <c r="E259">
        <v>274</v>
      </c>
      <c r="F259" t="s">
        <v>5153</v>
      </c>
      <c r="G259" t="s">
        <v>5152</v>
      </c>
      <c r="H259">
        <v>26</v>
      </c>
      <c r="I259">
        <v>166</v>
      </c>
      <c r="J259">
        <v>151</v>
      </c>
      <c r="K259" s="335" t="str" cm="1">
        <f t="array" ref="K259">myRGB(H259,I259,J259)</f>
        <v/>
      </c>
    </row>
    <row r="260" spans="1:11" x14ac:dyDescent="0.2">
      <c r="A260">
        <v>331</v>
      </c>
      <c r="B260">
        <v>879</v>
      </c>
      <c r="C260">
        <v>8</v>
      </c>
      <c r="D260" t="s">
        <v>7511</v>
      </c>
      <c r="E260">
        <v>330</v>
      </c>
      <c r="F260" t="s">
        <v>5155</v>
      </c>
      <c r="G260" t="s">
        <v>5154</v>
      </c>
      <c r="H260">
        <v>27</v>
      </c>
      <c r="I260">
        <v>166</v>
      </c>
      <c r="J260">
        <v>152</v>
      </c>
      <c r="K260" s="276" t="str" cm="1">
        <f t="array" ref="K260">myRGB(H260,I260,J260)</f>
        <v/>
      </c>
    </row>
    <row r="261" spans="1:11" x14ac:dyDescent="0.2">
      <c r="A261">
        <v>332</v>
      </c>
      <c r="B261">
        <v>254</v>
      </c>
      <c r="C261">
        <v>7</v>
      </c>
      <c r="D261" t="s">
        <v>7512</v>
      </c>
      <c r="E261">
        <v>886</v>
      </c>
      <c r="F261" t="s">
        <v>5157</v>
      </c>
      <c r="G261" t="s">
        <v>5156</v>
      </c>
      <c r="H261">
        <v>27</v>
      </c>
      <c r="I261">
        <v>165</v>
      </c>
      <c r="J261">
        <v>150</v>
      </c>
      <c r="K261" s="362" t="str" cm="1">
        <f t="array" ref="K261">myRGB(H261,I261,J261)</f>
        <v/>
      </c>
    </row>
    <row r="262" spans="1:11" x14ac:dyDescent="0.2">
      <c r="A262">
        <v>333</v>
      </c>
      <c r="B262">
        <v>886</v>
      </c>
      <c r="C262">
        <v>8</v>
      </c>
      <c r="D262" t="s">
        <v>7513</v>
      </c>
      <c r="E262">
        <v>542</v>
      </c>
      <c r="F262" t="s">
        <v>5159</v>
      </c>
      <c r="G262" t="s">
        <v>5158</v>
      </c>
      <c r="H262">
        <v>27</v>
      </c>
      <c r="I262">
        <v>165</v>
      </c>
      <c r="J262">
        <v>151</v>
      </c>
      <c r="K262" s="223" t="str" cm="1">
        <f t="array" ref="K262">myRGB(H262,I262,J262)</f>
        <v/>
      </c>
    </row>
    <row r="263" spans="1:11" x14ac:dyDescent="0.2">
      <c r="A263">
        <v>335</v>
      </c>
      <c r="B263">
        <v>886</v>
      </c>
      <c r="C263">
        <v>8</v>
      </c>
      <c r="D263" t="s">
        <v>7514</v>
      </c>
      <c r="E263">
        <v>430</v>
      </c>
      <c r="F263" t="s">
        <v>7221</v>
      </c>
      <c r="G263" t="s">
        <v>7160</v>
      </c>
      <c r="H263">
        <v>26</v>
      </c>
      <c r="I263">
        <v>165</v>
      </c>
      <c r="J263">
        <v>151</v>
      </c>
      <c r="K263" s="275" t="str" cm="1">
        <f t="array" ref="K263">myRGB(H263,I263,J263)</f>
        <v/>
      </c>
    </row>
    <row r="264" spans="1:11" x14ac:dyDescent="0.2">
      <c r="A264">
        <v>336</v>
      </c>
      <c r="B264">
        <v>886</v>
      </c>
      <c r="C264">
        <v>8</v>
      </c>
      <c r="D264" t="s">
        <v>7515</v>
      </c>
      <c r="E264">
        <v>687</v>
      </c>
      <c r="F264" t="s">
        <v>5163</v>
      </c>
      <c r="G264" t="s">
        <v>5162</v>
      </c>
      <c r="H264">
        <v>27</v>
      </c>
      <c r="I264">
        <v>164</v>
      </c>
      <c r="J264">
        <v>152</v>
      </c>
      <c r="K264" s="361" t="str" cm="1">
        <f t="array" ref="K264">myRGB(H264,I264,J264)</f>
        <v/>
      </c>
    </row>
    <row r="265" spans="1:11" x14ac:dyDescent="0.2">
      <c r="A265">
        <v>337</v>
      </c>
      <c r="B265">
        <v>886</v>
      </c>
      <c r="C265">
        <v>8</v>
      </c>
      <c r="D265" t="s">
        <v>7516</v>
      </c>
      <c r="E265">
        <v>590</v>
      </c>
      <c r="F265" t="s">
        <v>5165</v>
      </c>
      <c r="G265" t="s">
        <v>5164</v>
      </c>
      <c r="H265">
        <v>26</v>
      </c>
      <c r="I265">
        <v>164</v>
      </c>
      <c r="J265">
        <v>152</v>
      </c>
      <c r="K265" s="198" t="str" cm="1">
        <f t="array" ref="K265">myRGB(H265,I265,J265)</f>
        <v/>
      </c>
    </row>
    <row r="266" spans="1:11" x14ac:dyDescent="0.2">
      <c r="A266">
        <v>338</v>
      </c>
      <c r="B266">
        <v>886</v>
      </c>
      <c r="C266">
        <v>8</v>
      </c>
      <c r="D266" t="s">
        <v>7517</v>
      </c>
      <c r="E266">
        <v>622</v>
      </c>
      <c r="F266" t="s">
        <v>5167</v>
      </c>
      <c r="G266" t="s">
        <v>5166</v>
      </c>
      <c r="H266">
        <v>26</v>
      </c>
      <c r="I266">
        <v>164</v>
      </c>
      <c r="J266">
        <v>151</v>
      </c>
      <c r="K266" s="149" t="str" cm="1">
        <f t="array" ref="K266">myRGB(H266,I266,J266)</f>
        <v/>
      </c>
    </row>
    <row r="267" spans="1:11" x14ac:dyDescent="0.2">
      <c r="A267">
        <v>339</v>
      </c>
      <c r="B267">
        <v>315</v>
      </c>
      <c r="C267">
        <v>6</v>
      </c>
      <c r="D267" t="s">
        <v>7518</v>
      </c>
      <c r="E267">
        <v>22</v>
      </c>
      <c r="F267" t="s">
        <v>5169</v>
      </c>
      <c r="G267" t="s">
        <v>5168</v>
      </c>
      <c r="H267">
        <v>0</v>
      </c>
      <c r="I267">
        <v>159</v>
      </c>
      <c r="J267">
        <v>172</v>
      </c>
      <c r="K267" s="233" t="str" cm="1">
        <f t="array" ref="K267">myRGB(H267,I267,J267)</f>
        <v/>
      </c>
    </row>
    <row r="268" spans="1:11" x14ac:dyDescent="0.2">
      <c r="A268">
        <v>346</v>
      </c>
      <c r="B268">
        <v>22</v>
      </c>
      <c r="C268">
        <v>7</v>
      </c>
      <c r="D268" t="s">
        <v>7519</v>
      </c>
      <c r="E268">
        <v>312782546</v>
      </c>
      <c r="F268" t="s">
        <v>5181</v>
      </c>
      <c r="G268" t="s">
        <v>5180</v>
      </c>
      <c r="H268">
        <v>0</v>
      </c>
      <c r="I268">
        <v>159</v>
      </c>
      <c r="J268">
        <v>171</v>
      </c>
      <c r="K268" s="159" t="str" cm="1">
        <f t="array" ref="K268">myRGB(H268,I268,J268)</f>
        <v/>
      </c>
    </row>
    <row r="269" spans="1:11" x14ac:dyDescent="0.2">
      <c r="A269">
        <v>347</v>
      </c>
      <c r="B269">
        <v>312782546</v>
      </c>
      <c r="C269">
        <v>8</v>
      </c>
      <c r="D269" t="s">
        <v>7520</v>
      </c>
      <c r="E269">
        <v>312782550</v>
      </c>
      <c r="F269" t="s">
        <v>5183</v>
      </c>
      <c r="G269" t="s">
        <v>5182</v>
      </c>
      <c r="H269">
        <v>1</v>
      </c>
      <c r="I269">
        <v>159</v>
      </c>
      <c r="J269">
        <v>172</v>
      </c>
      <c r="K269" s="142" t="str" cm="1">
        <f t="array" ref="K269">myRGB(H269,I269,J269)</f>
        <v/>
      </c>
    </row>
    <row r="270" spans="1:11" x14ac:dyDescent="0.2">
      <c r="A270">
        <v>348</v>
      </c>
      <c r="B270">
        <v>312782546</v>
      </c>
      <c r="C270">
        <v>8</v>
      </c>
      <c r="D270" t="s">
        <v>7521</v>
      </c>
      <c r="E270">
        <v>312782554</v>
      </c>
      <c r="F270" t="s">
        <v>7223</v>
      </c>
      <c r="G270" t="s">
        <v>7162</v>
      </c>
      <c r="H270">
        <v>0</v>
      </c>
      <c r="I270">
        <v>158</v>
      </c>
      <c r="J270">
        <v>171</v>
      </c>
      <c r="K270" s="371" t="str" cm="1">
        <f t="array" ref="K270">myRGB(H270,I270,J270)</f>
        <v/>
      </c>
    </row>
    <row r="271" spans="1:11" x14ac:dyDescent="0.2">
      <c r="A271">
        <v>349</v>
      </c>
      <c r="B271">
        <v>312782546</v>
      </c>
      <c r="C271">
        <v>8</v>
      </c>
      <c r="D271" t="s">
        <v>7522</v>
      </c>
      <c r="E271">
        <v>312782558</v>
      </c>
      <c r="F271" t="s">
        <v>5185</v>
      </c>
      <c r="G271" t="s">
        <v>5184</v>
      </c>
      <c r="H271">
        <v>1</v>
      </c>
      <c r="I271">
        <v>158</v>
      </c>
      <c r="J271">
        <v>172</v>
      </c>
      <c r="K271" s="284" t="str" cm="1">
        <f t="array" ref="K271">myRGB(H271,I271,J271)</f>
        <v/>
      </c>
    </row>
    <row r="272" spans="1:11" x14ac:dyDescent="0.2">
      <c r="A272">
        <v>350</v>
      </c>
      <c r="B272">
        <v>312782546</v>
      </c>
      <c r="C272">
        <v>8</v>
      </c>
      <c r="D272" t="s">
        <v>7523</v>
      </c>
      <c r="E272">
        <v>312782562</v>
      </c>
      <c r="F272" t="s">
        <v>5187</v>
      </c>
      <c r="G272" t="s">
        <v>5186</v>
      </c>
      <c r="H272">
        <v>1</v>
      </c>
      <c r="I272">
        <v>158</v>
      </c>
      <c r="J272">
        <v>171</v>
      </c>
      <c r="K272" s="232" t="str" cm="1">
        <f t="array" ref="K272">myRGB(H272,I272,J272)</f>
        <v/>
      </c>
    </row>
    <row r="273" spans="1:11" x14ac:dyDescent="0.2">
      <c r="A273">
        <v>351</v>
      </c>
      <c r="B273">
        <v>312782546</v>
      </c>
      <c r="C273">
        <v>8</v>
      </c>
      <c r="D273" t="s">
        <v>7524</v>
      </c>
      <c r="E273">
        <v>312782566</v>
      </c>
      <c r="F273" t="s">
        <v>5189</v>
      </c>
      <c r="G273" t="s">
        <v>5188</v>
      </c>
      <c r="H273">
        <v>0</v>
      </c>
      <c r="I273">
        <v>157</v>
      </c>
      <c r="J273">
        <v>172</v>
      </c>
      <c r="K273" s="201" t="str" cm="1">
        <f t="array" ref="K273">myRGB(H273,I273,J273)</f>
        <v/>
      </c>
    </row>
    <row r="274" spans="1:11" x14ac:dyDescent="0.2">
      <c r="A274">
        <v>352</v>
      </c>
      <c r="B274">
        <v>312782546</v>
      </c>
      <c r="C274">
        <v>8</v>
      </c>
      <c r="D274" t="s">
        <v>7525</v>
      </c>
      <c r="E274">
        <v>312782570</v>
      </c>
      <c r="F274" t="s">
        <v>5191</v>
      </c>
      <c r="G274" t="s">
        <v>5190</v>
      </c>
      <c r="H274">
        <v>2</v>
      </c>
      <c r="I274">
        <v>159</v>
      </c>
      <c r="J274">
        <v>172</v>
      </c>
      <c r="K274" s="158" t="str" cm="1">
        <f t="array" ref="K274">myRGB(H274,I274,J274)</f>
        <v/>
      </c>
    </row>
    <row r="275" spans="1:11" x14ac:dyDescent="0.2">
      <c r="A275">
        <v>353</v>
      </c>
      <c r="B275">
        <v>22</v>
      </c>
      <c r="C275">
        <v>7</v>
      </c>
      <c r="D275" t="s">
        <v>7526</v>
      </c>
      <c r="E275">
        <v>417</v>
      </c>
      <c r="F275" t="s">
        <v>5193</v>
      </c>
      <c r="G275" t="s">
        <v>5192</v>
      </c>
      <c r="H275">
        <v>0</v>
      </c>
      <c r="I275">
        <v>158</v>
      </c>
      <c r="J275">
        <v>170</v>
      </c>
      <c r="K275" s="370" t="str" cm="1">
        <f t="array" ref="K275">myRGB(H275,I275,J275)</f>
        <v/>
      </c>
    </row>
    <row r="276" spans="1:11" x14ac:dyDescent="0.2">
      <c r="A276">
        <v>354</v>
      </c>
      <c r="B276">
        <v>417</v>
      </c>
      <c r="C276">
        <v>8</v>
      </c>
      <c r="D276" t="s">
        <v>7527</v>
      </c>
      <c r="E276">
        <v>312782604</v>
      </c>
      <c r="F276" t="s">
        <v>5195</v>
      </c>
      <c r="G276" t="s">
        <v>5194</v>
      </c>
      <c r="H276">
        <v>2</v>
      </c>
      <c r="I276">
        <v>159</v>
      </c>
      <c r="J276">
        <v>171</v>
      </c>
      <c r="K276" s="266" t="str" cm="1">
        <f t="array" ref="K276">myRGB(H276,I276,J276)</f>
        <v/>
      </c>
    </row>
    <row r="277" spans="1:11" x14ac:dyDescent="0.2">
      <c r="A277">
        <v>355</v>
      </c>
      <c r="B277">
        <v>417</v>
      </c>
      <c r="C277">
        <v>8</v>
      </c>
      <c r="D277" t="s">
        <v>7528</v>
      </c>
      <c r="E277">
        <v>312782608</v>
      </c>
      <c r="F277" t="s">
        <v>7224</v>
      </c>
      <c r="G277" t="s">
        <v>7163</v>
      </c>
      <c r="H277">
        <v>2</v>
      </c>
      <c r="I277">
        <v>158</v>
      </c>
      <c r="J277">
        <v>172</v>
      </c>
      <c r="K277" s="231" t="str" cm="1">
        <f t="array" ref="K277">myRGB(H277,I277,J277)</f>
        <v/>
      </c>
    </row>
    <row r="278" spans="1:11" x14ac:dyDescent="0.2">
      <c r="A278">
        <v>356</v>
      </c>
      <c r="B278">
        <v>417</v>
      </c>
      <c r="C278">
        <v>8</v>
      </c>
      <c r="D278" t="s">
        <v>7529</v>
      </c>
      <c r="E278">
        <v>312782612</v>
      </c>
      <c r="F278" t="s">
        <v>5197</v>
      </c>
      <c r="G278" t="s">
        <v>5196</v>
      </c>
      <c r="H278">
        <v>1</v>
      </c>
      <c r="I278">
        <v>158</v>
      </c>
      <c r="J278">
        <v>170</v>
      </c>
      <c r="K278" s="157" t="str" cm="1">
        <f t="array" ref="K278">myRGB(H278,I278,J278)</f>
        <v/>
      </c>
    </row>
    <row r="279" spans="1:11" x14ac:dyDescent="0.2">
      <c r="A279">
        <v>357</v>
      </c>
      <c r="B279">
        <v>417</v>
      </c>
      <c r="C279">
        <v>8</v>
      </c>
      <c r="D279" t="s">
        <v>7530</v>
      </c>
      <c r="E279">
        <v>312782616</v>
      </c>
      <c r="F279" t="s">
        <v>5199</v>
      </c>
      <c r="G279" t="s">
        <v>5198</v>
      </c>
      <c r="H279">
        <v>1</v>
      </c>
      <c r="I279">
        <v>157</v>
      </c>
      <c r="J279">
        <v>171</v>
      </c>
      <c r="K279" s="369" t="str" cm="1">
        <f t="array" ref="K279">myRGB(H279,I279,J279)</f>
        <v/>
      </c>
    </row>
    <row r="280" spans="1:11" x14ac:dyDescent="0.2">
      <c r="A280">
        <v>358</v>
      </c>
      <c r="B280">
        <v>417</v>
      </c>
      <c r="C280">
        <v>8</v>
      </c>
      <c r="D280" t="s">
        <v>7531</v>
      </c>
      <c r="E280">
        <v>312782620</v>
      </c>
      <c r="F280" t="s">
        <v>5201</v>
      </c>
      <c r="G280" t="s">
        <v>5200</v>
      </c>
      <c r="H280">
        <v>2</v>
      </c>
      <c r="I280">
        <v>158</v>
      </c>
      <c r="J280">
        <v>171</v>
      </c>
      <c r="K280" s="337" t="str" cm="1">
        <f t="array" ref="K280">myRGB(H280,I280,J280)</f>
        <v/>
      </c>
    </row>
    <row r="281" spans="1:11" x14ac:dyDescent="0.2">
      <c r="A281">
        <v>359</v>
      </c>
      <c r="B281">
        <v>417</v>
      </c>
      <c r="C281">
        <v>8</v>
      </c>
      <c r="D281" t="s">
        <v>8089</v>
      </c>
      <c r="E281">
        <v>22</v>
      </c>
      <c r="F281" t="s">
        <v>5203</v>
      </c>
      <c r="G281" t="s">
        <v>5202</v>
      </c>
      <c r="H281">
        <v>0</v>
      </c>
      <c r="I281">
        <v>157</v>
      </c>
      <c r="J281">
        <v>170</v>
      </c>
      <c r="K281" s="283" t="str" cm="1">
        <f t="array" ref="K281">myRGB(H281,I281,J281)</f>
        <v/>
      </c>
    </row>
    <row r="282" spans="1:11" x14ac:dyDescent="0.2">
      <c r="A282">
        <v>360</v>
      </c>
      <c r="B282">
        <v>315</v>
      </c>
      <c r="C282">
        <v>6</v>
      </c>
      <c r="D282" t="s">
        <v>7532</v>
      </c>
      <c r="E282">
        <v>541</v>
      </c>
      <c r="F282" t="s">
        <v>5205</v>
      </c>
      <c r="G282" t="s">
        <v>5204</v>
      </c>
      <c r="H282">
        <v>22</v>
      </c>
      <c r="I282">
        <v>176</v>
      </c>
      <c r="J282">
        <v>179</v>
      </c>
      <c r="K282" s="211" t="str" cm="1">
        <f t="array" ref="K282">myRGB(H282,I282,J282)</f>
        <v/>
      </c>
    </row>
    <row r="283" spans="1:11" x14ac:dyDescent="0.2">
      <c r="A283">
        <v>361</v>
      </c>
      <c r="B283">
        <v>541</v>
      </c>
      <c r="C283">
        <v>7</v>
      </c>
      <c r="D283" t="s">
        <v>7533</v>
      </c>
      <c r="E283">
        <v>97</v>
      </c>
      <c r="F283" t="s">
        <v>5207</v>
      </c>
      <c r="G283" t="s">
        <v>5206</v>
      </c>
      <c r="H283">
        <v>21</v>
      </c>
      <c r="I283">
        <v>176</v>
      </c>
      <c r="J283">
        <v>179</v>
      </c>
      <c r="K283" s="51" t="str" cm="1">
        <f t="array" ref="K283">myRGB(H283,I283,J283)</f>
        <v/>
      </c>
    </row>
    <row r="284" spans="1:11" x14ac:dyDescent="0.2">
      <c r="A284">
        <v>362</v>
      </c>
      <c r="B284">
        <v>541</v>
      </c>
      <c r="C284">
        <v>7</v>
      </c>
      <c r="D284" t="s">
        <v>7534</v>
      </c>
      <c r="E284">
        <v>1127</v>
      </c>
      <c r="F284" t="s">
        <v>7225</v>
      </c>
      <c r="G284" t="s">
        <v>7164</v>
      </c>
      <c r="H284">
        <v>22</v>
      </c>
      <c r="I284">
        <v>175</v>
      </c>
      <c r="J284">
        <v>179</v>
      </c>
      <c r="K284" s="185" t="str" cm="1">
        <f t="array" ref="K284">myRGB(H284,I284,J284)</f>
        <v/>
      </c>
    </row>
    <row r="285" spans="1:11" x14ac:dyDescent="0.2">
      <c r="A285">
        <v>363</v>
      </c>
      <c r="B285">
        <v>541</v>
      </c>
      <c r="C285">
        <v>7</v>
      </c>
      <c r="D285" t="s">
        <v>7535</v>
      </c>
      <c r="E285">
        <v>234</v>
      </c>
      <c r="F285" t="s">
        <v>5209</v>
      </c>
      <c r="G285" t="s">
        <v>5208</v>
      </c>
      <c r="H285">
        <v>21</v>
      </c>
      <c r="I285">
        <v>176</v>
      </c>
      <c r="J285">
        <v>178</v>
      </c>
      <c r="K285" s="52" t="str" cm="1">
        <f t="array" ref="K285">myRGB(H285,I285,J285)</f>
        <v/>
      </c>
    </row>
    <row r="286" spans="1:11" x14ac:dyDescent="0.2">
      <c r="A286">
        <v>364</v>
      </c>
      <c r="B286">
        <v>541</v>
      </c>
      <c r="C286">
        <v>7</v>
      </c>
      <c r="D286" t="s">
        <v>7536</v>
      </c>
      <c r="E286">
        <v>289</v>
      </c>
      <c r="F286" t="s">
        <v>5211</v>
      </c>
      <c r="G286" t="s">
        <v>5210</v>
      </c>
      <c r="H286">
        <v>21</v>
      </c>
      <c r="I286">
        <v>175</v>
      </c>
      <c r="J286">
        <v>179</v>
      </c>
      <c r="K286" s="126" t="str" cm="1">
        <f t="array" ref="K286">myRGB(H286,I286,J286)</f>
        <v/>
      </c>
    </row>
    <row r="287" spans="1:11" x14ac:dyDescent="0.2">
      <c r="A287">
        <v>365</v>
      </c>
      <c r="B287">
        <v>541</v>
      </c>
      <c r="C287">
        <v>7</v>
      </c>
      <c r="D287" t="s">
        <v>7537</v>
      </c>
      <c r="E287">
        <v>729</v>
      </c>
      <c r="F287" t="s">
        <v>5213</v>
      </c>
      <c r="G287" t="s">
        <v>5212</v>
      </c>
      <c r="H287">
        <v>21</v>
      </c>
      <c r="I287">
        <v>175</v>
      </c>
      <c r="J287">
        <v>178</v>
      </c>
      <c r="K287" s="348" t="str" cm="1">
        <f t="array" ref="K287">myRGB(H287,I287,J287)</f>
        <v/>
      </c>
    </row>
    <row r="288" spans="1:11" x14ac:dyDescent="0.2">
      <c r="A288">
        <v>366</v>
      </c>
      <c r="B288">
        <v>541</v>
      </c>
      <c r="C288">
        <v>7</v>
      </c>
      <c r="D288" t="s">
        <v>7538</v>
      </c>
      <c r="E288">
        <v>786</v>
      </c>
      <c r="F288" t="s">
        <v>5215</v>
      </c>
      <c r="G288" t="s">
        <v>5214</v>
      </c>
      <c r="H288">
        <v>22</v>
      </c>
      <c r="I288">
        <v>176</v>
      </c>
      <c r="J288">
        <v>178</v>
      </c>
      <c r="K288" s="322" t="str" cm="1">
        <f t="array" ref="K288">myRGB(H288,I288,J288)</f>
        <v/>
      </c>
    </row>
    <row r="289" spans="1:11" x14ac:dyDescent="0.2">
      <c r="A289">
        <v>367</v>
      </c>
      <c r="B289">
        <v>315</v>
      </c>
      <c r="C289">
        <v>6</v>
      </c>
      <c r="D289" t="s">
        <v>7539</v>
      </c>
      <c r="E289">
        <v>922</v>
      </c>
      <c r="F289" t="s">
        <v>5217</v>
      </c>
      <c r="G289" t="s">
        <v>5216</v>
      </c>
      <c r="H289">
        <v>15</v>
      </c>
      <c r="I289">
        <v>150</v>
      </c>
      <c r="J289">
        <v>131</v>
      </c>
      <c r="K289" s="105" t="str" cm="1">
        <f t="array" ref="K289">myRGB(H289,I289,J289)</f>
        <v/>
      </c>
    </row>
    <row r="290" spans="1:11" x14ac:dyDescent="0.2">
      <c r="A290">
        <v>370</v>
      </c>
      <c r="B290">
        <v>922</v>
      </c>
      <c r="C290">
        <v>7</v>
      </c>
      <c r="D290" t="s">
        <v>7542</v>
      </c>
      <c r="E290">
        <v>540</v>
      </c>
      <c r="F290" t="s">
        <v>5219</v>
      </c>
      <c r="G290" t="s">
        <v>5218</v>
      </c>
      <c r="H290">
        <v>14</v>
      </c>
      <c r="I290">
        <v>149</v>
      </c>
      <c r="J290">
        <v>132</v>
      </c>
      <c r="K290" s="312" t="str" cm="1">
        <f t="array" ref="K290">myRGB(H290,I290,J290)</f>
        <v/>
      </c>
    </row>
    <row r="291" spans="1:11" x14ac:dyDescent="0.2">
      <c r="A291">
        <v>372</v>
      </c>
      <c r="B291">
        <v>922</v>
      </c>
      <c r="C291">
        <v>7</v>
      </c>
      <c r="D291" t="s">
        <v>7544</v>
      </c>
      <c r="E291">
        <v>888</v>
      </c>
      <c r="F291" t="s">
        <v>7226</v>
      </c>
      <c r="G291" t="s">
        <v>7165</v>
      </c>
      <c r="H291">
        <v>14</v>
      </c>
      <c r="I291">
        <v>149</v>
      </c>
      <c r="J291">
        <v>131</v>
      </c>
      <c r="K291" s="81" t="str" cm="1">
        <f t="array" ref="K291">myRGB(H291,I291,J291)</f>
        <v/>
      </c>
    </row>
    <row r="292" spans="1:11" x14ac:dyDescent="0.2">
      <c r="A292">
        <v>371</v>
      </c>
      <c r="B292">
        <v>922</v>
      </c>
      <c r="C292">
        <v>7</v>
      </c>
      <c r="D292" t="s">
        <v>7543</v>
      </c>
      <c r="E292">
        <v>692</v>
      </c>
      <c r="F292" t="s">
        <v>5221</v>
      </c>
      <c r="G292" t="s">
        <v>5220</v>
      </c>
      <c r="H292">
        <v>15</v>
      </c>
      <c r="I292">
        <v>150</v>
      </c>
      <c r="J292">
        <v>132</v>
      </c>
      <c r="K292" s="104" t="str" cm="1">
        <f t="array" ref="K292">myRGB(H292,I292,J292)</f>
        <v/>
      </c>
    </row>
    <row r="293" spans="1:11" x14ac:dyDescent="0.2">
      <c r="A293">
        <v>368</v>
      </c>
      <c r="B293">
        <v>922</v>
      </c>
      <c r="C293">
        <v>7</v>
      </c>
      <c r="D293" t="s">
        <v>7540</v>
      </c>
      <c r="E293">
        <v>335</v>
      </c>
      <c r="F293" t="s">
        <v>5223</v>
      </c>
      <c r="G293" t="s">
        <v>5222</v>
      </c>
      <c r="H293">
        <v>14</v>
      </c>
      <c r="I293">
        <v>150</v>
      </c>
      <c r="J293">
        <v>132</v>
      </c>
      <c r="K293" s="82" t="str" cm="1">
        <f t="array" ref="K293">myRGB(H293,I293,J293)</f>
        <v/>
      </c>
    </row>
    <row r="294" spans="1:11" x14ac:dyDescent="0.2">
      <c r="A294">
        <v>369</v>
      </c>
      <c r="B294">
        <v>922</v>
      </c>
      <c r="C294">
        <v>7</v>
      </c>
      <c r="D294" t="s">
        <v>7541</v>
      </c>
      <c r="E294">
        <v>368</v>
      </c>
      <c r="F294" t="s">
        <v>5225</v>
      </c>
      <c r="G294" t="s">
        <v>5224</v>
      </c>
      <c r="H294">
        <v>14</v>
      </c>
      <c r="I294">
        <v>150</v>
      </c>
      <c r="J294">
        <v>131</v>
      </c>
      <c r="K294" s="28" t="str" cm="1">
        <f t="array" ref="K294">myRGB(H294,I294,J294)</f>
        <v/>
      </c>
    </row>
    <row r="295" spans="1:11" x14ac:dyDescent="0.2">
      <c r="A295">
        <v>373</v>
      </c>
      <c r="B295">
        <v>315</v>
      </c>
      <c r="C295">
        <v>6</v>
      </c>
      <c r="D295" t="s">
        <v>7545</v>
      </c>
      <c r="E295">
        <v>895</v>
      </c>
      <c r="F295" t="s">
        <v>5227</v>
      </c>
      <c r="G295" t="s">
        <v>5226</v>
      </c>
      <c r="H295">
        <v>13</v>
      </c>
      <c r="I295">
        <v>158</v>
      </c>
      <c r="J295">
        <v>145</v>
      </c>
      <c r="K295" s="30" t="str" cm="1">
        <f t="array" ref="K295">myRGB(H295,I295,J295)</f>
        <v/>
      </c>
    </row>
    <row r="296" spans="1:11" x14ac:dyDescent="0.2">
      <c r="A296">
        <v>374</v>
      </c>
      <c r="B296">
        <v>895</v>
      </c>
      <c r="C296">
        <v>7</v>
      </c>
      <c r="D296" t="s">
        <v>7546</v>
      </c>
      <c r="E296">
        <v>836</v>
      </c>
      <c r="F296" t="s">
        <v>7227</v>
      </c>
      <c r="G296" t="s">
        <v>5228</v>
      </c>
      <c r="H296">
        <v>13</v>
      </c>
      <c r="I296">
        <v>159</v>
      </c>
      <c r="J296">
        <v>144</v>
      </c>
      <c r="K296" s="83" t="str" cm="1">
        <f t="array" ref="K296">myRGB(H296,I296,J296)</f>
        <v/>
      </c>
    </row>
    <row r="297" spans="1:11" x14ac:dyDescent="0.2">
      <c r="A297">
        <v>375</v>
      </c>
      <c r="B297">
        <v>895</v>
      </c>
      <c r="C297">
        <v>7</v>
      </c>
      <c r="D297" t="s">
        <v>7547</v>
      </c>
      <c r="E297">
        <v>427</v>
      </c>
      <c r="F297" t="s">
        <v>7228</v>
      </c>
      <c r="G297" t="s">
        <v>7166</v>
      </c>
      <c r="H297">
        <v>13</v>
      </c>
      <c r="I297">
        <v>159</v>
      </c>
      <c r="J297">
        <v>145</v>
      </c>
      <c r="K297" s="106" t="str" cm="1">
        <f t="array" ref="K297">myRGB(H297,I297,J297)</f>
        <v/>
      </c>
    </row>
    <row r="298" spans="1:11" x14ac:dyDescent="0.2">
      <c r="A298">
        <v>376</v>
      </c>
      <c r="B298">
        <v>895</v>
      </c>
      <c r="C298">
        <v>7</v>
      </c>
      <c r="D298" t="s">
        <v>7548</v>
      </c>
      <c r="E298">
        <v>988</v>
      </c>
      <c r="F298" t="s">
        <v>7229</v>
      </c>
      <c r="G298" t="s">
        <v>5229</v>
      </c>
      <c r="H298">
        <v>13</v>
      </c>
      <c r="I298">
        <v>158</v>
      </c>
      <c r="J298">
        <v>144</v>
      </c>
      <c r="K298" s="116" t="str" cm="1">
        <f t="array" ref="K298">myRGB(H298,I298,J298)</f>
        <v/>
      </c>
    </row>
    <row r="299" spans="1:11" x14ac:dyDescent="0.2">
      <c r="A299">
        <v>377</v>
      </c>
      <c r="B299">
        <v>895</v>
      </c>
      <c r="C299">
        <v>7</v>
      </c>
      <c r="D299" t="s">
        <v>7549</v>
      </c>
      <c r="E299">
        <v>977</v>
      </c>
      <c r="F299" t="s">
        <v>7230</v>
      </c>
      <c r="G299" t="s">
        <v>5230</v>
      </c>
      <c r="H299">
        <v>14</v>
      </c>
      <c r="I299">
        <v>159</v>
      </c>
      <c r="J299">
        <v>145</v>
      </c>
      <c r="K299" s="29" t="str" cm="1">
        <f t="array" ref="K299">myRGB(H299,I299,J299)</f>
        <v/>
      </c>
    </row>
    <row r="300" spans="1:11" x14ac:dyDescent="0.2">
      <c r="A300">
        <v>378</v>
      </c>
      <c r="B300">
        <v>895</v>
      </c>
      <c r="C300">
        <v>7</v>
      </c>
      <c r="D300" t="s">
        <v>7550</v>
      </c>
      <c r="E300">
        <v>1045</v>
      </c>
      <c r="F300" t="s">
        <v>7231</v>
      </c>
      <c r="G300" t="s">
        <v>5231</v>
      </c>
      <c r="H300">
        <v>14</v>
      </c>
      <c r="I300">
        <v>159</v>
      </c>
      <c r="J300">
        <v>144</v>
      </c>
      <c r="K300" s="175" t="str" cm="1">
        <f t="array" ref="K300">myRGB(H300,I300,J300)</f>
        <v/>
      </c>
    </row>
    <row r="301" spans="1:11" x14ac:dyDescent="0.2">
      <c r="A301">
        <v>379</v>
      </c>
      <c r="B301">
        <v>695</v>
      </c>
      <c r="C301">
        <v>5</v>
      </c>
      <c r="D301" t="s">
        <v>7551</v>
      </c>
      <c r="E301">
        <v>698</v>
      </c>
      <c r="F301" t="s">
        <v>5233</v>
      </c>
      <c r="G301" t="s">
        <v>5232</v>
      </c>
      <c r="H301">
        <v>153</v>
      </c>
      <c r="I301">
        <v>210</v>
      </c>
      <c r="J301">
        <v>189</v>
      </c>
      <c r="K301" s="114" t="str" cm="1">
        <f t="array" ref="K301">myRGB(H301,I301,J301)</f>
        <v/>
      </c>
    </row>
    <row r="302" spans="1:11" x14ac:dyDescent="0.2">
      <c r="A302">
        <v>380</v>
      </c>
      <c r="B302">
        <v>698</v>
      </c>
      <c r="C302">
        <v>6</v>
      </c>
      <c r="D302" t="s">
        <v>7552</v>
      </c>
      <c r="E302">
        <v>507</v>
      </c>
      <c r="F302" t="s">
        <v>5235</v>
      </c>
      <c r="G302" t="s">
        <v>5234</v>
      </c>
      <c r="H302">
        <v>154</v>
      </c>
      <c r="I302">
        <v>209</v>
      </c>
      <c r="J302">
        <v>189</v>
      </c>
      <c r="K302" s="73" t="str" cm="1">
        <f t="array" ref="K302">myRGB(H302,I302,J302)</f>
        <v/>
      </c>
    </row>
    <row r="303" spans="1:11" x14ac:dyDescent="0.2">
      <c r="A303">
        <v>386</v>
      </c>
      <c r="B303">
        <v>698</v>
      </c>
      <c r="C303">
        <v>6</v>
      </c>
      <c r="D303" t="s">
        <v>7553</v>
      </c>
      <c r="E303">
        <v>151</v>
      </c>
      <c r="F303" t="s">
        <v>5247</v>
      </c>
      <c r="G303" t="s">
        <v>5246</v>
      </c>
      <c r="H303">
        <v>157</v>
      </c>
      <c r="I303">
        <v>240</v>
      </c>
      <c r="J303">
        <v>210</v>
      </c>
      <c r="K303" s="97" t="str" cm="1">
        <f t="array" ref="K303">myRGB(H303,I303,J303)</f>
        <v/>
      </c>
    </row>
    <row r="304" spans="1:11" x14ac:dyDescent="0.2">
      <c r="A304">
        <v>387</v>
      </c>
      <c r="B304">
        <v>151</v>
      </c>
      <c r="C304">
        <v>7</v>
      </c>
      <c r="D304" t="s">
        <v>7554</v>
      </c>
      <c r="E304">
        <v>188</v>
      </c>
      <c r="F304" t="s">
        <v>5249</v>
      </c>
      <c r="G304" t="s">
        <v>5248</v>
      </c>
      <c r="H304">
        <v>157</v>
      </c>
      <c r="I304">
        <v>240</v>
      </c>
      <c r="J304">
        <v>209</v>
      </c>
      <c r="K304" s="74" t="str" cm="1">
        <f t="array" ref="K304">myRGB(H304,I304,J304)</f>
        <v/>
      </c>
    </row>
    <row r="305" spans="1:11" x14ac:dyDescent="0.2">
      <c r="A305">
        <v>388</v>
      </c>
      <c r="B305">
        <v>151</v>
      </c>
      <c r="C305">
        <v>7</v>
      </c>
      <c r="D305" t="s">
        <v>7555</v>
      </c>
      <c r="E305">
        <v>196</v>
      </c>
      <c r="F305" t="s">
        <v>5251</v>
      </c>
      <c r="G305" t="s">
        <v>5250</v>
      </c>
      <c r="H305">
        <v>149</v>
      </c>
      <c r="I305">
        <v>228</v>
      </c>
      <c r="J305">
        <v>200</v>
      </c>
      <c r="K305" s="20" t="str" cm="1">
        <f t="array" ref="K305">myRGB(H305,I305,J305)</f>
        <v/>
      </c>
    </row>
    <row r="306" spans="1:11" x14ac:dyDescent="0.2">
      <c r="A306">
        <v>389</v>
      </c>
      <c r="B306">
        <v>151</v>
      </c>
      <c r="C306">
        <v>7</v>
      </c>
      <c r="D306" t="s">
        <v>7556</v>
      </c>
      <c r="E306">
        <v>204</v>
      </c>
      <c r="F306" t="s">
        <v>5253</v>
      </c>
      <c r="G306" t="s">
        <v>5252</v>
      </c>
      <c r="H306">
        <v>157</v>
      </c>
      <c r="I306">
        <v>239</v>
      </c>
      <c r="J306">
        <v>210</v>
      </c>
      <c r="K306" s="310" t="str" cm="1">
        <f t="array" ref="K306">myRGB(H306,I306,J306)</f>
        <v/>
      </c>
    </row>
    <row r="307" spans="1:11" x14ac:dyDescent="0.2">
      <c r="A307">
        <v>390</v>
      </c>
      <c r="B307">
        <v>698</v>
      </c>
      <c r="C307">
        <v>6</v>
      </c>
      <c r="D307" t="s">
        <v>7557</v>
      </c>
      <c r="E307">
        <v>159</v>
      </c>
      <c r="F307" t="s">
        <v>5255</v>
      </c>
      <c r="G307" t="s">
        <v>5254</v>
      </c>
      <c r="H307">
        <v>84</v>
      </c>
      <c r="I307">
        <v>191</v>
      </c>
      <c r="J307">
        <v>148</v>
      </c>
      <c r="K307" s="96" t="str" cm="1">
        <f t="array" ref="K307">myRGB(H307,I307,J307)</f>
        <v/>
      </c>
    </row>
    <row r="308" spans="1:11" x14ac:dyDescent="0.2">
      <c r="A308">
        <v>398</v>
      </c>
      <c r="B308">
        <v>698</v>
      </c>
      <c r="C308">
        <v>6</v>
      </c>
      <c r="D308" t="s">
        <v>7558</v>
      </c>
      <c r="E308">
        <v>589</v>
      </c>
      <c r="F308" t="s">
        <v>5271</v>
      </c>
      <c r="G308" t="s">
        <v>5270</v>
      </c>
      <c r="H308">
        <v>98</v>
      </c>
      <c r="I308">
        <v>207</v>
      </c>
      <c r="J308">
        <v>159</v>
      </c>
      <c r="K308" s="238" t="str" cm="1">
        <f t="array" ref="K308">myRGB(H308,I308,J308)</f>
        <v/>
      </c>
    </row>
    <row r="309" spans="1:11" x14ac:dyDescent="0.2">
      <c r="A309">
        <v>399</v>
      </c>
      <c r="B309">
        <v>589</v>
      </c>
      <c r="C309">
        <v>7</v>
      </c>
      <c r="D309" t="s">
        <v>7559</v>
      </c>
      <c r="E309">
        <v>597</v>
      </c>
      <c r="F309" t="s">
        <v>5273</v>
      </c>
      <c r="G309" t="s">
        <v>5272</v>
      </c>
      <c r="H309">
        <v>97</v>
      </c>
      <c r="I309">
        <v>208</v>
      </c>
      <c r="J309">
        <v>159</v>
      </c>
      <c r="K309" s="95" t="str" cm="1">
        <f t="array" ref="K309">myRGB(H309,I309,J309)</f>
        <v/>
      </c>
    </row>
    <row r="310" spans="1:11" x14ac:dyDescent="0.2">
      <c r="A310">
        <v>405</v>
      </c>
      <c r="B310">
        <v>589</v>
      </c>
      <c r="C310">
        <v>7</v>
      </c>
      <c r="D310" t="s">
        <v>7560</v>
      </c>
      <c r="E310">
        <v>605</v>
      </c>
      <c r="F310" t="s">
        <v>5285</v>
      </c>
      <c r="G310" t="s">
        <v>5284</v>
      </c>
      <c r="H310">
        <v>98</v>
      </c>
      <c r="I310">
        <v>207</v>
      </c>
      <c r="J310">
        <v>158</v>
      </c>
      <c r="K310" s="72" t="str" cm="1">
        <f t="array" ref="K310">myRGB(H310,I310,J310)</f>
        <v/>
      </c>
    </row>
    <row r="311" spans="1:11" x14ac:dyDescent="0.2">
      <c r="A311">
        <v>410</v>
      </c>
      <c r="B311">
        <v>698</v>
      </c>
      <c r="C311">
        <v>6</v>
      </c>
      <c r="D311" t="s">
        <v>7561</v>
      </c>
      <c r="E311">
        <v>814</v>
      </c>
      <c r="F311" t="s">
        <v>5295</v>
      </c>
      <c r="G311" t="s">
        <v>5294</v>
      </c>
      <c r="H311">
        <v>163</v>
      </c>
      <c r="I311">
        <v>218</v>
      </c>
      <c r="J311">
        <v>163</v>
      </c>
      <c r="K311" s="92" t="str" cm="1">
        <f t="array" ref="K311">myRGB(H311,I311,J311)</f>
        <v/>
      </c>
    </row>
    <row r="312" spans="1:11" x14ac:dyDescent="0.2">
      <c r="A312">
        <v>416</v>
      </c>
      <c r="B312">
        <v>698</v>
      </c>
      <c r="C312">
        <v>6</v>
      </c>
      <c r="D312" t="s">
        <v>7562</v>
      </c>
      <c r="E312">
        <v>961</v>
      </c>
      <c r="F312" t="s">
        <v>5305</v>
      </c>
      <c r="G312" t="s">
        <v>5304</v>
      </c>
      <c r="H312">
        <v>106</v>
      </c>
      <c r="I312">
        <v>202</v>
      </c>
      <c r="J312">
        <v>185</v>
      </c>
      <c r="K312" s="69" t="str" cm="1">
        <f t="array" ref="K312">myRGB(H312,I312,J312)</f>
        <v/>
      </c>
    </row>
    <row r="313" spans="1:11" x14ac:dyDescent="0.2">
      <c r="A313">
        <v>421</v>
      </c>
      <c r="B313">
        <v>698</v>
      </c>
      <c r="C313">
        <v>6</v>
      </c>
      <c r="D313" t="s">
        <v>7563</v>
      </c>
      <c r="E313">
        <v>619</v>
      </c>
      <c r="F313" t="s">
        <v>5315</v>
      </c>
      <c r="G313" t="s">
        <v>5314</v>
      </c>
      <c r="H313">
        <v>149</v>
      </c>
      <c r="I313">
        <v>227</v>
      </c>
      <c r="J313">
        <v>199</v>
      </c>
      <c r="K313" s="18" t="str" cm="1">
        <f t="array" ref="K313">myRGB(H313,I313,J313)</f>
        <v/>
      </c>
    </row>
    <row r="314" spans="1:11" x14ac:dyDescent="0.2">
      <c r="A314">
        <v>423</v>
      </c>
      <c r="B314">
        <v>619</v>
      </c>
      <c r="C314">
        <v>7</v>
      </c>
      <c r="D314" t="s">
        <v>7564</v>
      </c>
      <c r="E314">
        <v>260</v>
      </c>
      <c r="F314" t="s">
        <v>5319</v>
      </c>
      <c r="G314" t="s">
        <v>5318</v>
      </c>
      <c r="H314">
        <v>149</v>
      </c>
      <c r="I314">
        <v>228</v>
      </c>
      <c r="J314">
        <v>199</v>
      </c>
      <c r="K314" s="94" t="str" cm="1">
        <f t="array" ref="K314">myRGB(H314,I314,J314)</f>
        <v/>
      </c>
    </row>
    <row r="315" spans="1:11" x14ac:dyDescent="0.2">
      <c r="A315">
        <v>424</v>
      </c>
      <c r="B315">
        <v>619</v>
      </c>
      <c r="C315">
        <v>7</v>
      </c>
      <c r="D315" t="s">
        <v>7565</v>
      </c>
      <c r="E315">
        <v>268</v>
      </c>
      <c r="F315" t="s">
        <v>5321</v>
      </c>
      <c r="G315" t="s">
        <v>5320</v>
      </c>
      <c r="H315">
        <v>149</v>
      </c>
      <c r="I315">
        <v>227</v>
      </c>
      <c r="J315">
        <v>200</v>
      </c>
      <c r="K315" s="71" t="str" cm="1">
        <f t="array" ref="K315">myRGB(H315,I315,J315)</f>
        <v/>
      </c>
    </row>
    <row r="316" spans="1:11" x14ac:dyDescent="0.2">
      <c r="A316">
        <v>425</v>
      </c>
      <c r="B316">
        <v>619</v>
      </c>
      <c r="C316">
        <v>7</v>
      </c>
      <c r="D316" t="s">
        <v>7566</v>
      </c>
      <c r="E316">
        <v>1139</v>
      </c>
      <c r="F316" t="s">
        <v>5323</v>
      </c>
      <c r="G316" t="s">
        <v>5322</v>
      </c>
      <c r="H316">
        <v>148</v>
      </c>
      <c r="I316">
        <v>228</v>
      </c>
      <c r="J316">
        <v>199</v>
      </c>
      <c r="K316" s="172" t="str" cm="1">
        <f t="array" ref="K316">myRGB(H316,I316,J316)</f>
        <v/>
      </c>
    </row>
    <row r="317" spans="1:11" x14ac:dyDescent="0.2">
      <c r="A317">
        <v>426</v>
      </c>
      <c r="B317">
        <v>698</v>
      </c>
      <c r="C317">
        <v>6</v>
      </c>
      <c r="D317" t="s">
        <v>7567</v>
      </c>
      <c r="E317">
        <v>631</v>
      </c>
      <c r="F317" t="s">
        <v>5325</v>
      </c>
      <c r="G317" t="s">
        <v>5324</v>
      </c>
      <c r="H317">
        <v>96</v>
      </c>
      <c r="I317">
        <v>231</v>
      </c>
      <c r="J317">
        <v>181</v>
      </c>
      <c r="K317" s="17" t="str" cm="1">
        <f t="array" ref="K317">myRGB(H317,I317,J317)</f>
        <v/>
      </c>
    </row>
    <row r="318" spans="1:11" x14ac:dyDescent="0.2">
      <c r="A318">
        <v>427</v>
      </c>
      <c r="B318">
        <v>631</v>
      </c>
      <c r="C318">
        <v>7</v>
      </c>
      <c r="D318" t="s">
        <v>7568</v>
      </c>
      <c r="E318">
        <v>639</v>
      </c>
      <c r="F318" t="s">
        <v>5327</v>
      </c>
      <c r="G318" t="s">
        <v>5326</v>
      </c>
      <c r="H318">
        <v>96</v>
      </c>
      <c r="I318">
        <v>229</v>
      </c>
      <c r="J318">
        <v>183</v>
      </c>
      <c r="K318" s="113" t="str" cm="1">
        <f t="array" ref="K318">myRGB(H318,I318,J318)</f>
        <v/>
      </c>
    </row>
    <row r="319" spans="1:11" x14ac:dyDescent="0.2">
      <c r="A319">
        <v>431</v>
      </c>
      <c r="B319">
        <v>631</v>
      </c>
      <c r="C319">
        <v>7</v>
      </c>
      <c r="D319" t="s">
        <v>7569</v>
      </c>
      <c r="E319">
        <v>647</v>
      </c>
      <c r="F319" t="s">
        <v>5335</v>
      </c>
      <c r="G319" t="s">
        <v>5334</v>
      </c>
      <c r="H319">
        <v>95</v>
      </c>
      <c r="I319">
        <v>231</v>
      </c>
      <c r="J319">
        <v>182</v>
      </c>
      <c r="K319" s="93" t="str" cm="1">
        <f t="array" ref="K319">myRGB(H319,I319,J319)</f>
        <v/>
      </c>
    </row>
    <row r="320" spans="1:11" x14ac:dyDescent="0.2">
      <c r="A320">
        <v>432</v>
      </c>
      <c r="B320">
        <v>647</v>
      </c>
      <c r="C320">
        <v>8</v>
      </c>
      <c r="D320" t="s">
        <v>7570</v>
      </c>
      <c r="E320">
        <v>655</v>
      </c>
      <c r="F320" t="s">
        <v>5337</v>
      </c>
      <c r="G320" t="s">
        <v>5336</v>
      </c>
      <c r="H320">
        <v>95</v>
      </c>
      <c r="I320">
        <v>230</v>
      </c>
      <c r="J320">
        <v>183</v>
      </c>
      <c r="K320" s="70" t="str" cm="1">
        <f t="array" ref="K320">myRGB(H320,I320,J320)</f>
        <v/>
      </c>
    </row>
    <row r="321" spans="1:11" x14ac:dyDescent="0.2">
      <c r="A321">
        <v>438</v>
      </c>
      <c r="B321">
        <v>647</v>
      </c>
      <c r="C321">
        <v>8</v>
      </c>
      <c r="D321" t="s">
        <v>7571</v>
      </c>
      <c r="E321">
        <v>663</v>
      </c>
      <c r="F321" t="s">
        <v>5349</v>
      </c>
      <c r="G321" t="s">
        <v>5348</v>
      </c>
      <c r="H321">
        <v>96</v>
      </c>
      <c r="I321">
        <v>230</v>
      </c>
      <c r="J321">
        <v>181</v>
      </c>
      <c r="K321" s="16" t="str" cm="1">
        <f t="array" ref="K321">myRGB(H321,I321,J321)</f>
        <v/>
      </c>
    </row>
    <row r="322" spans="1:11" x14ac:dyDescent="0.2">
      <c r="A322">
        <v>444</v>
      </c>
      <c r="B322">
        <v>698</v>
      </c>
      <c r="C322">
        <v>6</v>
      </c>
      <c r="D322" t="s">
        <v>7572</v>
      </c>
      <c r="E322">
        <v>788</v>
      </c>
      <c r="F322" t="s">
        <v>5361</v>
      </c>
      <c r="G322" t="s">
        <v>5360</v>
      </c>
      <c r="H322">
        <v>89</v>
      </c>
      <c r="I322">
        <v>217</v>
      </c>
      <c r="J322">
        <v>170</v>
      </c>
      <c r="K322" s="309" t="str" cm="1">
        <f t="array" ref="K322">myRGB(H322,I322,J322)</f>
        <v/>
      </c>
    </row>
    <row r="323" spans="1:11" x14ac:dyDescent="0.2">
      <c r="A323">
        <v>449</v>
      </c>
      <c r="B323">
        <v>698</v>
      </c>
      <c r="C323">
        <v>6</v>
      </c>
      <c r="D323" t="s">
        <v>7573</v>
      </c>
      <c r="E323">
        <v>566</v>
      </c>
      <c r="F323" t="s">
        <v>5371</v>
      </c>
      <c r="G323" t="s">
        <v>5370</v>
      </c>
      <c r="H323">
        <v>168</v>
      </c>
      <c r="I323">
        <v>236</v>
      </c>
      <c r="J323">
        <v>210</v>
      </c>
      <c r="K323" s="19" t="str" cm="1">
        <f t="array" ref="K323">myRGB(H323,I323,J323)</f>
        <v/>
      </c>
    </row>
    <row r="324" spans="1:11" x14ac:dyDescent="0.2">
      <c r="A324">
        <v>454</v>
      </c>
      <c r="B324">
        <v>695</v>
      </c>
      <c r="C324">
        <v>5</v>
      </c>
      <c r="D324" t="s">
        <v>7574</v>
      </c>
      <c r="E324">
        <v>1089</v>
      </c>
      <c r="F324" t="s">
        <v>5381</v>
      </c>
      <c r="G324" t="s">
        <v>5380</v>
      </c>
      <c r="H324">
        <v>125</v>
      </c>
      <c r="I324">
        <v>205</v>
      </c>
      <c r="J324">
        <v>75</v>
      </c>
      <c r="K324" s="295" t="str" cm="1">
        <f t="array" ref="K324">myRGB(H324,I324,J324)</f>
        <v/>
      </c>
    </row>
    <row r="325" spans="1:11" x14ac:dyDescent="0.2">
      <c r="A325">
        <v>455</v>
      </c>
      <c r="B325">
        <v>1089</v>
      </c>
      <c r="C325">
        <v>6</v>
      </c>
      <c r="D325" t="s">
        <v>7575</v>
      </c>
      <c r="E325">
        <v>1080</v>
      </c>
      <c r="F325" t="s">
        <v>5383</v>
      </c>
      <c r="G325" t="s">
        <v>5382</v>
      </c>
      <c r="H325">
        <v>125</v>
      </c>
      <c r="I325">
        <v>208</v>
      </c>
      <c r="J325">
        <v>72</v>
      </c>
      <c r="K325" s="478" t="str" cm="1">
        <f t="array" ref="K325">myRGB(H325,I325,J325)</f>
        <v/>
      </c>
    </row>
    <row r="326" spans="1:11" x14ac:dyDescent="0.2">
      <c r="A326">
        <v>456</v>
      </c>
      <c r="B326">
        <v>1080</v>
      </c>
      <c r="C326">
        <v>7</v>
      </c>
      <c r="D326" t="s">
        <v>7576</v>
      </c>
      <c r="E326">
        <v>375</v>
      </c>
      <c r="F326" t="s">
        <v>5385</v>
      </c>
      <c r="G326" t="s">
        <v>5384</v>
      </c>
      <c r="H326">
        <v>126</v>
      </c>
      <c r="I326">
        <v>208</v>
      </c>
      <c r="J326">
        <v>74</v>
      </c>
      <c r="K326" s="453" t="str" cm="1">
        <f t="array" ref="K326">myRGB(H326,I326,J326)</f>
        <v/>
      </c>
    </row>
    <row r="327" spans="1:11" x14ac:dyDescent="0.2">
      <c r="A327">
        <v>457</v>
      </c>
      <c r="B327">
        <v>375</v>
      </c>
      <c r="C327">
        <v>8</v>
      </c>
      <c r="D327" t="s">
        <v>7577</v>
      </c>
      <c r="E327">
        <v>382</v>
      </c>
      <c r="F327" t="s">
        <v>5387</v>
      </c>
      <c r="G327" t="s">
        <v>5386</v>
      </c>
      <c r="H327">
        <v>126</v>
      </c>
      <c r="I327">
        <v>207</v>
      </c>
      <c r="J327">
        <v>75</v>
      </c>
      <c r="K327" s="294" t="str" cm="1">
        <f t="array" ref="K327">myRGB(H327,I327,J327)</f>
        <v/>
      </c>
    </row>
    <row r="328" spans="1:11" x14ac:dyDescent="0.2">
      <c r="A328">
        <v>462</v>
      </c>
      <c r="B328">
        <v>375</v>
      </c>
      <c r="C328">
        <v>8</v>
      </c>
      <c r="D328" t="s">
        <v>7578</v>
      </c>
      <c r="E328">
        <v>423</v>
      </c>
      <c r="F328" t="s">
        <v>5397</v>
      </c>
      <c r="G328" t="s">
        <v>5396</v>
      </c>
      <c r="H328">
        <v>125</v>
      </c>
      <c r="I328">
        <v>207</v>
      </c>
      <c r="J328">
        <v>75</v>
      </c>
      <c r="K328" s="437" t="str" cm="1">
        <f t="array" ref="K328">myRGB(H328,I328,J328)</f>
        <v/>
      </c>
    </row>
    <row r="329" spans="1:11" x14ac:dyDescent="0.2">
      <c r="A329">
        <v>467</v>
      </c>
      <c r="B329">
        <v>375</v>
      </c>
      <c r="C329">
        <v>8</v>
      </c>
      <c r="D329" t="s">
        <v>7579</v>
      </c>
      <c r="E329">
        <v>463</v>
      </c>
      <c r="F329" t="s">
        <v>5407</v>
      </c>
      <c r="G329" t="s">
        <v>5406</v>
      </c>
      <c r="H329">
        <v>126</v>
      </c>
      <c r="I329">
        <v>207</v>
      </c>
      <c r="J329">
        <v>73</v>
      </c>
      <c r="K329" s="168" t="str" cm="1">
        <f t="array" ref="K329">myRGB(H329,I329,J329)</f>
        <v/>
      </c>
    </row>
    <row r="330" spans="1:11" x14ac:dyDescent="0.2">
      <c r="A330">
        <v>473</v>
      </c>
      <c r="B330">
        <v>1080</v>
      </c>
      <c r="C330">
        <v>7</v>
      </c>
      <c r="D330" t="s">
        <v>7580</v>
      </c>
      <c r="E330">
        <v>726</v>
      </c>
      <c r="F330" t="s">
        <v>5419</v>
      </c>
      <c r="G330" t="s">
        <v>5418</v>
      </c>
      <c r="H330">
        <v>125</v>
      </c>
      <c r="I330">
        <v>207</v>
      </c>
      <c r="J330">
        <v>73</v>
      </c>
      <c r="K330" s="390" t="str" cm="1">
        <f t="array" ref="K330">myRGB(H330,I330,J330)</f>
        <v/>
      </c>
    </row>
    <row r="331" spans="1:11" x14ac:dyDescent="0.2">
      <c r="A331">
        <v>474</v>
      </c>
      <c r="B331">
        <v>726</v>
      </c>
      <c r="C331">
        <v>8</v>
      </c>
      <c r="D331" t="s">
        <v>8087</v>
      </c>
      <c r="E331">
        <v>1141</v>
      </c>
      <c r="F331" t="s">
        <v>5421</v>
      </c>
      <c r="G331" t="s">
        <v>5420</v>
      </c>
      <c r="H331">
        <v>123</v>
      </c>
      <c r="I331">
        <v>208</v>
      </c>
      <c r="J331">
        <v>74</v>
      </c>
      <c r="K331" s="293" t="str" cm="1">
        <f t="array" ref="K331">myRGB(H331,I331,J331)</f>
        <v/>
      </c>
    </row>
    <row r="332" spans="1:11" x14ac:dyDescent="0.2">
      <c r="A332">
        <v>475</v>
      </c>
      <c r="B332">
        <v>726</v>
      </c>
      <c r="C332">
        <v>8</v>
      </c>
      <c r="D332" t="s">
        <v>8088</v>
      </c>
      <c r="E332">
        <v>1142</v>
      </c>
      <c r="F332" t="s">
        <v>5423</v>
      </c>
      <c r="G332" t="s">
        <v>5422</v>
      </c>
      <c r="H332">
        <v>126</v>
      </c>
      <c r="I332">
        <v>206</v>
      </c>
      <c r="J332">
        <v>74</v>
      </c>
      <c r="K332" s="377" t="str" cm="1">
        <f t="array" ref="K332">myRGB(H332,I332,J332)</f>
        <v/>
      </c>
    </row>
    <row r="333" spans="1:11" x14ac:dyDescent="0.2">
      <c r="A333">
        <v>476</v>
      </c>
      <c r="B333">
        <v>726</v>
      </c>
      <c r="C333">
        <v>8</v>
      </c>
      <c r="D333" t="s">
        <v>7581</v>
      </c>
      <c r="E333">
        <v>632</v>
      </c>
      <c r="F333" t="s">
        <v>5425</v>
      </c>
      <c r="G333" t="s">
        <v>5424</v>
      </c>
      <c r="H333">
        <v>101</v>
      </c>
      <c r="I333">
        <v>168</v>
      </c>
      <c r="J333">
        <v>61</v>
      </c>
      <c r="K333" s="167" t="str" cm="1">
        <f t="array" ref="K333">myRGB(H333,I333,J333)</f>
        <v/>
      </c>
    </row>
    <row r="334" spans="1:11" x14ac:dyDescent="0.2">
      <c r="A334">
        <v>490</v>
      </c>
      <c r="B334">
        <v>1080</v>
      </c>
      <c r="C334">
        <v>7</v>
      </c>
      <c r="D334" t="s">
        <v>7582</v>
      </c>
      <c r="E334">
        <v>982</v>
      </c>
      <c r="F334" t="s">
        <v>5453</v>
      </c>
      <c r="G334" t="s">
        <v>5452</v>
      </c>
      <c r="H334">
        <v>126</v>
      </c>
      <c r="I334">
        <v>205</v>
      </c>
      <c r="J334">
        <v>74</v>
      </c>
      <c r="K334" s="579" t="str" cm="1">
        <f t="array" ref="K334">myRGB(H334,I334,J334)</f>
        <v/>
      </c>
    </row>
    <row r="335" spans="1:11" x14ac:dyDescent="0.2">
      <c r="A335">
        <v>491</v>
      </c>
      <c r="B335">
        <v>1080</v>
      </c>
      <c r="C335">
        <v>7</v>
      </c>
      <c r="D335" t="s">
        <v>7583</v>
      </c>
      <c r="E335">
        <v>19</v>
      </c>
      <c r="F335" t="s">
        <v>5455</v>
      </c>
      <c r="G335" t="s">
        <v>5454</v>
      </c>
      <c r="H335">
        <v>126</v>
      </c>
      <c r="I335">
        <v>208</v>
      </c>
      <c r="J335">
        <v>75</v>
      </c>
      <c r="K335" s="169" t="str" cm="1">
        <f t="array" ref="K335">myRGB(H335,I335,J335)</f>
        <v/>
      </c>
    </row>
    <row r="336" spans="1:11" x14ac:dyDescent="0.2">
      <c r="A336">
        <v>492</v>
      </c>
      <c r="B336">
        <v>1089</v>
      </c>
      <c r="C336">
        <v>6</v>
      </c>
      <c r="D336" t="s">
        <v>7584</v>
      </c>
      <c r="E336">
        <v>822</v>
      </c>
      <c r="F336" t="s">
        <v>5457</v>
      </c>
      <c r="G336" t="s">
        <v>5456</v>
      </c>
      <c r="H336">
        <v>48</v>
      </c>
      <c r="I336">
        <v>182</v>
      </c>
      <c r="J336">
        <v>37</v>
      </c>
      <c r="K336" s="292" t="str" cm="1">
        <f t="array" ref="K336">myRGB(H336,I336,J336)</f>
        <v/>
      </c>
    </row>
    <row r="337" spans="1:11" x14ac:dyDescent="0.2">
      <c r="A337">
        <v>493</v>
      </c>
      <c r="B337">
        <v>822</v>
      </c>
      <c r="C337">
        <v>7</v>
      </c>
      <c r="D337" t="s">
        <v>7585</v>
      </c>
      <c r="E337">
        <v>909</v>
      </c>
      <c r="F337" t="s">
        <v>5459</v>
      </c>
      <c r="G337" t="s">
        <v>5458</v>
      </c>
      <c r="H337">
        <v>50</v>
      </c>
      <c r="I337">
        <v>184</v>
      </c>
      <c r="J337">
        <v>34</v>
      </c>
      <c r="K337" s="290" t="str" cm="1">
        <f t="array" ref="K337">myRGB(H337,I337,J337)</f>
        <v/>
      </c>
    </row>
    <row r="338" spans="1:11" x14ac:dyDescent="0.2">
      <c r="A338">
        <v>494</v>
      </c>
      <c r="B338">
        <v>909</v>
      </c>
      <c r="C338">
        <v>8</v>
      </c>
      <c r="D338" t="s">
        <v>7586</v>
      </c>
      <c r="E338">
        <v>918</v>
      </c>
      <c r="F338" t="s">
        <v>5461</v>
      </c>
      <c r="G338" t="s">
        <v>5460</v>
      </c>
      <c r="H338">
        <v>50</v>
      </c>
      <c r="I338">
        <v>181</v>
      </c>
      <c r="J338">
        <v>37</v>
      </c>
      <c r="K338" s="436" t="str" cm="1">
        <f t="array" ref="K338">myRGB(H338,I338,J338)</f>
        <v/>
      </c>
    </row>
    <row r="339" spans="1:11" x14ac:dyDescent="0.2">
      <c r="A339">
        <v>495</v>
      </c>
      <c r="B339">
        <v>918</v>
      </c>
      <c r="C339">
        <v>9</v>
      </c>
      <c r="D339" t="s">
        <v>7587</v>
      </c>
      <c r="E339">
        <v>1121</v>
      </c>
      <c r="F339" t="s">
        <v>5463</v>
      </c>
      <c r="G339" t="s">
        <v>5462</v>
      </c>
      <c r="H339">
        <v>50</v>
      </c>
      <c r="I339">
        <v>183</v>
      </c>
      <c r="J339">
        <v>34</v>
      </c>
      <c r="K339" s="164" t="str" cm="1">
        <f t="array" ref="K339">myRGB(H339,I339,J339)</f>
        <v/>
      </c>
    </row>
    <row r="340" spans="1:11" x14ac:dyDescent="0.2">
      <c r="A340">
        <v>496</v>
      </c>
      <c r="B340">
        <v>918</v>
      </c>
      <c r="C340">
        <v>9</v>
      </c>
      <c r="D340" t="s">
        <v>7588</v>
      </c>
      <c r="E340">
        <v>20</v>
      </c>
      <c r="F340" t="s">
        <v>5465</v>
      </c>
      <c r="G340" t="s">
        <v>5464</v>
      </c>
      <c r="H340">
        <v>50</v>
      </c>
      <c r="I340">
        <v>184</v>
      </c>
      <c r="J340">
        <v>37</v>
      </c>
      <c r="K340" s="289" t="str" cm="1">
        <f t="array" ref="K340">myRGB(H340,I340,J340)</f>
        <v/>
      </c>
    </row>
    <row r="341" spans="1:11" x14ac:dyDescent="0.2">
      <c r="A341">
        <v>500</v>
      </c>
      <c r="B341">
        <v>918</v>
      </c>
      <c r="C341">
        <v>9</v>
      </c>
      <c r="D341" t="s">
        <v>7589</v>
      </c>
      <c r="E341">
        <v>52</v>
      </c>
      <c r="F341" t="s">
        <v>5471</v>
      </c>
      <c r="G341" t="s">
        <v>5470</v>
      </c>
      <c r="H341">
        <v>50</v>
      </c>
      <c r="I341">
        <v>183</v>
      </c>
      <c r="J341">
        <v>37</v>
      </c>
      <c r="K341" s="376" t="str" cm="1">
        <f t="array" ref="K341">myRGB(H341,I341,J341)</f>
        <v/>
      </c>
    </row>
    <row r="342" spans="1:11" x14ac:dyDescent="0.2">
      <c r="A342">
        <v>503</v>
      </c>
      <c r="B342">
        <v>918</v>
      </c>
      <c r="C342">
        <v>9</v>
      </c>
      <c r="D342" t="s">
        <v>7590</v>
      </c>
      <c r="E342">
        <v>139</v>
      </c>
      <c r="F342" t="s">
        <v>5475</v>
      </c>
      <c r="G342" t="s">
        <v>5474</v>
      </c>
      <c r="H342">
        <v>49</v>
      </c>
      <c r="I342">
        <v>184</v>
      </c>
      <c r="J342">
        <v>36</v>
      </c>
      <c r="K342" s="389" t="str" cm="1">
        <f t="array" ref="K342">myRGB(H342,I342,J342)</f>
        <v/>
      </c>
    </row>
    <row r="343" spans="1:11" x14ac:dyDescent="0.2">
      <c r="A343">
        <v>505</v>
      </c>
      <c r="B343">
        <v>918</v>
      </c>
      <c r="C343">
        <v>9</v>
      </c>
      <c r="D343" t="s">
        <v>7591</v>
      </c>
      <c r="E343">
        <v>28</v>
      </c>
      <c r="F343" t="s">
        <v>5477</v>
      </c>
      <c r="G343" t="s">
        <v>5476</v>
      </c>
      <c r="H343">
        <v>50</v>
      </c>
      <c r="I343">
        <v>184</v>
      </c>
      <c r="J343">
        <v>36</v>
      </c>
      <c r="K343" s="268" t="str" cm="1">
        <f t="array" ref="K343">myRGB(H343,I343,J343)</f>
        <v/>
      </c>
    </row>
    <row r="344" spans="1:11" x14ac:dyDescent="0.2">
      <c r="A344">
        <v>507</v>
      </c>
      <c r="B344">
        <v>909</v>
      </c>
      <c r="C344">
        <v>8</v>
      </c>
      <c r="D344" t="s">
        <v>7592</v>
      </c>
      <c r="E344">
        <v>926</v>
      </c>
      <c r="F344" t="s">
        <v>5481</v>
      </c>
      <c r="G344" t="s">
        <v>5480</v>
      </c>
      <c r="H344">
        <v>49</v>
      </c>
      <c r="I344">
        <v>182</v>
      </c>
      <c r="J344">
        <v>35</v>
      </c>
      <c r="K344" s="163" t="str" cm="1">
        <f t="array" ref="K344">myRGB(H344,I344,J344)</f>
        <v/>
      </c>
    </row>
    <row r="345" spans="1:11" x14ac:dyDescent="0.2">
      <c r="A345">
        <v>508</v>
      </c>
      <c r="B345">
        <v>926</v>
      </c>
      <c r="C345">
        <v>9</v>
      </c>
      <c r="D345" t="s">
        <v>7593</v>
      </c>
      <c r="E345">
        <v>526</v>
      </c>
      <c r="F345" t="s">
        <v>5483</v>
      </c>
      <c r="G345" t="s">
        <v>5482</v>
      </c>
      <c r="H345">
        <v>49</v>
      </c>
      <c r="I345">
        <v>182</v>
      </c>
      <c r="J345">
        <v>37</v>
      </c>
      <c r="K345" s="375" t="str" cm="1">
        <f t="array" ref="K345">myRGB(H345,I345,J345)</f>
        <v/>
      </c>
    </row>
    <row r="346" spans="1:11" x14ac:dyDescent="0.2">
      <c r="A346">
        <v>509</v>
      </c>
      <c r="B346">
        <v>926</v>
      </c>
      <c r="C346">
        <v>9</v>
      </c>
      <c r="D346" t="s">
        <v>7594</v>
      </c>
      <c r="E346">
        <v>543</v>
      </c>
      <c r="F346" t="s">
        <v>5485</v>
      </c>
      <c r="G346" t="s">
        <v>5484</v>
      </c>
      <c r="H346">
        <v>48</v>
      </c>
      <c r="I346">
        <v>184</v>
      </c>
      <c r="J346">
        <v>36</v>
      </c>
      <c r="K346" s="339" t="str" cm="1">
        <f t="array" ref="K346">myRGB(H346,I346,J346)</f>
        <v/>
      </c>
    </row>
    <row r="347" spans="1:11" x14ac:dyDescent="0.2">
      <c r="A347">
        <v>512</v>
      </c>
      <c r="B347">
        <v>926</v>
      </c>
      <c r="C347">
        <v>9</v>
      </c>
      <c r="D347" t="s">
        <v>7595</v>
      </c>
      <c r="E347">
        <v>664</v>
      </c>
      <c r="F347" t="s">
        <v>5491</v>
      </c>
      <c r="G347" t="s">
        <v>5490</v>
      </c>
      <c r="H347">
        <v>49</v>
      </c>
      <c r="I347">
        <v>183</v>
      </c>
      <c r="J347">
        <v>35</v>
      </c>
      <c r="K347" s="288" t="str" cm="1">
        <f t="array" ref="K347">myRGB(H347,I347,J347)</f>
        <v/>
      </c>
    </row>
    <row r="348" spans="1:11" x14ac:dyDescent="0.2">
      <c r="A348">
        <v>514</v>
      </c>
      <c r="B348">
        <v>926</v>
      </c>
      <c r="C348">
        <v>9</v>
      </c>
      <c r="D348" t="s">
        <v>7596</v>
      </c>
      <c r="E348">
        <v>727</v>
      </c>
      <c r="F348" t="s">
        <v>5495</v>
      </c>
      <c r="G348" t="s">
        <v>5494</v>
      </c>
      <c r="H348">
        <v>48</v>
      </c>
      <c r="I348">
        <v>183</v>
      </c>
      <c r="J348">
        <v>36</v>
      </c>
      <c r="K348" s="236" t="str" cm="1">
        <f t="array" ref="K348">myRGB(H348,I348,J348)</f>
        <v/>
      </c>
    </row>
    <row r="349" spans="1:11" x14ac:dyDescent="0.2">
      <c r="A349">
        <v>516</v>
      </c>
      <c r="B349">
        <v>926</v>
      </c>
      <c r="C349">
        <v>9</v>
      </c>
      <c r="D349" t="s">
        <v>7597</v>
      </c>
      <c r="E349">
        <v>743</v>
      </c>
      <c r="F349" t="s">
        <v>5497</v>
      </c>
      <c r="G349" t="s">
        <v>5496</v>
      </c>
      <c r="H349">
        <v>50</v>
      </c>
      <c r="I349">
        <v>182</v>
      </c>
      <c r="J349">
        <v>35</v>
      </c>
      <c r="K349" s="162" t="str" cm="1">
        <f t="array" ref="K349">myRGB(H349,I349,J349)</f>
        <v/>
      </c>
    </row>
    <row r="350" spans="1:11" x14ac:dyDescent="0.2">
      <c r="A350">
        <v>523</v>
      </c>
      <c r="B350">
        <v>822</v>
      </c>
      <c r="C350">
        <v>7</v>
      </c>
      <c r="D350" t="s">
        <v>7598</v>
      </c>
      <c r="E350">
        <v>843</v>
      </c>
      <c r="F350" t="s">
        <v>5509</v>
      </c>
      <c r="G350" t="s">
        <v>5508</v>
      </c>
      <c r="H350">
        <v>114</v>
      </c>
      <c r="I350">
        <v>213</v>
      </c>
      <c r="J350">
        <v>104</v>
      </c>
      <c r="K350" s="452" t="str" cm="1">
        <f t="array" ref="K350">myRGB(H350,I350,J350)</f>
        <v/>
      </c>
    </row>
    <row r="351" spans="1:11" x14ac:dyDescent="0.2">
      <c r="A351">
        <v>527</v>
      </c>
      <c r="B351">
        <v>822</v>
      </c>
      <c r="C351">
        <v>7</v>
      </c>
      <c r="D351" t="s">
        <v>7599</v>
      </c>
      <c r="E351">
        <v>1037</v>
      </c>
      <c r="F351" t="s">
        <v>5517</v>
      </c>
      <c r="G351" t="s">
        <v>5516</v>
      </c>
      <c r="H351">
        <v>71</v>
      </c>
      <c r="I351">
        <v>200</v>
      </c>
      <c r="J351">
        <v>60</v>
      </c>
      <c r="K351" s="515" t="str" cm="1">
        <f t="array" ref="K351">myRGB(H351,I351,J351)</f>
        <v/>
      </c>
    </row>
    <row r="352" spans="1:11" x14ac:dyDescent="0.2">
      <c r="A352">
        <v>531</v>
      </c>
      <c r="B352">
        <v>822</v>
      </c>
      <c r="C352">
        <v>7</v>
      </c>
      <c r="D352" t="s">
        <v>7600</v>
      </c>
      <c r="E352">
        <v>1084</v>
      </c>
      <c r="F352" t="s">
        <v>5525</v>
      </c>
      <c r="G352" t="s">
        <v>5524</v>
      </c>
      <c r="H352">
        <v>89</v>
      </c>
      <c r="I352">
        <v>184</v>
      </c>
      <c r="J352">
        <v>71</v>
      </c>
      <c r="K352" s="166" t="str" cm="1">
        <f t="array" ref="K352">myRGB(H352,I352,J352)</f>
        <v/>
      </c>
    </row>
    <row r="353" spans="1:11" x14ac:dyDescent="0.2">
      <c r="A353">
        <v>535</v>
      </c>
      <c r="B353">
        <v>822</v>
      </c>
      <c r="C353">
        <v>7</v>
      </c>
      <c r="D353" t="s">
        <v>7601</v>
      </c>
      <c r="E353">
        <v>502</v>
      </c>
      <c r="F353" t="s">
        <v>5533</v>
      </c>
      <c r="G353" t="s">
        <v>5532</v>
      </c>
      <c r="H353">
        <v>79</v>
      </c>
      <c r="I353">
        <v>194</v>
      </c>
      <c r="J353">
        <v>68</v>
      </c>
      <c r="K353" s="477" t="str" cm="1">
        <f t="array" ref="K353">myRGB(H353,I353,J353)</f>
        <v/>
      </c>
    </row>
    <row r="354" spans="1:11" x14ac:dyDescent="0.2">
      <c r="A354">
        <v>544</v>
      </c>
      <c r="B354">
        <v>822</v>
      </c>
      <c r="C354">
        <v>7</v>
      </c>
      <c r="D354" t="s">
        <v>7602</v>
      </c>
      <c r="E354">
        <v>484682470</v>
      </c>
      <c r="F354" t="s">
        <v>5551</v>
      </c>
      <c r="G354" t="s">
        <v>5550</v>
      </c>
      <c r="H354">
        <v>87</v>
      </c>
      <c r="I354">
        <v>185</v>
      </c>
      <c r="J354">
        <v>71</v>
      </c>
      <c r="K354" s="490" t="str" cm="1">
        <f t="array" ref="K354">myRGB(H354,I354,J354)</f>
        <v/>
      </c>
    </row>
    <row r="355" spans="1:11" x14ac:dyDescent="0.2">
      <c r="A355">
        <v>553</v>
      </c>
      <c r="B355">
        <v>822</v>
      </c>
      <c r="C355">
        <v>7</v>
      </c>
      <c r="D355" t="s">
        <v>7603</v>
      </c>
      <c r="E355">
        <v>589508447</v>
      </c>
      <c r="F355" t="s">
        <v>5569</v>
      </c>
      <c r="G355" t="s">
        <v>5568</v>
      </c>
      <c r="H355">
        <v>51</v>
      </c>
      <c r="I355">
        <v>185</v>
      </c>
      <c r="J355">
        <v>49</v>
      </c>
      <c r="K355" s="165" t="str" cm="1">
        <f t="array" ref="K355">myRGB(H355,I355,J355)</f>
        <v/>
      </c>
    </row>
    <row r="356" spans="1:11" x14ac:dyDescent="0.2">
      <c r="A356">
        <v>554</v>
      </c>
      <c r="B356">
        <v>822</v>
      </c>
      <c r="C356">
        <v>7</v>
      </c>
      <c r="D356" t="s">
        <v>7604</v>
      </c>
      <c r="E356">
        <v>484682508</v>
      </c>
      <c r="F356" t="s">
        <v>5571</v>
      </c>
      <c r="G356" t="s">
        <v>5570</v>
      </c>
      <c r="H356">
        <v>51</v>
      </c>
      <c r="I356">
        <v>185</v>
      </c>
      <c r="J356">
        <v>50</v>
      </c>
      <c r="K356" s="291" t="str" cm="1">
        <f t="array" ref="K356">myRGB(H356,I356,J356)</f>
        <v/>
      </c>
    </row>
    <row r="357" spans="1:11" x14ac:dyDescent="0.2">
      <c r="A357">
        <v>555</v>
      </c>
      <c r="B357">
        <v>688</v>
      </c>
      <c r="C357">
        <v>4</v>
      </c>
      <c r="D357" t="s">
        <v>7605</v>
      </c>
      <c r="E357">
        <v>703</v>
      </c>
      <c r="F357" t="s">
        <v>5573</v>
      </c>
      <c r="G357" t="s">
        <v>5572</v>
      </c>
      <c r="H357">
        <v>138</v>
      </c>
      <c r="I357">
        <v>217</v>
      </c>
      <c r="J357">
        <v>135</v>
      </c>
      <c r="K357" s="15" t="str" cm="1">
        <f t="array" ref="K357">myRGB(H357,I357,J357)</f>
        <v/>
      </c>
    </row>
    <row r="358" spans="1:11" x14ac:dyDescent="0.2">
      <c r="A358">
        <v>557</v>
      </c>
      <c r="B358">
        <v>703</v>
      </c>
      <c r="C358">
        <v>5</v>
      </c>
      <c r="D358" t="s">
        <v>7606</v>
      </c>
      <c r="E358">
        <v>583</v>
      </c>
      <c r="F358" t="s">
        <v>5577</v>
      </c>
      <c r="G358" t="s">
        <v>5576</v>
      </c>
      <c r="H358">
        <v>138</v>
      </c>
      <c r="I358">
        <v>218</v>
      </c>
      <c r="J358">
        <v>134</v>
      </c>
      <c r="K358" s="112" t="str" cm="1">
        <f t="array" ref="K358">myRGB(H358,I358,J358)</f>
        <v/>
      </c>
    </row>
    <row r="359" spans="1:11" x14ac:dyDescent="0.2">
      <c r="A359">
        <v>558</v>
      </c>
      <c r="B359">
        <v>703</v>
      </c>
      <c r="C359">
        <v>5</v>
      </c>
      <c r="D359" t="s">
        <v>7607</v>
      </c>
      <c r="E359">
        <v>942</v>
      </c>
      <c r="F359" t="s">
        <v>5579</v>
      </c>
      <c r="G359" t="s">
        <v>5578</v>
      </c>
      <c r="H359">
        <v>160</v>
      </c>
      <c r="I359">
        <v>238</v>
      </c>
      <c r="J359">
        <v>157</v>
      </c>
      <c r="K359" s="66" t="str" cm="1">
        <f t="array" ref="K359">myRGB(H359,I359,J359)</f>
        <v/>
      </c>
    </row>
    <row r="360" spans="1:11" x14ac:dyDescent="0.2">
      <c r="A360">
        <v>559</v>
      </c>
      <c r="B360">
        <v>942</v>
      </c>
      <c r="C360">
        <v>6</v>
      </c>
      <c r="D360" t="s">
        <v>7608</v>
      </c>
      <c r="E360">
        <v>952</v>
      </c>
      <c r="F360" t="s">
        <v>5581</v>
      </c>
      <c r="G360" t="s">
        <v>5580</v>
      </c>
      <c r="H360">
        <v>160</v>
      </c>
      <c r="I360">
        <v>238</v>
      </c>
      <c r="J360">
        <v>156</v>
      </c>
      <c r="K360" s="12" t="str" cm="1">
        <f t="array" ref="K360">myRGB(H360,I360,J360)</f>
        <v/>
      </c>
    </row>
    <row r="361" spans="1:11" x14ac:dyDescent="0.2">
      <c r="A361">
        <v>560</v>
      </c>
      <c r="B361">
        <v>942</v>
      </c>
      <c r="C361">
        <v>6</v>
      </c>
      <c r="D361" t="s">
        <v>7609</v>
      </c>
      <c r="E361">
        <v>966</v>
      </c>
      <c r="F361" t="s">
        <v>5583</v>
      </c>
      <c r="G361" t="s">
        <v>5582</v>
      </c>
      <c r="H361">
        <v>160</v>
      </c>
      <c r="I361">
        <v>237</v>
      </c>
      <c r="J361">
        <v>157</v>
      </c>
      <c r="K361" s="11" t="str" cm="1">
        <f t="array" ref="K361">myRGB(H361,I361,J361)</f>
        <v/>
      </c>
    </row>
    <row r="362" spans="1:11" x14ac:dyDescent="0.2">
      <c r="A362">
        <v>561</v>
      </c>
      <c r="B362">
        <v>703</v>
      </c>
      <c r="C362">
        <v>5</v>
      </c>
      <c r="D362" t="s">
        <v>7610</v>
      </c>
      <c r="E362">
        <v>131</v>
      </c>
      <c r="F362" t="s">
        <v>5585</v>
      </c>
      <c r="G362" t="s">
        <v>5584</v>
      </c>
      <c r="H362">
        <v>144</v>
      </c>
      <c r="I362">
        <v>235</v>
      </c>
      <c r="J362">
        <v>141</v>
      </c>
      <c r="K362" s="237" t="str" cm="1">
        <f t="array" ref="K362">myRGB(H362,I362,J362)</f>
        <v/>
      </c>
    </row>
    <row r="363" spans="1:11" x14ac:dyDescent="0.2">
      <c r="A363">
        <v>562</v>
      </c>
      <c r="B363">
        <v>703</v>
      </c>
      <c r="C363">
        <v>5</v>
      </c>
      <c r="D363" t="s">
        <v>7611</v>
      </c>
      <c r="E363">
        <v>295</v>
      </c>
      <c r="F363" t="s">
        <v>5587</v>
      </c>
      <c r="G363" t="s">
        <v>5586</v>
      </c>
      <c r="H363">
        <v>157</v>
      </c>
      <c r="I363">
        <v>231</v>
      </c>
      <c r="J363">
        <v>156</v>
      </c>
      <c r="K363" s="91" t="str" cm="1">
        <f t="array" ref="K363">myRGB(H363,I363,J363)</f>
        <v/>
      </c>
    </row>
    <row r="364" spans="1:11" x14ac:dyDescent="0.2">
      <c r="A364">
        <v>563</v>
      </c>
      <c r="B364">
        <v>295</v>
      </c>
      <c r="C364">
        <v>6</v>
      </c>
      <c r="D364" t="s">
        <v>7612</v>
      </c>
      <c r="E364">
        <v>303</v>
      </c>
      <c r="F364" t="s">
        <v>5589</v>
      </c>
      <c r="G364" t="s">
        <v>5588</v>
      </c>
      <c r="H364">
        <v>157</v>
      </c>
      <c r="I364">
        <v>231</v>
      </c>
      <c r="J364">
        <v>155</v>
      </c>
      <c r="K364" s="68" t="str" cm="1">
        <f t="array" ref="K364">myRGB(H364,I364,J364)</f>
        <v/>
      </c>
    </row>
    <row r="365" spans="1:11" x14ac:dyDescent="0.2">
      <c r="A365">
        <v>564</v>
      </c>
      <c r="B365">
        <v>295</v>
      </c>
      <c r="C365">
        <v>6</v>
      </c>
      <c r="D365" t="s">
        <v>7613</v>
      </c>
      <c r="E365">
        <v>311</v>
      </c>
      <c r="F365" t="s">
        <v>5591</v>
      </c>
      <c r="G365" t="s">
        <v>5590</v>
      </c>
      <c r="H365">
        <v>157</v>
      </c>
      <c r="I365">
        <v>230</v>
      </c>
      <c r="J365">
        <v>156</v>
      </c>
      <c r="K365" s="14" t="str" cm="1">
        <f t="array" ref="K365">myRGB(H365,I365,J365)</f>
        <v/>
      </c>
    </row>
    <row r="366" spans="1:11" x14ac:dyDescent="0.2">
      <c r="A366">
        <v>565</v>
      </c>
      <c r="B366">
        <v>295</v>
      </c>
      <c r="C366">
        <v>6</v>
      </c>
      <c r="D366" t="s">
        <v>7614</v>
      </c>
      <c r="E366">
        <v>451</v>
      </c>
      <c r="F366" t="s">
        <v>5593</v>
      </c>
      <c r="G366" t="s">
        <v>5592</v>
      </c>
      <c r="H366">
        <v>156</v>
      </c>
      <c r="I366">
        <v>231</v>
      </c>
      <c r="J366">
        <v>156</v>
      </c>
      <c r="K366" s="171" t="str" cm="1">
        <f t="array" ref="K366">myRGB(H366,I366,J366)</f>
        <v/>
      </c>
    </row>
    <row r="367" spans="1:11" x14ac:dyDescent="0.2">
      <c r="A367">
        <v>566</v>
      </c>
      <c r="B367">
        <v>703</v>
      </c>
      <c r="C367">
        <v>5</v>
      </c>
      <c r="D367" t="s">
        <v>7615</v>
      </c>
      <c r="E367">
        <v>319</v>
      </c>
      <c r="F367" t="s">
        <v>5595</v>
      </c>
      <c r="G367" t="s">
        <v>5594</v>
      </c>
      <c r="H367">
        <v>132</v>
      </c>
      <c r="I367">
        <v>234</v>
      </c>
      <c r="J367">
        <v>129</v>
      </c>
      <c r="K367" s="90" t="str" cm="1">
        <f t="array" ref="K367">myRGB(H367,I367,J367)</f>
        <v/>
      </c>
    </row>
    <row r="368" spans="1:11" x14ac:dyDescent="0.2">
      <c r="A368">
        <v>567</v>
      </c>
      <c r="B368">
        <v>319</v>
      </c>
      <c r="C368">
        <v>6</v>
      </c>
      <c r="D368" t="s">
        <v>7616</v>
      </c>
      <c r="E368">
        <v>327</v>
      </c>
      <c r="F368" t="s">
        <v>5597</v>
      </c>
      <c r="G368" t="s">
        <v>5596</v>
      </c>
      <c r="H368">
        <v>132</v>
      </c>
      <c r="I368">
        <v>234</v>
      </c>
      <c r="J368">
        <v>128</v>
      </c>
      <c r="K368" s="67" t="str" cm="1">
        <f t="array" ref="K368">myRGB(H368,I368,J368)</f>
        <v/>
      </c>
    </row>
    <row r="369" spans="1:11" x14ac:dyDescent="0.2">
      <c r="A369">
        <v>568</v>
      </c>
      <c r="B369">
        <v>319</v>
      </c>
      <c r="C369">
        <v>6</v>
      </c>
      <c r="D369" t="s">
        <v>7617</v>
      </c>
      <c r="E369">
        <v>334</v>
      </c>
      <c r="F369" t="s">
        <v>5599</v>
      </c>
      <c r="G369" t="s">
        <v>5598</v>
      </c>
      <c r="H369">
        <v>132</v>
      </c>
      <c r="I369">
        <v>233</v>
      </c>
      <c r="J369">
        <v>129</v>
      </c>
      <c r="K369" s="13" t="str" cm="1">
        <f t="array" ref="K369">myRGB(H369,I369,J369)</f>
        <v/>
      </c>
    </row>
    <row r="370" spans="1:11" x14ac:dyDescent="0.2">
      <c r="A370">
        <v>569</v>
      </c>
      <c r="B370">
        <v>703</v>
      </c>
      <c r="C370">
        <v>5</v>
      </c>
      <c r="D370" t="s">
        <v>7618</v>
      </c>
      <c r="E370">
        <v>780</v>
      </c>
      <c r="F370" t="s">
        <v>5601</v>
      </c>
      <c r="G370" t="s">
        <v>5600</v>
      </c>
      <c r="H370">
        <v>151</v>
      </c>
      <c r="I370">
        <v>236</v>
      </c>
      <c r="J370">
        <v>147</v>
      </c>
      <c r="K370" s="89" t="str" cm="1">
        <f t="array" ref="K370">myRGB(H370,I370,J370)</f>
        <v/>
      </c>
    </row>
    <row r="371" spans="1:11" x14ac:dyDescent="0.2">
      <c r="A371">
        <v>570</v>
      </c>
      <c r="B371">
        <v>567</v>
      </c>
      <c r="C371">
        <v>3</v>
      </c>
      <c r="D371" t="s">
        <v>7619</v>
      </c>
      <c r="E371">
        <v>623</v>
      </c>
      <c r="F371" t="s">
        <v>5603</v>
      </c>
      <c r="G371" t="s">
        <v>5602</v>
      </c>
      <c r="H371">
        <v>152</v>
      </c>
      <c r="I371">
        <v>214</v>
      </c>
      <c r="J371">
        <v>248</v>
      </c>
      <c r="K371" s="442" t="str" cm="1">
        <f t="array" ref="K371">myRGB(H371,I371,J371)</f>
        <v/>
      </c>
    </row>
    <row r="372" spans="1:11" x14ac:dyDescent="0.2">
      <c r="A372">
        <v>571</v>
      </c>
      <c r="B372">
        <v>623</v>
      </c>
      <c r="C372">
        <v>4</v>
      </c>
      <c r="D372" t="s">
        <v>7620</v>
      </c>
      <c r="E372">
        <v>477</v>
      </c>
      <c r="F372" t="s">
        <v>5605</v>
      </c>
      <c r="G372" t="s">
        <v>5604</v>
      </c>
      <c r="H372">
        <v>151</v>
      </c>
      <c r="I372">
        <v>214</v>
      </c>
      <c r="J372">
        <v>249</v>
      </c>
      <c r="K372" s="305" t="str" cm="1">
        <f t="array" ref="K372">myRGB(H372,I372,J372)</f>
        <v/>
      </c>
    </row>
    <row r="373" spans="1:11" x14ac:dyDescent="0.2">
      <c r="A373">
        <v>572</v>
      </c>
      <c r="B373">
        <v>477</v>
      </c>
      <c r="C373">
        <v>5</v>
      </c>
      <c r="D373" t="s">
        <v>7621</v>
      </c>
      <c r="E373">
        <v>485</v>
      </c>
      <c r="F373" t="s">
        <v>5607</v>
      </c>
      <c r="G373" t="s">
        <v>5606</v>
      </c>
      <c r="H373">
        <v>152</v>
      </c>
      <c r="I373">
        <v>214</v>
      </c>
      <c r="J373">
        <v>249</v>
      </c>
      <c r="K373" s="833" t="str" cm="1">
        <f t="array" ref="K373">myRGB(H373,I373,J373)</f>
        <v/>
      </c>
    </row>
    <row r="374" spans="1:11" x14ac:dyDescent="0.2">
      <c r="A374">
        <v>573</v>
      </c>
      <c r="B374">
        <v>485</v>
      </c>
      <c r="C374">
        <v>6</v>
      </c>
      <c r="D374" t="s">
        <v>7622</v>
      </c>
      <c r="E374">
        <v>672</v>
      </c>
      <c r="F374" t="s">
        <v>5609</v>
      </c>
      <c r="G374" t="s">
        <v>5608</v>
      </c>
      <c r="H374">
        <v>152</v>
      </c>
      <c r="I374">
        <v>213</v>
      </c>
      <c r="J374">
        <v>249</v>
      </c>
      <c r="K374" s="803" t="str" cm="1">
        <f t="array" ref="K374">myRGB(H374,I374,J374)</f>
        <v/>
      </c>
    </row>
    <row r="375" spans="1:11" x14ac:dyDescent="0.2">
      <c r="A375">
        <v>574</v>
      </c>
      <c r="B375">
        <v>477</v>
      </c>
      <c r="C375">
        <v>5</v>
      </c>
      <c r="D375" t="s">
        <v>7623</v>
      </c>
      <c r="E375">
        <v>493</v>
      </c>
      <c r="F375" t="s">
        <v>5611</v>
      </c>
      <c r="G375" t="s">
        <v>5610</v>
      </c>
      <c r="H375">
        <v>127</v>
      </c>
      <c r="I375">
        <v>205</v>
      </c>
      <c r="J375">
        <v>247</v>
      </c>
      <c r="K375" s="493" t="str" cm="1">
        <f t="array" ref="K375">myRGB(H375,I375,J375)</f>
        <v/>
      </c>
    </row>
    <row r="376" spans="1:11" x14ac:dyDescent="0.2">
      <c r="A376">
        <v>575</v>
      </c>
      <c r="B376">
        <v>493</v>
      </c>
      <c r="C376">
        <v>6</v>
      </c>
      <c r="D376" t="s">
        <v>7624</v>
      </c>
      <c r="E376">
        <v>56</v>
      </c>
      <c r="F376" t="s">
        <v>5613</v>
      </c>
      <c r="G376" t="s">
        <v>5612</v>
      </c>
      <c r="H376">
        <v>128</v>
      </c>
      <c r="I376">
        <v>205</v>
      </c>
      <c r="J376">
        <v>248</v>
      </c>
      <c r="K376" s="300" t="str" cm="1">
        <f t="array" ref="K376">myRGB(H376,I376,J376)</f>
        <v/>
      </c>
    </row>
    <row r="377" spans="1:11" x14ac:dyDescent="0.2">
      <c r="A377">
        <v>576</v>
      </c>
      <c r="B377">
        <v>493</v>
      </c>
      <c r="C377">
        <v>6</v>
      </c>
      <c r="D377" t="s">
        <v>7625</v>
      </c>
      <c r="E377">
        <v>998</v>
      </c>
      <c r="F377" t="s">
        <v>5615</v>
      </c>
      <c r="G377" t="s">
        <v>5614</v>
      </c>
      <c r="H377">
        <v>126</v>
      </c>
      <c r="I377">
        <v>205</v>
      </c>
      <c r="J377">
        <v>248</v>
      </c>
      <c r="K377" s="439" t="str" cm="1">
        <f t="array" ref="K377">myRGB(H377,I377,J377)</f>
        <v/>
      </c>
    </row>
    <row r="378" spans="1:11" x14ac:dyDescent="0.2">
      <c r="A378">
        <v>577</v>
      </c>
      <c r="B378">
        <v>493</v>
      </c>
      <c r="C378">
        <v>6</v>
      </c>
      <c r="D378" t="s">
        <v>7626</v>
      </c>
      <c r="E378">
        <v>754</v>
      </c>
      <c r="F378" t="s">
        <v>5617</v>
      </c>
      <c r="G378" t="s">
        <v>5616</v>
      </c>
      <c r="H378">
        <v>127</v>
      </c>
      <c r="I378">
        <v>204</v>
      </c>
      <c r="J378">
        <v>247</v>
      </c>
      <c r="K378" s="455" t="str" cm="1">
        <f t="array" ref="K378">myRGB(H378,I378,J378)</f>
        <v/>
      </c>
    </row>
    <row r="379" spans="1:11" x14ac:dyDescent="0.2">
      <c r="A379">
        <v>585</v>
      </c>
      <c r="B379">
        <v>477</v>
      </c>
      <c r="C379">
        <v>5</v>
      </c>
      <c r="D379" t="s">
        <v>7627</v>
      </c>
      <c r="E379">
        <v>275</v>
      </c>
      <c r="F379" t="s">
        <v>5633</v>
      </c>
      <c r="G379" t="s">
        <v>5632</v>
      </c>
      <c r="H379">
        <v>144</v>
      </c>
      <c r="I379">
        <v>202</v>
      </c>
      <c r="J379">
        <v>236</v>
      </c>
      <c r="K379" s="669" t="str" cm="1">
        <f t="array" ref="K379">myRGB(H379,I379,J379)</f>
        <v/>
      </c>
    </row>
    <row r="380" spans="1:11" x14ac:dyDescent="0.2">
      <c r="A380">
        <v>586</v>
      </c>
      <c r="B380">
        <v>275</v>
      </c>
      <c r="C380">
        <v>6</v>
      </c>
      <c r="D380" t="s">
        <v>7628</v>
      </c>
      <c r="E380">
        <v>242</v>
      </c>
      <c r="F380" t="s">
        <v>5635</v>
      </c>
      <c r="G380" t="s">
        <v>5634</v>
      </c>
      <c r="H380">
        <v>144</v>
      </c>
      <c r="I380">
        <v>203</v>
      </c>
      <c r="J380">
        <v>237</v>
      </c>
      <c r="K380" s="639" t="str" cm="1">
        <f t="array" ref="K380">myRGB(H380,I380,J380)</f>
        <v/>
      </c>
    </row>
    <row r="381" spans="1:11" x14ac:dyDescent="0.2">
      <c r="A381">
        <v>587</v>
      </c>
      <c r="B381">
        <v>242</v>
      </c>
      <c r="C381">
        <v>7</v>
      </c>
      <c r="D381" t="s">
        <v>7629</v>
      </c>
      <c r="E381">
        <v>250</v>
      </c>
      <c r="F381" t="s">
        <v>5637</v>
      </c>
      <c r="G381" t="s">
        <v>5636</v>
      </c>
      <c r="H381">
        <v>144</v>
      </c>
      <c r="I381">
        <v>203</v>
      </c>
      <c r="J381">
        <v>236</v>
      </c>
      <c r="K381" s="495" t="str" cm="1">
        <f t="array" ref="K381">myRGB(H381,I381,J381)</f>
        <v/>
      </c>
    </row>
    <row r="382" spans="1:11" x14ac:dyDescent="0.2">
      <c r="A382">
        <v>588</v>
      </c>
      <c r="B382">
        <v>242</v>
      </c>
      <c r="C382">
        <v>7</v>
      </c>
      <c r="D382" t="s">
        <v>7630</v>
      </c>
      <c r="E382">
        <v>258</v>
      </c>
      <c r="F382" t="s">
        <v>5639</v>
      </c>
      <c r="G382" t="s">
        <v>5638</v>
      </c>
      <c r="H382">
        <v>144</v>
      </c>
      <c r="I382">
        <v>202</v>
      </c>
      <c r="J382">
        <v>237</v>
      </c>
      <c r="K382" s="304" t="str" cm="1">
        <f t="array" ref="K382">myRGB(H382,I382,J382)</f>
        <v/>
      </c>
    </row>
    <row r="383" spans="1:11" x14ac:dyDescent="0.2">
      <c r="A383">
        <v>589</v>
      </c>
      <c r="B383">
        <v>242</v>
      </c>
      <c r="C383">
        <v>7</v>
      </c>
      <c r="D383" t="s">
        <v>7631</v>
      </c>
      <c r="E383">
        <v>266</v>
      </c>
      <c r="F383" t="s">
        <v>5641</v>
      </c>
      <c r="G383" t="s">
        <v>5640</v>
      </c>
      <c r="H383">
        <v>143</v>
      </c>
      <c r="I383">
        <v>203</v>
      </c>
      <c r="J383">
        <v>237</v>
      </c>
      <c r="K383" s="457" t="str" cm="1">
        <f t="array" ref="K383">myRGB(H383,I383,J383)</f>
        <v/>
      </c>
    </row>
    <row r="384" spans="1:11" x14ac:dyDescent="0.2">
      <c r="A384">
        <v>590</v>
      </c>
      <c r="B384">
        <v>275</v>
      </c>
      <c r="C384">
        <v>6</v>
      </c>
      <c r="D384" t="s">
        <v>7632</v>
      </c>
      <c r="E384">
        <v>310</v>
      </c>
      <c r="F384" t="s">
        <v>5643</v>
      </c>
      <c r="G384" t="s">
        <v>5642</v>
      </c>
      <c r="H384">
        <v>143</v>
      </c>
      <c r="I384">
        <v>203</v>
      </c>
      <c r="J384">
        <v>236</v>
      </c>
      <c r="K384" s="441" t="str" cm="1">
        <f t="array" ref="K384">myRGB(H384,I384,J384)</f>
        <v/>
      </c>
    </row>
    <row r="385" spans="1:11" x14ac:dyDescent="0.2">
      <c r="A385">
        <v>591</v>
      </c>
      <c r="B385">
        <v>275</v>
      </c>
      <c r="C385">
        <v>6</v>
      </c>
      <c r="D385" t="s">
        <v>7633</v>
      </c>
      <c r="E385">
        <v>333</v>
      </c>
      <c r="F385" t="s">
        <v>5645</v>
      </c>
      <c r="G385" t="s">
        <v>5644</v>
      </c>
      <c r="H385">
        <v>143</v>
      </c>
      <c r="I385">
        <v>202</v>
      </c>
      <c r="J385">
        <v>237</v>
      </c>
      <c r="K385" s="394" t="str" cm="1">
        <f t="array" ref="K385">myRGB(H385,I385,J385)</f>
        <v/>
      </c>
    </row>
    <row r="386" spans="1:11" x14ac:dyDescent="0.2">
      <c r="A386">
        <v>592</v>
      </c>
      <c r="B386">
        <v>477</v>
      </c>
      <c r="C386">
        <v>5</v>
      </c>
      <c r="D386" t="s">
        <v>7634</v>
      </c>
      <c r="E386">
        <v>278</v>
      </c>
      <c r="F386" t="s">
        <v>5647</v>
      </c>
      <c r="G386" t="s">
        <v>5646</v>
      </c>
      <c r="H386">
        <v>128</v>
      </c>
      <c r="I386">
        <v>192</v>
      </c>
      <c r="J386">
        <v>225</v>
      </c>
      <c r="K386" s="303" t="str" cm="1">
        <f t="array" ref="K386">myRGB(H386,I386,J386)</f>
        <v/>
      </c>
    </row>
    <row r="387" spans="1:11" x14ac:dyDescent="0.2">
      <c r="A387">
        <v>593</v>
      </c>
      <c r="B387">
        <v>278</v>
      </c>
      <c r="C387">
        <v>6</v>
      </c>
      <c r="D387" t="s">
        <v>7635</v>
      </c>
      <c r="E387">
        <v>23</v>
      </c>
      <c r="F387" t="s">
        <v>5649</v>
      </c>
      <c r="G387" t="s">
        <v>5648</v>
      </c>
      <c r="H387">
        <v>128</v>
      </c>
      <c r="I387">
        <v>192</v>
      </c>
      <c r="J387">
        <v>226</v>
      </c>
      <c r="K387" s="516" t="str" cm="1">
        <f t="array" ref="K387">myRGB(H387,I387,J387)</f>
        <v/>
      </c>
    </row>
    <row r="388" spans="1:11" x14ac:dyDescent="0.2">
      <c r="A388">
        <v>594</v>
      </c>
      <c r="B388">
        <v>278</v>
      </c>
      <c r="C388">
        <v>6</v>
      </c>
      <c r="D388" t="s">
        <v>7636</v>
      </c>
      <c r="E388">
        <v>292</v>
      </c>
      <c r="F388" t="s">
        <v>5651</v>
      </c>
      <c r="G388" t="s">
        <v>5650</v>
      </c>
      <c r="H388">
        <v>128</v>
      </c>
      <c r="I388">
        <v>191</v>
      </c>
      <c r="J388">
        <v>226</v>
      </c>
      <c r="K388" s="494" t="str" cm="1">
        <f t="array" ref="K388">myRGB(H388,I388,J388)</f>
        <v/>
      </c>
    </row>
    <row r="389" spans="1:11" x14ac:dyDescent="0.2">
      <c r="A389">
        <v>595</v>
      </c>
      <c r="B389">
        <v>278</v>
      </c>
      <c r="C389">
        <v>6</v>
      </c>
      <c r="D389" t="s">
        <v>7637</v>
      </c>
      <c r="E389">
        <v>536</v>
      </c>
      <c r="F389" t="s">
        <v>5653</v>
      </c>
      <c r="G389" t="s">
        <v>5652</v>
      </c>
      <c r="H389">
        <v>126</v>
      </c>
      <c r="I389">
        <v>192</v>
      </c>
      <c r="J389">
        <v>226</v>
      </c>
      <c r="K389" s="456" t="str" cm="1">
        <f t="array" ref="K389">myRGB(H389,I389,J389)</f>
        <v/>
      </c>
    </row>
    <row r="390" spans="1:11" x14ac:dyDescent="0.2">
      <c r="A390">
        <v>596</v>
      </c>
      <c r="B390">
        <v>536</v>
      </c>
      <c r="C390">
        <v>7</v>
      </c>
      <c r="D390" t="s">
        <v>7638</v>
      </c>
      <c r="E390">
        <v>544</v>
      </c>
      <c r="F390" t="s">
        <v>5655</v>
      </c>
      <c r="G390" t="s">
        <v>5654</v>
      </c>
      <c r="H390">
        <v>128</v>
      </c>
      <c r="I390">
        <v>191</v>
      </c>
      <c r="J390">
        <v>224</v>
      </c>
      <c r="K390" s="440" t="str" cm="1">
        <f t="array" ref="K390">myRGB(H390,I390,J390)</f>
        <v/>
      </c>
    </row>
    <row r="391" spans="1:11" x14ac:dyDescent="0.2">
      <c r="A391">
        <v>597</v>
      </c>
      <c r="B391">
        <v>536</v>
      </c>
      <c r="C391">
        <v>7</v>
      </c>
      <c r="D391" t="s">
        <v>7639</v>
      </c>
      <c r="E391">
        <v>551</v>
      </c>
      <c r="F391" t="s">
        <v>5657</v>
      </c>
      <c r="G391" t="s">
        <v>5656</v>
      </c>
      <c r="H391">
        <v>128</v>
      </c>
      <c r="I391">
        <v>190</v>
      </c>
      <c r="J391">
        <v>225</v>
      </c>
      <c r="K391" s="393" t="str" cm="1">
        <f t="array" ref="K391">myRGB(H391,I391,J391)</f>
        <v/>
      </c>
    </row>
    <row r="392" spans="1:11" x14ac:dyDescent="0.2">
      <c r="A392">
        <v>598</v>
      </c>
      <c r="B392">
        <v>536</v>
      </c>
      <c r="C392">
        <v>7</v>
      </c>
      <c r="D392" t="s">
        <v>7640</v>
      </c>
      <c r="E392">
        <v>559</v>
      </c>
      <c r="F392" t="s">
        <v>5659</v>
      </c>
      <c r="G392" t="s">
        <v>5658</v>
      </c>
      <c r="H392">
        <v>127</v>
      </c>
      <c r="I392">
        <v>192</v>
      </c>
      <c r="J392">
        <v>224</v>
      </c>
      <c r="K392" s="301" t="str" cm="1">
        <f t="array" ref="K392">myRGB(H392,I392,J392)</f>
        <v/>
      </c>
    </row>
    <row r="393" spans="1:11" x14ac:dyDescent="0.2">
      <c r="A393">
        <v>599</v>
      </c>
      <c r="B393">
        <v>278</v>
      </c>
      <c r="C393">
        <v>6</v>
      </c>
      <c r="D393" t="s">
        <v>7641</v>
      </c>
      <c r="E393">
        <v>1105</v>
      </c>
      <c r="F393" t="s">
        <v>5661</v>
      </c>
      <c r="G393" t="s">
        <v>5660</v>
      </c>
      <c r="H393">
        <v>128</v>
      </c>
      <c r="I393">
        <v>190</v>
      </c>
      <c r="J393">
        <v>226</v>
      </c>
      <c r="K393" s="580" t="str" cm="1">
        <f t="array" ref="K393">myRGB(H393,I393,J393)</f>
        <v/>
      </c>
    </row>
    <row r="394" spans="1:11" x14ac:dyDescent="0.2">
      <c r="A394">
        <v>600</v>
      </c>
      <c r="B394">
        <v>278</v>
      </c>
      <c r="C394">
        <v>6</v>
      </c>
      <c r="D394" t="s">
        <v>7642</v>
      </c>
      <c r="E394">
        <v>403</v>
      </c>
      <c r="F394" t="s">
        <v>5663</v>
      </c>
      <c r="G394" t="s">
        <v>5662</v>
      </c>
      <c r="H394">
        <v>128</v>
      </c>
      <c r="I394">
        <v>191</v>
      </c>
      <c r="J394">
        <v>225</v>
      </c>
      <c r="K394" s="302" t="str" cm="1">
        <f t="array" ref="K394">myRGB(H394,I394,J394)</f>
        <v/>
      </c>
    </row>
    <row r="395" spans="1:11" x14ac:dyDescent="0.2">
      <c r="A395">
        <v>608</v>
      </c>
      <c r="B395">
        <v>623</v>
      </c>
      <c r="C395">
        <v>4</v>
      </c>
      <c r="D395" t="s">
        <v>7643</v>
      </c>
      <c r="E395">
        <v>803</v>
      </c>
      <c r="F395" t="s">
        <v>5679</v>
      </c>
      <c r="G395" t="s">
        <v>5678</v>
      </c>
      <c r="H395">
        <v>133</v>
      </c>
      <c r="I395">
        <v>153</v>
      </c>
      <c r="J395">
        <v>204</v>
      </c>
      <c r="K395" s="392" t="str" cm="1">
        <f t="array" ref="K395">myRGB(H395,I395,J395)</f>
        <v/>
      </c>
    </row>
    <row r="396" spans="1:11" x14ac:dyDescent="0.2">
      <c r="A396">
        <v>609</v>
      </c>
      <c r="B396">
        <v>803</v>
      </c>
      <c r="C396">
        <v>5</v>
      </c>
      <c r="D396" t="s">
        <v>7644</v>
      </c>
      <c r="E396">
        <v>818</v>
      </c>
      <c r="F396" t="s">
        <v>5681</v>
      </c>
      <c r="G396" t="s">
        <v>5680</v>
      </c>
      <c r="H396">
        <v>133</v>
      </c>
      <c r="I396">
        <v>153</v>
      </c>
      <c r="J396">
        <v>203</v>
      </c>
      <c r="K396" s="492" t="str" cm="1">
        <f t="array" ref="K396">myRGB(H396,I396,J396)</f>
        <v/>
      </c>
    </row>
    <row r="397" spans="1:11" x14ac:dyDescent="0.2">
      <c r="A397">
        <v>610</v>
      </c>
      <c r="B397">
        <v>818</v>
      </c>
      <c r="C397">
        <v>6</v>
      </c>
      <c r="D397" t="s">
        <v>7645</v>
      </c>
      <c r="E397">
        <v>1022</v>
      </c>
      <c r="F397" t="s">
        <v>5683</v>
      </c>
      <c r="G397" t="s">
        <v>5682</v>
      </c>
      <c r="H397">
        <v>133</v>
      </c>
      <c r="I397">
        <v>152</v>
      </c>
      <c r="J397">
        <v>204</v>
      </c>
      <c r="K397" s="298" t="str" cm="1">
        <f t="array" ref="K397">myRGB(H397,I397,J397)</f>
        <v/>
      </c>
    </row>
    <row r="398" spans="1:11" x14ac:dyDescent="0.2">
      <c r="A398">
        <v>611</v>
      </c>
      <c r="B398">
        <v>818</v>
      </c>
      <c r="C398">
        <v>6</v>
      </c>
      <c r="D398" t="s">
        <v>7646</v>
      </c>
      <c r="E398">
        <v>1031</v>
      </c>
      <c r="F398" t="s">
        <v>5685</v>
      </c>
      <c r="G398" t="s">
        <v>5684</v>
      </c>
      <c r="H398">
        <v>132</v>
      </c>
      <c r="I398">
        <v>153</v>
      </c>
      <c r="J398">
        <v>204</v>
      </c>
      <c r="K398" s="479" t="str" cm="1">
        <f t="array" ref="K398">myRGB(H398,I398,J398)</f>
        <v/>
      </c>
    </row>
    <row r="399" spans="1:11" x14ac:dyDescent="0.2">
      <c r="A399">
        <v>612</v>
      </c>
      <c r="B399">
        <v>803</v>
      </c>
      <c r="C399">
        <v>5</v>
      </c>
      <c r="D399" t="s">
        <v>7647</v>
      </c>
      <c r="E399">
        <v>835</v>
      </c>
      <c r="F399" t="s">
        <v>5687</v>
      </c>
      <c r="G399" t="s">
        <v>5686</v>
      </c>
      <c r="H399">
        <v>162</v>
      </c>
      <c r="I399">
        <v>176</v>
      </c>
      <c r="J399">
        <v>216</v>
      </c>
      <c r="K399" s="563" t="str" cm="1">
        <f t="array" ref="K399">myRGB(H399,I399,J399)</f>
        <v/>
      </c>
    </row>
    <row r="400" spans="1:11" x14ac:dyDescent="0.2">
      <c r="A400">
        <v>613</v>
      </c>
      <c r="B400">
        <v>835</v>
      </c>
      <c r="C400">
        <v>6</v>
      </c>
      <c r="D400" t="s">
        <v>7648</v>
      </c>
      <c r="E400">
        <v>342</v>
      </c>
      <c r="F400" t="s">
        <v>5689</v>
      </c>
      <c r="G400" t="s">
        <v>5688</v>
      </c>
      <c r="H400">
        <v>162</v>
      </c>
      <c r="I400">
        <v>177</v>
      </c>
      <c r="J400">
        <v>215</v>
      </c>
      <c r="K400" s="638" t="str" cm="1">
        <f t="array" ref="K400">myRGB(H400,I400,J400)</f>
        <v/>
      </c>
    </row>
    <row r="401" spans="1:11" x14ac:dyDescent="0.2">
      <c r="A401">
        <v>614</v>
      </c>
      <c r="B401">
        <v>835</v>
      </c>
      <c r="C401">
        <v>6</v>
      </c>
      <c r="D401" t="s">
        <v>7649</v>
      </c>
      <c r="E401">
        <v>298</v>
      </c>
      <c r="F401" t="s">
        <v>5691</v>
      </c>
      <c r="G401" t="s">
        <v>5690</v>
      </c>
      <c r="H401">
        <v>162</v>
      </c>
      <c r="I401">
        <v>177</v>
      </c>
      <c r="J401">
        <v>216</v>
      </c>
      <c r="K401" s="296" t="str" cm="1">
        <f t="array" ref="K401">myRGB(H401,I401,J401)</f>
        <v/>
      </c>
    </row>
    <row r="402" spans="1:11" x14ac:dyDescent="0.2">
      <c r="A402">
        <v>615</v>
      </c>
      <c r="B402">
        <v>803</v>
      </c>
      <c r="C402">
        <v>5</v>
      </c>
      <c r="D402" t="s">
        <v>7650</v>
      </c>
      <c r="E402">
        <v>826</v>
      </c>
      <c r="F402" t="s">
        <v>5693</v>
      </c>
      <c r="G402" t="s">
        <v>5692</v>
      </c>
      <c r="H402">
        <v>149</v>
      </c>
      <c r="I402">
        <v>167</v>
      </c>
      <c r="J402">
        <v>211</v>
      </c>
      <c r="K402" s="454" t="str" cm="1">
        <f t="array" ref="K402">myRGB(H402,I402,J402)</f>
        <v/>
      </c>
    </row>
    <row r="403" spans="1:11" x14ac:dyDescent="0.2">
      <c r="A403">
        <v>616</v>
      </c>
      <c r="B403">
        <v>826</v>
      </c>
      <c r="C403">
        <v>6</v>
      </c>
      <c r="D403" t="s">
        <v>7651</v>
      </c>
      <c r="E403">
        <v>904</v>
      </c>
      <c r="F403" t="s">
        <v>5695</v>
      </c>
      <c r="G403" t="s">
        <v>5694</v>
      </c>
      <c r="H403">
        <v>150</v>
      </c>
      <c r="I403">
        <v>166</v>
      </c>
      <c r="J403">
        <v>210</v>
      </c>
      <c r="K403" s="297" t="str" cm="1">
        <f t="array" ref="K403">myRGB(H403,I403,J403)</f>
        <v/>
      </c>
    </row>
    <row r="404" spans="1:11" x14ac:dyDescent="0.2">
      <c r="A404">
        <v>617</v>
      </c>
      <c r="B404">
        <v>904</v>
      </c>
      <c r="C404">
        <v>7</v>
      </c>
      <c r="D404" t="s">
        <v>7652</v>
      </c>
      <c r="E404">
        <v>564</v>
      </c>
      <c r="F404" t="s">
        <v>5697</v>
      </c>
      <c r="G404" t="s">
        <v>5696</v>
      </c>
      <c r="H404">
        <v>150</v>
      </c>
      <c r="I404">
        <v>167</v>
      </c>
      <c r="J404">
        <v>211</v>
      </c>
      <c r="K404" s="391" t="str" cm="1">
        <f t="array" ref="K404">myRGB(H404,I404,J404)</f>
        <v/>
      </c>
    </row>
    <row r="405" spans="1:11" x14ac:dyDescent="0.2">
      <c r="A405">
        <v>618</v>
      </c>
      <c r="B405">
        <v>904</v>
      </c>
      <c r="C405">
        <v>7</v>
      </c>
      <c r="D405" t="s">
        <v>7653</v>
      </c>
      <c r="E405">
        <v>596</v>
      </c>
      <c r="F405" t="s">
        <v>5699</v>
      </c>
      <c r="G405" t="s">
        <v>5698</v>
      </c>
      <c r="H405">
        <v>150</v>
      </c>
      <c r="I405">
        <v>166</v>
      </c>
      <c r="J405">
        <v>211</v>
      </c>
      <c r="K405" s="378" t="str" cm="1">
        <f t="array" ref="K405">myRGB(H405,I405,J405)</f>
        <v/>
      </c>
    </row>
    <row r="406" spans="1:11" x14ac:dyDescent="0.2">
      <c r="A406">
        <v>619</v>
      </c>
      <c r="B406">
        <v>826</v>
      </c>
      <c r="C406">
        <v>6</v>
      </c>
      <c r="D406" t="s">
        <v>7654</v>
      </c>
      <c r="E406">
        <v>581</v>
      </c>
      <c r="F406" t="s">
        <v>5701</v>
      </c>
      <c r="G406" t="s">
        <v>5700</v>
      </c>
      <c r="H406">
        <v>150</v>
      </c>
      <c r="I406">
        <v>167</v>
      </c>
      <c r="J406">
        <v>210</v>
      </c>
      <c r="K406" s="438" t="str" cm="1">
        <f t="array" ref="K406">myRGB(H406,I406,J406)</f>
        <v/>
      </c>
    </row>
    <row r="407" spans="1:11" x14ac:dyDescent="0.2">
      <c r="A407">
        <v>620</v>
      </c>
      <c r="B407">
        <v>803</v>
      </c>
      <c r="C407">
        <v>5</v>
      </c>
      <c r="D407" t="s">
        <v>7655</v>
      </c>
      <c r="E407">
        <v>809</v>
      </c>
      <c r="F407" t="s">
        <v>5703</v>
      </c>
      <c r="G407" t="s">
        <v>5702</v>
      </c>
      <c r="H407">
        <v>177</v>
      </c>
      <c r="I407">
        <v>191</v>
      </c>
      <c r="J407">
        <v>223</v>
      </c>
      <c r="K407" s="299" t="str" cm="1">
        <f t="array" ref="K407">myRGB(H407,I407,J407)</f>
        <v/>
      </c>
    </row>
    <row r="408" spans="1:11" x14ac:dyDescent="0.2">
      <c r="A408">
        <v>621</v>
      </c>
      <c r="B408">
        <v>809</v>
      </c>
      <c r="C408">
        <v>6</v>
      </c>
      <c r="D408" t="s">
        <v>7656</v>
      </c>
      <c r="E408">
        <v>351</v>
      </c>
      <c r="F408" t="s">
        <v>5705</v>
      </c>
      <c r="G408" t="s">
        <v>5704</v>
      </c>
      <c r="H408">
        <v>179</v>
      </c>
      <c r="I408">
        <v>192</v>
      </c>
      <c r="J408">
        <v>222</v>
      </c>
      <c r="K408" s="689" t="str" cm="1">
        <f t="array" ref="K408">myRGB(H408,I408,J408)</f>
        <v/>
      </c>
    </row>
    <row r="409" spans="1:11" x14ac:dyDescent="0.2">
      <c r="A409">
        <v>638</v>
      </c>
      <c r="B409">
        <v>809</v>
      </c>
      <c r="C409">
        <v>6</v>
      </c>
      <c r="D409" t="s">
        <v>7657</v>
      </c>
      <c r="E409">
        <v>287</v>
      </c>
      <c r="F409" t="s">
        <v>5739</v>
      </c>
      <c r="G409" t="s">
        <v>5738</v>
      </c>
      <c r="H409">
        <v>179</v>
      </c>
      <c r="I409">
        <v>192</v>
      </c>
      <c r="J409">
        <v>223</v>
      </c>
      <c r="K409" s="745" t="str" cm="1">
        <f t="array" ref="K409">myRGB(H409,I409,J409)</f>
        <v/>
      </c>
    </row>
    <row r="410" spans="1:11" x14ac:dyDescent="0.2">
      <c r="A410">
        <v>639</v>
      </c>
      <c r="B410">
        <v>8</v>
      </c>
      <c r="C410">
        <v>2</v>
      </c>
      <c r="D410" t="s">
        <v>7658</v>
      </c>
      <c r="E410">
        <v>343</v>
      </c>
      <c r="F410" t="s">
        <v>5741</v>
      </c>
      <c r="G410" t="s">
        <v>5740</v>
      </c>
      <c r="H410">
        <v>255</v>
      </c>
      <c r="I410">
        <v>112</v>
      </c>
      <c r="J410">
        <v>128</v>
      </c>
      <c r="K410" s="681" t="str" cm="1">
        <f t="array" ref="K410">myRGB(H410,I410,J410)</f>
        <v/>
      </c>
    </row>
    <row r="411" spans="1:11" x14ac:dyDescent="0.2">
      <c r="A411">
        <v>640</v>
      </c>
      <c r="B411">
        <v>343</v>
      </c>
      <c r="C411">
        <v>3</v>
      </c>
      <c r="D411" t="s">
        <v>7659</v>
      </c>
      <c r="E411">
        <v>1129</v>
      </c>
      <c r="F411" t="s">
        <v>5743</v>
      </c>
      <c r="G411" t="s">
        <v>5742</v>
      </c>
      <c r="H411">
        <v>255</v>
      </c>
      <c r="I411">
        <v>112</v>
      </c>
      <c r="J411">
        <v>127</v>
      </c>
      <c r="K411" s="532" t="str" cm="1">
        <f t="array" ref="K411">myRGB(H411,I411,J411)</f>
        <v/>
      </c>
    </row>
    <row r="412" spans="1:11" x14ac:dyDescent="0.2">
      <c r="A412">
        <v>641</v>
      </c>
      <c r="B412">
        <v>1129</v>
      </c>
      <c r="C412">
        <v>4</v>
      </c>
      <c r="D412" t="s">
        <v>7660</v>
      </c>
      <c r="E412">
        <v>549</v>
      </c>
      <c r="F412" t="s">
        <v>5745</v>
      </c>
      <c r="G412" t="s">
        <v>5744</v>
      </c>
      <c r="H412">
        <v>255</v>
      </c>
      <c r="I412">
        <v>111</v>
      </c>
      <c r="J412">
        <v>128</v>
      </c>
      <c r="K412" s="591" t="str" cm="1">
        <f t="array" ref="K412">myRGB(H412,I412,J412)</f>
        <v/>
      </c>
    </row>
    <row r="413" spans="1:11" x14ac:dyDescent="0.2">
      <c r="A413">
        <v>642</v>
      </c>
      <c r="B413">
        <v>549</v>
      </c>
      <c r="C413">
        <v>5</v>
      </c>
      <c r="D413" t="s">
        <v>7661</v>
      </c>
      <c r="E413">
        <v>864</v>
      </c>
      <c r="F413" t="s">
        <v>5747</v>
      </c>
      <c r="G413" t="s">
        <v>5746</v>
      </c>
      <c r="H413">
        <v>254</v>
      </c>
      <c r="I413">
        <v>126</v>
      </c>
      <c r="J413">
        <v>132</v>
      </c>
      <c r="K413" s="488" t="str" cm="1">
        <f t="array" ref="K413">myRGB(H413,I413,J413)</f>
        <v/>
      </c>
    </row>
    <row r="414" spans="1:11" x14ac:dyDescent="0.2">
      <c r="A414">
        <v>643</v>
      </c>
      <c r="B414">
        <v>864</v>
      </c>
      <c r="C414">
        <v>6</v>
      </c>
      <c r="D414" t="s">
        <v>7662</v>
      </c>
      <c r="E414">
        <v>637</v>
      </c>
      <c r="F414" t="s">
        <v>5749</v>
      </c>
      <c r="G414" t="s">
        <v>5748</v>
      </c>
      <c r="H414">
        <v>255</v>
      </c>
      <c r="I414">
        <v>128</v>
      </c>
      <c r="J414">
        <v>130</v>
      </c>
      <c r="K414" s="514" t="str" cm="1">
        <f t="array" ref="K414">myRGB(H414,I414,J414)</f>
        <v/>
      </c>
    </row>
    <row r="415" spans="1:11" x14ac:dyDescent="0.2">
      <c r="A415">
        <v>644</v>
      </c>
      <c r="B415">
        <v>637</v>
      </c>
      <c r="C415">
        <v>7</v>
      </c>
      <c r="D415" t="s">
        <v>7663</v>
      </c>
      <c r="E415">
        <v>629</v>
      </c>
      <c r="F415" t="s">
        <v>5751</v>
      </c>
      <c r="G415" t="s">
        <v>5750</v>
      </c>
      <c r="H415">
        <v>253</v>
      </c>
      <c r="I415">
        <v>126</v>
      </c>
      <c r="J415">
        <v>132</v>
      </c>
      <c r="K415" s="476" t="str" cm="1">
        <f t="array" ref="K415">myRGB(H415,I415,J415)</f>
        <v/>
      </c>
    </row>
    <row r="416" spans="1:11" x14ac:dyDescent="0.2">
      <c r="A416">
        <v>645</v>
      </c>
      <c r="B416">
        <v>637</v>
      </c>
      <c r="C416">
        <v>7</v>
      </c>
      <c r="D416" t="s">
        <v>7664</v>
      </c>
      <c r="E416">
        <v>685</v>
      </c>
      <c r="F416" t="s">
        <v>5753</v>
      </c>
      <c r="G416" t="s">
        <v>5752</v>
      </c>
      <c r="H416">
        <v>255</v>
      </c>
      <c r="I416">
        <v>126</v>
      </c>
      <c r="J416">
        <v>132</v>
      </c>
      <c r="K416" s="413" t="str" cm="1">
        <f t="array" ref="K416">myRGB(H416,I416,J416)</f>
        <v/>
      </c>
    </row>
    <row r="417" spans="1:11" x14ac:dyDescent="0.2">
      <c r="A417">
        <v>646</v>
      </c>
      <c r="B417">
        <v>637</v>
      </c>
      <c r="C417">
        <v>7</v>
      </c>
      <c r="D417" t="s">
        <v>7665</v>
      </c>
      <c r="E417">
        <v>709</v>
      </c>
      <c r="F417" t="s">
        <v>5755</v>
      </c>
      <c r="G417" t="s">
        <v>5754</v>
      </c>
      <c r="H417">
        <v>255</v>
      </c>
      <c r="I417">
        <v>128</v>
      </c>
      <c r="J417">
        <v>129</v>
      </c>
      <c r="K417" s="585" t="str" cm="1">
        <f t="array" ref="K417">myRGB(H417,I417,J417)</f>
        <v/>
      </c>
    </row>
    <row r="418" spans="1:11" x14ac:dyDescent="0.2">
      <c r="A418">
        <v>647</v>
      </c>
      <c r="B418">
        <v>709</v>
      </c>
      <c r="C418">
        <v>8</v>
      </c>
      <c r="D418" t="s">
        <v>7666</v>
      </c>
      <c r="E418">
        <v>718</v>
      </c>
      <c r="F418" t="s">
        <v>5757</v>
      </c>
      <c r="G418" t="s">
        <v>5756</v>
      </c>
      <c r="H418">
        <v>253</v>
      </c>
      <c r="I418">
        <v>128</v>
      </c>
      <c r="J418">
        <v>132</v>
      </c>
      <c r="K418" s="518" t="str" cm="1">
        <f t="array" ref="K418">myRGB(H418,I418,J418)</f>
        <v/>
      </c>
    </row>
    <row r="419" spans="1:11" x14ac:dyDescent="0.2">
      <c r="A419">
        <v>648</v>
      </c>
      <c r="B419">
        <v>709</v>
      </c>
      <c r="C419">
        <v>8</v>
      </c>
      <c r="D419" t="s">
        <v>7667</v>
      </c>
      <c r="E419">
        <v>725</v>
      </c>
      <c r="F419" t="s">
        <v>5759</v>
      </c>
      <c r="G419" t="s">
        <v>5758</v>
      </c>
      <c r="H419">
        <v>255</v>
      </c>
      <c r="I419">
        <v>127</v>
      </c>
      <c r="J419">
        <v>130</v>
      </c>
      <c r="K419" s="513" t="str" cm="1">
        <f t="array" ref="K419">myRGB(H419,I419,J419)</f>
        <v/>
      </c>
    </row>
    <row r="420" spans="1:11" x14ac:dyDescent="0.2">
      <c r="A420">
        <v>649</v>
      </c>
      <c r="B420">
        <v>709</v>
      </c>
      <c r="C420">
        <v>8</v>
      </c>
      <c r="D420" t="s">
        <v>7668</v>
      </c>
      <c r="E420">
        <v>733</v>
      </c>
      <c r="F420" t="s">
        <v>5761</v>
      </c>
      <c r="G420" t="s">
        <v>5760</v>
      </c>
      <c r="H420">
        <v>255</v>
      </c>
      <c r="I420">
        <v>126</v>
      </c>
      <c r="J420">
        <v>131</v>
      </c>
      <c r="K420" s="475" t="str" cm="1">
        <f t="array" ref="K420">myRGB(H420,I420,J420)</f>
        <v/>
      </c>
    </row>
    <row r="421" spans="1:11" x14ac:dyDescent="0.2">
      <c r="A421">
        <v>650</v>
      </c>
      <c r="B421">
        <v>709</v>
      </c>
      <c r="C421">
        <v>8</v>
      </c>
      <c r="D421" t="s">
        <v>7669</v>
      </c>
      <c r="E421">
        <v>741</v>
      </c>
      <c r="F421" t="s">
        <v>5763</v>
      </c>
      <c r="G421" t="s">
        <v>5762</v>
      </c>
      <c r="H421">
        <v>254</v>
      </c>
      <c r="I421">
        <v>128</v>
      </c>
      <c r="J421">
        <v>130</v>
      </c>
      <c r="K421" s="412" t="str" cm="1">
        <f t="array" ref="K421">myRGB(H421,I421,J421)</f>
        <v/>
      </c>
    </row>
    <row r="422" spans="1:11" x14ac:dyDescent="0.2">
      <c r="A422">
        <v>651</v>
      </c>
      <c r="B422">
        <v>637</v>
      </c>
      <c r="C422">
        <v>7</v>
      </c>
      <c r="D422" t="s">
        <v>7670</v>
      </c>
      <c r="E422">
        <v>563807435</v>
      </c>
      <c r="F422" t="s">
        <v>5765</v>
      </c>
      <c r="G422" t="s">
        <v>5764</v>
      </c>
      <c r="H422">
        <v>255</v>
      </c>
      <c r="I422">
        <v>126</v>
      </c>
      <c r="J422">
        <v>130</v>
      </c>
      <c r="K422" s="487" t="str" cm="1">
        <f t="array" ref="K422">myRGB(H422,I422,J422)</f>
        <v/>
      </c>
    </row>
    <row r="423" spans="1:11" x14ac:dyDescent="0.2">
      <c r="A423">
        <v>652</v>
      </c>
      <c r="B423">
        <v>864</v>
      </c>
      <c r="C423">
        <v>6</v>
      </c>
      <c r="D423" t="s">
        <v>7671</v>
      </c>
      <c r="E423">
        <v>406</v>
      </c>
      <c r="F423" t="s">
        <v>5767</v>
      </c>
      <c r="G423" t="s">
        <v>5766</v>
      </c>
      <c r="H423">
        <v>255</v>
      </c>
      <c r="I423">
        <v>128</v>
      </c>
      <c r="J423">
        <v>131</v>
      </c>
      <c r="K423" s="691" t="str" cm="1">
        <f t="array" ref="K423">myRGB(H423,I423,J423)</f>
        <v/>
      </c>
    </row>
    <row r="424" spans="1:11" x14ac:dyDescent="0.2">
      <c r="A424">
        <v>653</v>
      </c>
      <c r="B424">
        <v>406</v>
      </c>
      <c r="C424">
        <v>7</v>
      </c>
      <c r="D424" t="s">
        <v>7672</v>
      </c>
      <c r="E424">
        <v>414</v>
      </c>
      <c r="F424" t="s">
        <v>5769</v>
      </c>
      <c r="G424" t="s">
        <v>5768</v>
      </c>
      <c r="H424">
        <v>255</v>
      </c>
      <c r="I424">
        <v>127</v>
      </c>
      <c r="J424">
        <v>132</v>
      </c>
      <c r="K424" s="449" t="str" cm="1">
        <f t="array" ref="K424">myRGB(H424,I424,J424)</f>
        <v/>
      </c>
    </row>
    <row r="425" spans="1:11" x14ac:dyDescent="0.2">
      <c r="A425">
        <v>654</v>
      </c>
      <c r="B425">
        <v>406</v>
      </c>
      <c r="C425">
        <v>7</v>
      </c>
      <c r="D425" t="s">
        <v>7673</v>
      </c>
      <c r="E425">
        <v>422</v>
      </c>
      <c r="F425" t="s">
        <v>5771</v>
      </c>
      <c r="G425" t="s">
        <v>5770</v>
      </c>
      <c r="H425">
        <v>254</v>
      </c>
      <c r="I425">
        <v>128</v>
      </c>
      <c r="J425">
        <v>132</v>
      </c>
      <c r="K425" s="414" t="str" cm="1">
        <f t="array" ref="K425">myRGB(H425,I425,J425)</f>
        <v/>
      </c>
    </row>
    <row r="426" spans="1:11" x14ac:dyDescent="0.2">
      <c r="A426">
        <v>655</v>
      </c>
      <c r="B426">
        <v>864</v>
      </c>
      <c r="C426">
        <v>6</v>
      </c>
      <c r="D426" t="s">
        <v>7674</v>
      </c>
      <c r="E426">
        <v>609</v>
      </c>
      <c r="F426" t="s">
        <v>5773</v>
      </c>
      <c r="G426" t="s">
        <v>5772</v>
      </c>
      <c r="H426">
        <v>254</v>
      </c>
      <c r="I426">
        <v>127</v>
      </c>
      <c r="J426">
        <v>131</v>
      </c>
      <c r="K426" s="673" t="str" cm="1">
        <f t="array" ref="K426">myRGB(H426,I426,J426)</f>
        <v/>
      </c>
    </row>
    <row r="427" spans="1:11" x14ac:dyDescent="0.2">
      <c r="A427">
        <v>656</v>
      </c>
      <c r="B427">
        <v>864</v>
      </c>
      <c r="C427">
        <v>6</v>
      </c>
      <c r="D427" t="s">
        <v>7675</v>
      </c>
      <c r="E427">
        <v>1044</v>
      </c>
      <c r="F427" t="s">
        <v>5775</v>
      </c>
      <c r="G427" t="s">
        <v>5774</v>
      </c>
      <c r="H427">
        <v>253</v>
      </c>
      <c r="I427">
        <v>127</v>
      </c>
      <c r="J427">
        <v>132</v>
      </c>
      <c r="K427" s="751" t="str" cm="1">
        <f t="array" ref="K427">myRGB(H427,I427,J427)</f>
        <v/>
      </c>
    </row>
    <row r="428" spans="1:11" x14ac:dyDescent="0.2">
      <c r="A428">
        <v>657</v>
      </c>
      <c r="B428">
        <v>864</v>
      </c>
      <c r="C428">
        <v>6</v>
      </c>
      <c r="D428" t="s">
        <v>7676</v>
      </c>
      <c r="E428">
        <v>1008</v>
      </c>
      <c r="F428" t="s">
        <v>5777</v>
      </c>
      <c r="G428" t="s">
        <v>5776</v>
      </c>
      <c r="H428">
        <v>253</v>
      </c>
      <c r="I428">
        <v>128</v>
      </c>
      <c r="J428">
        <v>131</v>
      </c>
      <c r="K428" s="692" t="str" cm="1">
        <f t="array" ref="K428">myRGB(H428,I428,J428)</f>
        <v/>
      </c>
    </row>
    <row r="429" spans="1:11" x14ac:dyDescent="0.2">
      <c r="A429">
        <v>658</v>
      </c>
      <c r="B429">
        <v>1008</v>
      </c>
      <c r="C429">
        <v>7</v>
      </c>
      <c r="D429" t="s">
        <v>7677</v>
      </c>
      <c r="E429">
        <v>475</v>
      </c>
      <c r="F429" t="s">
        <v>5779</v>
      </c>
      <c r="G429" t="s">
        <v>5778</v>
      </c>
      <c r="H429">
        <v>255</v>
      </c>
      <c r="I429">
        <v>127</v>
      </c>
      <c r="J429">
        <v>131</v>
      </c>
      <c r="K429" s="519" t="str" cm="1">
        <f t="array" ref="K429">myRGB(H429,I429,J429)</f>
        <v/>
      </c>
    </row>
    <row r="430" spans="1:11" x14ac:dyDescent="0.2">
      <c r="A430">
        <v>659</v>
      </c>
      <c r="B430">
        <v>475</v>
      </c>
      <c r="C430">
        <v>8</v>
      </c>
      <c r="D430" t="s">
        <v>7678</v>
      </c>
      <c r="E430">
        <v>1072</v>
      </c>
      <c r="F430" t="s">
        <v>5781</v>
      </c>
      <c r="G430" t="s">
        <v>5780</v>
      </c>
      <c r="H430">
        <v>254</v>
      </c>
      <c r="I430">
        <v>127</v>
      </c>
      <c r="J430">
        <v>130</v>
      </c>
      <c r="K430" s="415" t="str" cm="1">
        <f t="array" ref="K430">myRGB(H430,I430,J430)</f>
        <v/>
      </c>
    </row>
    <row r="431" spans="1:11" x14ac:dyDescent="0.2">
      <c r="A431">
        <v>660</v>
      </c>
      <c r="B431">
        <v>475</v>
      </c>
      <c r="C431">
        <v>8</v>
      </c>
      <c r="D431" t="s">
        <v>7679</v>
      </c>
      <c r="E431">
        <v>1079</v>
      </c>
      <c r="F431" t="s">
        <v>5783</v>
      </c>
      <c r="G431" t="s">
        <v>5782</v>
      </c>
      <c r="H431">
        <v>254</v>
      </c>
      <c r="I431">
        <v>126</v>
      </c>
      <c r="J431">
        <v>131</v>
      </c>
      <c r="K431" s="386" t="str" cm="1">
        <f t="array" ref="K431">myRGB(H431,I431,J431)</f>
        <v/>
      </c>
    </row>
    <row r="432" spans="1:11" x14ac:dyDescent="0.2">
      <c r="A432">
        <v>661</v>
      </c>
      <c r="B432">
        <v>475</v>
      </c>
      <c r="C432">
        <v>8</v>
      </c>
      <c r="D432" t="s">
        <v>7680</v>
      </c>
      <c r="E432">
        <v>1088</v>
      </c>
      <c r="F432" t="s">
        <v>5785</v>
      </c>
      <c r="G432" t="s">
        <v>5784</v>
      </c>
      <c r="H432">
        <v>253</v>
      </c>
      <c r="I432">
        <v>127</v>
      </c>
      <c r="J432">
        <v>131</v>
      </c>
      <c r="K432" s="791" t="str" cm="1">
        <f t="array" ref="K432">myRGB(H432,I432,J432)</f>
        <v/>
      </c>
    </row>
    <row r="433" spans="1:11" x14ac:dyDescent="0.2">
      <c r="A433">
        <v>662</v>
      </c>
      <c r="B433">
        <v>1008</v>
      </c>
      <c r="C433">
        <v>7</v>
      </c>
      <c r="D433" t="s">
        <v>7681</v>
      </c>
      <c r="E433">
        <v>170</v>
      </c>
      <c r="F433" t="s">
        <v>5787</v>
      </c>
      <c r="G433" t="s">
        <v>5786</v>
      </c>
      <c r="H433">
        <v>255</v>
      </c>
      <c r="I433">
        <v>128</v>
      </c>
      <c r="J433">
        <v>132</v>
      </c>
      <c r="K433" s="416" t="str" cm="1">
        <f t="array" ref="K433">myRGB(H433,I433,J433)</f>
        <v/>
      </c>
    </row>
    <row r="434" spans="1:11" x14ac:dyDescent="0.2">
      <c r="A434">
        <v>663</v>
      </c>
      <c r="B434">
        <v>170</v>
      </c>
      <c r="C434">
        <v>8</v>
      </c>
      <c r="D434" t="s">
        <v>8091</v>
      </c>
      <c r="E434">
        <v>549</v>
      </c>
      <c r="F434" t="s">
        <v>5789</v>
      </c>
      <c r="G434" t="s">
        <v>5788</v>
      </c>
      <c r="H434">
        <v>254</v>
      </c>
      <c r="I434">
        <v>128</v>
      </c>
      <c r="J434">
        <v>131</v>
      </c>
      <c r="K434" s="586" t="str" cm="1">
        <f t="array" ref="K434">myRGB(H434,I434,J434)</f>
        <v/>
      </c>
    </row>
    <row r="435" spans="1:11" x14ac:dyDescent="0.2">
      <c r="A435">
        <v>664</v>
      </c>
      <c r="B435">
        <v>170</v>
      </c>
      <c r="C435">
        <v>8</v>
      </c>
      <c r="D435" t="s">
        <v>7682</v>
      </c>
      <c r="E435">
        <v>496345668</v>
      </c>
      <c r="F435" t="s">
        <v>5791</v>
      </c>
      <c r="G435" t="s">
        <v>5790</v>
      </c>
      <c r="H435">
        <v>254</v>
      </c>
      <c r="I435">
        <v>127</v>
      </c>
      <c r="J435">
        <v>132</v>
      </c>
      <c r="K435" s="564" t="str" cm="1">
        <f t="array" ref="K435">myRGB(H435,I435,J435)</f>
        <v/>
      </c>
    </row>
    <row r="436" spans="1:11" x14ac:dyDescent="0.2">
      <c r="A436">
        <v>665</v>
      </c>
      <c r="B436">
        <v>170</v>
      </c>
      <c r="C436">
        <v>8</v>
      </c>
      <c r="D436" t="s">
        <v>7683</v>
      </c>
      <c r="E436">
        <v>496345672</v>
      </c>
      <c r="F436" t="s">
        <v>5793</v>
      </c>
      <c r="G436" t="s">
        <v>5792</v>
      </c>
      <c r="H436">
        <v>253</v>
      </c>
      <c r="I436">
        <v>128</v>
      </c>
      <c r="J436">
        <v>130</v>
      </c>
      <c r="K436" s="642" t="str" cm="1">
        <f t="array" ref="K436">myRGB(H436,I436,J436)</f>
        <v/>
      </c>
    </row>
    <row r="437" spans="1:11" x14ac:dyDescent="0.2">
      <c r="A437">
        <v>666</v>
      </c>
      <c r="B437">
        <v>549</v>
      </c>
      <c r="C437">
        <v>5</v>
      </c>
      <c r="D437" t="s">
        <v>7684</v>
      </c>
      <c r="E437">
        <v>856</v>
      </c>
      <c r="F437" t="s">
        <v>5795</v>
      </c>
      <c r="G437" t="s">
        <v>5794</v>
      </c>
      <c r="H437">
        <v>254</v>
      </c>
      <c r="I437">
        <v>144</v>
      </c>
      <c r="J437">
        <v>156</v>
      </c>
      <c r="K437" s="524" t="str" cm="1">
        <f t="array" ref="K437">myRGB(H437,I437,J437)</f>
        <v/>
      </c>
    </row>
    <row r="438" spans="1:11" x14ac:dyDescent="0.2">
      <c r="A438">
        <v>667</v>
      </c>
      <c r="B438">
        <v>856</v>
      </c>
      <c r="C438">
        <v>6</v>
      </c>
      <c r="D438" t="s">
        <v>7685</v>
      </c>
      <c r="E438">
        <v>138</v>
      </c>
      <c r="F438" t="s">
        <v>5797</v>
      </c>
      <c r="G438" t="s">
        <v>5796</v>
      </c>
      <c r="H438">
        <v>254</v>
      </c>
      <c r="I438">
        <v>143</v>
      </c>
      <c r="J438">
        <v>159</v>
      </c>
      <c r="K438" s="565" t="str" cm="1">
        <f t="array" ref="K438">myRGB(H438,I438,J438)</f>
        <v/>
      </c>
    </row>
    <row r="439" spans="1:11" x14ac:dyDescent="0.2">
      <c r="A439">
        <v>668</v>
      </c>
      <c r="B439">
        <v>138</v>
      </c>
      <c r="C439">
        <v>7</v>
      </c>
      <c r="D439" t="s">
        <v>7686</v>
      </c>
      <c r="E439">
        <v>218</v>
      </c>
      <c r="F439" t="s">
        <v>5799</v>
      </c>
      <c r="G439" t="s">
        <v>5798</v>
      </c>
      <c r="H439">
        <v>254</v>
      </c>
      <c r="I439">
        <v>144</v>
      </c>
      <c r="J439">
        <v>157</v>
      </c>
      <c r="K439" s="423" t="str" cm="1">
        <f t="array" ref="K439">myRGB(H439,I439,J439)</f>
        <v/>
      </c>
    </row>
    <row r="440" spans="1:11" x14ac:dyDescent="0.2">
      <c r="A440">
        <v>669</v>
      </c>
      <c r="B440">
        <v>138</v>
      </c>
      <c r="C440">
        <v>7</v>
      </c>
      <c r="D440" t="s">
        <v>7687</v>
      </c>
      <c r="E440">
        <v>1020</v>
      </c>
      <c r="F440" t="s">
        <v>5801</v>
      </c>
      <c r="G440" t="s">
        <v>5800</v>
      </c>
      <c r="H440">
        <v>255</v>
      </c>
      <c r="I440">
        <v>142</v>
      </c>
      <c r="J440">
        <v>156</v>
      </c>
      <c r="K440" s="590" t="str" cm="1">
        <f t="array" ref="K440">myRGB(H440,I440,J440)</f>
        <v/>
      </c>
    </row>
    <row r="441" spans="1:11" x14ac:dyDescent="0.2">
      <c r="A441">
        <v>670</v>
      </c>
      <c r="B441">
        <v>138</v>
      </c>
      <c r="C441">
        <v>7</v>
      </c>
      <c r="D441" t="s">
        <v>7688</v>
      </c>
      <c r="E441">
        <v>1029</v>
      </c>
      <c r="F441" t="s">
        <v>5803</v>
      </c>
      <c r="G441" t="s">
        <v>5802</v>
      </c>
      <c r="H441">
        <v>255</v>
      </c>
      <c r="I441">
        <v>141</v>
      </c>
      <c r="J441">
        <v>157</v>
      </c>
      <c r="K441" s="523" t="str" cm="1">
        <f t="array" ref="K441">myRGB(H441,I441,J441)</f>
        <v/>
      </c>
    </row>
    <row r="442" spans="1:11" x14ac:dyDescent="0.2">
      <c r="A442">
        <v>671</v>
      </c>
      <c r="B442">
        <v>138</v>
      </c>
      <c r="C442">
        <v>7</v>
      </c>
      <c r="D442" t="s">
        <v>7689</v>
      </c>
      <c r="E442">
        <v>325</v>
      </c>
      <c r="F442" t="s">
        <v>5805</v>
      </c>
      <c r="G442" t="s">
        <v>5804</v>
      </c>
      <c r="H442">
        <v>255</v>
      </c>
      <c r="I442">
        <v>142</v>
      </c>
      <c r="J442">
        <v>157</v>
      </c>
      <c r="K442" s="792" t="str" cm="1">
        <f t="array" ref="K442">myRGB(H442,I442,J442)</f>
        <v/>
      </c>
    </row>
    <row r="443" spans="1:11" x14ac:dyDescent="0.2">
      <c r="A443">
        <v>672</v>
      </c>
      <c r="B443">
        <v>138</v>
      </c>
      <c r="C443">
        <v>7</v>
      </c>
      <c r="D443" t="s">
        <v>7690</v>
      </c>
      <c r="E443">
        <v>560581551</v>
      </c>
      <c r="F443" t="s">
        <v>5807</v>
      </c>
      <c r="G443" t="s">
        <v>5806</v>
      </c>
      <c r="H443">
        <v>253</v>
      </c>
      <c r="I443">
        <v>143</v>
      </c>
      <c r="J443">
        <v>156</v>
      </c>
      <c r="K443" s="755" t="str" cm="1">
        <f t="array" ref="K443">myRGB(H443,I443,J443)</f>
        <v/>
      </c>
    </row>
    <row r="444" spans="1:11" x14ac:dyDescent="0.2">
      <c r="A444">
        <v>674</v>
      </c>
      <c r="B444">
        <v>856</v>
      </c>
      <c r="C444">
        <v>6</v>
      </c>
      <c r="D444" t="s">
        <v>7691</v>
      </c>
      <c r="E444">
        <v>239</v>
      </c>
      <c r="F444" t="s">
        <v>5811</v>
      </c>
      <c r="G444" t="s">
        <v>5810</v>
      </c>
      <c r="H444">
        <v>254</v>
      </c>
      <c r="I444">
        <v>142</v>
      </c>
      <c r="J444">
        <v>159</v>
      </c>
      <c r="K444" s="695" t="str" cm="1">
        <f t="array" ref="K444">myRGB(H444,I444,J444)</f>
        <v/>
      </c>
    </row>
    <row r="445" spans="1:11" x14ac:dyDescent="0.2">
      <c r="A445">
        <v>675</v>
      </c>
      <c r="B445">
        <v>239</v>
      </c>
      <c r="C445">
        <v>7</v>
      </c>
      <c r="D445" t="s">
        <v>7692</v>
      </c>
      <c r="E445">
        <v>255</v>
      </c>
      <c r="F445" t="s">
        <v>5813</v>
      </c>
      <c r="G445" t="s">
        <v>5812</v>
      </c>
      <c r="H445">
        <v>253</v>
      </c>
      <c r="I445">
        <v>144</v>
      </c>
      <c r="J445">
        <v>158</v>
      </c>
      <c r="K445" s="838" t="str" cm="1">
        <f t="array" ref="K445">myRGB(H445,I445,J445)</f>
        <v/>
      </c>
    </row>
    <row r="446" spans="1:11" x14ac:dyDescent="0.2">
      <c r="A446">
        <v>676</v>
      </c>
      <c r="B446">
        <v>239</v>
      </c>
      <c r="C446">
        <v>7</v>
      </c>
      <c r="D446" t="s">
        <v>7693</v>
      </c>
      <c r="E446">
        <v>127</v>
      </c>
      <c r="F446" t="s">
        <v>5815</v>
      </c>
      <c r="G446" t="s">
        <v>5814</v>
      </c>
      <c r="H446">
        <v>254</v>
      </c>
      <c r="I446">
        <v>144</v>
      </c>
      <c r="J446">
        <v>158</v>
      </c>
      <c r="K446" s="589" t="str" cm="1">
        <f t="array" ref="K446">myRGB(H446,I446,J446)</f>
        <v/>
      </c>
    </row>
    <row r="447" spans="1:11" x14ac:dyDescent="0.2">
      <c r="A447">
        <v>677</v>
      </c>
      <c r="B447">
        <v>127</v>
      </c>
      <c r="C447">
        <v>8</v>
      </c>
      <c r="D447" t="s">
        <v>7694</v>
      </c>
      <c r="E447">
        <v>1096</v>
      </c>
      <c r="F447" t="s">
        <v>5817</v>
      </c>
      <c r="G447" t="s">
        <v>5816</v>
      </c>
      <c r="H447">
        <v>253</v>
      </c>
      <c r="I447">
        <v>141</v>
      </c>
      <c r="J447">
        <v>159</v>
      </c>
      <c r="K447" s="522" t="str" cm="1">
        <f t="array" ref="K447">myRGB(H447,I447,J447)</f>
        <v/>
      </c>
    </row>
    <row r="448" spans="1:11" x14ac:dyDescent="0.2">
      <c r="A448">
        <v>678</v>
      </c>
      <c r="B448">
        <v>127</v>
      </c>
      <c r="C448">
        <v>8</v>
      </c>
      <c r="D448" t="s">
        <v>7695</v>
      </c>
      <c r="E448">
        <v>1104</v>
      </c>
      <c r="F448" t="s">
        <v>5819</v>
      </c>
      <c r="G448" t="s">
        <v>5818</v>
      </c>
      <c r="H448">
        <v>252</v>
      </c>
      <c r="I448">
        <v>144</v>
      </c>
      <c r="J448">
        <v>157</v>
      </c>
      <c r="K448" s="421" t="str" cm="1">
        <f t="array" ref="K448">myRGB(H448,I448,J448)</f>
        <v/>
      </c>
    </row>
    <row r="449" spans="1:11" x14ac:dyDescent="0.2">
      <c r="A449">
        <v>679</v>
      </c>
      <c r="B449">
        <v>239</v>
      </c>
      <c r="C449">
        <v>7</v>
      </c>
      <c r="D449" t="s">
        <v>7696</v>
      </c>
      <c r="E449">
        <v>64</v>
      </c>
      <c r="F449" t="s">
        <v>5821</v>
      </c>
      <c r="G449" t="s">
        <v>5820</v>
      </c>
      <c r="H449">
        <v>255</v>
      </c>
      <c r="I449">
        <v>143</v>
      </c>
      <c r="J449">
        <v>158</v>
      </c>
      <c r="K449" s="754" t="str" cm="1">
        <f t="array" ref="K449">myRGB(H449,I449,J449)</f>
        <v/>
      </c>
    </row>
    <row r="450" spans="1:11" x14ac:dyDescent="0.2">
      <c r="A450">
        <v>680</v>
      </c>
      <c r="B450">
        <v>239</v>
      </c>
      <c r="C450">
        <v>7</v>
      </c>
      <c r="D450" t="s">
        <v>7697</v>
      </c>
      <c r="E450">
        <v>1120</v>
      </c>
      <c r="F450" t="s">
        <v>5823</v>
      </c>
      <c r="G450" t="s">
        <v>5822</v>
      </c>
      <c r="H450">
        <v>254</v>
      </c>
      <c r="I450">
        <v>142</v>
      </c>
      <c r="J450">
        <v>156</v>
      </c>
      <c r="K450" s="675" t="str" cm="1">
        <f t="array" ref="K450">myRGB(H450,I450,J450)</f>
        <v/>
      </c>
    </row>
    <row r="451" spans="1:11" x14ac:dyDescent="0.2">
      <c r="A451">
        <v>681</v>
      </c>
      <c r="B451">
        <v>239</v>
      </c>
      <c r="C451">
        <v>7</v>
      </c>
      <c r="D451" t="s">
        <v>7698</v>
      </c>
      <c r="E451">
        <v>1113</v>
      </c>
      <c r="F451" t="s">
        <v>5825</v>
      </c>
      <c r="G451" t="s">
        <v>5824</v>
      </c>
      <c r="H451">
        <v>252</v>
      </c>
      <c r="I451">
        <v>142</v>
      </c>
      <c r="J451">
        <v>159</v>
      </c>
      <c r="K451" s="422" t="str" cm="1">
        <f t="array" ref="K451">myRGB(H451,I451,J451)</f>
        <v/>
      </c>
    </row>
    <row r="452" spans="1:11" x14ac:dyDescent="0.2">
      <c r="A452">
        <v>682</v>
      </c>
      <c r="B452">
        <v>239</v>
      </c>
      <c r="C452">
        <v>7</v>
      </c>
      <c r="D452" t="s">
        <v>7699</v>
      </c>
      <c r="E452">
        <v>155</v>
      </c>
      <c r="F452" t="s">
        <v>5827</v>
      </c>
      <c r="G452" t="s">
        <v>5826</v>
      </c>
      <c r="H452">
        <v>255</v>
      </c>
      <c r="I452">
        <v>144</v>
      </c>
      <c r="J452">
        <v>157</v>
      </c>
      <c r="K452" s="388" t="str" cm="1">
        <f t="array" ref="K452">myRGB(H452,I452,J452)</f>
        <v/>
      </c>
    </row>
    <row r="453" spans="1:11" x14ac:dyDescent="0.2">
      <c r="A453">
        <v>683</v>
      </c>
      <c r="B453">
        <v>856</v>
      </c>
      <c r="C453">
        <v>6</v>
      </c>
      <c r="D453" t="s">
        <v>7700</v>
      </c>
      <c r="E453">
        <v>444</v>
      </c>
      <c r="F453" t="s">
        <v>5829</v>
      </c>
      <c r="G453" t="s">
        <v>5828</v>
      </c>
      <c r="H453">
        <v>255</v>
      </c>
      <c r="I453">
        <v>144</v>
      </c>
      <c r="J453">
        <v>156</v>
      </c>
      <c r="K453" s="451" t="str" cm="1">
        <f t="array" ref="K453">myRGB(H453,I453,J453)</f>
        <v/>
      </c>
    </row>
    <row r="454" spans="1:11" x14ac:dyDescent="0.2">
      <c r="A454">
        <v>684</v>
      </c>
      <c r="B454">
        <v>444</v>
      </c>
      <c r="C454">
        <v>7</v>
      </c>
      <c r="D454" t="s">
        <v>7701</v>
      </c>
      <c r="E454">
        <v>59</v>
      </c>
      <c r="F454" t="s">
        <v>5831</v>
      </c>
      <c r="G454" t="s">
        <v>5830</v>
      </c>
      <c r="H454">
        <v>254</v>
      </c>
      <c r="I454">
        <v>144</v>
      </c>
      <c r="J454">
        <v>159</v>
      </c>
      <c r="K454" s="489" t="str" cm="1">
        <f t="array" ref="K454">myRGB(H454,I454,J454)</f>
        <v/>
      </c>
    </row>
    <row r="455" spans="1:11" x14ac:dyDescent="0.2">
      <c r="A455">
        <v>685</v>
      </c>
      <c r="B455">
        <v>444</v>
      </c>
      <c r="C455">
        <v>7</v>
      </c>
      <c r="D455" t="s">
        <v>7702</v>
      </c>
      <c r="E455">
        <v>362</v>
      </c>
      <c r="F455" t="s">
        <v>5833</v>
      </c>
      <c r="G455" t="s">
        <v>5832</v>
      </c>
      <c r="H455">
        <v>253</v>
      </c>
      <c r="I455">
        <v>144</v>
      </c>
      <c r="J455">
        <v>157</v>
      </c>
      <c r="K455" s="624" t="str" cm="1">
        <f t="array" ref="K455">myRGB(H455,I455,J455)</f>
        <v/>
      </c>
    </row>
    <row r="456" spans="1:11" x14ac:dyDescent="0.2">
      <c r="A456">
        <v>689</v>
      </c>
      <c r="B456">
        <v>444</v>
      </c>
      <c r="C456">
        <v>7</v>
      </c>
      <c r="D456" t="s">
        <v>7703</v>
      </c>
      <c r="E456">
        <v>366</v>
      </c>
      <c r="F456" t="s">
        <v>5841</v>
      </c>
      <c r="G456" t="s">
        <v>5840</v>
      </c>
      <c r="H456">
        <v>253</v>
      </c>
      <c r="I456">
        <v>142</v>
      </c>
      <c r="J456">
        <v>159</v>
      </c>
      <c r="K456" s="588" t="str" cm="1">
        <f t="array" ref="K456">myRGB(H456,I456,J456)</f>
        <v/>
      </c>
    </row>
    <row r="457" spans="1:11" x14ac:dyDescent="0.2">
      <c r="A457">
        <v>690</v>
      </c>
      <c r="B457">
        <v>444</v>
      </c>
      <c r="C457">
        <v>7</v>
      </c>
      <c r="D457" t="s">
        <v>7704</v>
      </c>
      <c r="E457">
        <v>1077</v>
      </c>
      <c r="F457" t="s">
        <v>5843</v>
      </c>
      <c r="G457" t="s">
        <v>5842</v>
      </c>
      <c r="H457">
        <v>253</v>
      </c>
      <c r="I457">
        <v>144</v>
      </c>
      <c r="J457">
        <v>156</v>
      </c>
      <c r="K457" s="420" t="str" cm="1">
        <f t="array" ref="K457">myRGB(H457,I457,J457)</f>
        <v/>
      </c>
    </row>
    <row r="458" spans="1:11" x14ac:dyDescent="0.2">
      <c r="A458">
        <v>691</v>
      </c>
      <c r="B458">
        <v>856</v>
      </c>
      <c r="C458">
        <v>6</v>
      </c>
      <c r="D458" t="s">
        <v>7705</v>
      </c>
      <c r="E458">
        <v>571</v>
      </c>
      <c r="F458" t="s">
        <v>5845</v>
      </c>
      <c r="G458" t="s">
        <v>5844</v>
      </c>
      <c r="H458">
        <v>254</v>
      </c>
      <c r="I458">
        <v>142</v>
      </c>
      <c r="J458">
        <v>157</v>
      </c>
      <c r="K458" s="387" t="str" cm="1">
        <f t="array" ref="K458">myRGB(H458,I458,J458)</f>
        <v/>
      </c>
    </row>
    <row r="459" spans="1:11" x14ac:dyDescent="0.2">
      <c r="A459">
        <v>692</v>
      </c>
      <c r="B459">
        <v>571</v>
      </c>
      <c r="C459">
        <v>7</v>
      </c>
      <c r="D459" t="s">
        <v>7706</v>
      </c>
      <c r="E459">
        <v>149</v>
      </c>
      <c r="F459" t="s">
        <v>5847</v>
      </c>
      <c r="G459" t="s">
        <v>5846</v>
      </c>
      <c r="H459">
        <v>254</v>
      </c>
      <c r="I459">
        <v>143</v>
      </c>
      <c r="J459">
        <v>158</v>
      </c>
      <c r="K459" s="674" t="str" cm="1">
        <f t="array" ref="K459">myRGB(H459,I459,J459)</f>
        <v/>
      </c>
    </row>
    <row r="460" spans="1:11" x14ac:dyDescent="0.2">
      <c r="A460">
        <v>693</v>
      </c>
      <c r="B460">
        <v>571</v>
      </c>
      <c r="C460">
        <v>7</v>
      </c>
      <c r="D460" t="s">
        <v>7707</v>
      </c>
      <c r="E460">
        <v>15</v>
      </c>
      <c r="F460" t="s">
        <v>5849</v>
      </c>
      <c r="G460" t="s">
        <v>5848</v>
      </c>
      <c r="H460">
        <v>255</v>
      </c>
      <c r="I460">
        <v>144</v>
      </c>
      <c r="J460">
        <v>159</v>
      </c>
      <c r="K460" s="587" t="str" cm="1">
        <f t="array" ref="K460">myRGB(H460,I460,J460)</f>
        <v/>
      </c>
    </row>
    <row r="461" spans="1:11" x14ac:dyDescent="0.2">
      <c r="A461">
        <v>694</v>
      </c>
      <c r="B461">
        <v>571</v>
      </c>
      <c r="C461">
        <v>7</v>
      </c>
      <c r="D461" t="s">
        <v>7708</v>
      </c>
      <c r="E461">
        <v>181</v>
      </c>
      <c r="F461" t="s">
        <v>5851</v>
      </c>
      <c r="G461" t="s">
        <v>5850</v>
      </c>
      <c r="H461">
        <v>253</v>
      </c>
      <c r="I461">
        <v>144</v>
      </c>
      <c r="J461">
        <v>159</v>
      </c>
      <c r="K461" s="520" t="str" cm="1">
        <f t="array" ref="K461">myRGB(H461,I461,J461)</f>
        <v/>
      </c>
    </row>
    <row r="462" spans="1:11" x14ac:dyDescent="0.2">
      <c r="A462">
        <v>695</v>
      </c>
      <c r="B462">
        <v>571</v>
      </c>
      <c r="C462">
        <v>7</v>
      </c>
      <c r="D462" t="s">
        <v>7709</v>
      </c>
      <c r="E462">
        <v>560581559</v>
      </c>
      <c r="F462" t="s">
        <v>5853</v>
      </c>
      <c r="G462" t="s">
        <v>5852</v>
      </c>
      <c r="H462">
        <v>252</v>
      </c>
      <c r="I462">
        <v>143</v>
      </c>
      <c r="J462">
        <v>159</v>
      </c>
      <c r="K462" s="450" t="str" cm="1">
        <f t="array" ref="K462">myRGB(H462,I462,J462)</f>
        <v/>
      </c>
    </row>
    <row r="463" spans="1:11" x14ac:dyDescent="0.2">
      <c r="A463">
        <v>696</v>
      </c>
      <c r="B463">
        <v>856</v>
      </c>
      <c r="C463">
        <v>6</v>
      </c>
      <c r="D463" t="s">
        <v>7710</v>
      </c>
      <c r="E463">
        <v>51</v>
      </c>
      <c r="F463" t="s">
        <v>5855</v>
      </c>
      <c r="G463" t="s">
        <v>5854</v>
      </c>
      <c r="H463">
        <v>255</v>
      </c>
      <c r="I463">
        <v>143</v>
      </c>
      <c r="J463">
        <v>159</v>
      </c>
      <c r="K463" s="521" t="str" cm="1">
        <f t="array" ref="K463">myRGB(H463,I463,J463)</f>
        <v/>
      </c>
    </row>
    <row r="464" spans="1:11" x14ac:dyDescent="0.2">
      <c r="A464">
        <v>697</v>
      </c>
      <c r="B464">
        <v>51</v>
      </c>
      <c r="C464">
        <v>7</v>
      </c>
      <c r="D464" t="s">
        <v>7711</v>
      </c>
      <c r="E464">
        <v>189</v>
      </c>
      <c r="F464" t="s">
        <v>5857</v>
      </c>
      <c r="G464" t="s">
        <v>5856</v>
      </c>
      <c r="H464">
        <v>255</v>
      </c>
      <c r="I464">
        <v>142</v>
      </c>
      <c r="J464">
        <v>158</v>
      </c>
      <c r="K464" s="419" t="str" cm="1">
        <f t="array" ref="K464">myRGB(H464,I464,J464)</f>
        <v/>
      </c>
    </row>
    <row r="465" spans="1:11" x14ac:dyDescent="0.2">
      <c r="A465">
        <v>698</v>
      </c>
      <c r="B465">
        <v>51</v>
      </c>
      <c r="C465">
        <v>7</v>
      </c>
      <c r="D465" t="s">
        <v>7712</v>
      </c>
      <c r="E465">
        <v>599</v>
      </c>
      <c r="F465" t="s">
        <v>5859</v>
      </c>
      <c r="G465" t="s">
        <v>5858</v>
      </c>
      <c r="H465">
        <v>253</v>
      </c>
      <c r="I465">
        <v>142</v>
      </c>
      <c r="J465">
        <v>158</v>
      </c>
      <c r="K465" s="753" t="str" cm="1">
        <f t="array" ref="K465">myRGB(H465,I465,J465)</f>
        <v/>
      </c>
    </row>
    <row r="466" spans="1:11" x14ac:dyDescent="0.2">
      <c r="A466">
        <v>699</v>
      </c>
      <c r="B466">
        <v>51</v>
      </c>
      <c r="C466">
        <v>7</v>
      </c>
      <c r="D466" t="s">
        <v>7713</v>
      </c>
      <c r="E466">
        <v>907</v>
      </c>
      <c r="F466" t="s">
        <v>5861</v>
      </c>
      <c r="G466" t="s">
        <v>5860</v>
      </c>
      <c r="H466">
        <v>254</v>
      </c>
      <c r="I466">
        <v>141</v>
      </c>
      <c r="J466">
        <v>159</v>
      </c>
      <c r="K466" s="693" t="str" cm="1">
        <f t="array" ref="K466">myRGB(H466,I466,J466)</f>
        <v/>
      </c>
    </row>
    <row r="467" spans="1:11" x14ac:dyDescent="0.2">
      <c r="A467">
        <v>700</v>
      </c>
      <c r="B467">
        <v>51</v>
      </c>
      <c r="C467">
        <v>7</v>
      </c>
      <c r="D467" t="s">
        <v>7714</v>
      </c>
      <c r="E467">
        <v>575</v>
      </c>
      <c r="F467" t="s">
        <v>5863</v>
      </c>
      <c r="G467" t="s">
        <v>5862</v>
      </c>
      <c r="H467">
        <v>253</v>
      </c>
      <c r="I467">
        <v>143</v>
      </c>
      <c r="J467">
        <v>157</v>
      </c>
      <c r="K467" s="806" t="str" cm="1">
        <f t="array" ref="K467">myRGB(H467,I467,J467)</f>
        <v/>
      </c>
    </row>
    <row r="468" spans="1:11" x14ac:dyDescent="0.2">
      <c r="A468">
        <v>701</v>
      </c>
      <c r="B468">
        <v>51</v>
      </c>
      <c r="C468">
        <v>7</v>
      </c>
      <c r="D468" t="s">
        <v>7715</v>
      </c>
      <c r="E468">
        <v>930</v>
      </c>
      <c r="F468" t="s">
        <v>5865</v>
      </c>
      <c r="G468" t="s">
        <v>5864</v>
      </c>
      <c r="H468">
        <v>252</v>
      </c>
      <c r="I468">
        <v>144</v>
      </c>
      <c r="J468">
        <v>158</v>
      </c>
      <c r="K468" s="418" t="str" cm="1">
        <f t="array" ref="K468">myRGB(H468,I468,J468)</f>
        <v/>
      </c>
    </row>
    <row r="469" spans="1:11" x14ac:dyDescent="0.2">
      <c r="A469">
        <v>702</v>
      </c>
      <c r="B469">
        <v>51</v>
      </c>
      <c r="C469">
        <v>7</v>
      </c>
      <c r="D469" t="s">
        <v>7716</v>
      </c>
      <c r="E469">
        <v>560581563</v>
      </c>
      <c r="F469" t="s">
        <v>5867</v>
      </c>
      <c r="G469" t="s">
        <v>5866</v>
      </c>
      <c r="H469">
        <v>254</v>
      </c>
      <c r="I469">
        <v>141</v>
      </c>
      <c r="J469">
        <v>158</v>
      </c>
      <c r="K469" s="732" t="str" cm="1">
        <f t="array" ref="K469">myRGB(H469,I469,J469)</f>
        <v/>
      </c>
    </row>
    <row r="470" spans="1:11" x14ac:dyDescent="0.2">
      <c r="A470">
        <v>703</v>
      </c>
      <c r="B470">
        <v>856</v>
      </c>
      <c r="C470">
        <v>6</v>
      </c>
      <c r="D470" t="s">
        <v>7717</v>
      </c>
      <c r="E470">
        <v>262</v>
      </c>
      <c r="F470" t="s">
        <v>5869</v>
      </c>
      <c r="G470" t="s">
        <v>5868</v>
      </c>
      <c r="H470">
        <v>253</v>
      </c>
      <c r="I470">
        <v>143</v>
      </c>
      <c r="J470">
        <v>159</v>
      </c>
      <c r="K470" s="694" t="str" cm="1">
        <f t="array" ref="K470">myRGB(H470,I470,J470)</f>
        <v/>
      </c>
    </row>
    <row r="471" spans="1:11" x14ac:dyDescent="0.2">
      <c r="A471">
        <v>704</v>
      </c>
      <c r="B471">
        <v>856</v>
      </c>
      <c r="C471">
        <v>6</v>
      </c>
      <c r="D471" t="s">
        <v>7718</v>
      </c>
      <c r="E471">
        <v>1014</v>
      </c>
      <c r="F471" t="s">
        <v>5871</v>
      </c>
      <c r="G471" t="s">
        <v>5870</v>
      </c>
      <c r="H471">
        <v>253</v>
      </c>
      <c r="I471">
        <v>142</v>
      </c>
      <c r="J471">
        <v>157</v>
      </c>
      <c r="K471" s="425" t="str" cm="1">
        <f t="array" ref="K471">myRGB(H471,I471,J471)</f>
        <v/>
      </c>
    </row>
    <row r="472" spans="1:11" x14ac:dyDescent="0.2">
      <c r="A472">
        <v>705</v>
      </c>
      <c r="B472">
        <v>1014</v>
      </c>
      <c r="C472">
        <v>7</v>
      </c>
      <c r="D472" t="s">
        <v>7719</v>
      </c>
      <c r="E472">
        <v>27</v>
      </c>
      <c r="F472" t="s">
        <v>5873</v>
      </c>
      <c r="G472" t="s">
        <v>5872</v>
      </c>
      <c r="H472">
        <v>255</v>
      </c>
      <c r="I472">
        <v>144</v>
      </c>
      <c r="J472">
        <v>158</v>
      </c>
      <c r="K472" s="756" t="str" cm="1">
        <f t="array" ref="K472">myRGB(H472,I472,J472)</f>
        <v/>
      </c>
    </row>
    <row r="473" spans="1:11" x14ac:dyDescent="0.2">
      <c r="A473">
        <v>706</v>
      </c>
      <c r="B473">
        <v>1014</v>
      </c>
      <c r="C473">
        <v>7</v>
      </c>
      <c r="D473" t="s">
        <v>7720</v>
      </c>
      <c r="E473">
        <v>563807439</v>
      </c>
      <c r="F473" t="s">
        <v>5875</v>
      </c>
      <c r="G473" t="s">
        <v>5874</v>
      </c>
      <c r="H473">
        <v>254</v>
      </c>
      <c r="I473">
        <v>141</v>
      </c>
      <c r="J473">
        <v>157</v>
      </c>
      <c r="K473" s="424" t="str" cm="1">
        <f t="array" ref="K473">myRGB(H473,I473,J473)</f>
        <v/>
      </c>
    </row>
    <row r="474" spans="1:11" x14ac:dyDescent="0.2">
      <c r="A474">
        <v>707</v>
      </c>
      <c r="B474">
        <v>1014</v>
      </c>
      <c r="C474">
        <v>7</v>
      </c>
      <c r="D474" t="s">
        <v>7721</v>
      </c>
      <c r="E474">
        <v>178</v>
      </c>
      <c r="F474" t="s">
        <v>5877</v>
      </c>
      <c r="G474" t="s">
        <v>5876</v>
      </c>
      <c r="H474">
        <v>255</v>
      </c>
      <c r="I474">
        <v>142</v>
      </c>
      <c r="J474">
        <v>159</v>
      </c>
      <c r="K474" s="733" t="str" cm="1">
        <f t="array" ref="K474">myRGB(H474,I474,J474)</f>
        <v/>
      </c>
    </row>
    <row r="475" spans="1:11" x14ac:dyDescent="0.2">
      <c r="A475">
        <v>710</v>
      </c>
      <c r="B475">
        <v>1014</v>
      </c>
      <c r="C475">
        <v>7</v>
      </c>
      <c r="D475" t="s">
        <v>7722</v>
      </c>
      <c r="E475">
        <v>321</v>
      </c>
      <c r="F475" t="s">
        <v>5883</v>
      </c>
      <c r="G475" t="s">
        <v>5882</v>
      </c>
      <c r="H475">
        <v>253</v>
      </c>
      <c r="I475">
        <v>143</v>
      </c>
      <c r="J475">
        <v>158</v>
      </c>
      <c r="K475" s="696" t="str" cm="1">
        <f t="array" ref="K475">myRGB(H475,I475,J475)</f>
        <v/>
      </c>
    </row>
    <row r="476" spans="1:11" x14ac:dyDescent="0.2">
      <c r="A476">
        <v>711</v>
      </c>
      <c r="B476">
        <v>856</v>
      </c>
      <c r="C476">
        <v>6</v>
      </c>
      <c r="D476" t="s">
        <v>7723</v>
      </c>
      <c r="E476">
        <v>958</v>
      </c>
      <c r="F476" t="s">
        <v>5885</v>
      </c>
      <c r="G476" t="s">
        <v>5884</v>
      </c>
      <c r="H476">
        <v>252</v>
      </c>
      <c r="I476">
        <v>143</v>
      </c>
      <c r="J476">
        <v>158</v>
      </c>
      <c r="K476" s="417" t="str" cm="1">
        <f t="array" ref="K476">myRGB(H476,I476,J476)</f>
        <v/>
      </c>
    </row>
    <row r="477" spans="1:11" x14ac:dyDescent="0.2">
      <c r="A477">
        <v>712</v>
      </c>
      <c r="B477">
        <v>958</v>
      </c>
      <c r="C477">
        <v>7</v>
      </c>
      <c r="D477" t="s">
        <v>7724</v>
      </c>
      <c r="E477">
        <v>483</v>
      </c>
      <c r="F477" t="s">
        <v>5887</v>
      </c>
      <c r="G477" t="s">
        <v>5886</v>
      </c>
      <c r="H477">
        <v>255</v>
      </c>
      <c r="I477">
        <v>141</v>
      </c>
      <c r="J477">
        <v>159</v>
      </c>
      <c r="K477" s="752" t="str" cm="1">
        <f t="array" ref="K477">myRGB(H477,I477,J477)</f>
        <v/>
      </c>
    </row>
    <row r="478" spans="1:11" x14ac:dyDescent="0.2">
      <c r="A478">
        <v>713</v>
      </c>
      <c r="B478">
        <v>958</v>
      </c>
      <c r="C478">
        <v>7</v>
      </c>
      <c r="D478" t="s">
        <v>7725</v>
      </c>
      <c r="E478">
        <v>186</v>
      </c>
      <c r="F478" t="s">
        <v>5889</v>
      </c>
      <c r="G478" t="s">
        <v>5888</v>
      </c>
      <c r="H478">
        <v>255</v>
      </c>
      <c r="I478">
        <v>143</v>
      </c>
      <c r="J478">
        <v>157</v>
      </c>
      <c r="K478" s="837" t="str" cm="1">
        <f t="array" ref="K478">myRGB(H478,I478,J478)</f>
        <v/>
      </c>
    </row>
    <row r="479" spans="1:11" x14ac:dyDescent="0.2">
      <c r="A479">
        <v>715</v>
      </c>
      <c r="B479">
        <v>1129</v>
      </c>
      <c r="C479">
        <v>4</v>
      </c>
      <c r="D479" t="s">
        <v>7726</v>
      </c>
      <c r="E479">
        <v>1097</v>
      </c>
      <c r="F479" t="s">
        <v>5893</v>
      </c>
      <c r="G479" t="s">
        <v>5892</v>
      </c>
      <c r="H479">
        <v>230</v>
      </c>
      <c r="I479">
        <v>68</v>
      </c>
      <c r="J479">
        <v>56</v>
      </c>
      <c r="K479" s="795" t="str" cm="1">
        <f t="array" ref="K479">myRGB(H479,I479,J479)</f>
        <v/>
      </c>
    </row>
    <row r="480" spans="1:11" x14ac:dyDescent="0.2">
      <c r="A480">
        <v>716</v>
      </c>
      <c r="B480">
        <v>1097</v>
      </c>
      <c r="C480">
        <v>5</v>
      </c>
      <c r="D480" t="s">
        <v>7727</v>
      </c>
      <c r="E480">
        <v>157</v>
      </c>
      <c r="F480" t="s">
        <v>5895</v>
      </c>
      <c r="G480" t="s">
        <v>5894</v>
      </c>
      <c r="H480">
        <v>255</v>
      </c>
      <c r="I480">
        <v>92</v>
      </c>
      <c r="J480">
        <v>78</v>
      </c>
      <c r="K480" s="435" t="str" cm="1">
        <f t="array" ref="K480">myRGB(H480,I480,J480)</f>
        <v/>
      </c>
    </row>
    <row r="481" spans="1:11" x14ac:dyDescent="0.2">
      <c r="A481">
        <v>717</v>
      </c>
      <c r="B481">
        <v>157</v>
      </c>
      <c r="C481">
        <v>6</v>
      </c>
      <c r="D481" t="s">
        <v>7728</v>
      </c>
      <c r="E481">
        <v>390</v>
      </c>
      <c r="F481" t="s">
        <v>5897</v>
      </c>
      <c r="G481" t="s">
        <v>5896</v>
      </c>
      <c r="H481">
        <v>254</v>
      </c>
      <c r="I481">
        <v>91</v>
      </c>
      <c r="J481">
        <v>80</v>
      </c>
      <c r="K481" s="595" t="str" cm="1">
        <f t="array" ref="K481">myRGB(H481,I481,J481)</f>
        <v/>
      </c>
    </row>
    <row r="482" spans="1:11" x14ac:dyDescent="0.2">
      <c r="A482">
        <v>718</v>
      </c>
      <c r="B482">
        <v>157</v>
      </c>
      <c r="C482">
        <v>6</v>
      </c>
      <c r="D482" t="s">
        <v>7729</v>
      </c>
      <c r="E482">
        <v>332</v>
      </c>
      <c r="F482" t="s">
        <v>5899</v>
      </c>
      <c r="G482" t="s">
        <v>5898</v>
      </c>
      <c r="H482">
        <v>254</v>
      </c>
      <c r="I482">
        <v>93</v>
      </c>
      <c r="J482">
        <v>78</v>
      </c>
      <c r="K482" s="434" t="str" cm="1">
        <f t="array" ref="K482">myRGB(H482,I482,J482)</f>
        <v/>
      </c>
    </row>
    <row r="483" spans="1:11" x14ac:dyDescent="0.2">
      <c r="A483">
        <v>720</v>
      </c>
      <c r="B483">
        <v>157</v>
      </c>
      <c r="C483">
        <v>6</v>
      </c>
      <c r="D483" t="s">
        <v>7730</v>
      </c>
      <c r="E483">
        <v>38</v>
      </c>
      <c r="F483" t="s">
        <v>5903</v>
      </c>
      <c r="G483" t="s">
        <v>5902</v>
      </c>
      <c r="H483">
        <v>255</v>
      </c>
      <c r="I483">
        <v>93</v>
      </c>
      <c r="J483">
        <v>79</v>
      </c>
      <c r="K483" s="567" t="str" cm="1">
        <f t="array" ref="K483">myRGB(H483,I483,J483)</f>
        <v/>
      </c>
    </row>
    <row r="484" spans="1:11" x14ac:dyDescent="0.2">
      <c r="A484">
        <v>731</v>
      </c>
      <c r="B484">
        <v>157</v>
      </c>
      <c r="C484">
        <v>6</v>
      </c>
      <c r="D484" t="s">
        <v>7731</v>
      </c>
      <c r="E484">
        <v>30</v>
      </c>
      <c r="F484" t="s">
        <v>5925</v>
      </c>
      <c r="G484" t="s">
        <v>5924</v>
      </c>
      <c r="H484">
        <v>255</v>
      </c>
      <c r="I484">
        <v>93</v>
      </c>
      <c r="J484">
        <v>80</v>
      </c>
      <c r="K484" s="701" t="str" cm="1">
        <f t="array" ref="K484">myRGB(H484,I484,J484)</f>
        <v/>
      </c>
    </row>
    <row r="485" spans="1:11" x14ac:dyDescent="0.2">
      <c r="A485">
        <v>732</v>
      </c>
      <c r="B485">
        <v>157</v>
      </c>
      <c r="C485">
        <v>6</v>
      </c>
      <c r="D485" t="s">
        <v>7732</v>
      </c>
      <c r="E485">
        <v>118</v>
      </c>
      <c r="F485" t="s">
        <v>5927</v>
      </c>
      <c r="G485" t="s">
        <v>5926</v>
      </c>
      <c r="H485">
        <v>253</v>
      </c>
      <c r="I485">
        <v>93</v>
      </c>
      <c r="J485">
        <v>80</v>
      </c>
      <c r="K485" s="794" t="str" cm="1">
        <f t="array" ref="K485">myRGB(H485,I485,J485)</f>
        <v/>
      </c>
    </row>
    <row r="486" spans="1:11" x14ac:dyDescent="0.2">
      <c r="A486">
        <v>733</v>
      </c>
      <c r="B486">
        <v>157</v>
      </c>
      <c r="C486">
        <v>6</v>
      </c>
      <c r="D486" t="s">
        <v>7733</v>
      </c>
      <c r="E486">
        <v>223</v>
      </c>
      <c r="F486" t="s">
        <v>5929</v>
      </c>
      <c r="G486" t="s">
        <v>5928</v>
      </c>
      <c r="H486">
        <v>255</v>
      </c>
      <c r="I486">
        <v>91</v>
      </c>
      <c r="J486">
        <v>79</v>
      </c>
      <c r="K486" s="761" t="str" cm="1">
        <f t="array" ref="K486">myRGB(H486,I486,J486)</f>
        <v/>
      </c>
    </row>
    <row r="487" spans="1:11" x14ac:dyDescent="0.2">
      <c r="A487">
        <v>734</v>
      </c>
      <c r="B487">
        <v>1097</v>
      </c>
      <c r="C487">
        <v>5</v>
      </c>
      <c r="D487" t="s">
        <v>7734</v>
      </c>
      <c r="E487">
        <v>141</v>
      </c>
      <c r="F487" t="s">
        <v>5931</v>
      </c>
      <c r="G487" t="s">
        <v>5930</v>
      </c>
      <c r="H487">
        <v>255</v>
      </c>
      <c r="I487">
        <v>84</v>
      </c>
      <c r="J487">
        <v>70</v>
      </c>
      <c r="K487" s="703" t="str" cm="1">
        <f t="array" ref="K487">myRGB(H487,I487,J487)</f>
        <v/>
      </c>
    </row>
    <row r="488" spans="1:11" x14ac:dyDescent="0.2">
      <c r="A488">
        <v>735</v>
      </c>
      <c r="B488">
        <v>141</v>
      </c>
      <c r="C488">
        <v>6</v>
      </c>
      <c r="D488" t="s">
        <v>7735</v>
      </c>
      <c r="E488">
        <v>72</v>
      </c>
      <c r="F488" t="s">
        <v>5933</v>
      </c>
      <c r="G488" t="s">
        <v>5932</v>
      </c>
      <c r="H488">
        <v>255</v>
      </c>
      <c r="I488">
        <v>85</v>
      </c>
      <c r="J488">
        <v>71</v>
      </c>
      <c r="K488" s="702" t="str" cm="1">
        <f t="array" ref="K488">myRGB(H488,I488,J488)</f>
        <v/>
      </c>
    </row>
    <row r="489" spans="1:11" x14ac:dyDescent="0.2">
      <c r="A489">
        <v>737</v>
      </c>
      <c r="B489">
        <v>141</v>
      </c>
      <c r="C489">
        <v>6</v>
      </c>
      <c r="D489" t="s">
        <v>7736</v>
      </c>
      <c r="E489">
        <v>263</v>
      </c>
      <c r="F489" t="s">
        <v>5937</v>
      </c>
      <c r="G489" t="s">
        <v>5936</v>
      </c>
      <c r="H489">
        <v>254</v>
      </c>
      <c r="I489">
        <v>84</v>
      </c>
      <c r="J489">
        <v>71</v>
      </c>
      <c r="K489" s="841" t="str" cm="1">
        <f t="array" ref="K489">myRGB(H489,I489,J489)</f>
        <v/>
      </c>
    </row>
    <row r="490" spans="1:11" x14ac:dyDescent="0.2">
      <c r="A490">
        <v>738</v>
      </c>
      <c r="B490">
        <v>141</v>
      </c>
      <c r="C490">
        <v>6</v>
      </c>
      <c r="D490" t="s">
        <v>7737</v>
      </c>
      <c r="E490">
        <v>272</v>
      </c>
      <c r="F490" t="s">
        <v>5939</v>
      </c>
      <c r="G490" t="s">
        <v>5938</v>
      </c>
      <c r="H490">
        <v>254</v>
      </c>
      <c r="I490">
        <v>84</v>
      </c>
      <c r="J490">
        <v>70</v>
      </c>
      <c r="K490" s="808" t="str" cm="1">
        <f t="array" ref="K490">myRGB(H490,I490,J490)</f>
        <v/>
      </c>
    </row>
    <row r="491" spans="1:11" x14ac:dyDescent="0.2">
      <c r="A491">
        <v>739</v>
      </c>
      <c r="B491">
        <v>141</v>
      </c>
      <c r="C491">
        <v>6</v>
      </c>
      <c r="D491" t="s">
        <v>7738</v>
      </c>
      <c r="E491">
        <v>830</v>
      </c>
      <c r="F491" t="s">
        <v>5941</v>
      </c>
      <c r="G491" t="s">
        <v>5940</v>
      </c>
      <c r="H491">
        <v>254</v>
      </c>
      <c r="I491">
        <v>84</v>
      </c>
      <c r="J491">
        <v>69</v>
      </c>
      <c r="K491" s="596" t="str" cm="1">
        <f t="array" ref="K491">myRGB(H491,I491,J491)</f>
        <v/>
      </c>
    </row>
    <row r="492" spans="1:11" x14ac:dyDescent="0.2">
      <c r="A492">
        <v>743</v>
      </c>
      <c r="B492">
        <v>141</v>
      </c>
      <c r="C492">
        <v>6</v>
      </c>
      <c r="D492" t="s">
        <v>7739</v>
      </c>
      <c r="E492">
        <v>452</v>
      </c>
      <c r="F492" t="s">
        <v>5949</v>
      </c>
      <c r="G492" t="s">
        <v>5948</v>
      </c>
      <c r="H492">
        <v>255</v>
      </c>
      <c r="I492">
        <v>84</v>
      </c>
      <c r="J492">
        <v>69</v>
      </c>
      <c r="K492" s="597" t="str" cm="1">
        <f t="array" ref="K492">myRGB(H492,I492,J492)</f>
        <v/>
      </c>
    </row>
    <row r="493" spans="1:11" x14ac:dyDescent="0.2">
      <c r="A493">
        <v>744</v>
      </c>
      <c r="B493">
        <v>141</v>
      </c>
      <c r="C493">
        <v>6</v>
      </c>
      <c r="D493" t="s">
        <v>7740</v>
      </c>
      <c r="E493">
        <v>523</v>
      </c>
      <c r="F493" t="s">
        <v>5951</v>
      </c>
      <c r="G493" t="s">
        <v>5950</v>
      </c>
      <c r="H493">
        <v>255</v>
      </c>
      <c r="I493">
        <v>83</v>
      </c>
      <c r="J493">
        <v>70</v>
      </c>
      <c r="K493" s="530" t="str" cm="1">
        <f t="array" ref="K493">myRGB(H493,I493,J493)</f>
        <v/>
      </c>
    </row>
    <row r="494" spans="1:11" x14ac:dyDescent="0.2">
      <c r="A494">
        <v>745</v>
      </c>
      <c r="B494">
        <v>141</v>
      </c>
      <c r="C494">
        <v>6</v>
      </c>
      <c r="D494" t="s">
        <v>7741</v>
      </c>
      <c r="E494">
        <v>763</v>
      </c>
      <c r="F494" t="s">
        <v>5953</v>
      </c>
      <c r="G494" t="s">
        <v>5952</v>
      </c>
      <c r="H494">
        <v>253</v>
      </c>
      <c r="I494">
        <v>84</v>
      </c>
      <c r="J494">
        <v>71</v>
      </c>
      <c r="K494" s="677" t="str" cm="1">
        <f t="array" ref="K494">myRGB(H494,I494,J494)</f>
        <v/>
      </c>
    </row>
    <row r="495" spans="1:11" x14ac:dyDescent="0.2">
      <c r="A495">
        <v>746</v>
      </c>
      <c r="B495">
        <v>141</v>
      </c>
      <c r="C495">
        <v>6</v>
      </c>
      <c r="D495" t="s">
        <v>7742</v>
      </c>
      <c r="E495">
        <v>914</v>
      </c>
      <c r="F495" t="s">
        <v>5955</v>
      </c>
      <c r="G495" t="s">
        <v>5954</v>
      </c>
      <c r="H495">
        <v>254</v>
      </c>
      <c r="I495">
        <v>83</v>
      </c>
      <c r="J495">
        <v>70</v>
      </c>
      <c r="K495" s="529" t="str" cm="1">
        <f t="array" ref="K495">myRGB(H495,I495,J495)</f>
        <v/>
      </c>
    </row>
    <row r="496" spans="1:11" x14ac:dyDescent="0.2">
      <c r="A496">
        <v>747</v>
      </c>
      <c r="B496">
        <v>141</v>
      </c>
      <c r="C496">
        <v>6</v>
      </c>
      <c r="D496" t="s">
        <v>7743</v>
      </c>
      <c r="E496">
        <v>1109</v>
      </c>
      <c r="F496" t="s">
        <v>5957</v>
      </c>
      <c r="G496" t="s">
        <v>5956</v>
      </c>
      <c r="H496">
        <v>253</v>
      </c>
      <c r="I496">
        <v>84</v>
      </c>
      <c r="J496">
        <v>70</v>
      </c>
      <c r="K496" s="568" t="str" cm="1">
        <f t="array" ref="K496">myRGB(H496,I496,J496)</f>
        <v/>
      </c>
    </row>
    <row r="497" spans="1:11" x14ac:dyDescent="0.2">
      <c r="A497">
        <v>749</v>
      </c>
      <c r="B497">
        <v>141</v>
      </c>
      <c r="C497">
        <v>6</v>
      </c>
      <c r="D497" t="s">
        <v>7744</v>
      </c>
      <c r="E497">
        <v>126</v>
      </c>
      <c r="F497" t="s">
        <v>5961</v>
      </c>
      <c r="G497" t="s">
        <v>5960</v>
      </c>
      <c r="H497">
        <v>255</v>
      </c>
      <c r="I497">
        <v>84</v>
      </c>
      <c r="J497">
        <v>71</v>
      </c>
      <c r="K497" s="644" t="str" cm="1">
        <f t="array" ref="K497">myRGB(H497,I497,J497)</f>
        <v/>
      </c>
    </row>
    <row r="498" spans="1:11" x14ac:dyDescent="0.2">
      <c r="A498">
        <v>750</v>
      </c>
      <c r="B498">
        <v>141</v>
      </c>
      <c r="C498">
        <v>6</v>
      </c>
      <c r="D498" t="s">
        <v>7745</v>
      </c>
      <c r="E498">
        <v>133</v>
      </c>
      <c r="F498" t="s">
        <v>5963</v>
      </c>
      <c r="G498" t="s">
        <v>5962</v>
      </c>
      <c r="H498">
        <v>254</v>
      </c>
      <c r="I498">
        <v>85</v>
      </c>
      <c r="J498">
        <v>71</v>
      </c>
      <c r="K498" s="531" t="str" cm="1">
        <f t="array" ref="K498">myRGB(H498,I498,J498)</f>
        <v/>
      </c>
    </row>
    <row r="499" spans="1:11" x14ac:dyDescent="0.2">
      <c r="A499">
        <v>751</v>
      </c>
      <c r="B499">
        <v>141</v>
      </c>
      <c r="C499">
        <v>6</v>
      </c>
      <c r="D499" t="s">
        <v>7746</v>
      </c>
      <c r="E499">
        <v>347</v>
      </c>
      <c r="F499" t="s">
        <v>5965</v>
      </c>
      <c r="G499" t="s">
        <v>5964</v>
      </c>
      <c r="H499">
        <v>253</v>
      </c>
      <c r="I499">
        <v>85</v>
      </c>
      <c r="J499">
        <v>71</v>
      </c>
      <c r="K499" s="643" t="str" cm="1">
        <f t="array" ref="K499">myRGB(H499,I499,J499)</f>
        <v/>
      </c>
    </row>
    <row r="500" spans="1:11" x14ac:dyDescent="0.2">
      <c r="A500">
        <v>752</v>
      </c>
      <c r="B500">
        <v>141</v>
      </c>
      <c r="C500">
        <v>6</v>
      </c>
      <c r="D500" t="s">
        <v>7747</v>
      </c>
      <c r="E500">
        <v>286</v>
      </c>
      <c r="F500" t="s">
        <v>5967</v>
      </c>
      <c r="G500" t="s">
        <v>5966</v>
      </c>
      <c r="H500">
        <v>255</v>
      </c>
      <c r="I500">
        <v>85</v>
      </c>
      <c r="J500">
        <v>69</v>
      </c>
      <c r="K500" s="763" t="str" cm="1">
        <f t="array" ref="K500">myRGB(H500,I500,J500)</f>
        <v/>
      </c>
    </row>
    <row r="501" spans="1:11" x14ac:dyDescent="0.2">
      <c r="A501">
        <v>753</v>
      </c>
      <c r="B501">
        <v>141</v>
      </c>
      <c r="C501">
        <v>6</v>
      </c>
      <c r="D501" t="s">
        <v>7748</v>
      </c>
      <c r="E501">
        <v>338</v>
      </c>
      <c r="F501" t="s">
        <v>5969</v>
      </c>
      <c r="G501" t="s">
        <v>5968</v>
      </c>
      <c r="H501">
        <v>255</v>
      </c>
      <c r="I501">
        <v>83</v>
      </c>
      <c r="J501">
        <v>71</v>
      </c>
      <c r="K501" s="627" t="str" cm="1">
        <f t="array" ref="K501">myRGB(H501,I501,J501)</f>
        <v/>
      </c>
    </row>
    <row r="502" spans="1:11" x14ac:dyDescent="0.2">
      <c r="A502">
        <v>754</v>
      </c>
      <c r="B502">
        <v>141</v>
      </c>
      <c r="C502">
        <v>6</v>
      </c>
      <c r="D502" t="s">
        <v>7749</v>
      </c>
      <c r="E502">
        <v>576073699</v>
      </c>
      <c r="F502" t="s">
        <v>5971</v>
      </c>
      <c r="G502" t="s">
        <v>5970</v>
      </c>
      <c r="H502">
        <v>253</v>
      </c>
      <c r="I502">
        <v>85</v>
      </c>
      <c r="J502">
        <v>69</v>
      </c>
      <c r="K502" s="807" t="str" cm="1">
        <f t="array" ref="K502">myRGB(H502,I502,J502)</f>
        <v/>
      </c>
    </row>
    <row r="503" spans="1:11" x14ac:dyDescent="0.2">
      <c r="A503">
        <v>755</v>
      </c>
      <c r="B503">
        <v>141</v>
      </c>
      <c r="C503">
        <v>6</v>
      </c>
      <c r="D503" t="s">
        <v>7750</v>
      </c>
      <c r="E503">
        <v>689</v>
      </c>
      <c r="F503" t="s">
        <v>5973</v>
      </c>
      <c r="G503" t="s">
        <v>5972</v>
      </c>
      <c r="H503">
        <v>254</v>
      </c>
      <c r="I503">
        <v>85</v>
      </c>
      <c r="J503">
        <v>70</v>
      </c>
      <c r="K503" s="762" t="str" cm="1">
        <f t="array" ref="K503">myRGB(H503,I503,J503)</f>
        <v/>
      </c>
    </row>
    <row r="504" spans="1:11" x14ac:dyDescent="0.2">
      <c r="A504">
        <v>756</v>
      </c>
      <c r="B504">
        <v>1097</v>
      </c>
      <c r="C504">
        <v>5</v>
      </c>
      <c r="D504" t="s">
        <v>7751</v>
      </c>
      <c r="E504">
        <v>467</v>
      </c>
      <c r="F504" t="s">
        <v>5975</v>
      </c>
      <c r="G504" t="s">
        <v>5974</v>
      </c>
      <c r="H504">
        <v>255</v>
      </c>
      <c r="I504">
        <v>76</v>
      </c>
      <c r="J504">
        <v>60</v>
      </c>
      <c r="K504" s="759" t="str" cm="1">
        <f t="array" ref="K504">myRGB(H504,I504,J504)</f>
        <v/>
      </c>
    </row>
    <row r="505" spans="1:11" x14ac:dyDescent="0.2">
      <c r="A505">
        <v>757</v>
      </c>
      <c r="B505">
        <v>467</v>
      </c>
      <c r="C505">
        <v>6</v>
      </c>
      <c r="D505" t="s">
        <v>7752</v>
      </c>
      <c r="E505">
        <v>88</v>
      </c>
      <c r="F505" t="s">
        <v>5977</v>
      </c>
      <c r="G505" t="s">
        <v>5976</v>
      </c>
      <c r="H505">
        <v>255</v>
      </c>
      <c r="I505">
        <v>75</v>
      </c>
      <c r="J505">
        <v>62</v>
      </c>
      <c r="K505" s="697" t="str" cm="1">
        <f t="array" ref="K505">myRGB(H505,I505,J505)</f>
        <v/>
      </c>
    </row>
    <row r="506" spans="1:11" x14ac:dyDescent="0.2">
      <c r="A506">
        <v>762</v>
      </c>
      <c r="B506">
        <v>467</v>
      </c>
      <c r="C506">
        <v>6</v>
      </c>
      <c r="D506" t="s">
        <v>7753</v>
      </c>
      <c r="E506">
        <v>331</v>
      </c>
      <c r="F506" t="s">
        <v>5987</v>
      </c>
      <c r="G506" t="s">
        <v>5986</v>
      </c>
      <c r="H506">
        <v>254</v>
      </c>
      <c r="I506">
        <v>76</v>
      </c>
      <c r="J506">
        <v>61</v>
      </c>
      <c r="K506" s="430" t="str" cm="1">
        <f t="array" ref="K506">myRGB(H506,I506,J506)</f>
        <v/>
      </c>
    </row>
    <row r="507" spans="1:11" x14ac:dyDescent="0.2">
      <c r="A507">
        <v>763</v>
      </c>
      <c r="B507">
        <v>331</v>
      </c>
      <c r="C507">
        <v>7</v>
      </c>
      <c r="D507" t="s">
        <v>7754</v>
      </c>
      <c r="E507">
        <v>210</v>
      </c>
      <c r="F507" t="s">
        <v>5989</v>
      </c>
      <c r="G507" t="s">
        <v>5988</v>
      </c>
      <c r="H507">
        <v>255</v>
      </c>
      <c r="I507">
        <v>75</v>
      </c>
      <c r="J507">
        <v>61</v>
      </c>
      <c r="K507" s="676" t="str" cm="1">
        <f t="array" ref="K507">myRGB(H507,I507,J507)</f>
        <v/>
      </c>
    </row>
    <row r="508" spans="1:11" x14ac:dyDescent="0.2">
      <c r="A508">
        <v>764</v>
      </c>
      <c r="B508">
        <v>331</v>
      </c>
      <c r="C508">
        <v>7</v>
      </c>
      <c r="D508" t="s">
        <v>7755</v>
      </c>
      <c r="E508">
        <v>491</v>
      </c>
      <c r="F508" t="s">
        <v>5991</v>
      </c>
      <c r="G508" t="s">
        <v>5990</v>
      </c>
      <c r="H508">
        <v>255</v>
      </c>
      <c r="I508">
        <v>74</v>
      </c>
      <c r="J508">
        <v>62</v>
      </c>
      <c r="K508" s="593" t="str" cm="1">
        <f t="array" ref="K508">myRGB(H508,I508,J508)</f>
        <v/>
      </c>
    </row>
    <row r="509" spans="1:11" x14ac:dyDescent="0.2">
      <c r="A509">
        <v>765</v>
      </c>
      <c r="B509">
        <v>491</v>
      </c>
      <c r="C509">
        <v>8</v>
      </c>
      <c r="D509" t="s">
        <v>7756</v>
      </c>
      <c r="E509">
        <v>732</v>
      </c>
      <c r="F509" t="s">
        <v>5993</v>
      </c>
      <c r="G509" t="s">
        <v>5992</v>
      </c>
      <c r="H509">
        <v>253</v>
      </c>
      <c r="I509">
        <v>75</v>
      </c>
      <c r="J509">
        <v>62</v>
      </c>
      <c r="K509" s="698" t="str" cm="1">
        <f t="array" ref="K509">myRGB(H509,I509,J509)</f>
        <v/>
      </c>
    </row>
    <row r="510" spans="1:11" x14ac:dyDescent="0.2">
      <c r="A510">
        <v>766</v>
      </c>
      <c r="B510">
        <v>491</v>
      </c>
      <c r="C510">
        <v>8</v>
      </c>
      <c r="D510" t="s">
        <v>7757</v>
      </c>
      <c r="E510">
        <v>606826647</v>
      </c>
      <c r="F510" t="s">
        <v>5995</v>
      </c>
      <c r="G510" t="s">
        <v>5994</v>
      </c>
      <c r="H510">
        <v>252</v>
      </c>
      <c r="I510">
        <v>75</v>
      </c>
      <c r="J510">
        <v>62</v>
      </c>
      <c r="K510" s="526" t="str" cm="1">
        <f t="array" ref="K510">myRGB(H510,I510,J510)</f>
        <v/>
      </c>
    </row>
    <row r="511" spans="1:11" x14ac:dyDescent="0.2">
      <c r="A511">
        <v>767</v>
      </c>
      <c r="B511">
        <v>491</v>
      </c>
      <c r="C511">
        <v>8</v>
      </c>
      <c r="D511" t="s">
        <v>7758</v>
      </c>
      <c r="E511">
        <v>606826651</v>
      </c>
      <c r="F511" t="s">
        <v>5997</v>
      </c>
      <c r="G511" t="s">
        <v>5996</v>
      </c>
      <c r="H511">
        <v>254</v>
      </c>
      <c r="I511">
        <v>74</v>
      </c>
      <c r="J511">
        <v>60</v>
      </c>
      <c r="K511" s="429" t="str" cm="1">
        <f t="array" ref="K511">myRGB(H511,I511,J511)</f>
        <v/>
      </c>
    </row>
    <row r="512" spans="1:11" x14ac:dyDescent="0.2">
      <c r="A512">
        <v>768</v>
      </c>
      <c r="B512">
        <v>491</v>
      </c>
      <c r="C512">
        <v>8</v>
      </c>
      <c r="D512" t="s">
        <v>7759</v>
      </c>
      <c r="E512">
        <v>606826655</v>
      </c>
      <c r="F512" t="s">
        <v>5999</v>
      </c>
      <c r="G512" t="s">
        <v>5998</v>
      </c>
      <c r="H512">
        <v>254</v>
      </c>
      <c r="I512">
        <v>73</v>
      </c>
      <c r="J512">
        <v>61</v>
      </c>
      <c r="K512" s="793" t="str" cm="1">
        <f t="array" ref="K512">myRGB(H512,I512,J512)</f>
        <v/>
      </c>
    </row>
    <row r="513" spans="1:11" x14ac:dyDescent="0.2">
      <c r="A513">
        <v>769</v>
      </c>
      <c r="B513">
        <v>491</v>
      </c>
      <c r="C513">
        <v>8</v>
      </c>
      <c r="D513" t="s">
        <v>7760</v>
      </c>
      <c r="E513">
        <v>606826659</v>
      </c>
      <c r="F513" t="s">
        <v>6001</v>
      </c>
      <c r="G513" t="s">
        <v>6000</v>
      </c>
      <c r="H513">
        <v>253</v>
      </c>
      <c r="I513">
        <v>74</v>
      </c>
      <c r="J513">
        <v>61</v>
      </c>
      <c r="K513" s="758" t="str" cm="1">
        <f t="array" ref="K513">myRGB(H513,I513,J513)</f>
        <v/>
      </c>
    </row>
    <row r="514" spans="1:11" x14ac:dyDescent="0.2">
      <c r="A514">
        <v>770</v>
      </c>
      <c r="B514">
        <v>331</v>
      </c>
      <c r="C514">
        <v>7</v>
      </c>
      <c r="D514" t="s">
        <v>7761</v>
      </c>
      <c r="E514">
        <v>525</v>
      </c>
      <c r="F514" t="s">
        <v>6003</v>
      </c>
      <c r="G514" t="s">
        <v>6002</v>
      </c>
      <c r="H514">
        <v>255</v>
      </c>
      <c r="I514">
        <v>73</v>
      </c>
      <c r="J514">
        <v>61</v>
      </c>
      <c r="K514" s="428" t="str" cm="1">
        <f t="array" ref="K514">myRGB(H514,I514,J514)</f>
        <v/>
      </c>
    </row>
    <row r="515" spans="1:11" x14ac:dyDescent="0.2">
      <c r="A515">
        <v>773</v>
      </c>
      <c r="B515">
        <v>331</v>
      </c>
      <c r="C515">
        <v>7</v>
      </c>
      <c r="D515" t="s">
        <v>7762</v>
      </c>
      <c r="E515">
        <v>557</v>
      </c>
      <c r="F515" t="s">
        <v>6009</v>
      </c>
      <c r="G515" t="s">
        <v>6008</v>
      </c>
      <c r="H515">
        <v>255</v>
      </c>
      <c r="I515">
        <v>75</v>
      </c>
      <c r="J515">
        <v>60</v>
      </c>
      <c r="K515" s="566" t="str" cm="1">
        <f t="array" ref="K515">myRGB(H515,I515,J515)</f>
        <v/>
      </c>
    </row>
    <row r="516" spans="1:11" x14ac:dyDescent="0.2">
      <c r="A516">
        <v>774</v>
      </c>
      <c r="B516">
        <v>557</v>
      </c>
      <c r="C516">
        <v>8</v>
      </c>
      <c r="D516" t="s">
        <v>7763</v>
      </c>
      <c r="E516">
        <v>1126</v>
      </c>
      <c r="F516" t="s">
        <v>6011</v>
      </c>
      <c r="G516" t="s">
        <v>6010</v>
      </c>
      <c r="H516">
        <v>252</v>
      </c>
      <c r="I516">
        <v>76</v>
      </c>
      <c r="J516">
        <v>61</v>
      </c>
      <c r="K516" s="525" t="str" cm="1">
        <f t="array" ref="K516">myRGB(H516,I516,J516)</f>
        <v/>
      </c>
    </row>
    <row r="517" spans="1:11" x14ac:dyDescent="0.2">
      <c r="A517">
        <v>775</v>
      </c>
      <c r="B517">
        <v>557</v>
      </c>
      <c r="C517">
        <v>8</v>
      </c>
      <c r="D517" t="s">
        <v>7764</v>
      </c>
      <c r="E517">
        <v>1</v>
      </c>
      <c r="F517" t="s">
        <v>6013</v>
      </c>
      <c r="G517" t="s">
        <v>6012</v>
      </c>
      <c r="H517">
        <v>255</v>
      </c>
      <c r="I517">
        <v>76</v>
      </c>
      <c r="J517">
        <v>62</v>
      </c>
      <c r="K517" s="592" t="str" cm="1">
        <f t="array" ref="K517">myRGB(H517,I517,J517)</f>
        <v/>
      </c>
    </row>
    <row r="518" spans="1:11" x14ac:dyDescent="0.2">
      <c r="A518">
        <v>776</v>
      </c>
      <c r="B518">
        <v>467</v>
      </c>
      <c r="C518">
        <v>6</v>
      </c>
      <c r="D518" t="s">
        <v>7765</v>
      </c>
      <c r="E518">
        <v>515</v>
      </c>
      <c r="F518" t="s">
        <v>6015</v>
      </c>
      <c r="G518" t="s">
        <v>6014</v>
      </c>
      <c r="H518">
        <v>253</v>
      </c>
      <c r="I518">
        <v>76</v>
      </c>
      <c r="J518">
        <v>62</v>
      </c>
      <c r="K518" s="427" t="str" cm="1">
        <f t="array" ref="K518">myRGB(H518,I518,J518)</f>
        <v/>
      </c>
    </row>
    <row r="519" spans="1:11" x14ac:dyDescent="0.2">
      <c r="A519">
        <v>780</v>
      </c>
      <c r="B519">
        <v>467</v>
      </c>
      <c r="C519">
        <v>6</v>
      </c>
      <c r="D519" t="s">
        <v>7766</v>
      </c>
      <c r="E519">
        <v>980</v>
      </c>
      <c r="F519" t="s">
        <v>6023</v>
      </c>
      <c r="G519" t="s">
        <v>6022</v>
      </c>
      <c r="H519">
        <v>252</v>
      </c>
      <c r="I519">
        <v>76</v>
      </c>
      <c r="J519">
        <v>62</v>
      </c>
      <c r="K519" s="625" t="str" cm="1">
        <f t="array" ref="K519">myRGB(H519,I519,J519)</f>
        <v/>
      </c>
    </row>
    <row r="520" spans="1:11" x14ac:dyDescent="0.2">
      <c r="A520">
        <v>781</v>
      </c>
      <c r="B520">
        <v>467</v>
      </c>
      <c r="C520">
        <v>6</v>
      </c>
      <c r="D520" t="s">
        <v>7767</v>
      </c>
      <c r="E520">
        <v>1004</v>
      </c>
      <c r="F520" t="s">
        <v>6025</v>
      </c>
      <c r="G520" t="s">
        <v>6024</v>
      </c>
      <c r="H520">
        <v>255</v>
      </c>
      <c r="I520">
        <v>75</v>
      </c>
      <c r="J520">
        <v>59</v>
      </c>
      <c r="K520" s="699" t="str" cm="1">
        <f t="array" ref="K520">myRGB(H520,I520,J520)</f>
        <v/>
      </c>
    </row>
    <row r="521" spans="1:11" x14ac:dyDescent="0.2">
      <c r="A521">
        <v>782</v>
      </c>
      <c r="B521">
        <v>467</v>
      </c>
      <c r="C521">
        <v>6</v>
      </c>
      <c r="D521" t="s">
        <v>7768</v>
      </c>
      <c r="E521">
        <v>63</v>
      </c>
      <c r="F521" t="s">
        <v>6027</v>
      </c>
      <c r="G521" t="s">
        <v>6026</v>
      </c>
      <c r="H521">
        <v>255</v>
      </c>
      <c r="I521">
        <v>76</v>
      </c>
      <c r="J521">
        <v>61</v>
      </c>
      <c r="K521" s="839" t="str" cm="1">
        <f t="array" ref="K521">myRGB(H521,I521,J521)</f>
        <v/>
      </c>
    </row>
    <row r="522" spans="1:11" x14ac:dyDescent="0.2">
      <c r="A522">
        <v>787</v>
      </c>
      <c r="B522">
        <v>467</v>
      </c>
      <c r="C522">
        <v>6</v>
      </c>
      <c r="D522" t="s">
        <v>7769</v>
      </c>
      <c r="E522">
        <v>693</v>
      </c>
      <c r="F522" t="s">
        <v>6037</v>
      </c>
      <c r="G522" t="s">
        <v>6036</v>
      </c>
      <c r="H522">
        <v>255</v>
      </c>
      <c r="I522">
        <v>74</v>
      </c>
      <c r="J522">
        <v>61</v>
      </c>
      <c r="K522" s="757" t="str" cm="1">
        <f t="array" ref="K522">myRGB(H522,I522,J522)</f>
        <v/>
      </c>
    </row>
    <row r="523" spans="1:11" x14ac:dyDescent="0.2">
      <c r="A523">
        <v>792</v>
      </c>
      <c r="B523">
        <v>467</v>
      </c>
      <c r="C523">
        <v>6</v>
      </c>
      <c r="D523" t="s">
        <v>7770</v>
      </c>
      <c r="E523">
        <v>946</v>
      </c>
      <c r="F523" t="s">
        <v>6047</v>
      </c>
      <c r="G523" t="s">
        <v>6046</v>
      </c>
      <c r="H523">
        <v>253</v>
      </c>
      <c r="I523">
        <v>75</v>
      </c>
      <c r="J523">
        <v>60</v>
      </c>
      <c r="K523" s="426" t="str" cm="1">
        <f t="array" ref="K523">myRGB(H523,I523,J523)</f>
        <v/>
      </c>
    </row>
    <row r="524" spans="1:11" x14ac:dyDescent="0.2">
      <c r="A524">
        <v>793</v>
      </c>
      <c r="B524">
        <v>1097</v>
      </c>
      <c r="C524">
        <v>5</v>
      </c>
      <c r="D524" t="s">
        <v>7771</v>
      </c>
      <c r="E524">
        <v>290</v>
      </c>
      <c r="F524" t="s">
        <v>6049</v>
      </c>
      <c r="G524" t="s">
        <v>6048</v>
      </c>
      <c r="H524">
        <v>241</v>
      </c>
      <c r="I524">
        <v>72</v>
      </c>
      <c r="J524">
        <v>59</v>
      </c>
      <c r="K524" s="528" t="str" cm="1">
        <f t="array" ref="K524">myRGB(H524,I524,J524)</f>
        <v/>
      </c>
    </row>
    <row r="525" spans="1:11" x14ac:dyDescent="0.2">
      <c r="A525">
        <v>794</v>
      </c>
      <c r="B525">
        <v>290</v>
      </c>
      <c r="C525">
        <v>6</v>
      </c>
      <c r="D525" t="s">
        <v>7772</v>
      </c>
      <c r="E525">
        <v>194</v>
      </c>
      <c r="F525" t="s">
        <v>6051</v>
      </c>
      <c r="G525" t="s">
        <v>6050</v>
      </c>
      <c r="H525">
        <v>242</v>
      </c>
      <c r="I525">
        <v>72</v>
      </c>
      <c r="J525">
        <v>58</v>
      </c>
      <c r="K525" s="840" t="str" cm="1">
        <f t="array" ref="K525">myRGB(H525,I525,J525)</f>
        <v/>
      </c>
    </row>
    <row r="526" spans="1:11" x14ac:dyDescent="0.2">
      <c r="A526">
        <v>795</v>
      </c>
      <c r="B526">
        <v>290</v>
      </c>
      <c r="C526">
        <v>6</v>
      </c>
      <c r="D526" t="s">
        <v>7773</v>
      </c>
      <c r="E526">
        <v>226</v>
      </c>
      <c r="F526" t="s">
        <v>6053</v>
      </c>
      <c r="G526" t="s">
        <v>6052</v>
      </c>
      <c r="H526">
        <v>242</v>
      </c>
      <c r="I526">
        <v>71</v>
      </c>
      <c r="J526">
        <v>59</v>
      </c>
      <c r="K526" s="760" t="str" cm="1">
        <f t="array" ref="K526">myRGB(H526,I526,J526)</f>
        <v/>
      </c>
    </row>
    <row r="527" spans="1:11" x14ac:dyDescent="0.2">
      <c r="A527">
        <v>796</v>
      </c>
      <c r="B527">
        <v>290</v>
      </c>
      <c r="C527">
        <v>6</v>
      </c>
      <c r="D527" t="s">
        <v>7774</v>
      </c>
      <c r="E527">
        <v>356</v>
      </c>
      <c r="F527" t="s">
        <v>6055</v>
      </c>
      <c r="G527" t="s">
        <v>6054</v>
      </c>
      <c r="H527">
        <v>242</v>
      </c>
      <c r="I527">
        <v>71</v>
      </c>
      <c r="J527">
        <v>58</v>
      </c>
      <c r="K527" s="700" t="str" cm="1">
        <f t="array" ref="K527">myRGB(H527,I527,J527)</f>
        <v/>
      </c>
    </row>
    <row r="528" spans="1:11" x14ac:dyDescent="0.2">
      <c r="A528">
        <v>797</v>
      </c>
      <c r="B528">
        <v>290</v>
      </c>
      <c r="C528">
        <v>6</v>
      </c>
      <c r="D528" t="s">
        <v>7775</v>
      </c>
      <c r="E528">
        <v>364</v>
      </c>
      <c r="F528" t="s">
        <v>6057</v>
      </c>
      <c r="G528" t="s">
        <v>6056</v>
      </c>
      <c r="H528">
        <v>241</v>
      </c>
      <c r="I528">
        <v>72</v>
      </c>
      <c r="J528">
        <v>58</v>
      </c>
      <c r="K528" s="432" t="str" cm="1">
        <f t="array" ref="K528">myRGB(H528,I528,J528)</f>
        <v/>
      </c>
    </row>
    <row r="529" spans="1:11" x14ac:dyDescent="0.2">
      <c r="A529">
        <v>798</v>
      </c>
      <c r="B529">
        <v>290</v>
      </c>
      <c r="C529">
        <v>6</v>
      </c>
      <c r="D529" t="s">
        <v>7776</v>
      </c>
      <c r="E529">
        <v>576073704</v>
      </c>
      <c r="F529" t="s">
        <v>6059</v>
      </c>
      <c r="G529" t="s">
        <v>6058</v>
      </c>
      <c r="H529">
        <v>242</v>
      </c>
      <c r="I529">
        <v>70</v>
      </c>
      <c r="J529">
        <v>58</v>
      </c>
      <c r="K529" s="594" t="str" cm="1">
        <f t="array" ref="K529">myRGB(H529,I529,J529)</f>
        <v/>
      </c>
    </row>
    <row r="530" spans="1:11" x14ac:dyDescent="0.2">
      <c r="A530">
        <v>799</v>
      </c>
      <c r="B530">
        <v>290</v>
      </c>
      <c r="C530">
        <v>6</v>
      </c>
      <c r="D530" t="s">
        <v>7777</v>
      </c>
      <c r="E530">
        <v>173</v>
      </c>
      <c r="F530" t="s">
        <v>6061</v>
      </c>
      <c r="G530" t="s">
        <v>6060</v>
      </c>
      <c r="H530">
        <v>242</v>
      </c>
      <c r="I530">
        <v>72</v>
      </c>
      <c r="J530">
        <v>59</v>
      </c>
      <c r="K530" s="433" t="str" cm="1">
        <f t="array" ref="K530">myRGB(H530,I530,J530)</f>
        <v/>
      </c>
    </row>
    <row r="531" spans="1:11" x14ac:dyDescent="0.2">
      <c r="A531">
        <v>800</v>
      </c>
      <c r="B531">
        <v>290</v>
      </c>
      <c r="C531">
        <v>6</v>
      </c>
      <c r="D531" t="s">
        <v>7778</v>
      </c>
      <c r="E531">
        <v>470</v>
      </c>
      <c r="F531" t="s">
        <v>6063</v>
      </c>
      <c r="G531" t="s">
        <v>6062</v>
      </c>
      <c r="H531">
        <v>241</v>
      </c>
      <c r="I531">
        <v>71</v>
      </c>
      <c r="J531">
        <v>59</v>
      </c>
      <c r="K531" s="626" t="str" cm="1">
        <f t="array" ref="K531">myRGB(H531,I531,J531)</f>
        <v/>
      </c>
    </row>
    <row r="532" spans="1:11" x14ac:dyDescent="0.2">
      <c r="A532">
        <v>801</v>
      </c>
      <c r="B532">
        <v>290</v>
      </c>
      <c r="C532">
        <v>6</v>
      </c>
      <c r="D532" t="s">
        <v>7779</v>
      </c>
      <c r="E532">
        <v>614</v>
      </c>
      <c r="F532" t="s">
        <v>6065</v>
      </c>
      <c r="G532" t="s">
        <v>6064</v>
      </c>
      <c r="H532">
        <v>242</v>
      </c>
      <c r="I532">
        <v>72</v>
      </c>
      <c r="J532">
        <v>57</v>
      </c>
      <c r="K532" s="527" t="str" cm="1">
        <f t="array" ref="K532">myRGB(H532,I532,J532)</f>
        <v/>
      </c>
    </row>
    <row r="533" spans="1:11" x14ac:dyDescent="0.2">
      <c r="A533">
        <v>802</v>
      </c>
      <c r="B533">
        <v>290</v>
      </c>
      <c r="C533">
        <v>6</v>
      </c>
      <c r="D533" t="s">
        <v>7780</v>
      </c>
      <c r="E533">
        <v>797</v>
      </c>
      <c r="F533" t="s">
        <v>6067</v>
      </c>
      <c r="G533" t="s">
        <v>6066</v>
      </c>
      <c r="H533">
        <v>240</v>
      </c>
      <c r="I533">
        <v>72</v>
      </c>
      <c r="J533">
        <v>59</v>
      </c>
      <c r="K533" s="431" t="str" cm="1">
        <f t="array" ref="K533">myRGB(H533,I533,J533)</f>
        <v/>
      </c>
    </row>
    <row r="534" spans="1:11" x14ac:dyDescent="0.2">
      <c r="A534">
        <v>804</v>
      </c>
      <c r="B534">
        <v>797</v>
      </c>
      <c r="C534">
        <v>7</v>
      </c>
      <c r="D534" t="s">
        <v>7781</v>
      </c>
      <c r="E534">
        <v>804</v>
      </c>
      <c r="F534" t="s">
        <v>6071</v>
      </c>
      <c r="G534" t="s">
        <v>6070</v>
      </c>
      <c r="H534">
        <v>242</v>
      </c>
      <c r="I534">
        <v>71</v>
      </c>
      <c r="J534">
        <v>57</v>
      </c>
      <c r="K534" s="734" t="str" cm="1">
        <f t="array" ref="K534">myRGB(H534,I534,J534)</f>
        <v/>
      </c>
    </row>
    <row r="535" spans="1:11" x14ac:dyDescent="0.2">
      <c r="A535">
        <v>805</v>
      </c>
      <c r="B535">
        <v>1097</v>
      </c>
      <c r="C535">
        <v>5</v>
      </c>
      <c r="D535" t="s">
        <v>8086</v>
      </c>
      <c r="E535">
        <v>1140</v>
      </c>
      <c r="F535" t="s">
        <v>6073</v>
      </c>
      <c r="G535" t="s">
        <v>6072</v>
      </c>
      <c r="H535">
        <v>241</v>
      </c>
      <c r="I535">
        <v>71</v>
      </c>
      <c r="J535">
        <v>58</v>
      </c>
      <c r="K535" s="764" t="str" cm="1">
        <f t="array" ref="K535">myRGB(H535,I535,J535)</f>
        <v/>
      </c>
    </row>
    <row r="536" spans="1:11" x14ac:dyDescent="0.2">
      <c r="A536">
        <v>806</v>
      </c>
      <c r="B536">
        <v>343</v>
      </c>
      <c r="C536">
        <v>3</v>
      </c>
      <c r="D536" t="s">
        <v>7782</v>
      </c>
      <c r="E536">
        <v>313</v>
      </c>
      <c r="F536" t="s">
        <v>6075</v>
      </c>
      <c r="G536" t="s">
        <v>6074</v>
      </c>
      <c r="H536">
        <v>255</v>
      </c>
      <c r="I536">
        <v>100</v>
      </c>
      <c r="J536">
        <v>255</v>
      </c>
      <c r="K536" s="385" t="str" cm="1">
        <f t="array" ref="K536">myRGB(H536,I536,J536)</f>
        <v/>
      </c>
    </row>
    <row r="537" spans="1:11" x14ac:dyDescent="0.2">
      <c r="A537">
        <v>807</v>
      </c>
      <c r="B537">
        <v>313</v>
      </c>
      <c r="C537">
        <v>4</v>
      </c>
      <c r="D537" t="s">
        <v>7783</v>
      </c>
      <c r="E537">
        <v>339</v>
      </c>
      <c r="F537" t="s">
        <v>6077</v>
      </c>
      <c r="G537" t="s">
        <v>6076</v>
      </c>
      <c r="H537">
        <v>254</v>
      </c>
      <c r="I537">
        <v>122</v>
      </c>
      <c r="J537">
        <v>255</v>
      </c>
      <c r="K537" s="405" t="str" cm="1">
        <f t="array" ref="K537">myRGB(H537,I537,J537)</f>
        <v/>
      </c>
    </row>
    <row r="538" spans="1:11" x14ac:dyDescent="0.2">
      <c r="A538">
        <v>808</v>
      </c>
      <c r="B538">
        <v>339</v>
      </c>
      <c r="C538">
        <v>5</v>
      </c>
      <c r="D538" t="s">
        <v>7784</v>
      </c>
      <c r="E538">
        <v>302</v>
      </c>
      <c r="F538" t="s">
        <v>6079</v>
      </c>
      <c r="G538" t="s">
        <v>6078</v>
      </c>
      <c r="H538">
        <v>255</v>
      </c>
      <c r="I538">
        <v>121</v>
      </c>
      <c r="J538">
        <v>255</v>
      </c>
      <c r="K538" s="505" t="str" cm="1">
        <f t="array" ref="K538">myRGB(H538,I538,J538)</f>
        <v/>
      </c>
    </row>
    <row r="539" spans="1:11" x14ac:dyDescent="0.2">
      <c r="A539">
        <v>809</v>
      </c>
      <c r="B539">
        <v>302</v>
      </c>
      <c r="C539">
        <v>6</v>
      </c>
      <c r="D539" t="s">
        <v>7785</v>
      </c>
      <c r="E539">
        <v>851</v>
      </c>
      <c r="F539" t="s">
        <v>6081</v>
      </c>
      <c r="G539" t="s">
        <v>6080</v>
      </c>
      <c r="H539">
        <v>253</v>
      </c>
      <c r="I539">
        <v>122</v>
      </c>
      <c r="J539">
        <v>255</v>
      </c>
      <c r="K539" s="404" t="str" cm="1">
        <f t="array" ref="K539">myRGB(H539,I539,J539)</f>
        <v/>
      </c>
    </row>
    <row r="540" spans="1:11" x14ac:dyDescent="0.2">
      <c r="A540">
        <v>810</v>
      </c>
      <c r="B540">
        <v>302</v>
      </c>
      <c r="C540">
        <v>6</v>
      </c>
      <c r="D540" t="s">
        <v>7786</v>
      </c>
      <c r="E540">
        <v>842</v>
      </c>
      <c r="F540" t="s">
        <v>6083</v>
      </c>
      <c r="G540" t="s">
        <v>6082</v>
      </c>
      <c r="H540">
        <v>255</v>
      </c>
      <c r="I540">
        <v>120</v>
      </c>
      <c r="J540">
        <v>255</v>
      </c>
      <c r="K540" s="467" t="str" cm="1">
        <f t="array" ref="K540">myRGB(H540,I540,J540)</f>
        <v/>
      </c>
    </row>
    <row r="541" spans="1:11" x14ac:dyDescent="0.2">
      <c r="A541">
        <v>811</v>
      </c>
      <c r="B541">
        <v>302</v>
      </c>
      <c r="C541">
        <v>6</v>
      </c>
      <c r="D541" t="s">
        <v>7787</v>
      </c>
      <c r="E541">
        <v>834</v>
      </c>
      <c r="F541" t="s">
        <v>6085</v>
      </c>
      <c r="G541" t="s">
        <v>6084</v>
      </c>
      <c r="H541">
        <v>255</v>
      </c>
      <c r="I541">
        <v>122</v>
      </c>
      <c r="J541">
        <v>253</v>
      </c>
      <c r="K541" s="484" t="str" cm="1">
        <f t="array" ref="K541">myRGB(H541,I541,J541)</f>
        <v/>
      </c>
    </row>
    <row r="542" spans="1:11" x14ac:dyDescent="0.2">
      <c r="A542">
        <v>812</v>
      </c>
      <c r="B542">
        <v>339</v>
      </c>
      <c r="C542">
        <v>5</v>
      </c>
      <c r="D542" t="s">
        <v>7788</v>
      </c>
      <c r="E542">
        <v>4</v>
      </c>
      <c r="F542" t="s">
        <v>6087</v>
      </c>
      <c r="G542" t="s">
        <v>6086</v>
      </c>
      <c r="H542">
        <v>255</v>
      </c>
      <c r="I542">
        <v>122</v>
      </c>
      <c r="J542">
        <v>255</v>
      </c>
      <c r="K542" s="731" t="str" cm="1">
        <f t="array" ref="K542">myRGB(H542,I542,J542)</f>
        <v/>
      </c>
    </row>
    <row r="543" spans="1:11" x14ac:dyDescent="0.2">
      <c r="A543">
        <v>813</v>
      </c>
      <c r="B543">
        <v>4</v>
      </c>
      <c r="C543">
        <v>6</v>
      </c>
      <c r="D543" t="s">
        <v>7789</v>
      </c>
      <c r="E543">
        <v>811</v>
      </c>
      <c r="F543" t="s">
        <v>6089</v>
      </c>
      <c r="G543" t="s">
        <v>6088</v>
      </c>
      <c r="H543">
        <v>254</v>
      </c>
      <c r="I543">
        <v>122</v>
      </c>
      <c r="J543">
        <v>254</v>
      </c>
      <c r="K543" s="805" t="str" cm="1">
        <f t="array" ref="K543">myRGB(H543,I543,J543)</f>
        <v/>
      </c>
    </row>
    <row r="544" spans="1:11" x14ac:dyDescent="0.2">
      <c r="A544">
        <v>814</v>
      </c>
      <c r="B544">
        <v>4</v>
      </c>
      <c r="C544">
        <v>6</v>
      </c>
      <c r="D544" t="s">
        <v>7790</v>
      </c>
      <c r="E544">
        <v>820</v>
      </c>
      <c r="F544" t="s">
        <v>6091</v>
      </c>
      <c r="G544" t="s">
        <v>6090</v>
      </c>
      <c r="H544">
        <v>254</v>
      </c>
      <c r="I544">
        <v>121</v>
      </c>
      <c r="J544">
        <v>255</v>
      </c>
      <c r="K544" s="504" t="str" cm="1">
        <f t="array" ref="K544">myRGB(H544,I544,J544)</f>
        <v/>
      </c>
    </row>
    <row r="545" spans="1:11" x14ac:dyDescent="0.2">
      <c r="A545">
        <v>815</v>
      </c>
      <c r="B545">
        <v>4</v>
      </c>
      <c r="C545">
        <v>6</v>
      </c>
      <c r="D545" t="s">
        <v>7791</v>
      </c>
      <c r="E545">
        <v>828</v>
      </c>
      <c r="F545" t="s">
        <v>6093</v>
      </c>
      <c r="G545" t="s">
        <v>6092</v>
      </c>
      <c r="H545">
        <v>254</v>
      </c>
      <c r="I545">
        <v>121</v>
      </c>
      <c r="J545">
        <v>254</v>
      </c>
      <c r="K545" s="466" t="str" cm="1">
        <f t="array" ref="K545">myRGB(H545,I545,J545)</f>
        <v/>
      </c>
    </row>
    <row r="546" spans="1:11" x14ac:dyDescent="0.2">
      <c r="A546">
        <v>816</v>
      </c>
      <c r="B546">
        <v>339</v>
      </c>
      <c r="C546">
        <v>5</v>
      </c>
      <c r="D546" t="s">
        <v>7792</v>
      </c>
      <c r="E546">
        <v>580</v>
      </c>
      <c r="F546" t="s">
        <v>6095</v>
      </c>
      <c r="G546" t="s">
        <v>6094</v>
      </c>
      <c r="H546">
        <v>254</v>
      </c>
      <c r="I546">
        <v>122</v>
      </c>
      <c r="J546">
        <v>253</v>
      </c>
      <c r="K546" s="382" t="str" cm="1">
        <f t="array" ref="K546">myRGB(H546,I546,J546)</f>
        <v/>
      </c>
    </row>
    <row r="547" spans="1:11" x14ac:dyDescent="0.2">
      <c r="A547">
        <v>817</v>
      </c>
      <c r="B547">
        <v>339</v>
      </c>
      <c r="C547">
        <v>5</v>
      </c>
      <c r="D547" t="s">
        <v>7793</v>
      </c>
      <c r="E547">
        <v>271</v>
      </c>
      <c r="F547" t="s">
        <v>6097</v>
      </c>
      <c r="G547" t="s">
        <v>6096</v>
      </c>
      <c r="H547">
        <v>255</v>
      </c>
      <c r="I547">
        <v>122</v>
      </c>
      <c r="J547">
        <v>254</v>
      </c>
      <c r="K547" s="583" t="str" cm="1">
        <f t="array" ref="K547">myRGB(H547,I547,J547)</f>
        <v/>
      </c>
    </row>
    <row r="548" spans="1:11" x14ac:dyDescent="0.2">
      <c r="A548">
        <v>818</v>
      </c>
      <c r="B548">
        <v>339</v>
      </c>
      <c r="C548">
        <v>5</v>
      </c>
      <c r="D548" t="s">
        <v>7794</v>
      </c>
      <c r="E548">
        <v>874</v>
      </c>
      <c r="F548" t="s">
        <v>6099</v>
      </c>
      <c r="G548" t="s">
        <v>6098</v>
      </c>
      <c r="H548">
        <v>255</v>
      </c>
      <c r="I548">
        <v>121</v>
      </c>
      <c r="J548">
        <v>253</v>
      </c>
      <c r="K548" s="503" t="str" cm="1">
        <f t="array" ref="K548">myRGB(H548,I548,J548)</f>
        <v/>
      </c>
    </row>
    <row r="549" spans="1:11" x14ac:dyDescent="0.2">
      <c r="A549">
        <v>819</v>
      </c>
      <c r="B549">
        <v>339</v>
      </c>
      <c r="C549">
        <v>5</v>
      </c>
      <c r="D549" t="s">
        <v>7795</v>
      </c>
      <c r="E549">
        <v>460</v>
      </c>
      <c r="F549" t="s">
        <v>6101</v>
      </c>
      <c r="G549" t="s">
        <v>6100</v>
      </c>
      <c r="H549">
        <v>255</v>
      </c>
      <c r="I549">
        <v>121</v>
      </c>
      <c r="J549">
        <v>254</v>
      </c>
      <c r="K549" s="403" t="str" cm="1">
        <f t="array" ref="K549">myRGB(H549,I549,J549)</f>
        <v/>
      </c>
    </row>
    <row r="550" spans="1:11" x14ac:dyDescent="0.2">
      <c r="A550">
        <v>820</v>
      </c>
      <c r="B550">
        <v>339</v>
      </c>
      <c r="C550">
        <v>5</v>
      </c>
      <c r="D550" t="s">
        <v>7796</v>
      </c>
      <c r="E550">
        <v>599626923</v>
      </c>
      <c r="F550" t="s">
        <v>6103</v>
      </c>
      <c r="G550" t="s">
        <v>6102</v>
      </c>
      <c r="H550">
        <v>255</v>
      </c>
      <c r="I550">
        <v>120</v>
      </c>
      <c r="J550">
        <v>254</v>
      </c>
      <c r="K550" s="748" t="str" cm="1">
        <f t="array" ref="K550">myRGB(H550,I550,J550)</f>
        <v/>
      </c>
    </row>
    <row r="551" spans="1:11" x14ac:dyDescent="0.2">
      <c r="A551">
        <v>821</v>
      </c>
      <c r="B551">
        <v>313</v>
      </c>
      <c r="C551">
        <v>4</v>
      </c>
      <c r="D551" t="s">
        <v>7797</v>
      </c>
      <c r="E551">
        <v>323</v>
      </c>
      <c r="F551" t="s">
        <v>6105</v>
      </c>
      <c r="G551" t="s">
        <v>6104</v>
      </c>
      <c r="H551">
        <v>254</v>
      </c>
      <c r="I551">
        <v>142</v>
      </c>
      <c r="J551">
        <v>254</v>
      </c>
      <c r="K551" s="836" t="str" cm="1">
        <f t="array" ref="K551">myRGB(H551,I551,J551)</f>
        <v/>
      </c>
    </row>
    <row r="552" spans="1:11" x14ac:dyDescent="0.2">
      <c r="A552">
        <v>822</v>
      </c>
      <c r="B552">
        <v>323</v>
      </c>
      <c r="C552">
        <v>5</v>
      </c>
      <c r="D552" t="s">
        <v>7798</v>
      </c>
      <c r="E552">
        <v>381</v>
      </c>
      <c r="F552" t="s">
        <v>6107</v>
      </c>
      <c r="G552" t="s">
        <v>6106</v>
      </c>
      <c r="H552">
        <v>255</v>
      </c>
      <c r="I552">
        <v>141</v>
      </c>
      <c r="J552">
        <v>253</v>
      </c>
      <c r="K552" s="408" t="str" cm="1">
        <f t="array" ref="K552">myRGB(H552,I552,J552)</f>
        <v/>
      </c>
    </row>
    <row r="553" spans="1:11" x14ac:dyDescent="0.2">
      <c r="A553">
        <v>823</v>
      </c>
      <c r="B553">
        <v>323</v>
      </c>
      <c r="C553">
        <v>5</v>
      </c>
      <c r="D553" t="s">
        <v>7799</v>
      </c>
      <c r="E553">
        <v>749</v>
      </c>
      <c r="F553" t="s">
        <v>6109</v>
      </c>
      <c r="G553" t="s">
        <v>6108</v>
      </c>
      <c r="H553">
        <v>254</v>
      </c>
      <c r="I553">
        <v>141</v>
      </c>
      <c r="J553">
        <v>255</v>
      </c>
      <c r="K553" s="690" t="str" cm="1">
        <f t="array" ref="K553">myRGB(H553,I553,J553)</f>
        <v/>
      </c>
    </row>
    <row r="554" spans="1:11" x14ac:dyDescent="0.2">
      <c r="A554">
        <v>824</v>
      </c>
      <c r="B554">
        <v>323</v>
      </c>
      <c r="C554">
        <v>5</v>
      </c>
      <c r="D554" t="s">
        <v>7800</v>
      </c>
      <c r="E554">
        <v>607344830</v>
      </c>
      <c r="F554" t="s">
        <v>6111</v>
      </c>
      <c r="G554" t="s">
        <v>6110</v>
      </c>
      <c r="H554">
        <v>255</v>
      </c>
      <c r="I554">
        <v>142</v>
      </c>
      <c r="J554">
        <v>254</v>
      </c>
      <c r="K554" s="470" t="str" cm="1">
        <f t="array" ref="K554">myRGB(H554,I554,J554)</f>
        <v/>
      </c>
    </row>
    <row r="555" spans="1:11" x14ac:dyDescent="0.2">
      <c r="A555">
        <v>825</v>
      </c>
      <c r="B555">
        <v>323</v>
      </c>
      <c r="C555">
        <v>5</v>
      </c>
      <c r="D555" t="s">
        <v>7801</v>
      </c>
      <c r="E555">
        <v>246</v>
      </c>
      <c r="F555" t="s">
        <v>6113</v>
      </c>
      <c r="G555" t="s">
        <v>6112</v>
      </c>
      <c r="H555">
        <v>253</v>
      </c>
      <c r="I555">
        <v>143</v>
      </c>
      <c r="J555">
        <v>255</v>
      </c>
      <c r="K555" s="472" t="str" cm="1">
        <f t="array" ref="K555">myRGB(H555,I555,J555)</f>
        <v/>
      </c>
    </row>
    <row r="556" spans="1:11" x14ac:dyDescent="0.2">
      <c r="A556">
        <v>826</v>
      </c>
      <c r="B556">
        <v>323</v>
      </c>
      <c r="C556">
        <v>5</v>
      </c>
      <c r="D556" t="s">
        <v>7802</v>
      </c>
      <c r="E556">
        <v>128</v>
      </c>
      <c r="F556" t="s">
        <v>6115</v>
      </c>
      <c r="G556" t="s">
        <v>6114</v>
      </c>
      <c r="H556">
        <v>255</v>
      </c>
      <c r="I556">
        <v>143</v>
      </c>
      <c r="J556">
        <v>253</v>
      </c>
      <c r="K556" s="672" t="str" cm="1">
        <f t="array" ref="K556">myRGB(H556,I556,J556)</f>
        <v/>
      </c>
    </row>
    <row r="557" spans="1:11" x14ac:dyDescent="0.2">
      <c r="A557">
        <v>830</v>
      </c>
      <c r="B557">
        <v>323</v>
      </c>
      <c r="C557">
        <v>5</v>
      </c>
      <c r="D557" t="s">
        <v>7803</v>
      </c>
      <c r="E557">
        <v>294</v>
      </c>
      <c r="F557" t="s">
        <v>6123</v>
      </c>
      <c r="G557" t="s">
        <v>6122</v>
      </c>
      <c r="H557">
        <v>254</v>
      </c>
      <c r="I557">
        <v>143</v>
      </c>
      <c r="J557">
        <v>253</v>
      </c>
      <c r="K557" s="409" t="str" cm="1">
        <f t="array" ref="K557">myRGB(H557,I557,J557)</f>
        <v/>
      </c>
    </row>
    <row r="558" spans="1:11" x14ac:dyDescent="0.2">
      <c r="A558">
        <v>831</v>
      </c>
      <c r="B558">
        <v>294</v>
      </c>
      <c r="C558">
        <v>6</v>
      </c>
      <c r="D558" t="s">
        <v>7804</v>
      </c>
      <c r="E558">
        <v>26</v>
      </c>
      <c r="F558" t="s">
        <v>6125</v>
      </c>
      <c r="G558" t="s">
        <v>6124</v>
      </c>
      <c r="H558">
        <v>255</v>
      </c>
      <c r="I558">
        <v>143</v>
      </c>
      <c r="J558">
        <v>255</v>
      </c>
      <c r="K558" s="509" t="str" cm="1">
        <f t="array" ref="K558">myRGB(H558,I558,J558)</f>
        <v/>
      </c>
    </row>
    <row r="559" spans="1:11" x14ac:dyDescent="0.2">
      <c r="A559">
        <v>832</v>
      </c>
      <c r="B559">
        <v>294</v>
      </c>
      <c r="C559">
        <v>6</v>
      </c>
      <c r="D559" t="s">
        <v>7805</v>
      </c>
      <c r="E559">
        <v>42</v>
      </c>
      <c r="F559" t="s">
        <v>6127</v>
      </c>
      <c r="G559" t="s">
        <v>6126</v>
      </c>
      <c r="H559">
        <v>255</v>
      </c>
      <c r="I559">
        <v>143</v>
      </c>
      <c r="J559">
        <v>254</v>
      </c>
      <c r="K559" s="471" t="str" cm="1">
        <f t="array" ref="K559">myRGB(H559,I559,J559)</f>
        <v/>
      </c>
    </row>
    <row r="560" spans="1:11" x14ac:dyDescent="0.2">
      <c r="A560">
        <v>833</v>
      </c>
      <c r="B560">
        <v>294</v>
      </c>
      <c r="C560">
        <v>6</v>
      </c>
      <c r="D560" t="s">
        <v>7806</v>
      </c>
      <c r="E560">
        <v>17</v>
      </c>
      <c r="F560" t="s">
        <v>6129</v>
      </c>
      <c r="G560" t="s">
        <v>6128</v>
      </c>
      <c r="H560">
        <v>255</v>
      </c>
      <c r="I560">
        <v>144</v>
      </c>
      <c r="J560">
        <v>254</v>
      </c>
      <c r="K560" s="584" t="str" cm="1">
        <f t="array" ref="K560">myRGB(H560,I560,J560)</f>
        <v/>
      </c>
    </row>
    <row r="561" spans="1:11" x14ac:dyDescent="0.2">
      <c r="A561">
        <v>834</v>
      </c>
      <c r="B561">
        <v>294</v>
      </c>
      <c r="C561">
        <v>6</v>
      </c>
      <c r="D561" t="s">
        <v>7807</v>
      </c>
      <c r="E561">
        <v>10</v>
      </c>
      <c r="F561" t="s">
        <v>6131</v>
      </c>
      <c r="G561" t="s">
        <v>6130</v>
      </c>
      <c r="H561">
        <v>255</v>
      </c>
      <c r="I561">
        <v>144</v>
      </c>
      <c r="J561">
        <v>255</v>
      </c>
      <c r="K561" s="384" t="str" cm="1">
        <f t="array" ref="K561">myRGB(H561,I561,J561)</f>
        <v/>
      </c>
    </row>
    <row r="562" spans="1:11" x14ac:dyDescent="0.2">
      <c r="A562">
        <v>838</v>
      </c>
      <c r="B562">
        <v>323</v>
      </c>
      <c r="C562">
        <v>5</v>
      </c>
      <c r="D562" t="s">
        <v>7808</v>
      </c>
      <c r="E562">
        <v>795</v>
      </c>
      <c r="F562" t="s">
        <v>6139</v>
      </c>
      <c r="G562" t="s">
        <v>6138</v>
      </c>
      <c r="H562">
        <v>252</v>
      </c>
      <c r="I562">
        <v>143</v>
      </c>
      <c r="J562">
        <v>255</v>
      </c>
      <c r="K562" s="406" t="str" cm="1">
        <f t="array" ref="K562">myRGB(H562,I562,J562)</f>
        <v/>
      </c>
    </row>
    <row r="563" spans="1:11" x14ac:dyDescent="0.2">
      <c r="A563">
        <v>839</v>
      </c>
      <c r="B563">
        <v>795</v>
      </c>
      <c r="C563">
        <v>6</v>
      </c>
      <c r="D563" t="s">
        <v>7809</v>
      </c>
      <c r="E563">
        <v>50</v>
      </c>
      <c r="F563" t="s">
        <v>6141</v>
      </c>
      <c r="G563" t="s">
        <v>6140</v>
      </c>
      <c r="H563">
        <v>254</v>
      </c>
      <c r="I563">
        <v>144</v>
      </c>
      <c r="J563">
        <v>254</v>
      </c>
      <c r="K563" s="383" t="str" cm="1">
        <f t="array" ref="K563">myRGB(H563,I563,J563)</f>
        <v/>
      </c>
    </row>
    <row r="564" spans="1:11" x14ac:dyDescent="0.2">
      <c r="A564">
        <v>840</v>
      </c>
      <c r="B564">
        <v>795</v>
      </c>
      <c r="C564">
        <v>6</v>
      </c>
      <c r="D564" t="s">
        <v>7810</v>
      </c>
      <c r="E564">
        <v>67</v>
      </c>
      <c r="F564" t="s">
        <v>6143</v>
      </c>
      <c r="G564" t="s">
        <v>6142</v>
      </c>
      <c r="H564">
        <v>255</v>
      </c>
      <c r="I564">
        <v>144</v>
      </c>
      <c r="J564">
        <v>253</v>
      </c>
      <c r="K564" s="468" t="str" cm="1">
        <f t="array" ref="K564">myRGB(H564,I564,J564)</f>
        <v/>
      </c>
    </row>
    <row r="565" spans="1:11" x14ac:dyDescent="0.2">
      <c r="A565">
        <v>841</v>
      </c>
      <c r="B565">
        <v>795</v>
      </c>
      <c r="C565">
        <v>6</v>
      </c>
      <c r="D565" t="s">
        <v>7811</v>
      </c>
      <c r="E565">
        <v>587</v>
      </c>
      <c r="F565" t="s">
        <v>6145</v>
      </c>
      <c r="G565" t="s">
        <v>6144</v>
      </c>
      <c r="H565">
        <v>253</v>
      </c>
      <c r="I565">
        <v>143</v>
      </c>
      <c r="J565">
        <v>253</v>
      </c>
      <c r="K565" s="671" t="str" cm="1">
        <f t="array" ref="K565">myRGB(H565,I565,J565)</f>
        <v/>
      </c>
    </row>
    <row r="566" spans="1:11" x14ac:dyDescent="0.2">
      <c r="A566">
        <v>842</v>
      </c>
      <c r="B566">
        <v>795</v>
      </c>
      <c r="C566">
        <v>6</v>
      </c>
      <c r="D566" t="s">
        <v>7812</v>
      </c>
      <c r="E566">
        <v>614454277</v>
      </c>
      <c r="F566" t="s">
        <v>6147</v>
      </c>
      <c r="G566" t="s">
        <v>6146</v>
      </c>
      <c r="H566">
        <v>253</v>
      </c>
      <c r="I566">
        <v>144</v>
      </c>
      <c r="J566">
        <v>252</v>
      </c>
      <c r="K566" s="506" t="str" cm="1">
        <f t="array" ref="K566">myRGB(H566,I566,J566)</f>
        <v/>
      </c>
    </row>
    <row r="567" spans="1:11" x14ac:dyDescent="0.2">
      <c r="A567">
        <v>843</v>
      </c>
      <c r="B567">
        <v>323</v>
      </c>
      <c r="C567">
        <v>5</v>
      </c>
      <c r="D567" t="s">
        <v>7813</v>
      </c>
      <c r="E567">
        <v>1100</v>
      </c>
      <c r="F567" t="s">
        <v>6149</v>
      </c>
      <c r="G567" t="s">
        <v>6148</v>
      </c>
      <c r="H567">
        <v>253</v>
      </c>
      <c r="I567">
        <v>142</v>
      </c>
      <c r="J567">
        <v>253</v>
      </c>
      <c r="K567" s="512" t="str" cm="1">
        <f t="array" ref="K567">myRGB(H567,I567,J567)</f>
        <v/>
      </c>
    </row>
    <row r="568" spans="1:11" x14ac:dyDescent="0.2">
      <c r="A568">
        <v>844</v>
      </c>
      <c r="B568">
        <v>1100</v>
      </c>
      <c r="C568">
        <v>6</v>
      </c>
      <c r="D568" t="s">
        <v>7814</v>
      </c>
      <c r="E568">
        <v>215</v>
      </c>
      <c r="F568" t="s">
        <v>6151</v>
      </c>
      <c r="G568" t="s">
        <v>6150</v>
      </c>
      <c r="H568">
        <v>254</v>
      </c>
      <c r="I568">
        <v>142</v>
      </c>
      <c r="J568">
        <v>255</v>
      </c>
      <c r="K568" s="448" t="str" cm="1">
        <f t="array" ref="K568">myRGB(H568,I568,J568)</f>
        <v/>
      </c>
    </row>
    <row r="569" spans="1:11" x14ac:dyDescent="0.2">
      <c r="A569">
        <v>845</v>
      </c>
      <c r="B569">
        <v>1100</v>
      </c>
      <c r="C569">
        <v>6</v>
      </c>
      <c r="D569" t="s">
        <v>7815</v>
      </c>
      <c r="E569">
        <v>531</v>
      </c>
      <c r="F569" t="s">
        <v>6153</v>
      </c>
      <c r="G569" t="s">
        <v>6152</v>
      </c>
      <c r="H569">
        <v>255</v>
      </c>
      <c r="I569">
        <v>144</v>
      </c>
      <c r="J569">
        <v>252</v>
      </c>
      <c r="K569" s="411" t="str" cm="1">
        <f t="array" ref="K569">myRGB(H569,I569,J569)</f>
        <v/>
      </c>
    </row>
    <row r="570" spans="1:11" x14ac:dyDescent="0.2">
      <c r="A570">
        <v>846</v>
      </c>
      <c r="B570">
        <v>1100</v>
      </c>
      <c r="C570">
        <v>6</v>
      </c>
      <c r="D570" t="s">
        <v>7816</v>
      </c>
      <c r="E570">
        <v>628</v>
      </c>
      <c r="F570" t="s">
        <v>6155</v>
      </c>
      <c r="G570" t="s">
        <v>6154</v>
      </c>
      <c r="H570">
        <v>255</v>
      </c>
      <c r="I570">
        <v>143</v>
      </c>
      <c r="J570">
        <v>252</v>
      </c>
      <c r="K570" s="511" t="str" cm="1">
        <f t="array" ref="K570">myRGB(H570,I570,J570)</f>
        <v/>
      </c>
    </row>
    <row r="571" spans="1:11" x14ac:dyDescent="0.2">
      <c r="A571">
        <v>847</v>
      </c>
      <c r="B571">
        <v>1100</v>
      </c>
      <c r="C571">
        <v>6</v>
      </c>
      <c r="D571" t="s">
        <v>7817</v>
      </c>
      <c r="E571">
        <v>634</v>
      </c>
      <c r="F571" t="s">
        <v>6157</v>
      </c>
      <c r="G571" t="s">
        <v>6156</v>
      </c>
      <c r="H571">
        <v>255</v>
      </c>
      <c r="I571">
        <v>141</v>
      </c>
      <c r="J571">
        <v>254</v>
      </c>
      <c r="K571" s="486" t="str" cm="1">
        <f t="array" ref="K571">myRGB(H571,I571,J571)</f>
        <v/>
      </c>
    </row>
    <row r="572" spans="1:11" x14ac:dyDescent="0.2">
      <c r="A572">
        <v>848</v>
      </c>
      <c r="B572">
        <v>1100</v>
      </c>
      <c r="C572">
        <v>6</v>
      </c>
      <c r="D572" t="s">
        <v>7818</v>
      </c>
      <c r="E572">
        <v>706</v>
      </c>
      <c r="F572" t="s">
        <v>6159</v>
      </c>
      <c r="G572" t="s">
        <v>6158</v>
      </c>
      <c r="H572">
        <v>254</v>
      </c>
      <c r="I572">
        <v>144</v>
      </c>
      <c r="J572">
        <v>252</v>
      </c>
      <c r="K572" s="473" t="str" cm="1">
        <f t="array" ref="K572">myRGB(H572,I572,J572)</f>
        <v/>
      </c>
    </row>
    <row r="573" spans="1:11" x14ac:dyDescent="0.2">
      <c r="A573">
        <v>849</v>
      </c>
      <c r="B573">
        <v>1100</v>
      </c>
      <c r="C573">
        <v>6</v>
      </c>
      <c r="D573" t="s">
        <v>7819</v>
      </c>
      <c r="E573">
        <v>1061</v>
      </c>
      <c r="F573" t="s">
        <v>6161</v>
      </c>
      <c r="G573" t="s">
        <v>6160</v>
      </c>
      <c r="H573">
        <v>252</v>
      </c>
      <c r="I573">
        <v>143</v>
      </c>
      <c r="J573">
        <v>254</v>
      </c>
      <c r="K573" s="474" t="str" cm="1">
        <f t="array" ref="K573">myRGB(H573,I573,J573)</f>
        <v/>
      </c>
    </row>
    <row r="574" spans="1:11" x14ac:dyDescent="0.2">
      <c r="A574">
        <v>850</v>
      </c>
      <c r="B574">
        <v>1100</v>
      </c>
      <c r="C574">
        <v>6</v>
      </c>
      <c r="D574" t="s">
        <v>7820</v>
      </c>
      <c r="E574">
        <v>549009203</v>
      </c>
      <c r="F574" t="s">
        <v>6163</v>
      </c>
      <c r="G574" t="s">
        <v>6162</v>
      </c>
      <c r="H574">
        <v>253</v>
      </c>
      <c r="I574">
        <v>141</v>
      </c>
      <c r="J574">
        <v>255</v>
      </c>
      <c r="K574" s="750" t="str" cm="1">
        <f t="array" ref="K574">myRGB(H574,I574,J574)</f>
        <v/>
      </c>
    </row>
    <row r="575" spans="1:11" x14ac:dyDescent="0.2">
      <c r="A575">
        <v>852</v>
      </c>
      <c r="B575">
        <v>323</v>
      </c>
      <c r="C575">
        <v>5</v>
      </c>
      <c r="D575" t="s">
        <v>7821</v>
      </c>
      <c r="E575">
        <v>616</v>
      </c>
      <c r="F575" t="s">
        <v>6167</v>
      </c>
      <c r="G575" t="s">
        <v>6166</v>
      </c>
      <c r="H575">
        <v>252</v>
      </c>
      <c r="I575">
        <v>144</v>
      </c>
      <c r="J575">
        <v>255</v>
      </c>
      <c r="K575" s="407" t="str" cm="1">
        <f t="array" ref="K575">myRGB(H575,I575,J575)</f>
        <v/>
      </c>
    </row>
    <row r="576" spans="1:11" x14ac:dyDescent="0.2">
      <c r="A576">
        <v>853</v>
      </c>
      <c r="B576">
        <v>323</v>
      </c>
      <c r="C576">
        <v>5</v>
      </c>
      <c r="D576" t="s">
        <v>7822</v>
      </c>
      <c r="E576">
        <v>214</v>
      </c>
      <c r="F576" t="s">
        <v>6169</v>
      </c>
      <c r="G576" t="s">
        <v>6168</v>
      </c>
      <c r="H576">
        <v>254</v>
      </c>
      <c r="I576">
        <v>144</v>
      </c>
      <c r="J576">
        <v>253</v>
      </c>
      <c r="K576" s="641" t="str" cm="1">
        <f t="array" ref="K576">myRGB(H576,I576,J576)</f>
        <v/>
      </c>
    </row>
    <row r="577" spans="1:11" x14ac:dyDescent="0.2">
      <c r="A577">
        <v>854</v>
      </c>
      <c r="B577">
        <v>323</v>
      </c>
      <c r="C577">
        <v>5</v>
      </c>
      <c r="D577" t="s">
        <v>7823</v>
      </c>
      <c r="E577">
        <v>35</v>
      </c>
      <c r="F577" t="s">
        <v>6171</v>
      </c>
      <c r="G577" t="s">
        <v>6170</v>
      </c>
      <c r="H577">
        <v>254</v>
      </c>
      <c r="I577">
        <v>144</v>
      </c>
      <c r="J577">
        <v>255</v>
      </c>
      <c r="K577" s="447" t="str" cm="1">
        <f t="array" ref="K577">myRGB(H577,I577,J577)</f>
        <v/>
      </c>
    </row>
    <row r="578" spans="1:11" x14ac:dyDescent="0.2">
      <c r="A578">
        <v>855</v>
      </c>
      <c r="B578">
        <v>323</v>
      </c>
      <c r="C578">
        <v>5</v>
      </c>
      <c r="D578" t="s">
        <v>7824</v>
      </c>
      <c r="E578">
        <v>549009211</v>
      </c>
      <c r="F578" t="s">
        <v>6173</v>
      </c>
      <c r="G578" t="s">
        <v>6172</v>
      </c>
      <c r="H578">
        <v>252</v>
      </c>
      <c r="I578">
        <v>142</v>
      </c>
      <c r="J578">
        <v>255</v>
      </c>
      <c r="K578" s="835" t="str" cm="1">
        <f t="array" ref="K578">myRGB(H578,I578,J578)</f>
        <v/>
      </c>
    </row>
    <row r="579" spans="1:11" x14ac:dyDescent="0.2">
      <c r="A579">
        <v>856</v>
      </c>
      <c r="B579">
        <v>323</v>
      </c>
      <c r="C579">
        <v>5</v>
      </c>
      <c r="D579" t="s">
        <v>7825</v>
      </c>
      <c r="E579">
        <v>975</v>
      </c>
      <c r="F579" t="s">
        <v>6175</v>
      </c>
      <c r="G579" t="s">
        <v>6174</v>
      </c>
      <c r="H579">
        <v>254</v>
      </c>
      <c r="I579">
        <v>143</v>
      </c>
      <c r="J579">
        <v>252</v>
      </c>
      <c r="K579" s="446" t="str" cm="1">
        <f t="array" ref="K579">myRGB(H579,I579,J579)</f>
        <v/>
      </c>
    </row>
    <row r="580" spans="1:11" x14ac:dyDescent="0.2">
      <c r="A580">
        <v>857</v>
      </c>
      <c r="B580">
        <v>323</v>
      </c>
      <c r="C580">
        <v>5</v>
      </c>
      <c r="D580" t="s">
        <v>7826</v>
      </c>
      <c r="E580">
        <v>115</v>
      </c>
      <c r="F580" t="s">
        <v>6177</v>
      </c>
      <c r="G580" t="s">
        <v>6176</v>
      </c>
      <c r="H580">
        <v>253</v>
      </c>
      <c r="I580">
        <v>144</v>
      </c>
      <c r="J580">
        <v>255</v>
      </c>
      <c r="K580" s="410" t="str" cm="1">
        <f t="array" ref="K580">myRGB(H580,I580,J580)</f>
        <v/>
      </c>
    </row>
    <row r="581" spans="1:11" x14ac:dyDescent="0.2">
      <c r="A581">
        <v>858</v>
      </c>
      <c r="B581">
        <v>323</v>
      </c>
      <c r="C581">
        <v>5</v>
      </c>
      <c r="D581" t="s">
        <v>7827</v>
      </c>
      <c r="E581">
        <v>606826663</v>
      </c>
      <c r="F581" t="s">
        <v>6179</v>
      </c>
      <c r="G581" t="s">
        <v>6178</v>
      </c>
      <c r="H581">
        <v>254</v>
      </c>
      <c r="I581">
        <v>141</v>
      </c>
      <c r="J581">
        <v>254</v>
      </c>
      <c r="K581" s="485" t="str" cm="1">
        <f t="array" ref="K581">myRGB(H581,I581,J581)</f>
        <v/>
      </c>
    </row>
    <row r="582" spans="1:11" x14ac:dyDescent="0.2">
      <c r="A582">
        <v>859</v>
      </c>
      <c r="B582">
        <v>323</v>
      </c>
      <c r="C582">
        <v>5</v>
      </c>
      <c r="D582" t="s">
        <v>7828</v>
      </c>
      <c r="E582">
        <v>757</v>
      </c>
      <c r="F582" t="s">
        <v>6181</v>
      </c>
      <c r="G582" t="s">
        <v>6180</v>
      </c>
      <c r="H582">
        <v>252</v>
      </c>
      <c r="I582">
        <v>144</v>
      </c>
      <c r="J582">
        <v>254</v>
      </c>
      <c r="K582" s="469" t="str" cm="1">
        <f t="array" ref="K582">myRGB(H582,I582,J582)</f>
        <v/>
      </c>
    </row>
    <row r="583" spans="1:11" x14ac:dyDescent="0.2">
      <c r="A583">
        <v>860</v>
      </c>
      <c r="B583">
        <v>323</v>
      </c>
      <c r="C583">
        <v>5</v>
      </c>
      <c r="D583" t="s">
        <v>7829</v>
      </c>
      <c r="E583">
        <v>231</v>
      </c>
      <c r="F583" t="s">
        <v>6183</v>
      </c>
      <c r="G583" t="s">
        <v>6182</v>
      </c>
      <c r="H583">
        <v>253</v>
      </c>
      <c r="I583">
        <v>144</v>
      </c>
      <c r="J583">
        <v>254</v>
      </c>
      <c r="K583" s="510" t="str" cm="1">
        <f t="array" ref="K583">myRGB(H583,I583,J583)</f>
        <v/>
      </c>
    </row>
    <row r="584" spans="1:11" x14ac:dyDescent="0.2">
      <c r="A584">
        <v>861</v>
      </c>
      <c r="B584">
        <v>323</v>
      </c>
      <c r="C584">
        <v>5</v>
      </c>
      <c r="D584" t="s">
        <v>7830</v>
      </c>
      <c r="E584">
        <v>66</v>
      </c>
      <c r="F584" t="s">
        <v>6185</v>
      </c>
      <c r="G584" t="s">
        <v>6184</v>
      </c>
      <c r="H584">
        <v>254</v>
      </c>
      <c r="I584">
        <v>143</v>
      </c>
      <c r="J584">
        <v>254</v>
      </c>
      <c r="K584" s="749" t="str" cm="1">
        <f t="array" ref="K584">myRGB(H584,I584,J584)</f>
        <v/>
      </c>
    </row>
    <row r="585" spans="1:11" x14ac:dyDescent="0.2">
      <c r="A585">
        <v>862</v>
      </c>
      <c r="B585">
        <v>323</v>
      </c>
      <c r="C585">
        <v>5</v>
      </c>
      <c r="D585" t="s">
        <v>7831</v>
      </c>
      <c r="E585">
        <v>75</v>
      </c>
      <c r="F585" t="s">
        <v>6187</v>
      </c>
      <c r="G585" t="s">
        <v>6186</v>
      </c>
      <c r="H585">
        <v>255</v>
      </c>
      <c r="I585">
        <v>142</v>
      </c>
      <c r="J585">
        <v>255</v>
      </c>
      <c r="K585" s="507" t="str" cm="1">
        <f t="array" ref="K585">myRGB(H585,I585,J585)</f>
        <v/>
      </c>
    </row>
    <row r="586" spans="1:11" x14ac:dyDescent="0.2">
      <c r="A586">
        <v>863</v>
      </c>
      <c r="B586">
        <v>323</v>
      </c>
      <c r="C586">
        <v>5</v>
      </c>
      <c r="D586" t="s">
        <v>7832</v>
      </c>
      <c r="E586">
        <v>58</v>
      </c>
      <c r="F586" t="s">
        <v>6189</v>
      </c>
      <c r="G586" t="s">
        <v>6188</v>
      </c>
      <c r="H586">
        <v>254</v>
      </c>
      <c r="I586">
        <v>143</v>
      </c>
      <c r="J586">
        <v>255</v>
      </c>
      <c r="K586" s="508" t="str" cm="1">
        <f t="array" ref="K586">myRGB(H586,I586,J586)</f>
        <v/>
      </c>
    </row>
    <row r="587" spans="1:11" x14ac:dyDescent="0.2">
      <c r="A587">
        <v>865</v>
      </c>
      <c r="B587">
        <v>313</v>
      </c>
      <c r="C587">
        <v>4</v>
      </c>
      <c r="D587" t="s">
        <v>7833</v>
      </c>
      <c r="E587">
        <v>348</v>
      </c>
      <c r="F587" t="s">
        <v>6193</v>
      </c>
      <c r="G587" t="s">
        <v>6192</v>
      </c>
      <c r="H587">
        <v>253</v>
      </c>
      <c r="I587">
        <v>143</v>
      </c>
      <c r="J587">
        <v>254</v>
      </c>
      <c r="K587" s="465" t="str" cm="1">
        <f t="array" ref="K587">myRGB(H587,I587,J587)</f>
        <v/>
      </c>
    </row>
    <row r="588" spans="1:11" x14ac:dyDescent="0.2">
      <c r="A588">
        <v>866</v>
      </c>
      <c r="B588">
        <v>348</v>
      </c>
      <c r="C588">
        <v>5</v>
      </c>
      <c r="D588" t="s">
        <v>7834</v>
      </c>
      <c r="E588">
        <v>374</v>
      </c>
      <c r="F588" t="s">
        <v>6195</v>
      </c>
      <c r="G588" t="s">
        <v>6194</v>
      </c>
      <c r="H588">
        <v>255</v>
      </c>
      <c r="I588">
        <v>166</v>
      </c>
      <c r="J588">
        <v>253</v>
      </c>
      <c r="K588" s="462" t="str" cm="1">
        <f t="array" ref="K588">myRGB(H588,I588,J588)</f>
        <v/>
      </c>
    </row>
    <row r="589" spans="1:11" x14ac:dyDescent="0.2">
      <c r="A589">
        <v>867</v>
      </c>
      <c r="B589">
        <v>348</v>
      </c>
      <c r="C589">
        <v>5</v>
      </c>
      <c r="D589" t="s">
        <v>7835</v>
      </c>
      <c r="E589">
        <v>1052</v>
      </c>
      <c r="F589" t="s">
        <v>6197</v>
      </c>
      <c r="G589" t="s">
        <v>6196</v>
      </c>
      <c r="H589">
        <v>255</v>
      </c>
      <c r="I589">
        <v>165</v>
      </c>
      <c r="J589">
        <v>253</v>
      </c>
      <c r="K589" s="445" t="str" cm="1">
        <f t="array" ref="K589">myRGB(H589,I589,J589)</f>
        <v/>
      </c>
    </row>
    <row r="590" spans="1:11" x14ac:dyDescent="0.2">
      <c r="A590">
        <v>868</v>
      </c>
      <c r="B590">
        <v>348</v>
      </c>
      <c r="C590">
        <v>5</v>
      </c>
      <c r="D590" t="s">
        <v>7836</v>
      </c>
      <c r="E590">
        <v>165</v>
      </c>
      <c r="F590" t="s">
        <v>6199</v>
      </c>
      <c r="G590" t="s">
        <v>6198</v>
      </c>
      <c r="H590">
        <v>255</v>
      </c>
      <c r="I590">
        <v>165</v>
      </c>
      <c r="J590">
        <v>255</v>
      </c>
      <c r="K590" s="402" t="str" cm="1">
        <f t="array" ref="K590">myRGB(H590,I590,J590)</f>
        <v/>
      </c>
    </row>
    <row r="591" spans="1:11" x14ac:dyDescent="0.2">
      <c r="A591">
        <v>869</v>
      </c>
      <c r="B591">
        <v>165</v>
      </c>
      <c r="C591">
        <v>6</v>
      </c>
      <c r="D591" t="s">
        <v>7837</v>
      </c>
      <c r="E591">
        <v>12</v>
      </c>
      <c r="F591" t="s">
        <v>6201</v>
      </c>
      <c r="G591" t="s">
        <v>6200</v>
      </c>
      <c r="H591">
        <v>255</v>
      </c>
      <c r="I591">
        <v>166</v>
      </c>
      <c r="J591">
        <v>255</v>
      </c>
      <c r="K591" s="400" t="str" cm="1">
        <f t="array" ref="K591">myRGB(H591,I591,J591)</f>
        <v/>
      </c>
    </row>
    <row r="592" spans="1:11" x14ac:dyDescent="0.2">
      <c r="A592">
        <v>870</v>
      </c>
      <c r="B592">
        <v>165</v>
      </c>
      <c r="C592">
        <v>6</v>
      </c>
      <c r="D592" t="s">
        <v>7838</v>
      </c>
      <c r="E592">
        <v>100</v>
      </c>
      <c r="F592" t="s">
        <v>6203</v>
      </c>
      <c r="G592" t="s">
        <v>6202</v>
      </c>
      <c r="H592">
        <v>255</v>
      </c>
      <c r="I592">
        <v>166</v>
      </c>
      <c r="J592">
        <v>254</v>
      </c>
      <c r="K592" s="670" t="str" cm="1">
        <f t="array" ref="K592">myRGB(H592,I592,J592)</f>
        <v/>
      </c>
    </row>
    <row r="593" spans="1:11" x14ac:dyDescent="0.2">
      <c r="A593">
        <v>871</v>
      </c>
      <c r="B593">
        <v>100</v>
      </c>
      <c r="C593">
        <v>7</v>
      </c>
      <c r="D593" t="s">
        <v>7839</v>
      </c>
      <c r="E593">
        <v>607344834</v>
      </c>
      <c r="F593" t="s">
        <v>6205</v>
      </c>
      <c r="G593" t="s">
        <v>6204</v>
      </c>
      <c r="H593">
        <v>255</v>
      </c>
      <c r="I593">
        <v>164</v>
      </c>
      <c r="J593">
        <v>254</v>
      </c>
      <c r="K593" s="502" t="str" cm="1">
        <f t="array" ref="K593">myRGB(H593,I593,J593)</f>
        <v/>
      </c>
    </row>
    <row r="594" spans="1:11" x14ac:dyDescent="0.2">
      <c r="A594">
        <v>872</v>
      </c>
      <c r="B594">
        <v>100</v>
      </c>
      <c r="C594">
        <v>7</v>
      </c>
      <c r="D594" t="s">
        <v>7840</v>
      </c>
      <c r="E594">
        <v>607344838</v>
      </c>
      <c r="F594" t="s">
        <v>6207</v>
      </c>
      <c r="G594" t="s">
        <v>6206</v>
      </c>
      <c r="H594">
        <v>255</v>
      </c>
      <c r="I594">
        <v>165</v>
      </c>
      <c r="J594">
        <v>254</v>
      </c>
      <c r="K594" s="483" t="str" cm="1">
        <f t="array" ref="K594">myRGB(H594,I594,J594)</f>
        <v/>
      </c>
    </row>
    <row r="595" spans="1:11" x14ac:dyDescent="0.2">
      <c r="A595">
        <v>873</v>
      </c>
      <c r="B595">
        <v>100</v>
      </c>
      <c r="C595">
        <v>7</v>
      </c>
      <c r="D595" t="s">
        <v>7841</v>
      </c>
      <c r="E595">
        <v>607344842</v>
      </c>
      <c r="F595" t="s">
        <v>6209</v>
      </c>
      <c r="G595" t="s">
        <v>6208</v>
      </c>
      <c r="H595">
        <v>254</v>
      </c>
      <c r="I595">
        <v>166</v>
      </c>
      <c r="J595">
        <v>254</v>
      </c>
      <c r="K595" s="464" t="str" cm="1">
        <f t="array" ref="K595">myRGB(H595,I595,J595)</f>
        <v/>
      </c>
    </row>
    <row r="596" spans="1:11" x14ac:dyDescent="0.2">
      <c r="A596">
        <v>874</v>
      </c>
      <c r="B596">
        <v>100</v>
      </c>
      <c r="C596">
        <v>7</v>
      </c>
      <c r="D596" t="s">
        <v>7842</v>
      </c>
      <c r="E596">
        <v>607344846</v>
      </c>
      <c r="F596" t="s">
        <v>6211</v>
      </c>
      <c r="G596" t="s">
        <v>6210</v>
      </c>
      <c r="H596">
        <v>254</v>
      </c>
      <c r="I596">
        <v>165</v>
      </c>
      <c r="J596">
        <v>255</v>
      </c>
      <c r="K596" s="401" t="str" cm="1">
        <f t="array" ref="K596">myRGB(H596,I596,J596)</f>
        <v/>
      </c>
    </row>
    <row r="597" spans="1:11" x14ac:dyDescent="0.2">
      <c r="A597">
        <v>875</v>
      </c>
      <c r="B597">
        <v>100</v>
      </c>
      <c r="C597">
        <v>7</v>
      </c>
      <c r="D597" t="s">
        <v>7843</v>
      </c>
      <c r="E597">
        <v>607344850</v>
      </c>
      <c r="F597" t="s">
        <v>6213</v>
      </c>
      <c r="G597" t="s">
        <v>6212</v>
      </c>
      <c r="H597">
        <v>254</v>
      </c>
      <c r="I597">
        <v>166</v>
      </c>
      <c r="J597">
        <v>253</v>
      </c>
      <c r="K597" s="582" t="str" cm="1">
        <f t="array" ref="K597">myRGB(H597,I597,J597)</f>
        <v/>
      </c>
    </row>
    <row r="598" spans="1:11" x14ac:dyDescent="0.2">
      <c r="A598">
        <v>876</v>
      </c>
      <c r="B598">
        <v>100</v>
      </c>
      <c r="C598">
        <v>7</v>
      </c>
      <c r="D598" t="s">
        <v>7844</v>
      </c>
      <c r="E598">
        <v>607344854</v>
      </c>
      <c r="F598" t="s">
        <v>6215</v>
      </c>
      <c r="G598" t="s">
        <v>6214</v>
      </c>
      <c r="H598">
        <v>254</v>
      </c>
      <c r="I598">
        <v>164</v>
      </c>
      <c r="J598">
        <v>255</v>
      </c>
      <c r="K598" s="517" t="str" cm="1">
        <f t="array" ref="K598">myRGB(H598,I598,J598)</f>
        <v/>
      </c>
    </row>
    <row r="599" spans="1:11" x14ac:dyDescent="0.2">
      <c r="A599">
        <v>877</v>
      </c>
      <c r="B599">
        <v>100</v>
      </c>
      <c r="C599">
        <v>7</v>
      </c>
      <c r="D599" t="s">
        <v>7845</v>
      </c>
      <c r="E599">
        <v>607344858</v>
      </c>
      <c r="F599" t="s">
        <v>6217</v>
      </c>
      <c r="G599" t="s">
        <v>6216</v>
      </c>
      <c r="H599">
        <v>253</v>
      </c>
      <c r="I599">
        <v>166</v>
      </c>
      <c r="J599">
        <v>254</v>
      </c>
      <c r="K599" s="501" t="str" cm="1">
        <f t="array" ref="K599">myRGB(H599,I599,J599)</f>
        <v/>
      </c>
    </row>
    <row r="600" spans="1:11" x14ac:dyDescent="0.2">
      <c r="A600">
        <v>878</v>
      </c>
      <c r="B600">
        <v>100</v>
      </c>
      <c r="C600">
        <v>7</v>
      </c>
      <c r="D600" t="s">
        <v>7846</v>
      </c>
      <c r="E600">
        <v>607344862</v>
      </c>
      <c r="F600" t="s">
        <v>6219</v>
      </c>
      <c r="G600" t="s">
        <v>6218</v>
      </c>
      <c r="H600">
        <v>254</v>
      </c>
      <c r="I600">
        <v>165</v>
      </c>
      <c r="J600">
        <v>254</v>
      </c>
      <c r="K600" s="463" t="str" cm="1">
        <f t="array" ref="K600">myRGB(H600,I600,J600)</f>
        <v/>
      </c>
    </row>
    <row r="601" spans="1:11" x14ac:dyDescent="0.2">
      <c r="A601">
        <v>879</v>
      </c>
      <c r="B601">
        <v>165</v>
      </c>
      <c r="C601">
        <v>6</v>
      </c>
      <c r="D601" t="s">
        <v>7847</v>
      </c>
      <c r="E601">
        <v>197</v>
      </c>
      <c r="F601" t="s">
        <v>6221</v>
      </c>
      <c r="G601" t="s">
        <v>6220</v>
      </c>
      <c r="H601">
        <v>254</v>
      </c>
      <c r="I601">
        <v>166</v>
      </c>
      <c r="J601">
        <v>255</v>
      </c>
      <c r="K601" s="381" t="str" cm="1">
        <f t="array" ref="K601">myRGB(H601,I601,J601)</f>
        <v/>
      </c>
    </row>
    <row r="602" spans="1:11" x14ac:dyDescent="0.2">
      <c r="A602">
        <v>880</v>
      </c>
      <c r="B602">
        <v>165</v>
      </c>
      <c r="C602">
        <v>6</v>
      </c>
      <c r="D602" t="s">
        <v>7848</v>
      </c>
      <c r="E602">
        <v>591</v>
      </c>
      <c r="F602" t="s">
        <v>6223</v>
      </c>
      <c r="G602" t="s">
        <v>6222</v>
      </c>
      <c r="H602">
        <v>255</v>
      </c>
      <c r="I602">
        <v>164</v>
      </c>
      <c r="J602">
        <v>255</v>
      </c>
      <c r="K602" s="834" t="str" cm="1">
        <f t="array" ref="K602">myRGB(H602,I602,J602)</f>
        <v/>
      </c>
    </row>
    <row r="603" spans="1:11" x14ac:dyDescent="0.2">
      <c r="A603">
        <v>881</v>
      </c>
      <c r="B603">
        <v>165</v>
      </c>
      <c r="C603">
        <v>6</v>
      </c>
      <c r="D603" t="s">
        <v>7849</v>
      </c>
      <c r="E603">
        <v>872</v>
      </c>
      <c r="F603" t="s">
        <v>6225</v>
      </c>
      <c r="G603" t="s">
        <v>6224</v>
      </c>
      <c r="H603">
        <v>253</v>
      </c>
      <c r="I603">
        <v>166</v>
      </c>
      <c r="J603">
        <v>255</v>
      </c>
      <c r="K603" s="500" t="str" cm="1">
        <f t="array" ref="K603">myRGB(H603,I603,J603)</f>
        <v/>
      </c>
    </row>
    <row r="604" spans="1:11" x14ac:dyDescent="0.2">
      <c r="A604">
        <v>882</v>
      </c>
      <c r="B604">
        <v>343</v>
      </c>
      <c r="C604">
        <v>3</v>
      </c>
      <c r="D604" t="s">
        <v>7850</v>
      </c>
      <c r="E604">
        <v>1065</v>
      </c>
      <c r="F604" t="s">
        <v>6227</v>
      </c>
      <c r="G604" t="s">
        <v>6226</v>
      </c>
      <c r="H604">
        <v>255</v>
      </c>
      <c r="I604">
        <v>155</v>
      </c>
      <c r="J604">
        <v>135</v>
      </c>
      <c r="K604" s="657" t="str" cm="1">
        <f t="array" ref="K604">myRGB(H604,I604,J604)</f>
        <v/>
      </c>
    </row>
    <row r="605" spans="1:11" x14ac:dyDescent="0.2">
      <c r="A605">
        <v>883</v>
      </c>
      <c r="B605">
        <v>1065</v>
      </c>
      <c r="C605">
        <v>4</v>
      </c>
      <c r="D605" t="s">
        <v>7851</v>
      </c>
      <c r="E605">
        <v>771</v>
      </c>
      <c r="F605" t="s">
        <v>6229</v>
      </c>
      <c r="G605" t="s">
        <v>6228</v>
      </c>
      <c r="H605">
        <v>255</v>
      </c>
      <c r="I605">
        <v>155</v>
      </c>
      <c r="J605">
        <v>136</v>
      </c>
      <c r="K605" s="649" t="str" cm="1">
        <f t="array" ref="K605">myRGB(H605,I605,J605)</f>
        <v/>
      </c>
    </row>
    <row r="606" spans="1:11" x14ac:dyDescent="0.2">
      <c r="A606">
        <v>884</v>
      </c>
      <c r="B606">
        <v>771</v>
      </c>
      <c r="C606">
        <v>5</v>
      </c>
      <c r="D606" t="s">
        <v>7852</v>
      </c>
      <c r="E606">
        <v>1132</v>
      </c>
      <c r="F606" t="s">
        <v>6231</v>
      </c>
      <c r="G606" t="s">
        <v>6230</v>
      </c>
      <c r="H606">
        <v>255</v>
      </c>
      <c r="I606">
        <v>172</v>
      </c>
      <c r="J606">
        <v>109</v>
      </c>
      <c r="K606" s="812" t="str" cm="1">
        <f t="array" ref="K606">myRGB(H606,I606,J606)</f>
        <v/>
      </c>
    </row>
    <row r="607" spans="1:11" x14ac:dyDescent="0.2">
      <c r="A607">
        <v>885</v>
      </c>
      <c r="B607">
        <v>1132</v>
      </c>
      <c r="C607">
        <v>6</v>
      </c>
      <c r="D607" t="s">
        <v>7853</v>
      </c>
      <c r="E607">
        <v>612</v>
      </c>
      <c r="F607" t="s">
        <v>6233</v>
      </c>
      <c r="G607" t="s">
        <v>6232</v>
      </c>
      <c r="H607">
        <v>255</v>
      </c>
      <c r="I607">
        <v>172</v>
      </c>
      <c r="J607">
        <v>111</v>
      </c>
      <c r="K607" s="534" t="str" cm="1">
        <f t="array" ref="K607">myRGB(H607,I607,J607)</f>
        <v/>
      </c>
    </row>
    <row r="608" spans="1:11" x14ac:dyDescent="0.2">
      <c r="A608">
        <v>889</v>
      </c>
      <c r="B608">
        <v>1132</v>
      </c>
      <c r="C608">
        <v>6</v>
      </c>
      <c r="D608" t="s">
        <v>7854</v>
      </c>
      <c r="E608">
        <v>7</v>
      </c>
      <c r="F608" t="s">
        <v>6241</v>
      </c>
      <c r="G608" t="s">
        <v>6240</v>
      </c>
      <c r="H608">
        <v>255</v>
      </c>
      <c r="I608">
        <v>174</v>
      </c>
      <c r="J608">
        <v>111</v>
      </c>
      <c r="K608" s="811" t="str" cm="1">
        <f t="array" ref="K608">myRGB(H608,I608,J608)</f>
        <v/>
      </c>
    </row>
    <row r="609" spans="1:11" x14ac:dyDescent="0.2">
      <c r="A609">
        <v>890</v>
      </c>
      <c r="B609">
        <v>1132</v>
      </c>
      <c r="C609">
        <v>6</v>
      </c>
      <c r="D609" t="s">
        <v>7855</v>
      </c>
      <c r="E609">
        <v>867</v>
      </c>
      <c r="F609" t="s">
        <v>6243</v>
      </c>
      <c r="G609" t="s">
        <v>6242</v>
      </c>
      <c r="H609">
        <v>255</v>
      </c>
      <c r="I609">
        <v>173</v>
      </c>
      <c r="J609">
        <v>109</v>
      </c>
      <c r="K609" s="766" t="str" cm="1">
        <f t="array" ref="K609">myRGB(H609,I609,J609)</f>
        <v/>
      </c>
    </row>
    <row r="610" spans="1:11" x14ac:dyDescent="0.2">
      <c r="A610">
        <v>891</v>
      </c>
      <c r="B610">
        <v>867</v>
      </c>
      <c r="C610">
        <v>7</v>
      </c>
      <c r="D610" t="s">
        <v>7856</v>
      </c>
      <c r="E610">
        <v>123</v>
      </c>
      <c r="F610" t="s">
        <v>6245</v>
      </c>
      <c r="G610" t="s">
        <v>6244</v>
      </c>
      <c r="H610">
        <v>254</v>
      </c>
      <c r="I610">
        <v>173</v>
      </c>
      <c r="J610">
        <v>110</v>
      </c>
      <c r="K610" s="706" t="str" cm="1">
        <f t="array" ref="K610">myRGB(H610,I610,J610)</f>
        <v/>
      </c>
    </row>
    <row r="611" spans="1:11" x14ac:dyDescent="0.2">
      <c r="A611">
        <v>902</v>
      </c>
      <c r="B611">
        <v>1132</v>
      </c>
      <c r="C611">
        <v>6</v>
      </c>
      <c r="D611" t="s">
        <v>7857</v>
      </c>
      <c r="E611">
        <v>398</v>
      </c>
      <c r="F611" t="s">
        <v>6267</v>
      </c>
      <c r="G611" t="s">
        <v>6266</v>
      </c>
      <c r="H611">
        <v>255</v>
      </c>
      <c r="I611">
        <v>174</v>
      </c>
      <c r="J611">
        <v>109</v>
      </c>
      <c r="K611" s="767" t="str" cm="1">
        <f t="array" ref="K611">myRGB(H611,I611,J611)</f>
        <v/>
      </c>
    </row>
    <row r="612" spans="1:11" x14ac:dyDescent="0.2">
      <c r="A612">
        <v>903</v>
      </c>
      <c r="B612">
        <v>398</v>
      </c>
      <c r="C612">
        <v>7</v>
      </c>
      <c r="D612" t="s">
        <v>7858</v>
      </c>
      <c r="E612">
        <v>122</v>
      </c>
      <c r="F612" t="s">
        <v>6269</v>
      </c>
      <c r="G612" t="s">
        <v>6268</v>
      </c>
      <c r="H612">
        <v>254</v>
      </c>
      <c r="I612">
        <v>173</v>
      </c>
      <c r="J612">
        <v>111</v>
      </c>
      <c r="K612" s="601" t="str" cm="1">
        <f t="array" ref="K612">myRGB(H612,I612,J612)</f>
        <v/>
      </c>
    </row>
    <row r="613" spans="1:11" x14ac:dyDescent="0.2">
      <c r="A613">
        <v>904</v>
      </c>
      <c r="B613">
        <v>398</v>
      </c>
      <c r="C613">
        <v>7</v>
      </c>
      <c r="D613" t="s">
        <v>7859</v>
      </c>
      <c r="E613">
        <v>105</v>
      </c>
      <c r="F613" t="s">
        <v>6271</v>
      </c>
      <c r="G613" t="s">
        <v>6270</v>
      </c>
      <c r="H613">
        <v>255</v>
      </c>
      <c r="I613">
        <v>173</v>
      </c>
      <c r="J613">
        <v>110</v>
      </c>
      <c r="K613" s="569" t="str" cm="1">
        <f t="array" ref="K613">myRGB(H613,I613,J613)</f>
        <v/>
      </c>
    </row>
    <row r="614" spans="1:11" x14ac:dyDescent="0.2">
      <c r="A614">
        <v>905</v>
      </c>
      <c r="B614">
        <v>398</v>
      </c>
      <c r="C614">
        <v>7</v>
      </c>
      <c r="D614" t="s">
        <v>7860</v>
      </c>
      <c r="E614">
        <v>114</v>
      </c>
      <c r="F614" t="s">
        <v>6273</v>
      </c>
      <c r="G614" t="s">
        <v>6272</v>
      </c>
      <c r="H614">
        <v>254</v>
      </c>
      <c r="I614">
        <v>174</v>
      </c>
      <c r="J614">
        <v>110</v>
      </c>
      <c r="K614" s="647" t="str" cm="1">
        <f t="array" ref="K614">myRGB(H614,I614,J614)</f>
        <v/>
      </c>
    </row>
    <row r="615" spans="1:11" x14ac:dyDescent="0.2">
      <c r="A615">
        <v>906</v>
      </c>
      <c r="B615">
        <v>771</v>
      </c>
      <c r="C615">
        <v>5</v>
      </c>
      <c r="D615" t="s">
        <v>7861</v>
      </c>
      <c r="E615">
        <v>987</v>
      </c>
      <c r="F615" t="s">
        <v>6275</v>
      </c>
      <c r="G615" t="s">
        <v>6274</v>
      </c>
      <c r="H615">
        <v>255</v>
      </c>
      <c r="I615">
        <v>184</v>
      </c>
      <c r="J615">
        <v>134</v>
      </c>
      <c r="K615" s="678" t="str" cm="1">
        <f t="array" ref="K615">myRGB(H615,I615,J615)</f>
        <v/>
      </c>
    </row>
    <row r="616" spans="1:11" x14ac:dyDescent="0.2">
      <c r="A616">
        <v>907</v>
      </c>
      <c r="B616">
        <v>987</v>
      </c>
      <c r="C616">
        <v>6</v>
      </c>
      <c r="D616" t="s">
        <v>7862</v>
      </c>
      <c r="E616">
        <v>280</v>
      </c>
      <c r="F616" t="s">
        <v>6276</v>
      </c>
      <c r="G616" t="s">
        <v>3985</v>
      </c>
      <c r="H616">
        <v>255</v>
      </c>
      <c r="I616">
        <v>186</v>
      </c>
      <c r="J616">
        <v>134</v>
      </c>
      <c r="K616" s="533" t="str" cm="1">
        <f t="array" ref="K616">myRGB(H616,I616,J616)</f>
        <v/>
      </c>
    </row>
    <row r="617" spans="1:11" x14ac:dyDescent="0.2">
      <c r="A617">
        <v>908</v>
      </c>
      <c r="B617">
        <v>987</v>
      </c>
      <c r="C617">
        <v>6</v>
      </c>
      <c r="D617" t="s">
        <v>7863</v>
      </c>
      <c r="E617">
        <v>880</v>
      </c>
      <c r="F617" t="s">
        <v>6278</v>
      </c>
      <c r="G617" t="s">
        <v>6277</v>
      </c>
      <c r="H617">
        <v>254</v>
      </c>
      <c r="I617">
        <v>185</v>
      </c>
      <c r="J617">
        <v>133</v>
      </c>
      <c r="K617" s="704" t="str" cm="1">
        <f t="array" ref="K617">myRGB(H617,I617,J617)</f>
        <v/>
      </c>
    </row>
    <row r="618" spans="1:11" x14ac:dyDescent="0.2">
      <c r="A618">
        <v>910</v>
      </c>
      <c r="B618">
        <v>987</v>
      </c>
      <c r="C618">
        <v>6</v>
      </c>
      <c r="D618" t="s">
        <v>7864</v>
      </c>
      <c r="E618">
        <v>599626927</v>
      </c>
      <c r="F618" t="s">
        <v>6282</v>
      </c>
      <c r="G618" t="s">
        <v>6281</v>
      </c>
      <c r="H618">
        <v>255</v>
      </c>
      <c r="I618">
        <v>185</v>
      </c>
      <c r="J618">
        <v>132</v>
      </c>
      <c r="K618" s="809" t="str" cm="1">
        <f t="array" ref="K618">myRGB(H618,I618,J618)</f>
        <v/>
      </c>
    </row>
    <row r="619" spans="1:11" x14ac:dyDescent="0.2">
      <c r="A619">
        <v>911</v>
      </c>
      <c r="B619">
        <v>987</v>
      </c>
      <c r="C619">
        <v>6</v>
      </c>
      <c r="D619" t="s">
        <v>7865</v>
      </c>
      <c r="E619">
        <v>898</v>
      </c>
      <c r="F619" t="s">
        <v>6284</v>
      </c>
      <c r="G619" t="s">
        <v>6283</v>
      </c>
      <c r="H619">
        <v>255</v>
      </c>
      <c r="I619">
        <v>186</v>
      </c>
      <c r="J619">
        <v>132</v>
      </c>
      <c r="K619" s="645" t="str" cm="1">
        <f t="array" ref="K619">myRGB(H619,I619,J619)</f>
        <v/>
      </c>
    </row>
    <row r="620" spans="1:11" x14ac:dyDescent="0.2">
      <c r="A620">
        <v>912</v>
      </c>
      <c r="B620">
        <v>987</v>
      </c>
      <c r="C620">
        <v>6</v>
      </c>
      <c r="D620" t="s">
        <v>7866</v>
      </c>
      <c r="E620">
        <v>931</v>
      </c>
      <c r="F620" t="s">
        <v>6286</v>
      </c>
      <c r="G620" t="s">
        <v>6285</v>
      </c>
      <c r="H620">
        <v>255</v>
      </c>
      <c r="I620">
        <v>184</v>
      </c>
      <c r="J620">
        <v>133</v>
      </c>
      <c r="K620" s="598" t="str" cm="1">
        <f t="array" ref="K620">myRGB(H620,I620,J620)</f>
        <v/>
      </c>
    </row>
    <row r="621" spans="1:11" x14ac:dyDescent="0.2">
      <c r="A621">
        <v>913</v>
      </c>
      <c r="B621">
        <v>987</v>
      </c>
      <c r="C621">
        <v>6</v>
      </c>
      <c r="D621" t="s">
        <v>7867</v>
      </c>
      <c r="E621">
        <v>1093</v>
      </c>
      <c r="F621" t="s">
        <v>6288</v>
      </c>
      <c r="G621" t="s">
        <v>6287</v>
      </c>
      <c r="H621">
        <v>253</v>
      </c>
      <c r="I621">
        <v>186</v>
      </c>
      <c r="J621">
        <v>134</v>
      </c>
      <c r="K621" s="600" t="str" cm="1">
        <f t="array" ref="K621">myRGB(H621,I621,J621)</f>
        <v/>
      </c>
    </row>
    <row r="622" spans="1:11" x14ac:dyDescent="0.2">
      <c r="A622">
        <v>915</v>
      </c>
      <c r="B622">
        <v>987</v>
      </c>
      <c r="C622">
        <v>6</v>
      </c>
      <c r="D622" t="s">
        <v>7868</v>
      </c>
      <c r="E622">
        <v>318</v>
      </c>
      <c r="F622" t="s">
        <v>6292</v>
      </c>
      <c r="G622" t="s">
        <v>6291</v>
      </c>
      <c r="H622">
        <v>255</v>
      </c>
      <c r="I622">
        <v>185</v>
      </c>
      <c r="J622">
        <v>134</v>
      </c>
      <c r="K622" s="842" t="str" cm="1">
        <f t="array" ref="K622">myRGB(H622,I622,J622)</f>
        <v/>
      </c>
    </row>
    <row r="623" spans="1:11" x14ac:dyDescent="0.2">
      <c r="A623">
        <v>917</v>
      </c>
      <c r="B623">
        <v>987</v>
      </c>
      <c r="C623">
        <v>6</v>
      </c>
      <c r="D623" t="s">
        <v>7869</v>
      </c>
      <c r="E623">
        <v>534</v>
      </c>
      <c r="F623" t="s">
        <v>6296</v>
      </c>
      <c r="G623" t="s">
        <v>6295</v>
      </c>
      <c r="H623">
        <v>254</v>
      </c>
      <c r="I623">
        <v>186</v>
      </c>
      <c r="J623">
        <v>134</v>
      </c>
      <c r="K623" s="810" t="str" cm="1">
        <f t="array" ref="K623">myRGB(H623,I623,J623)</f>
        <v/>
      </c>
    </row>
    <row r="624" spans="1:11" x14ac:dyDescent="0.2">
      <c r="A624">
        <v>918</v>
      </c>
      <c r="B624">
        <v>987</v>
      </c>
      <c r="C624">
        <v>6</v>
      </c>
      <c r="D624" t="s">
        <v>7870</v>
      </c>
      <c r="E624">
        <v>574</v>
      </c>
      <c r="F624" t="s">
        <v>6298</v>
      </c>
      <c r="G624" t="s">
        <v>6297</v>
      </c>
      <c r="H624">
        <v>254</v>
      </c>
      <c r="I624">
        <v>186</v>
      </c>
      <c r="J624">
        <v>133</v>
      </c>
      <c r="K624" s="735" t="str" cm="1">
        <f t="array" ref="K624">myRGB(H624,I624,J624)</f>
        <v/>
      </c>
    </row>
    <row r="625" spans="1:11" x14ac:dyDescent="0.2">
      <c r="A625">
        <v>919</v>
      </c>
      <c r="B625">
        <v>987</v>
      </c>
      <c r="C625">
        <v>6</v>
      </c>
      <c r="D625" t="s">
        <v>7871</v>
      </c>
      <c r="E625">
        <v>621</v>
      </c>
      <c r="F625" t="s">
        <v>6300</v>
      </c>
      <c r="G625" t="s">
        <v>6299</v>
      </c>
      <c r="H625">
        <v>254</v>
      </c>
      <c r="I625">
        <v>185</v>
      </c>
      <c r="J625">
        <v>134</v>
      </c>
      <c r="K625" s="765" t="str" cm="1">
        <f t="array" ref="K625">myRGB(H625,I625,J625)</f>
        <v/>
      </c>
    </row>
    <row r="626" spans="1:11" x14ac:dyDescent="0.2">
      <c r="A626">
        <v>920</v>
      </c>
      <c r="B626">
        <v>987</v>
      </c>
      <c r="C626">
        <v>6</v>
      </c>
      <c r="D626" t="s">
        <v>7872</v>
      </c>
      <c r="E626">
        <v>549009215</v>
      </c>
      <c r="F626" t="s">
        <v>6302</v>
      </c>
      <c r="G626" t="s">
        <v>6301</v>
      </c>
      <c r="H626">
        <v>254</v>
      </c>
      <c r="I626">
        <v>184</v>
      </c>
      <c r="J626">
        <v>134</v>
      </c>
      <c r="K626" s="705" t="str" cm="1">
        <f t="array" ref="K626">myRGB(H626,I626,J626)</f>
        <v/>
      </c>
    </row>
    <row r="627" spans="1:11" x14ac:dyDescent="0.2">
      <c r="A627">
        <v>921</v>
      </c>
      <c r="B627">
        <v>987</v>
      </c>
      <c r="C627">
        <v>6</v>
      </c>
      <c r="D627" t="s">
        <v>7873</v>
      </c>
      <c r="E627">
        <v>549009219</v>
      </c>
      <c r="F627" t="s">
        <v>6304</v>
      </c>
      <c r="G627" t="s">
        <v>6303</v>
      </c>
      <c r="H627">
        <v>253</v>
      </c>
      <c r="I627">
        <v>186</v>
      </c>
      <c r="J627">
        <v>133</v>
      </c>
      <c r="K627" s="628" t="str" cm="1">
        <f t="array" ref="K627">myRGB(H627,I627,J627)</f>
        <v/>
      </c>
    </row>
    <row r="628" spans="1:11" x14ac:dyDescent="0.2">
      <c r="A628">
        <v>922</v>
      </c>
      <c r="B628">
        <v>987</v>
      </c>
      <c r="C628">
        <v>6</v>
      </c>
      <c r="D628" t="s">
        <v>7874</v>
      </c>
      <c r="E628">
        <v>549009223</v>
      </c>
      <c r="F628" t="s">
        <v>6306</v>
      </c>
      <c r="G628" t="s">
        <v>6305</v>
      </c>
      <c r="H628">
        <v>253</v>
      </c>
      <c r="I628">
        <v>185</v>
      </c>
      <c r="J628">
        <v>134</v>
      </c>
      <c r="K628" s="646" t="str" cm="1">
        <f t="array" ref="K628">myRGB(H628,I628,J628)</f>
        <v/>
      </c>
    </row>
    <row r="629" spans="1:11" x14ac:dyDescent="0.2">
      <c r="A629">
        <v>923</v>
      </c>
      <c r="B629">
        <v>987</v>
      </c>
      <c r="C629">
        <v>6</v>
      </c>
      <c r="D629" t="s">
        <v>7875</v>
      </c>
      <c r="E629">
        <v>549009227</v>
      </c>
      <c r="F629" t="s">
        <v>6308</v>
      </c>
      <c r="G629" t="s">
        <v>6307</v>
      </c>
      <c r="H629">
        <v>254</v>
      </c>
      <c r="I629">
        <v>185</v>
      </c>
      <c r="J629">
        <v>132</v>
      </c>
      <c r="K629" s="599" t="str" cm="1">
        <f t="array" ref="K629">myRGB(H629,I629,J629)</f>
        <v/>
      </c>
    </row>
    <row r="630" spans="1:11" x14ac:dyDescent="0.2">
      <c r="A630">
        <v>924</v>
      </c>
      <c r="B630">
        <v>771</v>
      </c>
      <c r="C630">
        <v>5</v>
      </c>
      <c r="D630" t="s">
        <v>7876</v>
      </c>
      <c r="E630">
        <v>1117</v>
      </c>
      <c r="F630" t="s">
        <v>6310</v>
      </c>
      <c r="G630" t="s">
        <v>6309</v>
      </c>
      <c r="H630">
        <v>255</v>
      </c>
      <c r="I630">
        <v>193</v>
      </c>
      <c r="J630">
        <v>149</v>
      </c>
      <c r="K630" s="602" t="str" cm="1">
        <f t="array" ref="K630">myRGB(H630,I630,J630)</f>
        <v/>
      </c>
    </row>
    <row r="631" spans="1:11" x14ac:dyDescent="0.2">
      <c r="A631">
        <v>925</v>
      </c>
      <c r="B631">
        <v>1117</v>
      </c>
      <c r="C631">
        <v>6</v>
      </c>
      <c r="D631" t="s">
        <v>7877</v>
      </c>
      <c r="E631">
        <v>679</v>
      </c>
      <c r="F631" t="s">
        <v>6312</v>
      </c>
      <c r="G631" t="s">
        <v>6311</v>
      </c>
      <c r="H631">
        <v>255</v>
      </c>
      <c r="I631">
        <v>195</v>
      </c>
      <c r="J631">
        <v>147</v>
      </c>
      <c r="K631" s="736" t="str" cm="1">
        <f t="array" ref="K631">myRGB(H631,I631,J631)</f>
        <v/>
      </c>
    </row>
    <row r="632" spans="1:11" x14ac:dyDescent="0.2">
      <c r="A632">
        <v>928</v>
      </c>
      <c r="B632">
        <v>1117</v>
      </c>
      <c r="C632">
        <v>6</v>
      </c>
      <c r="D632" t="s">
        <v>7878</v>
      </c>
      <c r="E632">
        <v>147</v>
      </c>
      <c r="F632" t="s">
        <v>6318</v>
      </c>
      <c r="G632" t="s">
        <v>6317</v>
      </c>
      <c r="H632">
        <v>253</v>
      </c>
      <c r="I632">
        <v>195</v>
      </c>
      <c r="J632">
        <v>149</v>
      </c>
      <c r="K632" s="796" t="str" cm="1">
        <f t="array" ref="K632">myRGB(H632,I632,J632)</f>
        <v/>
      </c>
    </row>
    <row r="633" spans="1:11" x14ac:dyDescent="0.2">
      <c r="A633">
        <v>929</v>
      </c>
      <c r="B633">
        <v>1117</v>
      </c>
      <c r="C633">
        <v>6</v>
      </c>
      <c r="D633" t="s">
        <v>7879</v>
      </c>
      <c r="E633">
        <v>162</v>
      </c>
      <c r="F633" t="s">
        <v>6320</v>
      </c>
      <c r="G633" t="s">
        <v>6319</v>
      </c>
      <c r="H633">
        <v>254</v>
      </c>
      <c r="I633">
        <v>195</v>
      </c>
      <c r="J633">
        <v>149</v>
      </c>
      <c r="K633" s="768" t="str" cm="1">
        <f t="array" ref="K633">myRGB(H633,I633,J633)</f>
        <v/>
      </c>
    </row>
    <row r="634" spans="1:11" x14ac:dyDescent="0.2">
      <c r="A634">
        <v>930</v>
      </c>
      <c r="B634">
        <v>1117</v>
      </c>
      <c r="C634">
        <v>6</v>
      </c>
      <c r="D634" t="s">
        <v>7880</v>
      </c>
      <c r="E634">
        <v>604</v>
      </c>
      <c r="F634" t="s">
        <v>6322</v>
      </c>
      <c r="G634" t="s">
        <v>6321</v>
      </c>
      <c r="H634">
        <v>254</v>
      </c>
      <c r="I634">
        <v>194</v>
      </c>
      <c r="J634">
        <v>148</v>
      </c>
      <c r="K634" s="535" t="str" cm="1">
        <f t="array" ref="K634">myRGB(H634,I634,J634)</f>
        <v/>
      </c>
    </row>
    <row r="635" spans="1:11" x14ac:dyDescent="0.2">
      <c r="A635">
        <v>931</v>
      </c>
      <c r="B635">
        <v>1117</v>
      </c>
      <c r="C635">
        <v>6</v>
      </c>
      <c r="D635" t="s">
        <v>7881</v>
      </c>
      <c r="E635">
        <v>146</v>
      </c>
      <c r="F635" t="s">
        <v>6324</v>
      </c>
      <c r="G635" t="s">
        <v>6323</v>
      </c>
      <c r="H635">
        <v>255</v>
      </c>
      <c r="I635">
        <v>194</v>
      </c>
      <c r="J635">
        <v>149</v>
      </c>
      <c r="K635" s="536" t="str" cm="1">
        <f t="array" ref="K635">myRGB(H635,I635,J635)</f>
        <v/>
      </c>
    </row>
    <row r="636" spans="1:11" x14ac:dyDescent="0.2">
      <c r="A636">
        <v>932</v>
      </c>
      <c r="B636">
        <v>1117</v>
      </c>
      <c r="C636">
        <v>6</v>
      </c>
      <c r="D636" t="s">
        <v>7882</v>
      </c>
      <c r="E636">
        <v>238</v>
      </c>
      <c r="F636" t="s">
        <v>6326</v>
      </c>
      <c r="G636" t="s">
        <v>6325</v>
      </c>
      <c r="H636">
        <v>255</v>
      </c>
      <c r="I636">
        <v>194</v>
      </c>
      <c r="J636">
        <v>148</v>
      </c>
      <c r="K636" s="707" t="str" cm="1">
        <f t="array" ref="K636">myRGB(H636,I636,J636)</f>
        <v/>
      </c>
    </row>
    <row r="637" spans="1:11" x14ac:dyDescent="0.2">
      <c r="A637">
        <v>933</v>
      </c>
      <c r="B637">
        <v>1117</v>
      </c>
      <c r="C637">
        <v>6</v>
      </c>
      <c r="D637" t="s">
        <v>7883</v>
      </c>
      <c r="E637">
        <v>350</v>
      </c>
      <c r="F637" t="s">
        <v>6328</v>
      </c>
      <c r="G637" t="s">
        <v>6327</v>
      </c>
      <c r="H637">
        <v>254</v>
      </c>
      <c r="I637">
        <v>195</v>
      </c>
      <c r="J637">
        <v>148</v>
      </c>
      <c r="K637" s="629" t="str" cm="1">
        <f t="array" ref="K637">myRGB(H637,I637,J637)</f>
        <v/>
      </c>
    </row>
    <row r="638" spans="1:11" x14ac:dyDescent="0.2">
      <c r="A638">
        <v>934</v>
      </c>
      <c r="B638">
        <v>1117</v>
      </c>
      <c r="C638">
        <v>6</v>
      </c>
      <c r="D638" t="s">
        <v>7884</v>
      </c>
      <c r="E638">
        <v>358</v>
      </c>
      <c r="F638" t="s">
        <v>6330</v>
      </c>
      <c r="G638" t="s">
        <v>6329</v>
      </c>
      <c r="H638">
        <v>254</v>
      </c>
      <c r="I638">
        <v>194</v>
      </c>
      <c r="J638">
        <v>149</v>
      </c>
      <c r="K638" s="648" t="str" cm="1">
        <f t="array" ref="K638">myRGB(H638,I638,J638)</f>
        <v/>
      </c>
    </row>
    <row r="639" spans="1:11" x14ac:dyDescent="0.2">
      <c r="A639">
        <v>935</v>
      </c>
      <c r="B639">
        <v>1065</v>
      </c>
      <c r="C639">
        <v>4</v>
      </c>
      <c r="D639" t="s">
        <v>7885</v>
      </c>
      <c r="E639">
        <v>354</v>
      </c>
      <c r="F639" t="s">
        <v>6332</v>
      </c>
      <c r="G639" t="s">
        <v>6331</v>
      </c>
      <c r="H639">
        <v>255</v>
      </c>
      <c r="I639">
        <v>155</v>
      </c>
      <c r="J639">
        <v>205</v>
      </c>
      <c r="K639" s="543" t="str" cm="1">
        <f t="array" ref="K639">myRGB(H639,I639,J639)</f>
        <v/>
      </c>
    </row>
    <row r="640" spans="1:11" x14ac:dyDescent="0.2">
      <c r="A640">
        <v>936</v>
      </c>
      <c r="B640">
        <v>354</v>
      </c>
      <c r="C640">
        <v>5</v>
      </c>
      <c r="D640" t="s">
        <v>7886</v>
      </c>
      <c r="E640">
        <v>386</v>
      </c>
      <c r="F640" t="s">
        <v>6334</v>
      </c>
      <c r="G640" t="s">
        <v>6333</v>
      </c>
      <c r="H640">
        <v>255</v>
      </c>
      <c r="I640">
        <v>163</v>
      </c>
      <c r="J640">
        <v>210</v>
      </c>
      <c r="K640" s="538" t="str" cm="1">
        <f t="array" ref="K640">myRGB(H640,I640,J640)</f>
        <v/>
      </c>
    </row>
    <row r="641" spans="1:11" x14ac:dyDescent="0.2">
      <c r="A641">
        <v>937</v>
      </c>
      <c r="B641">
        <v>386</v>
      </c>
      <c r="C641">
        <v>6</v>
      </c>
      <c r="D641" t="s">
        <v>7887</v>
      </c>
      <c r="E641">
        <v>207</v>
      </c>
      <c r="F641" t="s">
        <v>6336</v>
      </c>
      <c r="G641" t="s">
        <v>6335</v>
      </c>
      <c r="H641">
        <v>255</v>
      </c>
      <c r="I641">
        <v>165</v>
      </c>
      <c r="J641">
        <v>208</v>
      </c>
      <c r="K641" s="814" t="str" cm="1">
        <f t="array" ref="K641">myRGB(H641,I641,J641)</f>
        <v/>
      </c>
    </row>
    <row r="642" spans="1:11" x14ac:dyDescent="0.2">
      <c r="A642">
        <v>938</v>
      </c>
      <c r="B642">
        <v>386</v>
      </c>
      <c r="C642">
        <v>6</v>
      </c>
      <c r="D642" t="s">
        <v>7888</v>
      </c>
      <c r="E642">
        <v>607</v>
      </c>
      <c r="F642" t="s">
        <v>6338</v>
      </c>
      <c r="G642" t="s">
        <v>6337</v>
      </c>
      <c r="H642">
        <v>254</v>
      </c>
      <c r="I642">
        <v>165</v>
      </c>
      <c r="J642">
        <v>208</v>
      </c>
      <c r="K642" s="843" t="str" cm="1">
        <f t="array" ref="K642">myRGB(H642,I642,J642)</f>
        <v/>
      </c>
    </row>
    <row r="643" spans="1:11" x14ac:dyDescent="0.2">
      <c r="A643">
        <v>941</v>
      </c>
      <c r="B643">
        <v>607</v>
      </c>
      <c r="C643">
        <v>7</v>
      </c>
      <c r="D643" t="s">
        <v>7889</v>
      </c>
      <c r="E643">
        <v>96</v>
      </c>
      <c r="F643" t="s">
        <v>6344</v>
      </c>
      <c r="G643" t="s">
        <v>6343</v>
      </c>
      <c r="H643">
        <v>254</v>
      </c>
      <c r="I643">
        <v>165</v>
      </c>
      <c r="J643">
        <v>209</v>
      </c>
      <c r="K643" s="709" t="str" cm="1">
        <f t="array" ref="K643">myRGB(H643,I643,J643)</f>
        <v/>
      </c>
    </row>
    <row r="644" spans="1:11" x14ac:dyDescent="0.2">
      <c r="A644">
        <v>942</v>
      </c>
      <c r="B644">
        <v>607</v>
      </c>
      <c r="C644">
        <v>7</v>
      </c>
      <c r="D644" t="s">
        <v>7890</v>
      </c>
      <c r="E644">
        <v>101</v>
      </c>
      <c r="F644" t="s">
        <v>6346</v>
      </c>
      <c r="G644" t="s">
        <v>6345</v>
      </c>
      <c r="H644">
        <v>254</v>
      </c>
      <c r="I644">
        <v>164</v>
      </c>
      <c r="J644">
        <v>210</v>
      </c>
      <c r="K644" s="770" t="str" cm="1">
        <f t="array" ref="K644">myRGB(H644,I644,J644)</f>
        <v/>
      </c>
    </row>
    <row r="645" spans="1:11" x14ac:dyDescent="0.2">
      <c r="A645">
        <v>943</v>
      </c>
      <c r="B645">
        <v>386</v>
      </c>
      <c r="C645">
        <v>6</v>
      </c>
      <c r="D645" t="s">
        <v>7891</v>
      </c>
      <c r="E645">
        <v>720</v>
      </c>
      <c r="F645" t="s">
        <v>6348</v>
      </c>
      <c r="G645" t="s">
        <v>6347</v>
      </c>
      <c r="H645">
        <v>253</v>
      </c>
      <c r="I645">
        <v>163</v>
      </c>
      <c r="J645">
        <v>210</v>
      </c>
      <c r="K645" s="737" t="str" cm="1">
        <f t="array" ref="K645">myRGB(H645,I645,J645)</f>
        <v/>
      </c>
    </row>
    <row r="646" spans="1:11" x14ac:dyDescent="0.2">
      <c r="A646">
        <v>944</v>
      </c>
      <c r="B646">
        <v>720</v>
      </c>
      <c r="C646">
        <v>7</v>
      </c>
      <c r="D646" t="s">
        <v>7892</v>
      </c>
      <c r="E646">
        <v>711</v>
      </c>
      <c r="F646" t="s">
        <v>6350</v>
      </c>
      <c r="G646" t="s">
        <v>6349</v>
      </c>
      <c r="H646">
        <v>253</v>
      </c>
      <c r="I646">
        <v>165</v>
      </c>
      <c r="J646">
        <v>208</v>
      </c>
      <c r="K646" s="769" t="str" cm="1">
        <f t="array" ref="K646">myRGB(H646,I646,J646)</f>
        <v/>
      </c>
    </row>
    <row r="647" spans="1:11" x14ac:dyDescent="0.2">
      <c r="A647">
        <v>945</v>
      </c>
      <c r="B647">
        <v>720</v>
      </c>
      <c r="C647">
        <v>7</v>
      </c>
      <c r="D647" t="s">
        <v>7893</v>
      </c>
      <c r="E647">
        <v>1039</v>
      </c>
      <c r="F647" t="s">
        <v>6352</v>
      </c>
      <c r="G647" t="s">
        <v>6351</v>
      </c>
      <c r="H647">
        <v>254</v>
      </c>
      <c r="I647">
        <v>163</v>
      </c>
      <c r="J647">
        <v>208</v>
      </c>
      <c r="K647" s="813" t="str" cm="1">
        <f t="array" ref="K647">myRGB(H647,I647,J647)</f>
        <v/>
      </c>
    </row>
    <row r="648" spans="1:11" x14ac:dyDescent="0.2">
      <c r="A648">
        <v>946</v>
      </c>
      <c r="B648">
        <v>386</v>
      </c>
      <c r="C648">
        <v>6</v>
      </c>
      <c r="D648" t="s">
        <v>7894</v>
      </c>
      <c r="E648">
        <v>903</v>
      </c>
      <c r="F648" t="s">
        <v>6354</v>
      </c>
      <c r="G648" t="s">
        <v>6353</v>
      </c>
      <c r="H648">
        <v>255</v>
      </c>
      <c r="I648">
        <v>162</v>
      </c>
      <c r="J648">
        <v>210</v>
      </c>
      <c r="K648" s="708" t="str" cm="1">
        <f t="array" ref="K648">myRGB(H648,I648,J648)</f>
        <v/>
      </c>
    </row>
    <row r="649" spans="1:11" x14ac:dyDescent="0.2">
      <c r="A649">
        <v>947</v>
      </c>
      <c r="B649">
        <v>386</v>
      </c>
      <c r="C649">
        <v>6</v>
      </c>
      <c r="D649" t="s">
        <v>7895</v>
      </c>
      <c r="E649">
        <v>642</v>
      </c>
      <c r="F649" t="s">
        <v>6356</v>
      </c>
      <c r="G649" t="s">
        <v>6355</v>
      </c>
      <c r="H649">
        <v>254</v>
      </c>
      <c r="I649">
        <v>163</v>
      </c>
      <c r="J649">
        <v>210</v>
      </c>
      <c r="K649" s="650" t="str" cm="1">
        <f t="array" ref="K649">myRGB(H649,I649,J649)</f>
        <v/>
      </c>
    </row>
    <row r="650" spans="1:11" x14ac:dyDescent="0.2">
      <c r="A650">
        <v>948</v>
      </c>
      <c r="B650">
        <v>386</v>
      </c>
      <c r="C650">
        <v>6</v>
      </c>
      <c r="D650" t="s">
        <v>7896</v>
      </c>
      <c r="E650">
        <v>651</v>
      </c>
      <c r="F650" t="s">
        <v>6358</v>
      </c>
      <c r="G650" t="s">
        <v>6357</v>
      </c>
      <c r="H650">
        <v>253</v>
      </c>
      <c r="I650">
        <v>165</v>
      </c>
      <c r="J650">
        <v>209</v>
      </c>
      <c r="K650" s="603" t="str" cm="1">
        <f t="array" ref="K650">myRGB(H650,I650,J650)</f>
        <v/>
      </c>
    </row>
    <row r="651" spans="1:11" x14ac:dyDescent="0.2">
      <c r="A651">
        <v>954</v>
      </c>
      <c r="B651">
        <v>386</v>
      </c>
      <c r="C651">
        <v>6</v>
      </c>
      <c r="D651" t="s">
        <v>7897</v>
      </c>
      <c r="E651">
        <v>429</v>
      </c>
      <c r="F651" t="s">
        <v>6370</v>
      </c>
      <c r="G651" t="s">
        <v>6369</v>
      </c>
      <c r="H651">
        <v>253</v>
      </c>
      <c r="I651">
        <v>164</v>
      </c>
      <c r="J651">
        <v>208</v>
      </c>
      <c r="K651" s="771" t="str" cm="1">
        <f t="array" ref="K651">myRGB(H651,I651,J651)</f>
        <v/>
      </c>
    </row>
    <row r="652" spans="1:11" x14ac:dyDescent="0.2">
      <c r="A652">
        <v>955</v>
      </c>
      <c r="B652">
        <v>386</v>
      </c>
      <c r="C652">
        <v>6</v>
      </c>
      <c r="D652" t="s">
        <v>7898</v>
      </c>
      <c r="E652">
        <v>437</v>
      </c>
      <c r="F652" t="s">
        <v>6372</v>
      </c>
      <c r="G652" t="s">
        <v>6371</v>
      </c>
      <c r="H652">
        <v>253</v>
      </c>
      <c r="I652">
        <v>165</v>
      </c>
      <c r="J652">
        <v>210</v>
      </c>
      <c r="K652" s="679" t="str" cm="1">
        <f t="array" ref="K652">myRGB(H652,I652,J652)</f>
        <v/>
      </c>
    </row>
    <row r="653" spans="1:11" x14ac:dyDescent="0.2">
      <c r="A653">
        <v>956</v>
      </c>
      <c r="B653">
        <v>386</v>
      </c>
      <c r="C653">
        <v>6</v>
      </c>
      <c r="D653" t="s">
        <v>7899</v>
      </c>
      <c r="E653">
        <v>445</v>
      </c>
      <c r="F653" t="s">
        <v>6374</v>
      </c>
      <c r="G653" t="s">
        <v>6373</v>
      </c>
      <c r="H653">
        <v>255</v>
      </c>
      <c r="I653">
        <v>164</v>
      </c>
      <c r="J653">
        <v>208</v>
      </c>
      <c r="K653" s="651" t="str" cm="1">
        <f t="array" ref="K653">myRGB(H653,I653,J653)</f>
        <v/>
      </c>
    </row>
    <row r="654" spans="1:11" x14ac:dyDescent="0.2">
      <c r="A654">
        <v>962</v>
      </c>
      <c r="B654">
        <v>386</v>
      </c>
      <c r="C654">
        <v>6</v>
      </c>
      <c r="D654" t="s">
        <v>7900</v>
      </c>
      <c r="E654">
        <v>589508451</v>
      </c>
      <c r="F654" t="s">
        <v>6386</v>
      </c>
      <c r="G654" t="s">
        <v>6385</v>
      </c>
      <c r="H654">
        <v>253</v>
      </c>
      <c r="I654">
        <v>163</v>
      </c>
      <c r="J654">
        <v>209</v>
      </c>
      <c r="K654" s="537" t="str" cm="1">
        <f t="array" ref="K654">myRGB(H654,I654,J654)</f>
        <v/>
      </c>
    </row>
    <row r="655" spans="1:11" x14ac:dyDescent="0.2">
      <c r="A655">
        <v>964</v>
      </c>
      <c r="B655">
        <v>354</v>
      </c>
      <c r="C655">
        <v>5</v>
      </c>
      <c r="D655" t="s">
        <v>7901</v>
      </c>
      <c r="E655">
        <v>370</v>
      </c>
      <c r="F655" t="s">
        <v>6390</v>
      </c>
      <c r="G655" t="s">
        <v>6389</v>
      </c>
      <c r="H655">
        <v>254</v>
      </c>
      <c r="I655">
        <v>178</v>
      </c>
      <c r="J655">
        <v>215</v>
      </c>
      <c r="K655" s="798" t="str" cm="1">
        <f t="array" ref="K655">myRGB(H655,I655,J655)</f>
        <v/>
      </c>
    </row>
    <row r="656" spans="1:11" x14ac:dyDescent="0.2">
      <c r="A656">
        <v>965</v>
      </c>
      <c r="B656">
        <v>370</v>
      </c>
      <c r="C656">
        <v>6</v>
      </c>
      <c r="D656" t="s">
        <v>7902</v>
      </c>
      <c r="E656">
        <v>653</v>
      </c>
      <c r="F656" t="s">
        <v>6392</v>
      </c>
      <c r="G656" t="s">
        <v>6391</v>
      </c>
      <c r="H656">
        <v>253</v>
      </c>
      <c r="I656">
        <v>177</v>
      </c>
      <c r="J656">
        <v>217</v>
      </c>
      <c r="K656" s="739" t="str" cm="1">
        <f t="array" ref="K656">myRGB(H656,I656,J656)</f>
        <v/>
      </c>
    </row>
    <row r="657" spans="1:11" x14ac:dyDescent="0.2">
      <c r="A657">
        <v>967</v>
      </c>
      <c r="B657">
        <v>370</v>
      </c>
      <c r="C657">
        <v>6</v>
      </c>
      <c r="D657" t="s">
        <v>7903</v>
      </c>
      <c r="E657">
        <v>661</v>
      </c>
      <c r="F657" t="s">
        <v>6396</v>
      </c>
      <c r="G657" t="s">
        <v>6395</v>
      </c>
      <c r="H657">
        <v>255</v>
      </c>
      <c r="I657">
        <v>179</v>
      </c>
      <c r="J657">
        <v>214</v>
      </c>
      <c r="K657" s="817" t="str" cm="1">
        <f t="array" ref="K657">myRGB(H657,I657,J657)</f>
        <v/>
      </c>
    </row>
    <row r="658" spans="1:11" x14ac:dyDescent="0.2">
      <c r="A658">
        <v>968</v>
      </c>
      <c r="B658">
        <v>370</v>
      </c>
      <c r="C658">
        <v>6</v>
      </c>
      <c r="D658" t="s">
        <v>7904</v>
      </c>
      <c r="E658">
        <v>576</v>
      </c>
      <c r="F658" t="s">
        <v>6398</v>
      </c>
      <c r="G658" t="s">
        <v>6397</v>
      </c>
      <c r="H658">
        <v>253</v>
      </c>
      <c r="I658">
        <v>176</v>
      </c>
      <c r="J658">
        <v>217</v>
      </c>
      <c r="K658" s="607" t="str" cm="1">
        <f t="array" ref="K658">myRGB(H658,I658,J658)</f>
        <v/>
      </c>
    </row>
    <row r="659" spans="1:11" x14ac:dyDescent="0.2">
      <c r="A659">
        <v>970</v>
      </c>
      <c r="B659">
        <v>370</v>
      </c>
      <c r="C659">
        <v>6</v>
      </c>
      <c r="D659" t="s">
        <v>7905</v>
      </c>
      <c r="E659">
        <v>135</v>
      </c>
      <c r="F659" t="s">
        <v>6402</v>
      </c>
      <c r="G659" t="s">
        <v>6401</v>
      </c>
      <c r="H659">
        <v>254</v>
      </c>
      <c r="I659">
        <v>179</v>
      </c>
      <c r="J659">
        <v>217</v>
      </c>
      <c r="K659" s="609" t="str" cm="1">
        <f t="array" ref="K659">myRGB(H659,I659,J659)</f>
        <v/>
      </c>
    </row>
    <row r="660" spans="1:11" x14ac:dyDescent="0.2">
      <c r="A660">
        <v>971</v>
      </c>
      <c r="B660">
        <v>135</v>
      </c>
      <c r="C660">
        <v>7</v>
      </c>
      <c r="D660" t="s">
        <v>7906</v>
      </c>
      <c r="E660">
        <v>939</v>
      </c>
      <c r="F660" t="s">
        <v>6404</v>
      </c>
      <c r="G660" t="s">
        <v>6403</v>
      </c>
      <c r="H660">
        <v>254</v>
      </c>
      <c r="I660">
        <v>179</v>
      </c>
      <c r="J660">
        <v>214</v>
      </c>
      <c r="K660" s="819" t="str" cm="1">
        <f t="array" ref="K660">myRGB(H660,I660,J660)</f>
        <v/>
      </c>
    </row>
    <row r="661" spans="1:11" x14ac:dyDescent="0.2">
      <c r="A661">
        <v>972</v>
      </c>
      <c r="B661">
        <v>135</v>
      </c>
      <c r="C661">
        <v>7</v>
      </c>
      <c r="D661" t="s">
        <v>7907</v>
      </c>
      <c r="E661">
        <v>143</v>
      </c>
      <c r="F661" t="s">
        <v>6406</v>
      </c>
      <c r="G661" t="s">
        <v>6405</v>
      </c>
      <c r="H661">
        <v>254</v>
      </c>
      <c r="I661">
        <v>179</v>
      </c>
      <c r="J661">
        <v>216</v>
      </c>
      <c r="K661" s="845" t="str" cm="1">
        <f t="array" ref="K661">myRGB(H661,I661,J661)</f>
        <v/>
      </c>
    </row>
    <row r="662" spans="1:11" x14ac:dyDescent="0.2">
      <c r="A662">
        <v>973</v>
      </c>
      <c r="B662">
        <v>370</v>
      </c>
      <c r="C662">
        <v>6</v>
      </c>
      <c r="D662" t="s">
        <v>7908</v>
      </c>
      <c r="E662">
        <v>839</v>
      </c>
      <c r="F662" t="s">
        <v>6408</v>
      </c>
      <c r="G662" t="s">
        <v>6407</v>
      </c>
      <c r="H662">
        <v>253</v>
      </c>
      <c r="I662">
        <v>177</v>
      </c>
      <c r="J662">
        <v>216</v>
      </c>
      <c r="K662" s="797" t="str" cm="1">
        <f t="array" ref="K662">myRGB(H662,I662,J662)</f>
        <v/>
      </c>
    </row>
    <row r="663" spans="1:11" x14ac:dyDescent="0.2">
      <c r="A663">
        <v>975</v>
      </c>
      <c r="B663">
        <v>370</v>
      </c>
      <c r="C663">
        <v>6</v>
      </c>
      <c r="D663" t="s">
        <v>7909</v>
      </c>
      <c r="E663">
        <v>1048</v>
      </c>
      <c r="F663" t="s">
        <v>6412</v>
      </c>
      <c r="G663" t="s">
        <v>6411</v>
      </c>
      <c r="H663">
        <v>254</v>
      </c>
      <c r="I663">
        <v>176</v>
      </c>
      <c r="J663">
        <v>216</v>
      </c>
      <c r="K663" s="776" t="str" cm="1">
        <f t="array" ref="K663">myRGB(H663,I663,J663)</f>
        <v/>
      </c>
    </row>
    <row r="664" spans="1:11" x14ac:dyDescent="0.2">
      <c r="A664">
        <v>976</v>
      </c>
      <c r="B664">
        <v>370</v>
      </c>
      <c r="C664">
        <v>6</v>
      </c>
      <c r="D664" t="s">
        <v>7910</v>
      </c>
      <c r="E664">
        <v>372</v>
      </c>
      <c r="F664" t="s">
        <v>6414</v>
      </c>
      <c r="G664" t="s">
        <v>6413</v>
      </c>
      <c r="H664">
        <v>254</v>
      </c>
      <c r="I664">
        <v>177</v>
      </c>
      <c r="J664">
        <v>216</v>
      </c>
      <c r="K664" s="844" t="str" cm="1">
        <f t="array" ref="K664">myRGB(H664,I664,J664)</f>
        <v/>
      </c>
    </row>
    <row r="665" spans="1:11" x14ac:dyDescent="0.2">
      <c r="A665">
        <v>977</v>
      </c>
      <c r="B665">
        <v>370</v>
      </c>
      <c r="C665">
        <v>6</v>
      </c>
      <c r="D665" t="s">
        <v>7911</v>
      </c>
      <c r="E665">
        <v>83</v>
      </c>
      <c r="F665" t="s">
        <v>6416</v>
      </c>
      <c r="G665" t="s">
        <v>6415</v>
      </c>
      <c r="H665">
        <v>255</v>
      </c>
      <c r="I665">
        <v>179</v>
      </c>
      <c r="J665">
        <v>216</v>
      </c>
      <c r="K665" s="539" t="str" cm="1">
        <f t="array" ref="K665">myRGB(H665,I665,J665)</f>
        <v/>
      </c>
    </row>
    <row r="666" spans="1:11" x14ac:dyDescent="0.2">
      <c r="A666">
        <v>978</v>
      </c>
      <c r="B666">
        <v>370</v>
      </c>
      <c r="C666">
        <v>6</v>
      </c>
      <c r="D666" t="s">
        <v>7912</v>
      </c>
      <c r="E666">
        <v>136</v>
      </c>
      <c r="F666" t="s">
        <v>6418</v>
      </c>
      <c r="G666" t="s">
        <v>6417</v>
      </c>
      <c r="H666">
        <v>255</v>
      </c>
      <c r="I666">
        <v>178</v>
      </c>
      <c r="J666">
        <v>216</v>
      </c>
      <c r="K666" s="714" t="str" cm="1">
        <f t="array" ref="K666">myRGB(H666,I666,J666)</f>
        <v/>
      </c>
    </row>
    <row r="667" spans="1:11" x14ac:dyDescent="0.2">
      <c r="A667">
        <v>979</v>
      </c>
      <c r="B667">
        <v>370</v>
      </c>
      <c r="C667">
        <v>6</v>
      </c>
      <c r="D667" t="s">
        <v>7913</v>
      </c>
      <c r="E667">
        <v>106</v>
      </c>
      <c r="F667" t="s">
        <v>6420</v>
      </c>
      <c r="G667" t="s">
        <v>6419</v>
      </c>
      <c r="H667">
        <v>255</v>
      </c>
      <c r="I667">
        <v>178</v>
      </c>
      <c r="J667">
        <v>217</v>
      </c>
      <c r="K667" s="715" t="str" cm="1">
        <f t="array" ref="K667">myRGB(H667,I667,J667)</f>
        <v/>
      </c>
    </row>
    <row r="668" spans="1:11" x14ac:dyDescent="0.2">
      <c r="A668">
        <v>980</v>
      </c>
      <c r="B668">
        <v>370</v>
      </c>
      <c r="C668">
        <v>6</v>
      </c>
      <c r="D668" t="s">
        <v>7914</v>
      </c>
      <c r="E668">
        <v>203</v>
      </c>
      <c r="F668" t="s">
        <v>6422</v>
      </c>
      <c r="G668" t="s">
        <v>6421</v>
      </c>
      <c r="H668">
        <v>255</v>
      </c>
      <c r="I668">
        <v>177</v>
      </c>
      <c r="J668">
        <v>216</v>
      </c>
      <c r="K668" s="818" t="str" cm="1">
        <f t="array" ref="K668">myRGB(H668,I668,J668)</f>
        <v/>
      </c>
    </row>
    <row r="669" spans="1:11" x14ac:dyDescent="0.2">
      <c r="A669">
        <v>981</v>
      </c>
      <c r="B669">
        <v>370</v>
      </c>
      <c r="C669">
        <v>6</v>
      </c>
      <c r="D669" t="s">
        <v>7915</v>
      </c>
      <c r="E669">
        <v>235</v>
      </c>
      <c r="F669" t="s">
        <v>6424</v>
      </c>
      <c r="G669" t="s">
        <v>6423</v>
      </c>
      <c r="H669">
        <v>253</v>
      </c>
      <c r="I669">
        <v>179</v>
      </c>
      <c r="J669">
        <v>216</v>
      </c>
      <c r="K669" s="775" t="str" cm="1">
        <f t="array" ref="K669">myRGB(H669,I669,J669)</f>
        <v/>
      </c>
    </row>
    <row r="670" spans="1:11" x14ac:dyDescent="0.2">
      <c r="A670">
        <v>982</v>
      </c>
      <c r="B670">
        <v>235</v>
      </c>
      <c r="C670">
        <v>7</v>
      </c>
      <c r="D670" t="s">
        <v>7916</v>
      </c>
      <c r="E670">
        <v>955</v>
      </c>
      <c r="F670" t="s">
        <v>6426</v>
      </c>
      <c r="G670" t="s">
        <v>6425</v>
      </c>
      <c r="H670">
        <v>252</v>
      </c>
      <c r="I670">
        <v>179</v>
      </c>
      <c r="J670">
        <v>215</v>
      </c>
      <c r="K670" s="680" t="str" cm="1">
        <f t="array" ref="K670">myRGB(H670,I670,J670)</f>
        <v/>
      </c>
    </row>
    <row r="671" spans="1:11" x14ac:dyDescent="0.2">
      <c r="A671">
        <v>983</v>
      </c>
      <c r="B671">
        <v>235</v>
      </c>
      <c r="C671">
        <v>7</v>
      </c>
      <c r="D671" t="s">
        <v>7917</v>
      </c>
      <c r="E671">
        <v>963</v>
      </c>
      <c r="F671" t="s">
        <v>6428</v>
      </c>
      <c r="G671" t="s">
        <v>6427</v>
      </c>
      <c r="H671">
        <v>254</v>
      </c>
      <c r="I671">
        <v>176</v>
      </c>
      <c r="J671">
        <v>217</v>
      </c>
      <c r="K671" s="655" t="str" cm="1">
        <f t="array" ref="K671">myRGB(H671,I671,J671)</f>
        <v/>
      </c>
    </row>
    <row r="672" spans="1:11" x14ac:dyDescent="0.2">
      <c r="A672">
        <v>984</v>
      </c>
      <c r="B672">
        <v>370</v>
      </c>
      <c r="C672">
        <v>6</v>
      </c>
      <c r="D672" t="s">
        <v>7918</v>
      </c>
      <c r="E672">
        <v>307</v>
      </c>
      <c r="F672" t="s">
        <v>6430</v>
      </c>
      <c r="G672" t="s">
        <v>6429</v>
      </c>
      <c r="H672">
        <v>253</v>
      </c>
      <c r="I672">
        <v>178</v>
      </c>
      <c r="J672">
        <v>217</v>
      </c>
      <c r="K672" s="541" t="str" cm="1">
        <f t="array" ref="K672">myRGB(H672,I672,J672)</f>
        <v/>
      </c>
    </row>
    <row r="673" spans="1:11" x14ac:dyDescent="0.2">
      <c r="A673">
        <v>985</v>
      </c>
      <c r="B673">
        <v>370</v>
      </c>
      <c r="C673">
        <v>6</v>
      </c>
      <c r="D673" t="s">
        <v>7919</v>
      </c>
      <c r="E673">
        <v>395</v>
      </c>
      <c r="F673" t="s">
        <v>6432</v>
      </c>
      <c r="G673" t="s">
        <v>6431</v>
      </c>
      <c r="H673">
        <v>253</v>
      </c>
      <c r="I673">
        <v>178</v>
      </c>
      <c r="J673">
        <v>216</v>
      </c>
      <c r="K673" s="774" t="str" cm="1">
        <f t="array" ref="K673">myRGB(H673,I673,J673)</f>
        <v/>
      </c>
    </row>
    <row r="674" spans="1:11" x14ac:dyDescent="0.2">
      <c r="A674">
        <v>986</v>
      </c>
      <c r="B674">
        <v>395</v>
      </c>
      <c r="C674">
        <v>7</v>
      </c>
      <c r="D674" t="s">
        <v>7920</v>
      </c>
      <c r="E674">
        <v>1098</v>
      </c>
      <c r="F674" t="s">
        <v>6434</v>
      </c>
      <c r="G674" t="s">
        <v>6433</v>
      </c>
      <c r="H674">
        <v>253</v>
      </c>
      <c r="I674">
        <v>177</v>
      </c>
      <c r="J674">
        <v>215</v>
      </c>
      <c r="K674" s="713" t="str" cm="1">
        <f t="array" ref="K674">myRGB(H674,I674,J674)</f>
        <v/>
      </c>
    </row>
    <row r="675" spans="1:11" x14ac:dyDescent="0.2">
      <c r="A675">
        <v>987</v>
      </c>
      <c r="B675">
        <v>395</v>
      </c>
      <c r="C675">
        <v>7</v>
      </c>
      <c r="D675" t="s">
        <v>7921</v>
      </c>
      <c r="E675">
        <v>1107</v>
      </c>
      <c r="F675" t="s">
        <v>6436</v>
      </c>
      <c r="G675" t="s">
        <v>6435</v>
      </c>
      <c r="H675">
        <v>255</v>
      </c>
      <c r="I675">
        <v>177</v>
      </c>
      <c r="J675">
        <v>214</v>
      </c>
      <c r="K675" s="654" t="str" cm="1">
        <f t="array" ref="K675">myRGB(H675,I675,J675)</f>
        <v/>
      </c>
    </row>
    <row r="676" spans="1:11" x14ac:dyDescent="0.2">
      <c r="A676">
        <v>988</v>
      </c>
      <c r="B676">
        <v>370</v>
      </c>
      <c r="C676">
        <v>6</v>
      </c>
      <c r="D676" t="s">
        <v>7922</v>
      </c>
      <c r="E676">
        <v>852</v>
      </c>
      <c r="F676" t="s">
        <v>6438</v>
      </c>
      <c r="G676" t="s">
        <v>6437</v>
      </c>
      <c r="H676">
        <v>252</v>
      </c>
      <c r="I676">
        <v>179</v>
      </c>
      <c r="J676">
        <v>217</v>
      </c>
      <c r="K676" s="772" t="str" cm="1">
        <f t="array" ref="K676">myRGB(H676,I676,J676)</f>
        <v/>
      </c>
    </row>
    <row r="677" spans="1:11" x14ac:dyDescent="0.2">
      <c r="A677">
        <v>989</v>
      </c>
      <c r="B677">
        <v>370</v>
      </c>
      <c r="C677">
        <v>6</v>
      </c>
      <c r="D677" t="s">
        <v>7923</v>
      </c>
      <c r="E677">
        <v>859</v>
      </c>
      <c r="F677" t="s">
        <v>6440</v>
      </c>
      <c r="G677" t="s">
        <v>6439</v>
      </c>
      <c r="H677">
        <v>255</v>
      </c>
      <c r="I677">
        <v>178</v>
      </c>
      <c r="J677">
        <v>214</v>
      </c>
      <c r="K677" s="711" t="str" cm="1">
        <f t="array" ref="K677">myRGB(H677,I677,J677)</f>
        <v/>
      </c>
    </row>
    <row r="678" spans="1:11" x14ac:dyDescent="0.2">
      <c r="A678">
        <v>990</v>
      </c>
      <c r="B678">
        <v>370</v>
      </c>
      <c r="C678">
        <v>6</v>
      </c>
      <c r="D678" t="s">
        <v>7924</v>
      </c>
      <c r="E678">
        <v>938</v>
      </c>
      <c r="F678" t="s">
        <v>6442</v>
      </c>
      <c r="G678" t="s">
        <v>6441</v>
      </c>
      <c r="H678">
        <v>255</v>
      </c>
      <c r="I678">
        <v>176</v>
      </c>
      <c r="J678">
        <v>216</v>
      </c>
      <c r="K678" s="652" t="str" cm="1">
        <f t="array" ref="K678">myRGB(H678,I678,J678)</f>
        <v/>
      </c>
    </row>
    <row r="679" spans="1:11" x14ac:dyDescent="0.2">
      <c r="A679">
        <v>991</v>
      </c>
      <c r="B679">
        <v>938</v>
      </c>
      <c r="C679">
        <v>7</v>
      </c>
      <c r="D679" t="s">
        <v>7925</v>
      </c>
      <c r="E679">
        <v>970</v>
      </c>
      <c r="F679" t="s">
        <v>6444</v>
      </c>
      <c r="G679" t="s">
        <v>6443</v>
      </c>
      <c r="H679">
        <v>252</v>
      </c>
      <c r="I679">
        <v>179</v>
      </c>
      <c r="J679">
        <v>216</v>
      </c>
      <c r="K679" s="605" t="str" cm="1">
        <f t="array" ref="K679">myRGB(H679,I679,J679)</f>
        <v/>
      </c>
    </row>
    <row r="680" spans="1:11" x14ac:dyDescent="0.2">
      <c r="A680">
        <v>992</v>
      </c>
      <c r="B680">
        <v>938</v>
      </c>
      <c r="C680">
        <v>7</v>
      </c>
      <c r="D680" t="s">
        <v>7926</v>
      </c>
      <c r="E680">
        <v>978</v>
      </c>
      <c r="F680" t="s">
        <v>6446</v>
      </c>
      <c r="G680" t="s">
        <v>6445</v>
      </c>
      <c r="H680">
        <v>252</v>
      </c>
      <c r="I680">
        <v>178</v>
      </c>
      <c r="J680">
        <v>217</v>
      </c>
      <c r="K680" s="738" t="str" cm="1">
        <f t="array" ref="K680">myRGB(H680,I680,J680)</f>
        <v/>
      </c>
    </row>
    <row r="681" spans="1:11" x14ac:dyDescent="0.2">
      <c r="A681">
        <v>993</v>
      </c>
      <c r="B681">
        <v>370</v>
      </c>
      <c r="C681">
        <v>6</v>
      </c>
      <c r="D681" t="s">
        <v>7927</v>
      </c>
      <c r="E681">
        <v>154</v>
      </c>
      <c r="F681" t="s">
        <v>6448</v>
      </c>
      <c r="G681" t="s">
        <v>6447</v>
      </c>
      <c r="H681">
        <v>254</v>
      </c>
      <c r="I681">
        <v>178</v>
      </c>
      <c r="J681">
        <v>217</v>
      </c>
      <c r="K681" s="631" t="str" cm="1">
        <f t="array" ref="K681">myRGB(H681,I681,J681)</f>
        <v/>
      </c>
    </row>
    <row r="682" spans="1:11" x14ac:dyDescent="0.2">
      <c r="A682">
        <v>995</v>
      </c>
      <c r="B682">
        <v>154</v>
      </c>
      <c r="C682">
        <v>7</v>
      </c>
      <c r="D682" t="s">
        <v>7928</v>
      </c>
      <c r="E682">
        <v>177</v>
      </c>
      <c r="F682" t="s">
        <v>6452</v>
      </c>
      <c r="G682" t="s">
        <v>6451</v>
      </c>
      <c r="H682">
        <v>255</v>
      </c>
      <c r="I682">
        <v>177</v>
      </c>
      <c r="J682">
        <v>217</v>
      </c>
      <c r="K682" s="542" t="str" cm="1">
        <f t="array" ref="K682">myRGB(H682,I682,J682)</f>
        <v/>
      </c>
    </row>
    <row r="683" spans="1:11" x14ac:dyDescent="0.2">
      <c r="A683">
        <v>996</v>
      </c>
      <c r="B683">
        <v>154</v>
      </c>
      <c r="C683">
        <v>7</v>
      </c>
      <c r="D683" t="s">
        <v>7929</v>
      </c>
      <c r="E683">
        <v>169</v>
      </c>
      <c r="F683" t="s">
        <v>6454</v>
      </c>
      <c r="G683" t="s">
        <v>6453</v>
      </c>
      <c r="H683">
        <v>255</v>
      </c>
      <c r="I683">
        <v>179</v>
      </c>
      <c r="J683">
        <v>215</v>
      </c>
      <c r="K683" s="608" t="str" cm="1">
        <f t="array" ref="K683">myRGB(H683,I683,J683)</f>
        <v/>
      </c>
    </row>
    <row r="684" spans="1:11" x14ac:dyDescent="0.2">
      <c r="A684">
        <v>998</v>
      </c>
      <c r="B684">
        <v>370</v>
      </c>
      <c r="C684">
        <v>6</v>
      </c>
      <c r="D684" t="s">
        <v>7930</v>
      </c>
      <c r="E684">
        <v>1069</v>
      </c>
      <c r="F684" t="s">
        <v>6458</v>
      </c>
      <c r="G684" t="s">
        <v>6457</v>
      </c>
      <c r="H684">
        <v>252</v>
      </c>
      <c r="I684">
        <v>178</v>
      </c>
      <c r="J684">
        <v>216</v>
      </c>
      <c r="K684" s="656" t="str" cm="1">
        <f t="array" ref="K684">myRGB(H684,I684,J684)</f>
        <v/>
      </c>
    </row>
    <row r="685" spans="1:11" x14ac:dyDescent="0.2">
      <c r="A685">
        <v>1001</v>
      </c>
      <c r="B685">
        <v>370</v>
      </c>
      <c r="C685">
        <v>6</v>
      </c>
      <c r="D685" t="s">
        <v>7931</v>
      </c>
      <c r="E685">
        <v>701</v>
      </c>
      <c r="F685" t="s">
        <v>6464</v>
      </c>
      <c r="G685" t="s">
        <v>6463</v>
      </c>
      <c r="H685">
        <v>252</v>
      </c>
      <c r="I685">
        <v>177</v>
      </c>
      <c r="J685">
        <v>217</v>
      </c>
      <c r="K685" s="712" t="str" cm="1">
        <f t="array" ref="K685">myRGB(H685,I685,J685)</f>
        <v/>
      </c>
    </row>
    <row r="686" spans="1:11" x14ac:dyDescent="0.2">
      <c r="A686">
        <v>1002</v>
      </c>
      <c r="B686">
        <v>701</v>
      </c>
      <c r="C686">
        <v>7</v>
      </c>
      <c r="D686" t="s">
        <v>7932</v>
      </c>
      <c r="E686">
        <v>209</v>
      </c>
      <c r="F686" t="s">
        <v>6466</v>
      </c>
      <c r="G686" t="s">
        <v>6465</v>
      </c>
      <c r="H686">
        <v>254</v>
      </c>
      <c r="I686">
        <v>179</v>
      </c>
      <c r="J686">
        <v>215</v>
      </c>
      <c r="K686" s="606" t="str" cm="1">
        <f t="array" ref="K686">myRGB(H686,I686,J686)</f>
        <v/>
      </c>
    </row>
    <row r="687" spans="1:11" x14ac:dyDescent="0.2">
      <c r="A687">
        <v>1003</v>
      </c>
      <c r="B687">
        <v>701</v>
      </c>
      <c r="C687">
        <v>7</v>
      </c>
      <c r="D687" t="s">
        <v>7933</v>
      </c>
      <c r="E687">
        <v>202</v>
      </c>
      <c r="F687" t="s">
        <v>6468</v>
      </c>
      <c r="G687" t="s">
        <v>6467</v>
      </c>
      <c r="H687">
        <v>255</v>
      </c>
      <c r="I687">
        <v>176</v>
      </c>
      <c r="J687">
        <v>215</v>
      </c>
      <c r="K687" s="571" t="str" cm="1">
        <f t="array" ref="K687">myRGB(H687,I687,J687)</f>
        <v/>
      </c>
    </row>
    <row r="688" spans="1:11" x14ac:dyDescent="0.2">
      <c r="A688">
        <v>1004</v>
      </c>
      <c r="B688">
        <v>701</v>
      </c>
      <c r="C688">
        <v>7</v>
      </c>
      <c r="D688" t="s">
        <v>7934</v>
      </c>
      <c r="E688">
        <v>225</v>
      </c>
      <c r="F688" t="s">
        <v>6470</v>
      </c>
      <c r="G688" t="s">
        <v>6469</v>
      </c>
      <c r="H688">
        <v>254</v>
      </c>
      <c r="I688">
        <v>177</v>
      </c>
      <c r="J688">
        <v>217</v>
      </c>
      <c r="K688" s="816" t="str" cm="1">
        <f t="array" ref="K688">myRGB(H688,I688,J688)</f>
        <v/>
      </c>
    </row>
    <row r="689" spans="1:11" x14ac:dyDescent="0.2">
      <c r="A689">
        <v>1005</v>
      </c>
      <c r="B689">
        <v>701</v>
      </c>
      <c r="C689">
        <v>7</v>
      </c>
      <c r="D689" t="s">
        <v>7935</v>
      </c>
      <c r="E689">
        <v>217</v>
      </c>
      <c r="F689" t="s">
        <v>6472</v>
      </c>
      <c r="G689" t="s">
        <v>6471</v>
      </c>
      <c r="H689">
        <v>253</v>
      </c>
      <c r="I689">
        <v>179</v>
      </c>
      <c r="J689">
        <v>214</v>
      </c>
      <c r="K689" s="540" t="str" cm="1">
        <f t="array" ref="K689">myRGB(H689,I689,J689)</f>
        <v/>
      </c>
    </row>
    <row r="690" spans="1:11" x14ac:dyDescent="0.2">
      <c r="A690">
        <v>1006</v>
      </c>
      <c r="B690">
        <v>370</v>
      </c>
      <c r="C690">
        <v>6</v>
      </c>
      <c r="D690" t="s">
        <v>7936</v>
      </c>
      <c r="E690">
        <v>765</v>
      </c>
      <c r="F690" t="s">
        <v>6474</v>
      </c>
      <c r="G690" t="s">
        <v>6473</v>
      </c>
      <c r="H690">
        <v>255</v>
      </c>
      <c r="I690">
        <v>176</v>
      </c>
      <c r="J690">
        <v>217</v>
      </c>
      <c r="K690" s="773" t="str" cm="1">
        <f t="array" ref="K690">myRGB(H690,I690,J690)</f>
        <v/>
      </c>
    </row>
    <row r="691" spans="1:11" x14ac:dyDescent="0.2">
      <c r="A691">
        <v>1007</v>
      </c>
      <c r="B691">
        <v>370</v>
      </c>
      <c r="C691">
        <v>6</v>
      </c>
      <c r="D691" t="s">
        <v>7937</v>
      </c>
      <c r="E691">
        <v>773</v>
      </c>
      <c r="F691" t="s">
        <v>6476</v>
      </c>
      <c r="G691" t="s">
        <v>6475</v>
      </c>
      <c r="H691">
        <v>254</v>
      </c>
      <c r="I691">
        <v>177</v>
      </c>
      <c r="J691">
        <v>215</v>
      </c>
      <c r="K691" s="630" t="str" cm="1">
        <f t="array" ref="K691">myRGB(H691,I691,J691)</f>
        <v/>
      </c>
    </row>
    <row r="692" spans="1:11" x14ac:dyDescent="0.2">
      <c r="A692">
        <v>1008</v>
      </c>
      <c r="B692">
        <v>370</v>
      </c>
      <c r="C692">
        <v>6</v>
      </c>
      <c r="D692" t="s">
        <v>7938</v>
      </c>
      <c r="E692">
        <v>781</v>
      </c>
      <c r="F692" t="s">
        <v>6478</v>
      </c>
      <c r="G692" t="s">
        <v>6477</v>
      </c>
      <c r="H692">
        <v>253</v>
      </c>
      <c r="I692">
        <v>178</v>
      </c>
      <c r="J692">
        <v>215</v>
      </c>
      <c r="K692" s="653" t="str" cm="1">
        <f t="array" ref="K692">myRGB(H692,I692,J692)</f>
        <v/>
      </c>
    </row>
    <row r="693" spans="1:11" x14ac:dyDescent="0.2">
      <c r="A693">
        <v>1010</v>
      </c>
      <c r="B693">
        <v>354</v>
      </c>
      <c r="C693">
        <v>5</v>
      </c>
      <c r="D693" t="s">
        <v>7939</v>
      </c>
      <c r="E693">
        <v>379</v>
      </c>
      <c r="F693" t="s">
        <v>6482</v>
      </c>
      <c r="G693" t="s">
        <v>6481</v>
      </c>
      <c r="H693">
        <v>255</v>
      </c>
      <c r="I693">
        <v>198</v>
      </c>
      <c r="J693">
        <v>225</v>
      </c>
      <c r="K693" s="815" t="str" cm="1">
        <f t="array" ref="K693">myRGB(H693,I693,J693)</f>
        <v/>
      </c>
    </row>
    <row r="694" spans="1:11" x14ac:dyDescent="0.2">
      <c r="A694">
        <v>1011</v>
      </c>
      <c r="B694">
        <v>379</v>
      </c>
      <c r="C694">
        <v>6</v>
      </c>
      <c r="D694" t="s">
        <v>7940</v>
      </c>
      <c r="E694">
        <v>206</v>
      </c>
      <c r="F694" t="s">
        <v>6484</v>
      </c>
      <c r="G694" t="s">
        <v>6483</v>
      </c>
      <c r="H694">
        <v>255</v>
      </c>
      <c r="I694">
        <v>197</v>
      </c>
      <c r="J694">
        <v>226</v>
      </c>
      <c r="K694" s="710" t="str" cm="1">
        <f t="array" ref="K694">myRGB(H694,I694,J694)</f>
        <v/>
      </c>
    </row>
    <row r="695" spans="1:11" x14ac:dyDescent="0.2">
      <c r="A695">
        <v>1012</v>
      </c>
      <c r="B695">
        <v>379</v>
      </c>
      <c r="C695">
        <v>6</v>
      </c>
      <c r="D695" t="s">
        <v>7941</v>
      </c>
      <c r="E695">
        <v>230</v>
      </c>
      <c r="F695" t="s">
        <v>6486</v>
      </c>
      <c r="G695" t="s">
        <v>6485</v>
      </c>
      <c r="H695">
        <v>255</v>
      </c>
      <c r="I695">
        <v>198</v>
      </c>
      <c r="J695">
        <v>226</v>
      </c>
      <c r="K695" s="604" t="str" cm="1">
        <f t="array" ref="K695">myRGB(H695,I695,J695)</f>
        <v/>
      </c>
    </row>
    <row r="696" spans="1:11" x14ac:dyDescent="0.2">
      <c r="A696">
        <v>1013</v>
      </c>
      <c r="B696">
        <v>379</v>
      </c>
      <c r="C696">
        <v>6</v>
      </c>
      <c r="D696" t="s">
        <v>7942</v>
      </c>
      <c r="E696">
        <v>222</v>
      </c>
      <c r="F696" t="s">
        <v>6488</v>
      </c>
      <c r="G696" t="s">
        <v>6487</v>
      </c>
      <c r="H696">
        <v>254</v>
      </c>
      <c r="I696">
        <v>198</v>
      </c>
      <c r="J696">
        <v>226</v>
      </c>
      <c r="K696" s="570" t="str" cm="1">
        <f t="array" ref="K696">myRGB(H696,I696,J696)</f>
        <v/>
      </c>
    </row>
    <row r="697" spans="1:11" x14ac:dyDescent="0.2">
      <c r="A697">
        <v>1014</v>
      </c>
      <c r="B697">
        <v>8</v>
      </c>
      <c r="C697">
        <v>2</v>
      </c>
      <c r="D697" t="s">
        <v>7943</v>
      </c>
      <c r="E697">
        <v>512</v>
      </c>
      <c r="F697" t="s">
        <v>6490</v>
      </c>
      <c r="G697" t="s">
        <v>6489</v>
      </c>
      <c r="H697">
        <v>240</v>
      </c>
      <c r="I697">
        <v>240</v>
      </c>
      <c r="J697">
        <v>128</v>
      </c>
      <c r="K697" s="444" t="str" cm="1">
        <f t="array" ref="K697">myRGB(H697,I697,J697)</f>
        <v/>
      </c>
    </row>
    <row r="698" spans="1:11" x14ac:dyDescent="0.2">
      <c r="A698">
        <v>1015</v>
      </c>
      <c r="B698">
        <v>512</v>
      </c>
      <c r="C698">
        <v>3</v>
      </c>
      <c r="D698" t="s">
        <v>7944</v>
      </c>
      <c r="E698">
        <v>528</v>
      </c>
      <c r="F698" t="s">
        <v>6492</v>
      </c>
      <c r="G698" t="s">
        <v>6491</v>
      </c>
      <c r="H698">
        <v>240</v>
      </c>
      <c r="I698">
        <v>239</v>
      </c>
      <c r="J698">
        <v>128</v>
      </c>
      <c r="K698" s="398" t="str" cm="1">
        <f t="array" ref="K698">myRGB(H698,I698,J698)</f>
        <v/>
      </c>
    </row>
    <row r="699" spans="1:11" x14ac:dyDescent="0.2">
      <c r="A699">
        <v>1016</v>
      </c>
      <c r="B699">
        <v>528</v>
      </c>
      <c r="C699">
        <v>4</v>
      </c>
      <c r="D699" t="s">
        <v>7945</v>
      </c>
      <c r="E699">
        <v>645</v>
      </c>
      <c r="F699" t="s">
        <v>6500</v>
      </c>
      <c r="G699" t="s">
        <v>6499</v>
      </c>
      <c r="H699">
        <v>255</v>
      </c>
      <c r="I699">
        <v>250</v>
      </c>
      <c r="J699">
        <v>145</v>
      </c>
      <c r="K699" s="443" t="str" cm="1">
        <f t="array" ref="K699">myRGB(H699,I699,J699)</f>
        <v/>
      </c>
    </row>
    <row r="700" spans="1:11" x14ac:dyDescent="0.2">
      <c r="A700">
        <v>1017</v>
      </c>
      <c r="B700">
        <v>645</v>
      </c>
      <c r="C700">
        <v>5</v>
      </c>
      <c r="D700" t="s">
        <v>7946</v>
      </c>
      <c r="E700">
        <v>912</v>
      </c>
      <c r="F700" t="s">
        <v>6502</v>
      </c>
      <c r="G700" t="s">
        <v>6501</v>
      </c>
      <c r="H700">
        <v>254</v>
      </c>
      <c r="I700">
        <v>250</v>
      </c>
      <c r="J700">
        <v>145</v>
      </c>
      <c r="K700" s="396" t="str" cm="1">
        <f t="array" ref="K700">myRGB(H700,I700,J700)</f>
        <v/>
      </c>
    </row>
    <row r="701" spans="1:11" x14ac:dyDescent="0.2">
      <c r="A701">
        <v>1021</v>
      </c>
      <c r="B701">
        <v>645</v>
      </c>
      <c r="C701">
        <v>5</v>
      </c>
      <c r="D701" t="s">
        <v>7947</v>
      </c>
      <c r="E701">
        <v>920</v>
      </c>
      <c r="F701" t="s">
        <v>6510</v>
      </c>
      <c r="G701" t="s">
        <v>6509</v>
      </c>
      <c r="H701">
        <v>253</v>
      </c>
      <c r="I701">
        <v>251</v>
      </c>
      <c r="J701">
        <v>145</v>
      </c>
      <c r="K701" s="308" t="str" cm="1">
        <f t="array" ref="K701">myRGB(H701,I701,J701)</f>
        <v/>
      </c>
    </row>
    <row r="702" spans="1:11" x14ac:dyDescent="0.2">
      <c r="A702">
        <v>1022</v>
      </c>
      <c r="B702">
        <v>920</v>
      </c>
      <c r="C702">
        <v>6</v>
      </c>
      <c r="D702" t="s">
        <v>7948</v>
      </c>
      <c r="E702">
        <v>976</v>
      </c>
      <c r="F702" t="s">
        <v>6512</v>
      </c>
      <c r="G702" t="s">
        <v>6511</v>
      </c>
      <c r="H702">
        <v>253</v>
      </c>
      <c r="I702">
        <v>250</v>
      </c>
      <c r="J702">
        <v>145</v>
      </c>
      <c r="K702" s="804" t="str" cm="1">
        <f t="array" ref="K702">myRGB(H702,I702,J702)</f>
        <v/>
      </c>
    </row>
    <row r="703" spans="1:11" x14ac:dyDescent="0.2">
      <c r="A703">
        <v>1026</v>
      </c>
      <c r="B703">
        <v>920</v>
      </c>
      <c r="C703">
        <v>6</v>
      </c>
      <c r="D703" t="s">
        <v>7949</v>
      </c>
      <c r="E703">
        <v>984</v>
      </c>
      <c r="F703" t="s">
        <v>6520</v>
      </c>
      <c r="G703" t="s">
        <v>6519</v>
      </c>
      <c r="H703">
        <v>255</v>
      </c>
      <c r="I703">
        <v>252</v>
      </c>
      <c r="J703">
        <v>142</v>
      </c>
      <c r="K703" s="496" t="str" cm="1">
        <f t="array" ref="K703">myRGB(H703,I703,J703)</f>
        <v/>
      </c>
    </row>
    <row r="704" spans="1:11" x14ac:dyDescent="0.2">
      <c r="A704">
        <v>1030</v>
      </c>
      <c r="B704">
        <v>645</v>
      </c>
      <c r="C704">
        <v>5</v>
      </c>
      <c r="D704" t="s">
        <v>7950</v>
      </c>
      <c r="E704">
        <v>928</v>
      </c>
      <c r="F704" t="s">
        <v>6528</v>
      </c>
      <c r="G704" t="s">
        <v>6527</v>
      </c>
      <c r="H704">
        <v>254</v>
      </c>
      <c r="I704">
        <v>251</v>
      </c>
      <c r="J704">
        <v>143</v>
      </c>
      <c r="K704" s="481" t="str" cm="1">
        <f t="array" ref="K704">myRGB(H704,I704,J704)</f>
        <v/>
      </c>
    </row>
    <row r="705" spans="1:11" x14ac:dyDescent="0.2">
      <c r="A705">
        <v>1039</v>
      </c>
      <c r="B705">
        <v>928</v>
      </c>
      <c r="C705">
        <v>6</v>
      </c>
      <c r="D705" t="s">
        <v>7951</v>
      </c>
      <c r="E705">
        <v>1091</v>
      </c>
      <c r="F705" t="s">
        <v>6546</v>
      </c>
      <c r="G705" t="s">
        <v>6545</v>
      </c>
      <c r="H705">
        <v>252</v>
      </c>
      <c r="I705">
        <v>251</v>
      </c>
      <c r="J705">
        <v>144</v>
      </c>
      <c r="K705" s="307" t="str" cm="1">
        <f t="array" ref="K705">myRGB(H705,I705,J705)</f>
        <v/>
      </c>
    </row>
    <row r="706" spans="1:11" x14ac:dyDescent="0.2">
      <c r="A706">
        <v>1043</v>
      </c>
      <c r="B706">
        <v>645</v>
      </c>
      <c r="C706">
        <v>5</v>
      </c>
      <c r="D706" t="s">
        <v>7952</v>
      </c>
      <c r="E706">
        <v>936</v>
      </c>
      <c r="F706" t="s">
        <v>6554</v>
      </c>
      <c r="G706" t="s">
        <v>6553</v>
      </c>
      <c r="H706">
        <v>254</v>
      </c>
      <c r="I706">
        <v>250</v>
      </c>
      <c r="J706">
        <v>144</v>
      </c>
      <c r="K706" s="395" t="str" cm="1">
        <f t="array" ref="K706">myRGB(H706,I706,J706)</f>
        <v/>
      </c>
    </row>
    <row r="707" spans="1:11" x14ac:dyDescent="0.2">
      <c r="A707">
        <v>1047</v>
      </c>
      <c r="B707">
        <v>645</v>
      </c>
      <c r="C707">
        <v>5</v>
      </c>
      <c r="D707" t="s">
        <v>7953</v>
      </c>
      <c r="E707">
        <v>944</v>
      </c>
      <c r="F707" t="s">
        <v>6562</v>
      </c>
      <c r="G707" t="s">
        <v>6561</v>
      </c>
      <c r="H707">
        <v>253</v>
      </c>
      <c r="I707">
        <v>251</v>
      </c>
      <c r="J707">
        <v>144</v>
      </c>
      <c r="K707" s="379" t="str" cm="1">
        <f t="array" ref="K707">myRGB(H707,I707,J707)</f>
        <v/>
      </c>
    </row>
    <row r="708" spans="1:11" x14ac:dyDescent="0.2">
      <c r="A708">
        <v>1051</v>
      </c>
      <c r="B708">
        <v>645</v>
      </c>
      <c r="C708">
        <v>5</v>
      </c>
      <c r="D708" t="s">
        <v>7954</v>
      </c>
      <c r="E708">
        <v>951</v>
      </c>
      <c r="F708" t="s">
        <v>6570</v>
      </c>
      <c r="G708" t="s">
        <v>6569</v>
      </c>
      <c r="H708">
        <v>251</v>
      </c>
      <c r="I708">
        <v>252</v>
      </c>
      <c r="J708">
        <v>145</v>
      </c>
      <c r="K708" s="746" t="str" cm="1">
        <f t="array" ref="K708">myRGB(H708,I708,J708)</f>
        <v/>
      </c>
    </row>
    <row r="709" spans="1:11" x14ac:dyDescent="0.2">
      <c r="A709">
        <v>1055</v>
      </c>
      <c r="B709">
        <v>645</v>
      </c>
      <c r="C709">
        <v>5</v>
      </c>
      <c r="D709" t="s">
        <v>7955</v>
      </c>
      <c r="E709">
        <v>957</v>
      </c>
      <c r="F709" t="s">
        <v>6578</v>
      </c>
      <c r="G709" t="s">
        <v>6577</v>
      </c>
      <c r="H709">
        <v>255</v>
      </c>
      <c r="I709">
        <v>250</v>
      </c>
      <c r="J709">
        <v>143</v>
      </c>
      <c r="K709" s="306" t="str" cm="1">
        <f t="array" ref="K709">myRGB(H709,I709,J709)</f>
        <v/>
      </c>
    </row>
    <row r="710" spans="1:11" x14ac:dyDescent="0.2">
      <c r="A710">
        <v>1059</v>
      </c>
      <c r="B710">
        <v>645</v>
      </c>
      <c r="C710">
        <v>5</v>
      </c>
      <c r="D710" t="s">
        <v>7956</v>
      </c>
      <c r="E710">
        <v>968</v>
      </c>
      <c r="F710" t="s">
        <v>6586</v>
      </c>
      <c r="G710" t="s">
        <v>6585</v>
      </c>
      <c r="H710">
        <v>253</v>
      </c>
      <c r="I710">
        <v>252</v>
      </c>
      <c r="J710">
        <v>143</v>
      </c>
      <c r="K710" s="480" t="str" cm="1">
        <f t="array" ref="K710">myRGB(H710,I710,J710)</f>
        <v/>
      </c>
    </row>
    <row r="711" spans="1:11" x14ac:dyDescent="0.2">
      <c r="A711">
        <v>1063</v>
      </c>
      <c r="B711">
        <v>528</v>
      </c>
      <c r="C711">
        <v>4</v>
      </c>
      <c r="D711" t="s">
        <v>7957</v>
      </c>
      <c r="E711">
        <v>1073</v>
      </c>
      <c r="F711" t="s">
        <v>6594</v>
      </c>
      <c r="G711" t="s">
        <v>6593</v>
      </c>
      <c r="H711">
        <v>254</v>
      </c>
      <c r="I711">
        <v>249</v>
      </c>
      <c r="J711">
        <v>144</v>
      </c>
      <c r="K711" s="623" t="str" cm="1">
        <f t="array" ref="K711">myRGB(H711,I711,J711)</f>
        <v/>
      </c>
    </row>
    <row r="712" spans="1:11" x14ac:dyDescent="0.2">
      <c r="A712">
        <v>1064</v>
      </c>
      <c r="B712">
        <v>1073</v>
      </c>
      <c r="C712">
        <v>5</v>
      </c>
      <c r="D712" t="s">
        <v>7958</v>
      </c>
      <c r="E712">
        <v>1007</v>
      </c>
      <c r="F712" t="s">
        <v>6596</v>
      </c>
      <c r="G712" t="s">
        <v>6595</v>
      </c>
      <c r="H712">
        <v>253</v>
      </c>
      <c r="I712">
        <v>251</v>
      </c>
      <c r="J712">
        <v>143</v>
      </c>
      <c r="K712" s="640" t="str" cm="1">
        <f t="array" ref="K712">myRGB(H712,I712,J712)</f>
        <v/>
      </c>
    </row>
    <row r="713" spans="1:11" x14ac:dyDescent="0.2">
      <c r="A713">
        <v>1068</v>
      </c>
      <c r="B713">
        <v>1073</v>
      </c>
      <c r="C713">
        <v>5</v>
      </c>
      <c r="D713" t="s">
        <v>7959</v>
      </c>
      <c r="E713">
        <v>1017</v>
      </c>
      <c r="F713" t="s">
        <v>6604</v>
      </c>
      <c r="G713" t="s">
        <v>6603</v>
      </c>
      <c r="H713">
        <v>252</v>
      </c>
      <c r="I713">
        <v>252</v>
      </c>
      <c r="J713">
        <v>145</v>
      </c>
      <c r="K713" s="498" t="str" cm="1">
        <f t="array" ref="K713">myRGB(H713,I713,J713)</f>
        <v/>
      </c>
    </row>
    <row r="714" spans="1:11" x14ac:dyDescent="0.2">
      <c r="A714">
        <v>1069</v>
      </c>
      <c r="B714">
        <v>1017</v>
      </c>
      <c r="C714">
        <v>6</v>
      </c>
      <c r="D714" t="s">
        <v>7960</v>
      </c>
      <c r="E714">
        <v>1056</v>
      </c>
      <c r="F714" t="s">
        <v>6606</v>
      </c>
      <c r="G714" t="s">
        <v>6605</v>
      </c>
      <c r="H714">
        <v>252</v>
      </c>
      <c r="I714">
        <v>252</v>
      </c>
      <c r="J714">
        <v>144</v>
      </c>
      <c r="K714" s="460" t="str" cm="1">
        <f t="array" ref="K714">myRGB(H714,I714,J714)</f>
        <v/>
      </c>
    </row>
    <row r="715" spans="1:11" x14ac:dyDescent="0.2">
      <c r="A715">
        <v>1073</v>
      </c>
      <c r="B715">
        <v>1017</v>
      </c>
      <c r="C715">
        <v>6</v>
      </c>
      <c r="D715" t="s">
        <v>7961</v>
      </c>
      <c r="E715">
        <v>1064</v>
      </c>
      <c r="F715" t="s">
        <v>6614</v>
      </c>
      <c r="G715" t="s">
        <v>6613</v>
      </c>
      <c r="H715">
        <v>252</v>
      </c>
      <c r="I715">
        <v>250</v>
      </c>
      <c r="J715">
        <v>145</v>
      </c>
      <c r="K715" s="397" t="str" cm="1">
        <f t="array" ref="K715">myRGB(H715,I715,J715)</f>
        <v/>
      </c>
    </row>
    <row r="716" spans="1:11" x14ac:dyDescent="0.2">
      <c r="A716">
        <v>1077</v>
      </c>
      <c r="B716">
        <v>1073</v>
      </c>
      <c r="C716">
        <v>5</v>
      </c>
      <c r="D716" t="s">
        <v>7962</v>
      </c>
      <c r="E716">
        <v>1025</v>
      </c>
      <c r="F716" t="s">
        <v>6622</v>
      </c>
      <c r="G716" t="s">
        <v>6621</v>
      </c>
      <c r="H716">
        <v>255</v>
      </c>
      <c r="I716">
        <v>251</v>
      </c>
      <c r="J716">
        <v>142</v>
      </c>
      <c r="K716" s="380" t="str" cm="1">
        <f t="array" ref="K716">myRGB(H716,I716,J716)</f>
        <v/>
      </c>
    </row>
    <row r="717" spans="1:11" x14ac:dyDescent="0.2">
      <c r="A717">
        <v>1081</v>
      </c>
      <c r="B717">
        <v>1073</v>
      </c>
      <c r="C717">
        <v>5</v>
      </c>
      <c r="D717" t="s">
        <v>7963</v>
      </c>
      <c r="E717">
        <v>1033</v>
      </c>
      <c r="F717" t="s">
        <v>6630</v>
      </c>
      <c r="G717" t="s">
        <v>6629</v>
      </c>
      <c r="H717">
        <v>255</v>
      </c>
      <c r="I717">
        <v>249</v>
      </c>
      <c r="J717">
        <v>144</v>
      </c>
      <c r="K717" s="581" t="str" cm="1">
        <f t="array" ref="K717">myRGB(H717,I717,J717)</f>
        <v/>
      </c>
    </row>
    <row r="718" spans="1:11" x14ac:dyDescent="0.2">
      <c r="A718">
        <v>1085</v>
      </c>
      <c r="B718">
        <v>1073</v>
      </c>
      <c r="C718">
        <v>5</v>
      </c>
      <c r="D718" t="s">
        <v>7964</v>
      </c>
      <c r="E718">
        <v>1041</v>
      </c>
      <c r="F718" t="s">
        <v>6638</v>
      </c>
      <c r="G718" t="s">
        <v>6637</v>
      </c>
      <c r="H718">
        <v>255</v>
      </c>
      <c r="I718">
        <v>252</v>
      </c>
      <c r="J718">
        <v>141</v>
      </c>
      <c r="K718" s="497" t="str" cm="1">
        <f t="array" ref="K718">myRGB(H718,I718,J718)</f>
        <v/>
      </c>
    </row>
    <row r="719" spans="1:11" x14ac:dyDescent="0.2">
      <c r="A719">
        <v>1089</v>
      </c>
      <c r="B719">
        <v>1073</v>
      </c>
      <c r="C719">
        <v>5</v>
      </c>
      <c r="D719" t="s">
        <v>7965</v>
      </c>
      <c r="E719">
        <v>1049</v>
      </c>
      <c r="F719" t="s">
        <v>6646</v>
      </c>
      <c r="G719" t="s">
        <v>6645</v>
      </c>
      <c r="H719">
        <v>254</v>
      </c>
      <c r="I719">
        <v>249</v>
      </c>
      <c r="J719">
        <v>145</v>
      </c>
      <c r="K719" s="459" t="str" cm="1">
        <f t="array" ref="K719">myRGB(H719,I719,J719)</f>
        <v/>
      </c>
    </row>
    <row r="720" spans="1:11" x14ac:dyDescent="0.2">
      <c r="A720">
        <v>1096</v>
      </c>
      <c r="B720">
        <v>512</v>
      </c>
      <c r="C720">
        <v>3</v>
      </c>
      <c r="D720" t="s">
        <v>7966</v>
      </c>
      <c r="E720">
        <v>519</v>
      </c>
      <c r="F720" t="s">
        <v>6654</v>
      </c>
      <c r="G720" t="s">
        <v>6653</v>
      </c>
      <c r="H720">
        <v>240</v>
      </c>
      <c r="I720">
        <v>240</v>
      </c>
      <c r="J720">
        <v>127</v>
      </c>
      <c r="K720" s="399" t="str" cm="1">
        <f t="array" ref="K720">myRGB(H720,I720,J720)</f>
        <v/>
      </c>
    </row>
    <row r="721" spans="1:11" x14ac:dyDescent="0.2">
      <c r="A721">
        <v>1097</v>
      </c>
      <c r="B721">
        <v>519</v>
      </c>
      <c r="C721">
        <v>4</v>
      </c>
      <c r="D721" t="s">
        <v>7967</v>
      </c>
      <c r="E721">
        <v>989</v>
      </c>
      <c r="F721" t="s">
        <v>6656</v>
      </c>
      <c r="G721" t="s">
        <v>6655</v>
      </c>
      <c r="H721">
        <v>255</v>
      </c>
      <c r="I721">
        <v>252</v>
      </c>
      <c r="J721">
        <v>188</v>
      </c>
      <c r="K721" s="461" t="str" cm="1">
        <f t="array" ref="K721">myRGB(H721,I721,J721)</f>
        <v/>
      </c>
    </row>
    <row r="722" spans="1:11" x14ac:dyDescent="0.2">
      <c r="A722">
        <v>1098</v>
      </c>
      <c r="B722">
        <v>519</v>
      </c>
      <c r="C722">
        <v>4</v>
      </c>
      <c r="D722" t="s">
        <v>7968</v>
      </c>
      <c r="E722">
        <v>91</v>
      </c>
      <c r="F722" t="s">
        <v>6658</v>
      </c>
      <c r="G722" t="s">
        <v>6657</v>
      </c>
      <c r="H722">
        <v>255</v>
      </c>
      <c r="I722">
        <v>253</v>
      </c>
      <c r="J722">
        <v>188</v>
      </c>
      <c r="K722" s="482" t="str" cm="1">
        <f t="array" ref="K722">myRGB(H722,I722,J722)</f>
        <v/>
      </c>
    </row>
    <row r="723" spans="1:11" x14ac:dyDescent="0.2">
      <c r="A723">
        <v>1099</v>
      </c>
      <c r="B723">
        <v>519</v>
      </c>
      <c r="C723">
        <v>4</v>
      </c>
      <c r="D723" t="s">
        <v>7969</v>
      </c>
      <c r="E723">
        <v>846</v>
      </c>
      <c r="F723" t="s">
        <v>6660</v>
      </c>
      <c r="G723" t="s">
        <v>6659</v>
      </c>
      <c r="H723">
        <v>255</v>
      </c>
      <c r="I723">
        <v>253</v>
      </c>
      <c r="J723">
        <v>187</v>
      </c>
      <c r="K723" s="499" t="str" cm="1">
        <f t="array" ref="K723">myRGB(H723,I723,J723)</f>
        <v/>
      </c>
    </row>
    <row r="724" spans="1:11" x14ac:dyDescent="0.2">
      <c r="A724">
        <v>1100</v>
      </c>
      <c r="B724">
        <v>519</v>
      </c>
      <c r="C724">
        <v>4</v>
      </c>
      <c r="D724" t="s">
        <v>7970</v>
      </c>
      <c r="E724">
        <v>589508455</v>
      </c>
      <c r="F724" t="s">
        <v>6662</v>
      </c>
      <c r="G724" t="s">
        <v>6661</v>
      </c>
      <c r="H724">
        <v>254</v>
      </c>
      <c r="I724">
        <v>253</v>
      </c>
      <c r="J724">
        <v>188</v>
      </c>
      <c r="K724" s="747" t="str" cm="1">
        <f t="array" ref="K724">myRGB(H724,I724,J724)</f>
        <v/>
      </c>
    </row>
    <row r="725" spans="1:11" x14ac:dyDescent="0.2">
      <c r="A725">
        <v>1101</v>
      </c>
      <c r="B725">
        <v>997</v>
      </c>
      <c r="C725">
        <v>1</v>
      </c>
      <c r="D725" t="s">
        <v>7971</v>
      </c>
      <c r="E725">
        <v>1009</v>
      </c>
      <c r="F725" t="s">
        <v>6663</v>
      </c>
      <c r="G725" t="s">
        <v>6663</v>
      </c>
      <c r="H725">
        <v>202</v>
      </c>
      <c r="I725">
        <v>199</v>
      </c>
      <c r="J725">
        <v>203</v>
      </c>
      <c r="K725" s="744" t="str" cm="1">
        <f t="array" ref="K725">myRGB(H725,I725,J725)</f>
        <v/>
      </c>
    </row>
    <row r="726" spans="1:11" x14ac:dyDescent="0.2">
      <c r="A726">
        <v>1102</v>
      </c>
      <c r="B726">
        <v>1009</v>
      </c>
      <c r="C726">
        <v>2</v>
      </c>
      <c r="D726" t="s">
        <v>7972</v>
      </c>
      <c r="E726">
        <v>967</v>
      </c>
      <c r="F726" t="s">
        <v>6665</v>
      </c>
      <c r="G726" t="s">
        <v>6664</v>
      </c>
      <c r="H726">
        <v>200</v>
      </c>
      <c r="I726">
        <v>202</v>
      </c>
      <c r="J726">
        <v>201</v>
      </c>
      <c r="K726" s="727" t="str" cm="1">
        <f t="array" ref="K726">myRGB(H726,I726,J726)</f>
        <v/>
      </c>
    </row>
    <row r="727" spans="1:11" x14ac:dyDescent="0.2">
      <c r="A727">
        <v>1104</v>
      </c>
      <c r="B727">
        <v>967</v>
      </c>
      <c r="C727">
        <v>3</v>
      </c>
      <c r="D727" t="s">
        <v>7973</v>
      </c>
      <c r="E727">
        <v>949</v>
      </c>
      <c r="F727" t="s">
        <v>6669</v>
      </c>
      <c r="G727" t="s">
        <v>6668</v>
      </c>
      <c r="H727">
        <v>202</v>
      </c>
      <c r="I727">
        <v>200</v>
      </c>
      <c r="J727">
        <v>201</v>
      </c>
      <c r="K727" s="634" t="str" cm="1">
        <f t="array" ref="K727">myRGB(H727,I727,J727)</f>
        <v/>
      </c>
    </row>
    <row r="728" spans="1:11" x14ac:dyDescent="0.2">
      <c r="A728">
        <v>1105</v>
      </c>
      <c r="B728">
        <v>967</v>
      </c>
      <c r="C728">
        <v>3</v>
      </c>
      <c r="D728" t="s">
        <v>7974</v>
      </c>
      <c r="E728">
        <v>840</v>
      </c>
      <c r="F728" t="s">
        <v>6671</v>
      </c>
      <c r="G728" t="s">
        <v>6670</v>
      </c>
      <c r="H728">
        <v>204</v>
      </c>
      <c r="I728">
        <v>203</v>
      </c>
      <c r="J728">
        <v>199</v>
      </c>
      <c r="K728" s="558" t="str" cm="1">
        <f t="array" ref="K728">myRGB(H728,I728,J728)</f>
        <v/>
      </c>
    </row>
    <row r="729" spans="1:11" x14ac:dyDescent="0.2">
      <c r="A729">
        <v>1106</v>
      </c>
      <c r="B729">
        <v>840</v>
      </c>
      <c r="C729">
        <v>4</v>
      </c>
      <c r="D729" t="s">
        <v>7975</v>
      </c>
      <c r="E729">
        <v>1016</v>
      </c>
      <c r="F729" t="s">
        <v>6673</v>
      </c>
      <c r="G729" t="s">
        <v>6672</v>
      </c>
      <c r="H729">
        <v>199</v>
      </c>
      <c r="I729">
        <v>203</v>
      </c>
      <c r="J729">
        <v>202</v>
      </c>
      <c r="K729" s="743" t="str" cm="1">
        <f t="array" ref="K729">myRGB(H729,I729,J729)</f>
        <v/>
      </c>
    </row>
    <row r="730" spans="1:11" x14ac:dyDescent="0.2">
      <c r="A730">
        <v>1107</v>
      </c>
      <c r="B730">
        <v>840</v>
      </c>
      <c r="C730">
        <v>4</v>
      </c>
      <c r="D730" t="s">
        <v>7976</v>
      </c>
      <c r="E730">
        <v>21</v>
      </c>
      <c r="F730" t="s">
        <v>6675</v>
      </c>
      <c r="G730" t="s">
        <v>6674</v>
      </c>
      <c r="H730">
        <v>204</v>
      </c>
      <c r="I730">
        <v>204</v>
      </c>
      <c r="J730">
        <v>203</v>
      </c>
      <c r="K730" s="787" t="str" cm="1">
        <f t="array" ref="K730">myRGB(H730,I730,J730)</f>
        <v/>
      </c>
    </row>
    <row r="731" spans="1:11" x14ac:dyDescent="0.2">
      <c r="A731">
        <v>1108</v>
      </c>
      <c r="B731">
        <v>21</v>
      </c>
      <c r="C731">
        <v>5</v>
      </c>
      <c r="D731" t="s">
        <v>7977</v>
      </c>
      <c r="E731">
        <v>665</v>
      </c>
      <c r="F731" t="s">
        <v>6677</v>
      </c>
      <c r="G731" t="s">
        <v>6676</v>
      </c>
      <c r="H731">
        <v>202</v>
      </c>
      <c r="I731">
        <v>200</v>
      </c>
      <c r="J731">
        <v>199</v>
      </c>
      <c r="K731" s="667" t="str" cm="1">
        <f t="array" ref="K731">myRGB(H731,I731,J731)</f>
        <v/>
      </c>
    </row>
    <row r="732" spans="1:11" x14ac:dyDescent="0.2">
      <c r="A732">
        <v>1109</v>
      </c>
      <c r="B732">
        <v>21</v>
      </c>
      <c r="C732">
        <v>5</v>
      </c>
      <c r="D732" t="s">
        <v>7978</v>
      </c>
      <c r="E732">
        <v>538</v>
      </c>
      <c r="F732" t="s">
        <v>6679</v>
      </c>
      <c r="G732" t="s">
        <v>6678</v>
      </c>
      <c r="H732">
        <v>202</v>
      </c>
      <c r="I732">
        <v>202</v>
      </c>
      <c r="J732">
        <v>201</v>
      </c>
      <c r="K732" s="725" t="str" cm="1">
        <f t="array" ref="K732">myRGB(H732,I732,J732)</f>
        <v/>
      </c>
    </row>
    <row r="733" spans="1:11" x14ac:dyDescent="0.2">
      <c r="A733">
        <v>1111</v>
      </c>
      <c r="B733">
        <v>840</v>
      </c>
      <c r="C733">
        <v>4</v>
      </c>
      <c r="D733" t="s">
        <v>7979</v>
      </c>
      <c r="E733">
        <v>900</v>
      </c>
      <c r="F733" t="s">
        <v>6683</v>
      </c>
      <c r="G733" t="s">
        <v>6682</v>
      </c>
      <c r="H733">
        <v>203</v>
      </c>
      <c r="I733">
        <v>203</v>
      </c>
      <c r="J733">
        <v>199</v>
      </c>
      <c r="K733" s="554" t="str" cm="1">
        <f t="array" ref="K733">myRGB(H733,I733,J733)</f>
        <v/>
      </c>
    </row>
    <row r="734" spans="1:11" x14ac:dyDescent="0.2">
      <c r="A734">
        <v>1112</v>
      </c>
      <c r="B734">
        <v>967</v>
      </c>
      <c r="C734">
        <v>3</v>
      </c>
      <c r="D734" t="s">
        <v>7980</v>
      </c>
      <c r="E734">
        <v>848</v>
      </c>
      <c r="F734" t="s">
        <v>6685</v>
      </c>
      <c r="G734" t="s">
        <v>6684</v>
      </c>
      <c r="H734">
        <v>203</v>
      </c>
      <c r="I734">
        <v>204</v>
      </c>
      <c r="J734">
        <v>199</v>
      </c>
      <c r="K734" s="830" t="str" cm="1">
        <f t="array" ref="K734">myRGB(H734,I734,J734)</f>
        <v/>
      </c>
    </row>
    <row r="735" spans="1:11" x14ac:dyDescent="0.2">
      <c r="A735">
        <v>1114</v>
      </c>
      <c r="B735">
        <v>848</v>
      </c>
      <c r="C735">
        <v>4</v>
      </c>
      <c r="D735" t="s">
        <v>7981</v>
      </c>
      <c r="E735">
        <v>916</v>
      </c>
      <c r="F735" t="s">
        <v>6689</v>
      </c>
      <c r="G735" t="s">
        <v>6688</v>
      </c>
      <c r="H735">
        <v>199</v>
      </c>
      <c r="I735">
        <v>203</v>
      </c>
      <c r="J735">
        <v>203</v>
      </c>
      <c r="K735" s="801" t="str" cm="1">
        <f t="array" ref="K735">myRGB(H735,I735,J735)</f>
        <v/>
      </c>
    </row>
    <row r="736" spans="1:11" x14ac:dyDescent="0.2">
      <c r="A736">
        <v>1115</v>
      </c>
      <c r="B736">
        <v>848</v>
      </c>
      <c r="C736">
        <v>4</v>
      </c>
      <c r="D736" t="s">
        <v>7982</v>
      </c>
      <c r="E736">
        <v>336</v>
      </c>
      <c r="F736" t="s">
        <v>6691</v>
      </c>
      <c r="G736" t="s">
        <v>6690</v>
      </c>
      <c r="H736">
        <v>201</v>
      </c>
      <c r="I736">
        <v>203</v>
      </c>
      <c r="J736">
        <v>203</v>
      </c>
      <c r="K736" s="618" t="str" cm="1">
        <f t="array" ref="K736">myRGB(H736,I736,J736)</f>
        <v/>
      </c>
    </row>
    <row r="737" spans="1:11" x14ac:dyDescent="0.2">
      <c r="A737">
        <v>1116</v>
      </c>
      <c r="B737">
        <v>848</v>
      </c>
      <c r="C737">
        <v>4</v>
      </c>
      <c r="D737" t="s">
        <v>7983</v>
      </c>
      <c r="E737">
        <v>117</v>
      </c>
      <c r="F737" t="s">
        <v>6693</v>
      </c>
      <c r="G737" t="s">
        <v>6692</v>
      </c>
      <c r="H737">
        <v>203</v>
      </c>
      <c r="I737">
        <v>202</v>
      </c>
      <c r="J737">
        <v>204</v>
      </c>
      <c r="K737" s="786" t="str" cm="1">
        <f t="array" ref="K737">myRGB(H737,I737,J737)</f>
        <v/>
      </c>
    </row>
    <row r="738" spans="1:11" x14ac:dyDescent="0.2">
      <c r="A738">
        <v>1117</v>
      </c>
      <c r="B738">
        <v>848</v>
      </c>
      <c r="C738">
        <v>4</v>
      </c>
      <c r="D738" t="s">
        <v>7984</v>
      </c>
      <c r="E738">
        <v>125</v>
      </c>
      <c r="F738" t="s">
        <v>6695</v>
      </c>
      <c r="G738" t="s">
        <v>6694</v>
      </c>
      <c r="H738">
        <v>202</v>
      </c>
      <c r="I738">
        <v>204</v>
      </c>
      <c r="J738">
        <v>203</v>
      </c>
      <c r="K738" s="575" t="str" cm="1">
        <f t="array" ref="K738">myRGB(H738,I738,J738)</f>
        <v/>
      </c>
    </row>
    <row r="739" spans="1:11" x14ac:dyDescent="0.2">
      <c r="A739">
        <v>1119</v>
      </c>
      <c r="B739">
        <v>967</v>
      </c>
      <c r="C739">
        <v>3</v>
      </c>
      <c r="D739" t="s">
        <v>7985</v>
      </c>
      <c r="E739">
        <v>832</v>
      </c>
      <c r="F739" t="s">
        <v>6699</v>
      </c>
      <c r="G739" t="s">
        <v>6698</v>
      </c>
      <c r="H739">
        <v>199</v>
      </c>
      <c r="I739">
        <v>204</v>
      </c>
      <c r="J739">
        <v>204</v>
      </c>
      <c r="K739" s="831" t="str" cm="1">
        <f t="array" ref="K739">myRGB(H739,I739,J739)</f>
        <v/>
      </c>
    </row>
    <row r="740" spans="1:11" x14ac:dyDescent="0.2">
      <c r="A740">
        <v>1120</v>
      </c>
      <c r="B740">
        <v>832</v>
      </c>
      <c r="C740">
        <v>4</v>
      </c>
      <c r="D740" t="s">
        <v>7986</v>
      </c>
      <c r="E740">
        <v>62</v>
      </c>
      <c r="F740" t="s">
        <v>6701</v>
      </c>
      <c r="G740" t="s">
        <v>6700</v>
      </c>
      <c r="H740">
        <v>203</v>
      </c>
      <c r="I740">
        <v>203</v>
      </c>
      <c r="J740">
        <v>204</v>
      </c>
      <c r="K740" s="685" t="str" cm="1">
        <f t="array" ref="K740">myRGB(H740,I740,J740)</f>
        <v/>
      </c>
    </row>
    <row r="741" spans="1:11" x14ac:dyDescent="0.2">
      <c r="A741">
        <v>1121</v>
      </c>
      <c r="B741">
        <v>832</v>
      </c>
      <c r="C741">
        <v>4</v>
      </c>
      <c r="D741" t="s">
        <v>7987</v>
      </c>
      <c r="E741">
        <v>158</v>
      </c>
      <c r="F741" t="s">
        <v>6703</v>
      </c>
      <c r="G741" t="s">
        <v>6702</v>
      </c>
      <c r="H741">
        <v>204</v>
      </c>
      <c r="I741">
        <v>202</v>
      </c>
      <c r="J741">
        <v>202</v>
      </c>
      <c r="K741" s="726" t="str" cm="1">
        <f t="array" ref="K741">myRGB(H741,I741,J741)</f>
        <v/>
      </c>
    </row>
    <row r="742" spans="1:11" x14ac:dyDescent="0.2">
      <c r="A742">
        <v>1122</v>
      </c>
      <c r="B742">
        <v>967</v>
      </c>
      <c r="C742">
        <v>3</v>
      </c>
      <c r="D742" t="s">
        <v>7988</v>
      </c>
      <c r="E742">
        <v>911</v>
      </c>
      <c r="F742" t="s">
        <v>6705</v>
      </c>
      <c r="G742" t="s">
        <v>6704</v>
      </c>
      <c r="H742">
        <v>200</v>
      </c>
      <c r="I742">
        <v>201</v>
      </c>
      <c r="J742">
        <v>200</v>
      </c>
      <c r="K742" s="848" t="str" cm="1">
        <f t="array" ref="K742">myRGB(H742,I742,J742)</f>
        <v/>
      </c>
    </row>
    <row r="743" spans="1:11" x14ac:dyDescent="0.2">
      <c r="A743">
        <v>1125</v>
      </c>
      <c r="B743">
        <v>967</v>
      </c>
      <c r="C743">
        <v>3</v>
      </c>
      <c r="D743" t="s">
        <v>7989</v>
      </c>
      <c r="E743">
        <v>901</v>
      </c>
      <c r="F743" t="s">
        <v>6711</v>
      </c>
      <c r="G743" t="s">
        <v>6710</v>
      </c>
      <c r="H743">
        <v>203</v>
      </c>
      <c r="I743">
        <v>199</v>
      </c>
      <c r="J743">
        <v>203</v>
      </c>
      <c r="K743" s="829" t="str" cm="1">
        <f t="array" ref="K743">myRGB(H743,I743,J743)</f>
        <v/>
      </c>
    </row>
    <row r="744" spans="1:11" x14ac:dyDescent="0.2">
      <c r="A744">
        <v>1126</v>
      </c>
      <c r="B744">
        <v>901</v>
      </c>
      <c r="C744">
        <v>4</v>
      </c>
      <c r="D744" t="s">
        <v>7990</v>
      </c>
      <c r="E744">
        <v>93</v>
      </c>
      <c r="F744" t="s">
        <v>6713</v>
      </c>
      <c r="G744" t="s">
        <v>6712</v>
      </c>
      <c r="H744">
        <v>204</v>
      </c>
      <c r="I744">
        <v>203</v>
      </c>
      <c r="J744">
        <v>202</v>
      </c>
      <c r="K744" s="553" t="str" cm="1">
        <f t="array" ref="K744">myRGB(H744,I744,J744)</f>
        <v/>
      </c>
    </row>
    <row r="745" spans="1:11" x14ac:dyDescent="0.2">
      <c r="A745">
        <v>1127</v>
      </c>
      <c r="B745">
        <v>901</v>
      </c>
      <c r="C745">
        <v>4</v>
      </c>
      <c r="D745" t="s">
        <v>7991</v>
      </c>
      <c r="E745">
        <v>229</v>
      </c>
      <c r="F745" t="s">
        <v>6715</v>
      </c>
      <c r="G745" t="s">
        <v>6714</v>
      </c>
      <c r="H745">
        <v>202</v>
      </c>
      <c r="I745">
        <v>202</v>
      </c>
      <c r="J745">
        <v>203</v>
      </c>
      <c r="K745" s="724" t="str" cm="1">
        <f t="array" ref="K745">myRGB(H745,I745,J745)</f>
        <v/>
      </c>
    </row>
    <row r="746" spans="1:11" x14ac:dyDescent="0.2">
      <c r="A746">
        <v>1129</v>
      </c>
      <c r="B746">
        <v>229</v>
      </c>
      <c r="C746">
        <v>5</v>
      </c>
      <c r="D746" t="s">
        <v>7992</v>
      </c>
      <c r="E746">
        <v>794</v>
      </c>
      <c r="F746" t="s">
        <v>6719</v>
      </c>
      <c r="G746" t="s">
        <v>6718</v>
      </c>
      <c r="H746">
        <v>200</v>
      </c>
      <c r="I746">
        <v>202</v>
      </c>
      <c r="J746">
        <v>202</v>
      </c>
      <c r="K746" s="666" t="str" cm="1">
        <f t="array" ref="K746">myRGB(H746,I746,J746)</f>
        <v/>
      </c>
    </row>
    <row r="747" spans="1:11" x14ac:dyDescent="0.2">
      <c r="A747">
        <v>1130</v>
      </c>
      <c r="B747">
        <v>967</v>
      </c>
      <c r="C747">
        <v>3</v>
      </c>
      <c r="D747" t="s">
        <v>7993</v>
      </c>
      <c r="E747">
        <v>798</v>
      </c>
      <c r="F747" t="s">
        <v>6721</v>
      </c>
      <c r="G747" t="s">
        <v>6720</v>
      </c>
      <c r="H747">
        <v>204</v>
      </c>
      <c r="I747">
        <v>204</v>
      </c>
      <c r="J747">
        <v>199</v>
      </c>
      <c r="K747" s="668" t="str" cm="1">
        <f t="array" ref="K747">myRGB(H747,I747,J747)</f>
        <v/>
      </c>
    </row>
    <row r="748" spans="1:11" x14ac:dyDescent="0.2">
      <c r="A748">
        <v>1132</v>
      </c>
      <c r="B748">
        <v>798</v>
      </c>
      <c r="C748">
        <v>4</v>
      </c>
      <c r="D748" t="s">
        <v>7994</v>
      </c>
      <c r="E748">
        <v>1116</v>
      </c>
      <c r="F748" t="s">
        <v>6725</v>
      </c>
      <c r="G748" t="s">
        <v>6724</v>
      </c>
      <c r="H748">
        <v>201</v>
      </c>
      <c r="I748">
        <v>204</v>
      </c>
      <c r="J748">
        <v>199</v>
      </c>
      <c r="K748" s="555" t="str" cm="1">
        <f t="array" ref="K748">myRGB(H748,I748,J748)</f>
        <v/>
      </c>
    </row>
    <row r="749" spans="1:11" x14ac:dyDescent="0.2">
      <c r="A749">
        <v>1133</v>
      </c>
      <c r="B749">
        <v>967</v>
      </c>
      <c r="C749">
        <v>3</v>
      </c>
      <c r="D749" t="s">
        <v>7995</v>
      </c>
      <c r="E749">
        <v>933</v>
      </c>
      <c r="F749" t="s">
        <v>6727</v>
      </c>
      <c r="G749" t="s">
        <v>6726</v>
      </c>
      <c r="H749">
        <v>201</v>
      </c>
      <c r="I749">
        <v>199</v>
      </c>
      <c r="J749">
        <v>202</v>
      </c>
      <c r="K749" s="557" t="str" cm="1">
        <f t="array" ref="K749">myRGB(H749,I749,J749)</f>
        <v/>
      </c>
    </row>
    <row r="750" spans="1:11" x14ac:dyDescent="0.2">
      <c r="A750">
        <v>1135</v>
      </c>
      <c r="B750">
        <v>933</v>
      </c>
      <c r="C750">
        <v>4</v>
      </c>
      <c r="D750" t="s">
        <v>7996</v>
      </c>
      <c r="E750">
        <v>413</v>
      </c>
      <c r="F750" t="s">
        <v>6731</v>
      </c>
      <c r="G750" t="s">
        <v>6730</v>
      </c>
      <c r="H750">
        <v>201</v>
      </c>
      <c r="I750">
        <v>202</v>
      </c>
      <c r="J750">
        <v>203</v>
      </c>
      <c r="K750" s="552" t="str" cm="1">
        <f t="array" ref="K750">myRGB(H750,I750,J750)</f>
        <v/>
      </c>
    </row>
    <row r="751" spans="1:11" x14ac:dyDescent="0.2">
      <c r="A751">
        <v>1136</v>
      </c>
      <c r="B751">
        <v>933</v>
      </c>
      <c r="C751">
        <v>4</v>
      </c>
      <c r="D751" t="s">
        <v>7997</v>
      </c>
      <c r="E751">
        <v>948</v>
      </c>
      <c r="F751" t="s">
        <v>6733</v>
      </c>
      <c r="G751" t="s">
        <v>6732</v>
      </c>
      <c r="H751">
        <v>202</v>
      </c>
      <c r="I751">
        <v>201</v>
      </c>
      <c r="J751">
        <v>200</v>
      </c>
      <c r="K751" s="828" t="str" cm="1">
        <f t="array" ref="K751">myRGB(H751,I751,J751)</f>
        <v/>
      </c>
    </row>
    <row r="752" spans="1:11" x14ac:dyDescent="0.2">
      <c r="A752">
        <v>1137</v>
      </c>
      <c r="B752">
        <v>948</v>
      </c>
      <c r="C752">
        <v>5</v>
      </c>
      <c r="D752" t="s">
        <v>7998</v>
      </c>
      <c r="E752">
        <v>841</v>
      </c>
      <c r="F752" t="s">
        <v>6735</v>
      </c>
      <c r="G752" t="s">
        <v>6734</v>
      </c>
      <c r="H752">
        <v>204</v>
      </c>
      <c r="I752">
        <v>199</v>
      </c>
      <c r="J752">
        <v>203</v>
      </c>
      <c r="K752" s="784" t="str" cm="1">
        <f t="array" ref="K752">myRGB(H752,I752,J752)</f>
        <v/>
      </c>
    </row>
    <row r="753" spans="1:11" x14ac:dyDescent="0.2">
      <c r="A753">
        <v>1139</v>
      </c>
      <c r="B753">
        <v>948</v>
      </c>
      <c r="C753">
        <v>5</v>
      </c>
      <c r="D753" t="s">
        <v>7999</v>
      </c>
      <c r="E753">
        <v>506</v>
      </c>
      <c r="F753" t="s">
        <v>6739</v>
      </c>
      <c r="G753" t="s">
        <v>6738</v>
      </c>
      <c r="H753">
        <v>204</v>
      </c>
      <c r="I753">
        <v>203</v>
      </c>
      <c r="J753">
        <v>200</v>
      </c>
      <c r="K753" s="665" t="str" cm="1">
        <f t="array" ref="K753">myRGB(H753,I753,J753)</f>
        <v/>
      </c>
    </row>
    <row r="754" spans="1:11" x14ac:dyDescent="0.2">
      <c r="A754">
        <v>1140</v>
      </c>
      <c r="B754">
        <v>948</v>
      </c>
      <c r="C754">
        <v>5</v>
      </c>
      <c r="D754" t="s">
        <v>8000</v>
      </c>
      <c r="E754">
        <v>658</v>
      </c>
      <c r="F754" t="s">
        <v>6741</v>
      </c>
      <c r="G754" t="s">
        <v>6740</v>
      </c>
      <c r="H754">
        <v>201</v>
      </c>
      <c r="I754">
        <v>201</v>
      </c>
      <c r="J754">
        <v>203</v>
      </c>
      <c r="K754" s="742" t="str" cm="1">
        <f t="array" ref="K754">myRGB(H754,I754,J754)</f>
        <v/>
      </c>
    </row>
    <row r="755" spans="1:11" x14ac:dyDescent="0.2">
      <c r="A755">
        <v>1141</v>
      </c>
      <c r="B755">
        <v>948</v>
      </c>
      <c r="C755">
        <v>5</v>
      </c>
      <c r="D755" t="s">
        <v>8001</v>
      </c>
      <c r="E755">
        <v>633</v>
      </c>
      <c r="F755" t="s">
        <v>6743</v>
      </c>
      <c r="G755" t="s">
        <v>6742</v>
      </c>
      <c r="H755">
        <v>203</v>
      </c>
      <c r="I755">
        <v>201</v>
      </c>
      <c r="J755">
        <v>201</v>
      </c>
      <c r="K755" s="617" t="str" cm="1">
        <f t="array" ref="K755">myRGB(H755,I755,J755)</f>
        <v/>
      </c>
    </row>
    <row r="756" spans="1:11" x14ac:dyDescent="0.2">
      <c r="A756">
        <v>1142</v>
      </c>
      <c r="B756">
        <v>948</v>
      </c>
      <c r="C756">
        <v>5</v>
      </c>
      <c r="D756" t="s">
        <v>8002</v>
      </c>
      <c r="E756">
        <v>482</v>
      </c>
      <c r="F756" t="s">
        <v>6745</v>
      </c>
      <c r="G756" t="s">
        <v>6744</v>
      </c>
      <c r="H756">
        <v>201</v>
      </c>
      <c r="I756">
        <v>200</v>
      </c>
      <c r="J756">
        <v>200</v>
      </c>
      <c r="K756" s="723" t="str" cm="1">
        <f t="array" ref="K756">myRGB(H756,I756,J756)</f>
        <v/>
      </c>
    </row>
    <row r="757" spans="1:11" x14ac:dyDescent="0.2">
      <c r="A757">
        <v>1144</v>
      </c>
      <c r="B757">
        <v>967</v>
      </c>
      <c r="C757">
        <v>3</v>
      </c>
      <c r="D757" t="s">
        <v>8003</v>
      </c>
      <c r="E757">
        <v>917</v>
      </c>
      <c r="F757" t="s">
        <v>6749</v>
      </c>
      <c r="G757" t="s">
        <v>6748</v>
      </c>
      <c r="H757">
        <v>199</v>
      </c>
      <c r="I757">
        <v>201</v>
      </c>
      <c r="J757">
        <v>203</v>
      </c>
      <c r="K757" s="785" t="str" cm="1">
        <f t="array" ref="K757">myRGB(H757,I757,J757)</f>
        <v/>
      </c>
    </row>
    <row r="758" spans="1:11" x14ac:dyDescent="0.2">
      <c r="A758">
        <v>1145</v>
      </c>
      <c r="B758">
        <v>917</v>
      </c>
      <c r="C758">
        <v>4</v>
      </c>
      <c r="D758" t="s">
        <v>8004</v>
      </c>
      <c r="E758">
        <v>237</v>
      </c>
      <c r="F758" t="s">
        <v>6751</v>
      </c>
      <c r="G758" t="s">
        <v>6750</v>
      </c>
      <c r="H758">
        <v>200</v>
      </c>
      <c r="I758">
        <v>202</v>
      </c>
      <c r="J758">
        <v>199</v>
      </c>
      <c r="K758" s="684" t="str" cm="1">
        <f t="array" ref="K758">myRGB(H758,I758,J758)</f>
        <v/>
      </c>
    </row>
    <row r="759" spans="1:11" x14ac:dyDescent="0.2">
      <c r="A759">
        <v>1149</v>
      </c>
      <c r="B759">
        <v>967</v>
      </c>
      <c r="C759">
        <v>3</v>
      </c>
      <c r="D759" t="s">
        <v>8005</v>
      </c>
      <c r="E759">
        <v>792</v>
      </c>
      <c r="F759" t="s">
        <v>6759</v>
      </c>
      <c r="G759" t="s">
        <v>6758</v>
      </c>
      <c r="H759">
        <v>202</v>
      </c>
      <c r="I759">
        <v>200</v>
      </c>
      <c r="J759">
        <v>202</v>
      </c>
      <c r="K759" s="622" t="str" cm="1">
        <f t="array" ref="K759">myRGB(H759,I759,J759)</f>
        <v/>
      </c>
    </row>
    <row r="760" spans="1:11" x14ac:dyDescent="0.2">
      <c r="A760">
        <v>1150</v>
      </c>
      <c r="B760">
        <v>792</v>
      </c>
      <c r="C760">
        <v>4</v>
      </c>
      <c r="D760" t="s">
        <v>8006</v>
      </c>
      <c r="E760">
        <v>932</v>
      </c>
      <c r="F760" t="s">
        <v>6761</v>
      </c>
      <c r="G760" t="s">
        <v>6760</v>
      </c>
      <c r="H760">
        <v>204</v>
      </c>
      <c r="I760">
        <v>199</v>
      </c>
      <c r="J760">
        <v>202</v>
      </c>
      <c r="K760" s="559" t="str" cm="1">
        <f t="array" ref="K760">myRGB(H760,I760,J760)</f>
        <v/>
      </c>
    </row>
    <row r="761" spans="1:11" x14ac:dyDescent="0.2">
      <c r="A761">
        <v>1155</v>
      </c>
      <c r="B761">
        <v>932</v>
      </c>
      <c r="C761">
        <v>5</v>
      </c>
      <c r="D761" t="s">
        <v>8007</v>
      </c>
      <c r="E761">
        <v>514</v>
      </c>
      <c r="F761" t="s">
        <v>6771</v>
      </c>
      <c r="G761" t="s">
        <v>6770</v>
      </c>
      <c r="H761">
        <v>204</v>
      </c>
      <c r="I761">
        <v>200</v>
      </c>
      <c r="J761">
        <v>203</v>
      </c>
      <c r="K761" s="849" t="str" cm="1">
        <f t="array" ref="K761">myRGB(H761,I761,J761)</f>
        <v/>
      </c>
    </row>
    <row r="762" spans="1:11" x14ac:dyDescent="0.2">
      <c r="A762">
        <v>1156</v>
      </c>
      <c r="B762">
        <v>514</v>
      </c>
      <c r="C762">
        <v>6</v>
      </c>
      <c r="D762" t="s">
        <v>8008</v>
      </c>
      <c r="E762">
        <v>380</v>
      </c>
      <c r="F762" t="s">
        <v>6773</v>
      </c>
      <c r="G762" t="s">
        <v>6772</v>
      </c>
      <c r="H762">
        <v>202</v>
      </c>
      <c r="I762">
        <v>201</v>
      </c>
      <c r="J762">
        <v>204</v>
      </c>
      <c r="K762" s="788" t="str" cm="1">
        <f t="array" ref="K762">myRGB(H762,I762,J762)</f>
        <v/>
      </c>
    </row>
    <row r="763" spans="1:11" x14ac:dyDescent="0.2">
      <c r="A763">
        <v>1159</v>
      </c>
      <c r="B763">
        <v>932</v>
      </c>
      <c r="C763">
        <v>5</v>
      </c>
      <c r="D763" t="s">
        <v>8009</v>
      </c>
      <c r="E763">
        <v>697</v>
      </c>
      <c r="F763" t="s">
        <v>6779</v>
      </c>
      <c r="G763" t="s">
        <v>6778</v>
      </c>
      <c r="H763">
        <v>202</v>
      </c>
      <c r="I763">
        <v>204</v>
      </c>
      <c r="J763">
        <v>200</v>
      </c>
      <c r="K763" s="635" t="str" cm="1">
        <f t="array" ref="K763">myRGB(H763,I763,J763)</f>
        <v/>
      </c>
    </row>
    <row r="764" spans="1:11" x14ac:dyDescent="0.2">
      <c r="A764">
        <v>1171</v>
      </c>
      <c r="B764">
        <v>1009</v>
      </c>
      <c r="C764">
        <v>2</v>
      </c>
      <c r="D764" t="s">
        <v>8010</v>
      </c>
      <c r="E764">
        <v>960</v>
      </c>
      <c r="F764" t="s">
        <v>6803</v>
      </c>
      <c r="G764" t="s">
        <v>6802</v>
      </c>
      <c r="H764">
        <v>201</v>
      </c>
      <c r="I764">
        <v>202</v>
      </c>
      <c r="J764">
        <v>200</v>
      </c>
      <c r="K764" s="620" t="str" cm="1">
        <f t="array" ref="K764">myRGB(H764,I764,J764)</f>
        <v/>
      </c>
    </row>
    <row r="765" spans="1:11" x14ac:dyDescent="0.2">
      <c r="A765">
        <v>1172</v>
      </c>
      <c r="B765">
        <v>960</v>
      </c>
      <c r="C765">
        <v>3</v>
      </c>
      <c r="D765" t="s">
        <v>8011</v>
      </c>
      <c r="E765">
        <v>744</v>
      </c>
      <c r="F765" t="s">
        <v>6805</v>
      </c>
      <c r="G765" t="s">
        <v>6804</v>
      </c>
      <c r="H765">
        <v>203</v>
      </c>
      <c r="I765">
        <v>200</v>
      </c>
      <c r="J765">
        <v>202</v>
      </c>
      <c r="K765" s="728" t="str" cm="1">
        <f t="array" ref="K765">myRGB(H765,I765,J765)</f>
        <v/>
      </c>
    </row>
    <row r="766" spans="1:11" x14ac:dyDescent="0.2">
      <c r="A766">
        <v>1173</v>
      </c>
      <c r="B766">
        <v>960</v>
      </c>
      <c r="C766">
        <v>3</v>
      </c>
      <c r="D766" t="s">
        <v>8012</v>
      </c>
      <c r="E766">
        <v>752</v>
      </c>
      <c r="F766" t="s">
        <v>6807</v>
      </c>
      <c r="G766" t="s">
        <v>6806</v>
      </c>
      <c r="H766">
        <v>202</v>
      </c>
      <c r="I766">
        <v>200</v>
      </c>
      <c r="J766">
        <v>203</v>
      </c>
      <c r="K766" s="686" t="str" cm="1">
        <f t="array" ref="K766">myRGB(H766,I766,J766)</f>
        <v/>
      </c>
    </row>
    <row r="767" spans="1:11" x14ac:dyDescent="0.2">
      <c r="A767">
        <v>1174</v>
      </c>
      <c r="B767">
        <v>752</v>
      </c>
      <c r="C767">
        <v>4</v>
      </c>
      <c r="D767" t="s">
        <v>8013</v>
      </c>
      <c r="E767">
        <v>326</v>
      </c>
      <c r="F767" t="s">
        <v>6809</v>
      </c>
      <c r="G767" t="s">
        <v>6808</v>
      </c>
      <c r="H767">
        <v>203</v>
      </c>
      <c r="I767">
        <v>201</v>
      </c>
      <c r="J767">
        <v>203</v>
      </c>
      <c r="K767" s="789" t="str" cm="1">
        <f t="array" ref="K767">myRGB(H767,I767,J767)</f>
        <v/>
      </c>
    </row>
    <row r="768" spans="1:11" x14ac:dyDescent="0.2">
      <c r="A768">
        <v>1175</v>
      </c>
      <c r="B768">
        <v>326</v>
      </c>
      <c r="C768">
        <v>5</v>
      </c>
      <c r="D768" t="s">
        <v>8014</v>
      </c>
      <c r="E768">
        <v>812</v>
      </c>
      <c r="F768" t="s">
        <v>6811</v>
      </c>
      <c r="G768" t="s">
        <v>6810</v>
      </c>
      <c r="H768">
        <v>204</v>
      </c>
      <c r="I768">
        <v>199</v>
      </c>
      <c r="J768">
        <v>204</v>
      </c>
      <c r="K768" s="576" t="str" cm="1">
        <f t="array" ref="K768">myRGB(H768,I768,J768)</f>
        <v/>
      </c>
    </row>
    <row r="769" spans="1:11" x14ac:dyDescent="0.2">
      <c r="A769">
        <v>1177</v>
      </c>
      <c r="B769">
        <v>326</v>
      </c>
      <c r="C769">
        <v>5</v>
      </c>
      <c r="D769" t="s">
        <v>8015</v>
      </c>
      <c r="E769">
        <v>850</v>
      </c>
      <c r="F769" t="s">
        <v>6815</v>
      </c>
      <c r="G769" t="s">
        <v>6814</v>
      </c>
      <c r="H769">
        <v>203</v>
      </c>
      <c r="I769">
        <v>201</v>
      </c>
      <c r="J769">
        <v>200</v>
      </c>
      <c r="K769" s="619" t="str" cm="1">
        <f t="array" ref="K769">myRGB(H769,I769,J769)</f>
        <v/>
      </c>
    </row>
    <row r="770" spans="1:11" x14ac:dyDescent="0.2">
      <c r="A770">
        <v>1178</v>
      </c>
      <c r="B770">
        <v>326</v>
      </c>
      <c r="C770">
        <v>5</v>
      </c>
      <c r="D770" t="s">
        <v>8016</v>
      </c>
      <c r="E770">
        <v>866</v>
      </c>
      <c r="F770" t="s">
        <v>6817</v>
      </c>
      <c r="G770" t="s">
        <v>6816</v>
      </c>
      <c r="H770">
        <v>203</v>
      </c>
      <c r="I770">
        <v>199</v>
      </c>
      <c r="J770">
        <v>204</v>
      </c>
      <c r="K770" s="556" t="str" cm="1">
        <f t="array" ref="K770">myRGB(H770,I770,J770)</f>
        <v/>
      </c>
    </row>
    <row r="771" spans="1:11" x14ac:dyDescent="0.2">
      <c r="A771">
        <v>1179</v>
      </c>
      <c r="B771">
        <v>752</v>
      </c>
      <c r="C771">
        <v>4</v>
      </c>
      <c r="D771" t="s">
        <v>8017</v>
      </c>
      <c r="E771">
        <v>78</v>
      </c>
      <c r="F771" t="s">
        <v>6819</v>
      </c>
      <c r="G771" t="s">
        <v>6818</v>
      </c>
      <c r="H771">
        <v>204</v>
      </c>
      <c r="I771">
        <v>204</v>
      </c>
      <c r="J771">
        <v>202</v>
      </c>
      <c r="K771" s="832" t="str" cm="1">
        <f t="array" ref="K771">myRGB(H771,I771,J771)</f>
        <v/>
      </c>
    </row>
    <row r="772" spans="1:11" x14ac:dyDescent="0.2">
      <c r="A772">
        <v>1180</v>
      </c>
      <c r="B772">
        <v>752</v>
      </c>
      <c r="C772">
        <v>4</v>
      </c>
      <c r="D772" t="s">
        <v>8018</v>
      </c>
      <c r="E772">
        <v>1123</v>
      </c>
      <c r="F772" t="s">
        <v>6821</v>
      </c>
      <c r="G772" t="s">
        <v>6820</v>
      </c>
      <c r="H772">
        <v>201</v>
      </c>
      <c r="I772">
        <v>201</v>
      </c>
      <c r="J772">
        <v>200</v>
      </c>
      <c r="K772" s="560" t="str" cm="1">
        <f t="array" ref="K772">myRGB(H772,I772,J772)</f>
        <v/>
      </c>
    </row>
    <row r="773" spans="1:11" x14ac:dyDescent="0.2">
      <c r="A773">
        <v>1181</v>
      </c>
      <c r="B773">
        <v>1123</v>
      </c>
      <c r="C773">
        <v>5</v>
      </c>
      <c r="D773" t="s">
        <v>8019</v>
      </c>
      <c r="E773">
        <v>553</v>
      </c>
      <c r="F773" t="s">
        <v>6823</v>
      </c>
      <c r="G773" t="s">
        <v>6822</v>
      </c>
      <c r="H773">
        <v>201</v>
      </c>
      <c r="I773">
        <v>202</v>
      </c>
      <c r="J773">
        <v>202</v>
      </c>
      <c r="K773" s="637" t="str" cm="1">
        <f t="array" ref="K773">myRGB(H773,I773,J773)</f>
        <v/>
      </c>
    </row>
    <row r="774" spans="1:11" x14ac:dyDescent="0.2">
      <c r="A774">
        <v>1188</v>
      </c>
      <c r="B774">
        <v>960</v>
      </c>
      <c r="C774">
        <v>3</v>
      </c>
      <c r="D774" t="s">
        <v>8020</v>
      </c>
      <c r="E774">
        <v>728</v>
      </c>
      <c r="F774" t="s">
        <v>6837</v>
      </c>
      <c r="G774" t="s">
        <v>6836</v>
      </c>
      <c r="H774">
        <v>203</v>
      </c>
      <c r="I774">
        <v>201</v>
      </c>
      <c r="J774">
        <v>204</v>
      </c>
      <c r="K774" s="802" t="str" cm="1">
        <f t="array" ref="K774">myRGB(H774,I774,J774)</f>
        <v/>
      </c>
    </row>
    <row r="775" spans="1:11" x14ac:dyDescent="0.2">
      <c r="A775">
        <v>1189</v>
      </c>
      <c r="B775">
        <v>1009</v>
      </c>
      <c r="C775">
        <v>2</v>
      </c>
      <c r="D775" t="s">
        <v>8021</v>
      </c>
      <c r="E775">
        <v>484682512</v>
      </c>
      <c r="F775" t="s">
        <v>6839</v>
      </c>
      <c r="G775" t="s">
        <v>6838</v>
      </c>
      <c r="H775">
        <v>201</v>
      </c>
      <c r="I775">
        <v>201</v>
      </c>
      <c r="J775">
        <v>202</v>
      </c>
      <c r="K775" s="577" t="str" cm="1">
        <f t="array" ref="K775">myRGB(H775,I775,J775)</f>
        <v/>
      </c>
    </row>
    <row r="776" spans="1:11" x14ac:dyDescent="0.2">
      <c r="A776">
        <v>1190</v>
      </c>
      <c r="B776">
        <v>1009</v>
      </c>
      <c r="C776">
        <v>2</v>
      </c>
      <c r="D776" t="s">
        <v>8022</v>
      </c>
      <c r="E776">
        <v>983</v>
      </c>
      <c r="F776" t="s">
        <v>6841</v>
      </c>
      <c r="G776" t="s">
        <v>6840</v>
      </c>
      <c r="H776">
        <v>199</v>
      </c>
      <c r="I776">
        <v>204</v>
      </c>
      <c r="J776">
        <v>202</v>
      </c>
      <c r="K776" s="664" t="str" cm="1">
        <f t="array" ref="K776">myRGB(H776,I776,J776)</f>
        <v/>
      </c>
    </row>
    <row r="777" spans="1:11" x14ac:dyDescent="0.2">
      <c r="A777">
        <v>1191</v>
      </c>
      <c r="B777">
        <v>983</v>
      </c>
      <c r="C777">
        <v>3</v>
      </c>
      <c r="D777" t="s">
        <v>8023</v>
      </c>
      <c r="E777">
        <v>776</v>
      </c>
      <c r="F777" t="s">
        <v>6843</v>
      </c>
      <c r="G777" t="s">
        <v>6842</v>
      </c>
      <c r="H777">
        <v>199</v>
      </c>
      <c r="I777">
        <v>201</v>
      </c>
      <c r="J777">
        <v>202</v>
      </c>
      <c r="K777" s="551" t="str" cm="1">
        <f t="array" ref="K777">myRGB(H777,I777,J777)</f>
        <v/>
      </c>
    </row>
    <row r="778" spans="1:11" x14ac:dyDescent="0.2">
      <c r="A778">
        <v>1192</v>
      </c>
      <c r="B778">
        <v>776</v>
      </c>
      <c r="C778">
        <v>4</v>
      </c>
      <c r="D778" t="s">
        <v>8024</v>
      </c>
      <c r="E778">
        <v>956</v>
      </c>
      <c r="F778" t="s">
        <v>6845</v>
      </c>
      <c r="G778" t="s">
        <v>6844</v>
      </c>
      <c r="H778">
        <v>202</v>
      </c>
      <c r="I778">
        <v>199</v>
      </c>
      <c r="J778">
        <v>204</v>
      </c>
      <c r="K778" s="683" t="str" cm="1">
        <f t="array" ref="K778">myRGB(H778,I778,J778)</f>
        <v/>
      </c>
    </row>
    <row r="779" spans="1:11" x14ac:dyDescent="0.2">
      <c r="A779">
        <v>1193</v>
      </c>
      <c r="B779">
        <v>956</v>
      </c>
      <c r="C779">
        <v>5</v>
      </c>
      <c r="D779" t="s">
        <v>8025</v>
      </c>
      <c r="E779">
        <v>579</v>
      </c>
      <c r="F779" t="s">
        <v>6847</v>
      </c>
      <c r="G779" t="s">
        <v>6846</v>
      </c>
      <c r="H779">
        <v>200</v>
      </c>
      <c r="I779">
        <v>203</v>
      </c>
      <c r="J779">
        <v>204</v>
      </c>
      <c r="K779" s="616" t="str" cm="1">
        <f t="array" ref="K779">myRGB(H779,I779,J779)</f>
        <v/>
      </c>
    </row>
    <row r="780" spans="1:11" x14ac:dyDescent="0.2">
      <c r="A780">
        <v>1194</v>
      </c>
      <c r="B780">
        <v>776</v>
      </c>
      <c r="C780">
        <v>4</v>
      </c>
      <c r="D780" t="s">
        <v>8026</v>
      </c>
      <c r="E780">
        <v>964</v>
      </c>
      <c r="F780" t="s">
        <v>6849</v>
      </c>
      <c r="G780" t="s">
        <v>6848</v>
      </c>
      <c r="H780">
        <v>201</v>
      </c>
      <c r="I780">
        <v>200</v>
      </c>
      <c r="J780">
        <v>202</v>
      </c>
      <c r="K780" s="550" t="str" cm="1">
        <f t="array" ref="K780">myRGB(H780,I780,J780)</f>
        <v/>
      </c>
    </row>
    <row r="781" spans="1:11" x14ac:dyDescent="0.2">
      <c r="A781">
        <v>1195</v>
      </c>
      <c r="B781">
        <v>776</v>
      </c>
      <c r="C781">
        <v>4</v>
      </c>
      <c r="D781" t="s">
        <v>8027</v>
      </c>
      <c r="E781">
        <v>1108</v>
      </c>
      <c r="F781" t="s">
        <v>6851</v>
      </c>
      <c r="G781" t="s">
        <v>6850</v>
      </c>
      <c r="H781">
        <v>204</v>
      </c>
      <c r="I781">
        <v>199</v>
      </c>
      <c r="J781">
        <v>201</v>
      </c>
      <c r="K781" s="827" t="str" cm="1">
        <f t="array" ref="K781">myRGB(H781,I781,J781)</f>
        <v/>
      </c>
    </row>
    <row r="782" spans="1:11" x14ac:dyDescent="0.2">
      <c r="A782">
        <v>1196</v>
      </c>
      <c r="B782">
        <v>776</v>
      </c>
      <c r="C782">
        <v>4</v>
      </c>
      <c r="D782" t="s">
        <v>8028</v>
      </c>
      <c r="E782">
        <v>971</v>
      </c>
      <c r="F782" t="s">
        <v>6853</v>
      </c>
      <c r="G782" t="s">
        <v>6852</v>
      </c>
      <c r="H782">
        <v>200</v>
      </c>
      <c r="I782">
        <v>201</v>
      </c>
      <c r="J782">
        <v>202</v>
      </c>
      <c r="K782" s="826" t="str" cm="1">
        <f t="array" ref="K782">myRGB(H782,I782,J782)</f>
        <v/>
      </c>
    </row>
    <row r="783" spans="1:11" x14ac:dyDescent="0.2">
      <c r="A783">
        <v>1198</v>
      </c>
      <c r="B783">
        <v>776</v>
      </c>
      <c r="C783">
        <v>4</v>
      </c>
      <c r="D783" t="s">
        <v>8029</v>
      </c>
      <c r="E783">
        <v>484682516</v>
      </c>
      <c r="F783" t="s">
        <v>6857</v>
      </c>
      <c r="G783" t="s">
        <v>6856</v>
      </c>
      <c r="H783">
        <v>201</v>
      </c>
      <c r="I783">
        <v>199</v>
      </c>
      <c r="J783">
        <v>201</v>
      </c>
      <c r="K783" s="722" t="str" cm="1">
        <f t="array" ref="K783">myRGB(H783,I783,J783)</f>
        <v/>
      </c>
    </row>
    <row r="784" spans="1:11" x14ac:dyDescent="0.2">
      <c r="A784">
        <v>1199</v>
      </c>
      <c r="B784">
        <v>776</v>
      </c>
      <c r="C784">
        <v>4</v>
      </c>
      <c r="D784" t="s">
        <v>8030</v>
      </c>
      <c r="E784">
        <v>986</v>
      </c>
      <c r="F784" t="s">
        <v>6859</v>
      </c>
      <c r="G784" t="s">
        <v>6858</v>
      </c>
      <c r="H784">
        <v>199</v>
      </c>
      <c r="I784">
        <v>202</v>
      </c>
      <c r="J784">
        <v>204</v>
      </c>
      <c r="K784" s="783" t="str" cm="1">
        <f t="array" ref="K784">myRGB(H784,I784,J784)</f>
        <v/>
      </c>
    </row>
    <row r="785" spans="1:11" x14ac:dyDescent="0.2">
      <c r="A785">
        <v>1200</v>
      </c>
      <c r="B785">
        <v>983</v>
      </c>
      <c r="C785">
        <v>3</v>
      </c>
      <c r="D785" t="s">
        <v>8031</v>
      </c>
      <c r="E785">
        <v>784</v>
      </c>
      <c r="F785" t="s">
        <v>6861</v>
      </c>
      <c r="G785" t="s">
        <v>6860</v>
      </c>
      <c r="H785">
        <v>200</v>
      </c>
      <c r="I785">
        <v>199</v>
      </c>
      <c r="J785">
        <v>204</v>
      </c>
      <c r="K785" s="574" t="str" cm="1">
        <f t="array" ref="K785">myRGB(H785,I785,J785)</f>
        <v/>
      </c>
    </row>
    <row r="786" spans="1:11" x14ac:dyDescent="0.2">
      <c r="A786">
        <v>1201</v>
      </c>
      <c r="B786">
        <v>784</v>
      </c>
      <c r="C786">
        <v>4</v>
      </c>
      <c r="D786" t="s">
        <v>8032</v>
      </c>
      <c r="E786">
        <v>6</v>
      </c>
      <c r="F786" t="s">
        <v>6863</v>
      </c>
      <c r="G786" t="s">
        <v>6862</v>
      </c>
      <c r="H786">
        <v>204</v>
      </c>
      <c r="I786">
        <v>204</v>
      </c>
      <c r="J786">
        <v>204</v>
      </c>
      <c r="K786" s="847" t="str" cm="1">
        <f t="array" ref="K786">myRGB(H786,I786,J786)</f>
        <v/>
      </c>
    </row>
    <row r="787" spans="1:11" x14ac:dyDescent="0.2">
      <c r="A787">
        <v>1202</v>
      </c>
      <c r="B787">
        <v>784</v>
      </c>
      <c r="C787">
        <v>4</v>
      </c>
      <c r="D787" t="s">
        <v>8033</v>
      </c>
      <c r="E787">
        <v>924</v>
      </c>
      <c r="F787" t="s">
        <v>6865</v>
      </c>
      <c r="G787" t="s">
        <v>6864</v>
      </c>
      <c r="H787">
        <v>204</v>
      </c>
      <c r="I787">
        <v>202</v>
      </c>
      <c r="J787">
        <v>199</v>
      </c>
      <c r="K787" s="782" t="str" cm="1">
        <f t="array" ref="K787">myRGB(H787,I787,J787)</f>
        <v/>
      </c>
    </row>
    <row r="788" spans="1:11" x14ac:dyDescent="0.2">
      <c r="A788">
        <v>1207</v>
      </c>
      <c r="B788">
        <v>784</v>
      </c>
      <c r="C788">
        <v>4</v>
      </c>
      <c r="D788" t="s">
        <v>8034</v>
      </c>
      <c r="E788">
        <v>190</v>
      </c>
      <c r="F788" t="s">
        <v>6875</v>
      </c>
      <c r="G788" t="s">
        <v>6874</v>
      </c>
      <c r="H788">
        <v>199</v>
      </c>
      <c r="I788">
        <v>201</v>
      </c>
      <c r="J788">
        <v>201</v>
      </c>
      <c r="K788" s="663" t="str" cm="1">
        <f t="array" ref="K788">myRGB(H788,I788,J788)</f>
        <v/>
      </c>
    </row>
    <row r="789" spans="1:11" x14ac:dyDescent="0.2">
      <c r="A789">
        <v>1208</v>
      </c>
      <c r="B789">
        <v>784</v>
      </c>
      <c r="C789">
        <v>4</v>
      </c>
      <c r="D789" t="s">
        <v>8035</v>
      </c>
      <c r="E789">
        <v>198</v>
      </c>
      <c r="F789" t="s">
        <v>6877</v>
      </c>
      <c r="G789" t="s">
        <v>6876</v>
      </c>
      <c r="H789">
        <v>201</v>
      </c>
      <c r="I789">
        <v>199</v>
      </c>
      <c r="J789">
        <v>204</v>
      </c>
      <c r="K789" s="549" t="str" cm="1">
        <f t="array" ref="K789">myRGB(H789,I789,J789)</f>
        <v/>
      </c>
    </row>
    <row r="790" spans="1:11" x14ac:dyDescent="0.2">
      <c r="A790">
        <v>1211</v>
      </c>
      <c r="B790">
        <v>983</v>
      </c>
      <c r="C790">
        <v>3</v>
      </c>
      <c r="D790" t="s">
        <v>8036</v>
      </c>
      <c r="E790">
        <v>896</v>
      </c>
      <c r="F790" t="s">
        <v>6883</v>
      </c>
      <c r="G790" t="s">
        <v>6882</v>
      </c>
      <c r="H790">
        <v>199</v>
      </c>
      <c r="I790">
        <v>203</v>
      </c>
      <c r="J790">
        <v>204</v>
      </c>
      <c r="K790" s="721" t="str" cm="1">
        <f t="array" ref="K790">myRGB(H790,I790,J790)</f>
        <v/>
      </c>
    </row>
    <row r="791" spans="1:11" x14ac:dyDescent="0.2">
      <c r="A791">
        <v>1212</v>
      </c>
      <c r="B791">
        <v>896</v>
      </c>
      <c r="C791">
        <v>4</v>
      </c>
      <c r="D791" t="s">
        <v>8037</v>
      </c>
      <c r="E791">
        <v>1092</v>
      </c>
      <c r="F791" t="s">
        <v>6885</v>
      </c>
      <c r="G791" t="s">
        <v>6884</v>
      </c>
      <c r="H791">
        <v>199</v>
      </c>
      <c r="I791">
        <v>202</v>
      </c>
      <c r="J791">
        <v>202</v>
      </c>
      <c r="K791" s="662" t="str" cm="1">
        <f t="array" ref="K791">myRGB(H791,I791,J791)</f>
        <v/>
      </c>
    </row>
    <row r="792" spans="1:11" x14ac:dyDescent="0.2">
      <c r="A792">
        <v>1216</v>
      </c>
      <c r="B792">
        <v>896</v>
      </c>
      <c r="C792">
        <v>4</v>
      </c>
      <c r="D792" t="s">
        <v>8038</v>
      </c>
      <c r="E792">
        <v>484682520</v>
      </c>
      <c r="F792" t="s">
        <v>6893</v>
      </c>
      <c r="G792" t="s">
        <v>6892</v>
      </c>
      <c r="H792">
        <v>203</v>
      </c>
      <c r="I792">
        <v>201</v>
      </c>
      <c r="J792">
        <v>199</v>
      </c>
      <c r="K792" s="615" t="str" cm="1">
        <f t="array" ref="K792">myRGB(H792,I792,J792)</f>
        <v/>
      </c>
    </row>
    <row r="793" spans="1:11" x14ac:dyDescent="0.2">
      <c r="A793">
        <v>1217</v>
      </c>
      <c r="B793">
        <v>896</v>
      </c>
      <c r="C793">
        <v>4</v>
      </c>
      <c r="D793" t="s">
        <v>8039</v>
      </c>
      <c r="E793">
        <v>484682524</v>
      </c>
      <c r="F793" t="s">
        <v>6895</v>
      </c>
      <c r="G793" t="s">
        <v>6894</v>
      </c>
      <c r="H793">
        <v>204</v>
      </c>
      <c r="I793">
        <v>200</v>
      </c>
      <c r="J793">
        <v>202</v>
      </c>
      <c r="K793" s="800" t="str" cm="1">
        <f t="array" ref="K793">myRGB(H793,I793,J793)</f>
        <v/>
      </c>
    </row>
    <row r="794" spans="1:11" x14ac:dyDescent="0.2">
      <c r="A794">
        <v>1218</v>
      </c>
      <c r="B794">
        <v>1009</v>
      </c>
      <c r="C794">
        <v>2</v>
      </c>
      <c r="D794" t="s">
        <v>8040</v>
      </c>
      <c r="E794">
        <v>1000</v>
      </c>
      <c r="F794" t="s">
        <v>6897</v>
      </c>
      <c r="G794" t="s">
        <v>6896</v>
      </c>
      <c r="H794">
        <v>202</v>
      </c>
      <c r="I794">
        <v>203</v>
      </c>
      <c r="J794">
        <v>199</v>
      </c>
      <c r="K794" s="730" t="str" cm="1">
        <f t="array" ref="K794">myRGB(H794,I794,J794)</f>
        <v/>
      </c>
    </row>
    <row r="795" spans="1:11" x14ac:dyDescent="0.2">
      <c r="A795">
        <v>1219</v>
      </c>
      <c r="B795">
        <v>1000</v>
      </c>
      <c r="C795">
        <v>3</v>
      </c>
      <c r="D795" t="s">
        <v>8041</v>
      </c>
      <c r="E795">
        <v>760</v>
      </c>
      <c r="F795" t="s">
        <v>6899</v>
      </c>
      <c r="G795" t="s">
        <v>6898</v>
      </c>
      <c r="H795">
        <v>200</v>
      </c>
      <c r="I795">
        <v>202</v>
      </c>
      <c r="J795">
        <v>203</v>
      </c>
      <c r="K795" s="687" t="str" cm="1">
        <f t="array" ref="K795">myRGB(H795,I795,J795)</f>
        <v/>
      </c>
    </row>
    <row r="796" spans="1:11" x14ac:dyDescent="0.2">
      <c r="A796">
        <v>1221</v>
      </c>
      <c r="B796">
        <v>760</v>
      </c>
      <c r="C796">
        <v>4</v>
      </c>
      <c r="D796" t="s">
        <v>8042</v>
      </c>
      <c r="E796">
        <v>102</v>
      </c>
      <c r="F796" t="s">
        <v>6903</v>
      </c>
      <c r="G796" t="s">
        <v>6902</v>
      </c>
      <c r="H796">
        <v>204</v>
      </c>
      <c r="I796">
        <v>202</v>
      </c>
      <c r="J796">
        <v>203</v>
      </c>
      <c r="K796" s="621" t="str" cm="1">
        <f t="array" ref="K796">myRGB(H796,I796,J796)</f>
        <v/>
      </c>
    </row>
    <row r="797" spans="1:11" x14ac:dyDescent="0.2">
      <c r="A797">
        <v>1226</v>
      </c>
      <c r="B797">
        <v>1000</v>
      </c>
      <c r="C797">
        <v>3</v>
      </c>
      <c r="D797" t="s">
        <v>8043</v>
      </c>
      <c r="E797">
        <v>877</v>
      </c>
      <c r="F797" t="s">
        <v>6913</v>
      </c>
      <c r="G797" t="s">
        <v>6912</v>
      </c>
      <c r="H797">
        <v>200</v>
      </c>
      <c r="I797">
        <v>203</v>
      </c>
      <c r="J797">
        <v>201</v>
      </c>
      <c r="K797" s="636" t="str" cm="1">
        <f t="array" ref="K797">myRGB(H797,I797,J797)</f>
        <v/>
      </c>
    </row>
    <row r="798" spans="1:11" x14ac:dyDescent="0.2">
      <c r="A798">
        <v>1227</v>
      </c>
      <c r="B798">
        <v>877</v>
      </c>
      <c r="C798">
        <v>4</v>
      </c>
      <c r="D798" t="s">
        <v>8044</v>
      </c>
      <c r="E798">
        <v>1051</v>
      </c>
      <c r="F798" t="s">
        <v>6915</v>
      </c>
      <c r="G798" t="s">
        <v>6914</v>
      </c>
      <c r="H798">
        <v>203</v>
      </c>
      <c r="I798">
        <v>200</v>
      </c>
      <c r="J798">
        <v>200</v>
      </c>
      <c r="K798" s="578" t="str" cm="1">
        <f t="array" ref="K798">myRGB(H798,I798,J798)</f>
        <v/>
      </c>
    </row>
    <row r="799" spans="1:11" x14ac:dyDescent="0.2">
      <c r="A799">
        <v>1228</v>
      </c>
      <c r="B799">
        <v>877</v>
      </c>
      <c r="C799">
        <v>4</v>
      </c>
      <c r="D799" t="s">
        <v>8045</v>
      </c>
      <c r="E799">
        <v>1060</v>
      </c>
      <c r="F799" t="s">
        <v>6917</v>
      </c>
      <c r="G799" t="s">
        <v>6916</v>
      </c>
      <c r="H799">
        <v>202</v>
      </c>
      <c r="I799">
        <v>202</v>
      </c>
      <c r="J799">
        <v>199</v>
      </c>
      <c r="K799" s="790" t="str" cm="1">
        <f t="array" ref="K799">myRGB(H799,I799,J799)</f>
        <v/>
      </c>
    </row>
    <row r="800" spans="1:11" x14ac:dyDescent="0.2">
      <c r="A800">
        <v>1229</v>
      </c>
      <c r="B800">
        <v>877</v>
      </c>
      <c r="C800">
        <v>4</v>
      </c>
      <c r="D800" t="s">
        <v>8046</v>
      </c>
      <c r="E800">
        <v>1043</v>
      </c>
      <c r="F800" t="s">
        <v>6919</v>
      </c>
      <c r="G800" t="s">
        <v>6918</v>
      </c>
      <c r="H800">
        <v>200</v>
      </c>
      <c r="I800">
        <v>200</v>
      </c>
      <c r="J800">
        <v>204</v>
      </c>
      <c r="K800" s="561" t="str" cm="1">
        <f t="array" ref="K800">myRGB(H800,I800,J800)</f>
        <v/>
      </c>
    </row>
    <row r="801" spans="1:11" x14ac:dyDescent="0.2">
      <c r="A801">
        <v>1230</v>
      </c>
      <c r="B801">
        <v>1000</v>
      </c>
      <c r="C801">
        <v>3</v>
      </c>
      <c r="D801" t="s">
        <v>8047</v>
      </c>
      <c r="E801">
        <v>863</v>
      </c>
      <c r="F801" t="s">
        <v>6921</v>
      </c>
      <c r="G801" t="s">
        <v>6920</v>
      </c>
      <c r="H801">
        <v>200</v>
      </c>
      <c r="I801">
        <v>200</v>
      </c>
      <c r="J801">
        <v>203</v>
      </c>
      <c r="K801" s="688" t="str" cm="1">
        <f t="array" ref="K801">myRGB(H801,I801,J801)</f>
        <v/>
      </c>
    </row>
    <row r="802" spans="1:11" x14ac:dyDescent="0.2">
      <c r="A802">
        <v>1231</v>
      </c>
      <c r="B802">
        <v>863</v>
      </c>
      <c r="C802">
        <v>4</v>
      </c>
      <c r="D802" t="s">
        <v>8048</v>
      </c>
      <c r="E802">
        <v>397</v>
      </c>
      <c r="F802" t="s">
        <v>6923</v>
      </c>
      <c r="G802" t="s">
        <v>6922</v>
      </c>
      <c r="H802">
        <v>202</v>
      </c>
      <c r="I802">
        <v>203</v>
      </c>
      <c r="J802">
        <v>201</v>
      </c>
      <c r="K802" s="729" t="str" cm="1">
        <f t="array" ref="K802">myRGB(H802,I802,J802)</f>
        <v/>
      </c>
    </row>
    <row r="803" spans="1:11" x14ac:dyDescent="0.2">
      <c r="A803">
        <v>1238</v>
      </c>
      <c r="B803">
        <v>1009</v>
      </c>
      <c r="C803">
        <v>2</v>
      </c>
      <c r="D803" t="s">
        <v>8049</v>
      </c>
      <c r="E803">
        <v>991</v>
      </c>
      <c r="F803" t="s">
        <v>6937</v>
      </c>
      <c r="G803" t="s">
        <v>6936</v>
      </c>
      <c r="H803">
        <v>203</v>
      </c>
      <c r="I803">
        <v>202</v>
      </c>
      <c r="J803">
        <v>199</v>
      </c>
      <c r="K803" s="825" t="str" cm="1">
        <f t="array" ref="K803">myRGB(H803,I803,J803)</f>
        <v/>
      </c>
    </row>
    <row r="804" spans="1:11" x14ac:dyDescent="0.2">
      <c r="A804">
        <v>1239</v>
      </c>
      <c r="B804">
        <v>991</v>
      </c>
      <c r="C804">
        <v>3</v>
      </c>
      <c r="D804" t="s">
        <v>8050</v>
      </c>
      <c r="E804">
        <v>768</v>
      </c>
      <c r="F804" t="s">
        <v>6939</v>
      </c>
      <c r="G804" t="s">
        <v>6938</v>
      </c>
      <c r="H804">
        <v>201</v>
      </c>
      <c r="I804">
        <v>203</v>
      </c>
      <c r="J804">
        <v>199</v>
      </c>
      <c r="K804" s="720" t="str" cm="1">
        <f t="array" ref="K804">myRGB(H804,I804,J804)</f>
        <v/>
      </c>
    </row>
    <row r="805" spans="1:11" x14ac:dyDescent="0.2">
      <c r="A805">
        <v>1240</v>
      </c>
      <c r="B805">
        <v>768</v>
      </c>
      <c r="C805">
        <v>4</v>
      </c>
      <c r="D805" t="s">
        <v>8051</v>
      </c>
      <c r="E805">
        <v>884</v>
      </c>
      <c r="F805" t="s">
        <v>6941</v>
      </c>
      <c r="G805" t="s">
        <v>6940</v>
      </c>
      <c r="H805">
        <v>200</v>
      </c>
      <c r="I805">
        <v>201</v>
      </c>
      <c r="J805">
        <v>203</v>
      </c>
      <c r="K805" s="613" t="str" cm="1">
        <f t="array" ref="K805">myRGB(H805,I805,J805)</f>
        <v/>
      </c>
    </row>
    <row r="806" spans="1:11" x14ac:dyDescent="0.2">
      <c r="A806">
        <v>1242</v>
      </c>
      <c r="B806">
        <v>768</v>
      </c>
      <c r="C806">
        <v>4</v>
      </c>
      <c r="D806" t="s">
        <v>8052</v>
      </c>
      <c r="E806">
        <v>908</v>
      </c>
      <c r="F806" t="s">
        <v>6945</v>
      </c>
      <c r="G806" t="s">
        <v>6944</v>
      </c>
      <c r="H806">
        <v>201</v>
      </c>
      <c r="I806">
        <v>201</v>
      </c>
      <c r="J806">
        <v>201</v>
      </c>
      <c r="K806" s="846" t="str" cm="1">
        <f t="array" ref="K806">myRGB(H806,I806,J806)</f>
        <v/>
      </c>
    </row>
    <row r="807" spans="1:11" x14ac:dyDescent="0.2">
      <c r="A807">
        <v>1243</v>
      </c>
      <c r="B807">
        <v>768</v>
      </c>
      <c r="C807">
        <v>4</v>
      </c>
      <c r="D807" t="s">
        <v>8053</v>
      </c>
      <c r="E807">
        <v>940</v>
      </c>
      <c r="F807" t="s">
        <v>6947</v>
      </c>
      <c r="G807" t="s">
        <v>6946</v>
      </c>
      <c r="H807">
        <v>202</v>
      </c>
      <c r="I807">
        <v>204</v>
      </c>
      <c r="J807">
        <v>199</v>
      </c>
      <c r="K807" s="823" t="str" cm="1">
        <f t="array" ref="K807">myRGB(H807,I807,J807)</f>
        <v/>
      </c>
    </row>
    <row r="808" spans="1:11" x14ac:dyDescent="0.2">
      <c r="A808">
        <v>1244</v>
      </c>
      <c r="B808">
        <v>768</v>
      </c>
      <c r="C808">
        <v>4</v>
      </c>
      <c r="D808" t="s">
        <v>8054</v>
      </c>
      <c r="E808">
        <v>1099</v>
      </c>
      <c r="F808" t="s">
        <v>6949</v>
      </c>
      <c r="G808" t="s">
        <v>6948</v>
      </c>
      <c r="H808">
        <v>204</v>
      </c>
      <c r="I808">
        <v>201</v>
      </c>
      <c r="J808">
        <v>199</v>
      </c>
      <c r="K808" s="633" t="str" cm="1">
        <f t="array" ref="K808">myRGB(H808,I808,J808)</f>
        <v/>
      </c>
    </row>
    <row r="809" spans="1:11" x14ac:dyDescent="0.2">
      <c r="A809">
        <v>1245</v>
      </c>
      <c r="B809">
        <v>1099</v>
      </c>
      <c r="C809">
        <v>5</v>
      </c>
      <c r="D809" t="s">
        <v>8055</v>
      </c>
      <c r="E809">
        <v>466</v>
      </c>
      <c r="F809" t="s">
        <v>6951</v>
      </c>
      <c r="G809" t="s">
        <v>6950</v>
      </c>
      <c r="H809">
        <v>199</v>
      </c>
      <c r="I809">
        <v>200</v>
      </c>
      <c r="J809">
        <v>204</v>
      </c>
      <c r="K809" s="614" t="str" cm="1">
        <f t="array" ref="K809">myRGB(H809,I809,J809)</f>
        <v/>
      </c>
    </row>
    <row r="810" spans="1:11" x14ac:dyDescent="0.2">
      <c r="A810">
        <v>1246</v>
      </c>
      <c r="B810">
        <v>1099</v>
      </c>
      <c r="C810">
        <v>5</v>
      </c>
      <c r="D810" t="s">
        <v>8056</v>
      </c>
      <c r="E810">
        <v>530</v>
      </c>
      <c r="F810" t="s">
        <v>6953</v>
      </c>
      <c r="G810" t="s">
        <v>6952</v>
      </c>
      <c r="H810">
        <v>203</v>
      </c>
      <c r="I810">
        <v>200</v>
      </c>
      <c r="J810">
        <v>204</v>
      </c>
      <c r="K810" s="548" t="str" cm="1">
        <f t="array" ref="K810">myRGB(H810,I810,J810)</f>
        <v/>
      </c>
    </row>
    <row r="811" spans="1:11" x14ac:dyDescent="0.2">
      <c r="A811">
        <v>1247</v>
      </c>
      <c r="B811">
        <v>1099</v>
      </c>
      <c r="C811">
        <v>5</v>
      </c>
      <c r="D811" t="s">
        <v>8057</v>
      </c>
      <c r="E811">
        <v>603</v>
      </c>
      <c r="F811" t="s">
        <v>6955</v>
      </c>
      <c r="G811" t="s">
        <v>6954</v>
      </c>
      <c r="H811">
        <v>203</v>
      </c>
      <c r="I811">
        <v>200</v>
      </c>
      <c r="J811">
        <v>203</v>
      </c>
      <c r="K811" s="824" t="str" cm="1">
        <f t="array" ref="K811">myRGB(H811,I811,J811)</f>
        <v/>
      </c>
    </row>
    <row r="812" spans="1:11" x14ac:dyDescent="0.2">
      <c r="A812">
        <v>1250</v>
      </c>
      <c r="B812">
        <v>1099</v>
      </c>
      <c r="C812">
        <v>5</v>
      </c>
      <c r="D812" t="s">
        <v>8058</v>
      </c>
      <c r="E812">
        <v>737</v>
      </c>
      <c r="F812" t="s">
        <v>6961</v>
      </c>
      <c r="G812" t="s">
        <v>6960</v>
      </c>
      <c r="H812">
        <v>200</v>
      </c>
      <c r="I812">
        <v>200</v>
      </c>
      <c r="J812">
        <v>201</v>
      </c>
      <c r="K812" s="547" t="str" cm="1">
        <f t="array" ref="K812">myRGB(H812,I812,J812)</f>
        <v/>
      </c>
    </row>
    <row r="813" spans="1:11" x14ac:dyDescent="0.2">
      <c r="A813">
        <v>1251</v>
      </c>
      <c r="B813">
        <v>737</v>
      </c>
      <c r="C813">
        <v>6</v>
      </c>
      <c r="D813" t="s">
        <v>8059</v>
      </c>
      <c r="E813">
        <v>428</v>
      </c>
      <c r="F813" t="s">
        <v>6963</v>
      </c>
      <c r="G813" t="s">
        <v>6962</v>
      </c>
      <c r="H813">
        <v>204</v>
      </c>
      <c r="I813">
        <v>200</v>
      </c>
      <c r="J813">
        <v>204</v>
      </c>
      <c r="K813" s="741" t="str" cm="1">
        <f t="array" ref="K813">myRGB(H813,I813,J813)</f>
        <v/>
      </c>
    </row>
    <row r="814" spans="1:11" x14ac:dyDescent="0.2">
      <c r="A814">
        <v>1252</v>
      </c>
      <c r="B814">
        <v>737</v>
      </c>
      <c r="C814">
        <v>6</v>
      </c>
      <c r="D814" t="s">
        <v>8060</v>
      </c>
      <c r="E814">
        <v>436</v>
      </c>
      <c r="F814" t="s">
        <v>6965</v>
      </c>
      <c r="G814" t="s">
        <v>6964</v>
      </c>
      <c r="H814">
        <v>199</v>
      </c>
      <c r="I814">
        <v>200</v>
      </c>
      <c r="J814">
        <v>202</v>
      </c>
      <c r="K814" s="780" t="str" cm="1">
        <f t="array" ref="K814">myRGB(H814,I814,J814)</f>
        <v/>
      </c>
    </row>
    <row r="815" spans="1:11" x14ac:dyDescent="0.2">
      <c r="A815">
        <v>1253</v>
      </c>
      <c r="B815">
        <v>1099</v>
      </c>
      <c r="C815">
        <v>5</v>
      </c>
      <c r="D815" t="s">
        <v>8061</v>
      </c>
      <c r="E815">
        <v>618</v>
      </c>
      <c r="F815" t="s">
        <v>6967</v>
      </c>
      <c r="G815" t="s">
        <v>6966</v>
      </c>
      <c r="H815">
        <v>201</v>
      </c>
      <c r="I815">
        <v>201</v>
      </c>
      <c r="J815">
        <v>204</v>
      </c>
      <c r="K815" s="781" t="str" cm="1">
        <f t="array" ref="K815">myRGB(H815,I815,J815)</f>
        <v/>
      </c>
    </row>
    <row r="816" spans="1:11" x14ac:dyDescent="0.2">
      <c r="A816">
        <v>1254</v>
      </c>
      <c r="B816">
        <v>618</v>
      </c>
      <c r="C816">
        <v>6</v>
      </c>
      <c r="D816" t="s">
        <v>8062</v>
      </c>
      <c r="E816">
        <v>443</v>
      </c>
      <c r="F816" t="s">
        <v>6969</v>
      </c>
      <c r="G816" t="s">
        <v>6968</v>
      </c>
      <c r="H816">
        <v>201</v>
      </c>
      <c r="I816">
        <v>204</v>
      </c>
      <c r="J816">
        <v>201</v>
      </c>
      <c r="K816" s="682" t="str" cm="1">
        <f t="array" ref="K816">myRGB(H816,I816,J816)</f>
        <v/>
      </c>
    </row>
    <row r="817" spans="1:11" x14ac:dyDescent="0.2">
      <c r="A817">
        <v>1255</v>
      </c>
      <c r="B817">
        <v>618</v>
      </c>
      <c r="C817">
        <v>6</v>
      </c>
      <c r="D817" t="s">
        <v>8063</v>
      </c>
      <c r="E817">
        <v>449</v>
      </c>
      <c r="F817" t="s">
        <v>6971</v>
      </c>
      <c r="G817" t="s">
        <v>6970</v>
      </c>
      <c r="H817">
        <v>200</v>
      </c>
      <c r="I817">
        <v>201</v>
      </c>
      <c r="J817">
        <v>201</v>
      </c>
      <c r="K817" s="661" t="str" cm="1">
        <f t="array" ref="K817">myRGB(H817,I817,J817)</f>
        <v/>
      </c>
    </row>
    <row r="818" spans="1:11" x14ac:dyDescent="0.2">
      <c r="A818">
        <v>1259</v>
      </c>
      <c r="B818">
        <v>768</v>
      </c>
      <c r="C818">
        <v>4</v>
      </c>
      <c r="D818" t="s">
        <v>8064</v>
      </c>
      <c r="E818">
        <v>301</v>
      </c>
      <c r="F818" t="s">
        <v>6979</v>
      </c>
      <c r="G818" t="s">
        <v>6978</v>
      </c>
      <c r="H818">
        <v>200</v>
      </c>
      <c r="I818">
        <v>203</v>
      </c>
      <c r="J818">
        <v>199</v>
      </c>
      <c r="K818" s="719" t="str" cm="1">
        <f t="array" ref="K818">myRGB(H818,I818,J818)</f>
        <v/>
      </c>
    </row>
    <row r="819" spans="1:11" x14ac:dyDescent="0.2">
      <c r="A819">
        <v>1260</v>
      </c>
      <c r="B819">
        <v>301</v>
      </c>
      <c r="C819">
        <v>5</v>
      </c>
      <c r="D819" t="s">
        <v>8090</v>
      </c>
      <c r="E819">
        <v>301</v>
      </c>
      <c r="F819" t="s">
        <v>6981</v>
      </c>
      <c r="G819" t="s">
        <v>6980</v>
      </c>
      <c r="H819">
        <v>199</v>
      </c>
      <c r="I819">
        <v>202</v>
      </c>
      <c r="J819">
        <v>200</v>
      </c>
      <c r="K819" s="660" t="str" cm="1">
        <f t="array" ref="K819">myRGB(H819,I819,J819)</f>
        <v/>
      </c>
    </row>
    <row r="820" spans="1:11" x14ac:dyDescent="0.2">
      <c r="A820">
        <v>1261</v>
      </c>
      <c r="B820">
        <v>991</v>
      </c>
      <c r="C820">
        <v>3</v>
      </c>
      <c r="D820" t="s">
        <v>8065</v>
      </c>
      <c r="E820">
        <v>824</v>
      </c>
      <c r="F820" t="s">
        <v>6983</v>
      </c>
      <c r="G820" t="s">
        <v>6982</v>
      </c>
      <c r="H820">
        <v>200</v>
      </c>
      <c r="I820">
        <v>204</v>
      </c>
      <c r="J820">
        <v>201</v>
      </c>
      <c r="K820" s="718" t="str" cm="1">
        <f t="array" ref="K820">myRGB(H820,I820,J820)</f>
        <v/>
      </c>
    </row>
    <row r="821" spans="1:11" x14ac:dyDescent="0.2">
      <c r="A821">
        <v>1262</v>
      </c>
      <c r="B821">
        <v>824</v>
      </c>
      <c r="C821">
        <v>4</v>
      </c>
      <c r="D821" t="s">
        <v>8066</v>
      </c>
      <c r="E821">
        <v>54</v>
      </c>
      <c r="F821" t="s">
        <v>6985</v>
      </c>
      <c r="G821" t="s">
        <v>6984</v>
      </c>
      <c r="H821">
        <v>203</v>
      </c>
      <c r="I821">
        <v>204</v>
      </c>
      <c r="J821">
        <v>203</v>
      </c>
      <c r="K821" s="717" t="str" cm="1">
        <f t="array" ref="K821">myRGB(H821,I821,J821)</f>
        <v/>
      </c>
    </row>
    <row r="822" spans="1:11" x14ac:dyDescent="0.2">
      <c r="A822">
        <v>1265</v>
      </c>
      <c r="B822">
        <v>824</v>
      </c>
      <c r="C822">
        <v>4</v>
      </c>
      <c r="D822" t="s">
        <v>8067</v>
      </c>
      <c r="E822">
        <v>349</v>
      </c>
      <c r="F822" t="s">
        <v>6991</v>
      </c>
      <c r="G822" t="s">
        <v>6990</v>
      </c>
      <c r="H822">
        <v>204</v>
      </c>
      <c r="I822">
        <v>202</v>
      </c>
      <c r="J822">
        <v>201</v>
      </c>
      <c r="K822" s="779" t="str" cm="1">
        <f t="array" ref="K822">myRGB(H822,I822,J822)</f>
        <v/>
      </c>
    </row>
    <row r="823" spans="1:11" x14ac:dyDescent="0.2">
      <c r="A823">
        <v>1277</v>
      </c>
      <c r="B823">
        <v>824</v>
      </c>
      <c r="C823">
        <v>4</v>
      </c>
      <c r="D823" t="s">
        <v>8068</v>
      </c>
      <c r="E823">
        <v>46</v>
      </c>
      <c r="F823" t="s">
        <v>7015</v>
      </c>
      <c r="G823" t="s">
        <v>7014</v>
      </c>
      <c r="H823">
        <v>204</v>
      </c>
      <c r="I823">
        <v>203</v>
      </c>
      <c r="J823">
        <v>203</v>
      </c>
      <c r="K823" s="573" t="str" cm="1">
        <f t="array" ref="K823">myRGB(H823,I823,J823)</f>
        <v/>
      </c>
    </row>
    <row r="824" spans="1:11" x14ac:dyDescent="0.2">
      <c r="A824">
        <v>1278</v>
      </c>
      <c r="B824">
        <v>46</v>
      </c>
      <c r="C824">
        <v>5</v>
      </c>
      <c r="D824" t="s">
        <v>8069</v>
      </c>
      <c r="E824">
        <v>753</v>
      </c>
      <c r="F824" t="s">
        <v>7017</v>
      </c>
      <c r="G824" t="s">
        <v>7016</v>
      </c>
      <c r="H824">
        <v>200</v>
      </c>
      <c r="I824">
        <v>203</v>
      </c>
      <c r="J824">
        <v>202</v>
      </c>
      <c r="K824" s="778" t="str" cm="1">
        <f t="array" ref="K824">myRGB(H824,I824,J824)</f>
        <v/>
      </c>
    </row>
    <row r="825" spans="1:11" x14ac:dyDescent="0.2">
      <c r="A825">
        <v>1279</v>
      </c>
      <c r="B825">
        <v>46</v>
      </c>
      <c r="C825">
        <v>5</v>
      </c>
      <c r="D825" t="s">
        <v>8070</v>
      </c>
      <c r="E825">
        <v>690</v>
      </c>
      <c r="F825" t="s">
        <v>7019</v>
      </c>
      <c r="G825" t="s">
        <v>7018</v>
      </c>
      <c r="H825">
        <v>199</v>
      </c>
      <c r="I825">
        <v>201</v>
      </c>
      <c r="J825">
        <v>204</v>
      </c>
      <c r="K825" s="740" t="str" cm="1">
        <f t="array" ref="K825">myRGB(H825,I825,J825)</f>
        <v/>
      </c>
    </row>
    <row r="826" spans="1:11" x14ac:dyDescent="0.2">
      <c r="A826">
        <v>1280</v>
      </c>
      <c r="B826">
        <v>46</v>
      </c>
      <c r="C826">
        <v>5</v>
      </c>
      <c r="D826" t="s">
        <v>8071</v>
      </c>
      <c r="E826">
        <v>681</v>
      </c>
      <c r="F826" t="s">
        <v>7021</v>
      </c>
      <c r="G826" t="s">
        <v>7020</v>
      </c>
      <c r="H826">
        <v>200</v>
      </c>
      <c r="I826">
        <v>200</v>
      </c>
      <c r="J826">
        <v>200</v>
      </c>
      <c r="K826" s="545" t="str" cm="1">
        <f t="array" ref="K826">myRGB(H826,I826,J826)</f>
        <v/>
      </c>
    </row>
    <row r="827" spans="1:11" x14ac:dyDescent="0.2">
      <c r="A827">
        <v>1281</v>
      </c>
      <c r="B827">
        <v>46</v>
      </c>
      <c r="C827">
        <v>5</v>
      </c>
      <c r="D827" t="s">
        <v>8072</v>
      </c>
      <c r="E827">
        <v>673</v>
      </c>
      <c r="F827" t="s">
        <v>7023</v>
      </c>
      <c r="G827" t="s">
        <v>7022</v>
      </c>
      <c r="H827">
        <v>204</v>
      </c>
      <c r="I827">
        <v>202</v>
      </c>
      <c r="J827">
        <v>200</v>
      </c>
      <c r="K827" s="659" t="str" cm="1">
        <f t="array" ref="K827">myRGB(H827,I827,J827)</f>
        <v/>
      </c>
    </row>
    <row r="828" spans="1:11" x14ac:dyDescent="0.2">
      <c r="A828">
        <v>1284</v>
      </c>
      <c r="B828">
        <v>824</v>
      </c>
      <c r="C828">
        <v>4</v>
      </c>
      <c r="D828" t="s">
        <v>8073</v>
      </c>
      <c r="E828">
        <v>1083</v>
      </c>
      <c r="F828" t="s">
        <v>7029</v>
      </c>
      <c r="G828" t="s">
        <v>7028</v>
      </c>
      <c r="H828">
        <v>200</v>
      </c>
      <c r="I828">
        <v>199</v>
      </c>
      <c r="J828">
        <v>203</v>
      </c>
      <c r="K828" s="632" t="str" cm="1">
        <f t="array" ref="K828">myRGB(H828,I828,J828)</f>
        <v/>
      </c>
    </row>
    <row r="829" spans="1:11" x14ac:dyDescent="0.2">
      <c r="A829">
        <v>1285</v>
      </c>
      <c r="B829">
        <v>1083</v>
      </c>
      <c r="C829">
        <v>5</v>
      </c>
      <c r="D829" t="s">
        <v>8074</v>
      </c>
      <c r="E829">
        <v>802</v>
      </c>
      <c r="F829" t="s">
        <v>7031</v>
      </c>
      <c r="G829" t="s">
        <v>7030</v>
      </c>
      <c r="H829">
        <v>204</v>
      </c>
      <c r="I829">
        <v>201</v>
      </c>
      <c r="J829">
        <v>200</v>
      </c>
      <c r="K829" s="822" t="str" cm="1">
        <f t="array" ref="K829">myRGB(H829,I829,J829)</f>
        <v/>
      </c>
    </row>
    <row r="830" spans="1:11" x14ac:dyDescent="0.2">
      <c r="A830">
        <v>1286</v>
      </c>
      <c r="B830">
        <v>1083</v>
      </c>
      <c r="C830">
        <v>5</v>
      </c>
      <c r="D830" t="s">
        <v>8075</v>
      </c>
      <c r="E830">
        <v>595</v>
      </c>
      <c r="F830" t="s">
        <v>7033</v>
      </c>
      <c r="G830" t="s">
        <v>7032</v>
      </c>
      <c r="H830">
        <v>199</v>
      </c>
      <c r="I830">
        <v>202</v>
      </c>
      <c r="J830">
        <v>201</v>
      </c>
      <c r="K830" s="612" t="str" cm="1">
        <f t="array" ref="K830">myRGB(H830,I830,J830)</f>
        <v/>
      </c>
    </row>
    <row r="831" spans="1:11" x14ac:dyDescent="0.2">
      <c r="A831">
        <v>1287</v>
      </c>
      <c r="B831">
        <v>1083</v>
      </c>
      <c r="C831">
        <v>5</v>
      </c>
      <c r="D831" t="s">
        <v>8076</v>
      </c>
      <c r="E831">
        <v>611</v>
      </c>
      <c r="F831" t="s">
        <v>7035</v>
      </c>
      <c r="G831" t="s">
        <v>7034</v>
      </c>
      <c r="H831">
        <v>200</v>
      </c>
      <c r="I831">
        <v>204</v>
      </c>
      <c r="J831">
        <v>199</v>
      </c>
      <c r="K831" s="546" t="str" cm="1">
        <f t="array" ref="K831">myRGB(H831,I831,J831)</f>
        <v/>
      </c>
    </row>
    <row r="832" spans="1:11" x14ac:dyDescent="0.2">
      <c r="A832">
        <v>1292</v>
      </c>
      <c r="B832">
        <v>997</v>
      </c>
      <c r="C832">
        <v>1</v>
      </c>
      <c r="D832" t="s">
        <v>8077</v>
      </c>
      <c r="E832">
        <v>73</v>
      </c>
      <c r="F832" t="s">
        <v>7045</v>
      </c>
      <c r="G832" t="s">
        <v>7044</v>
      </c>
      <c r="H832">
        <v>170</v>
      </c>
      <c r="I832">
        <v>168</v>
      </c>
      <c r="J832">
        <v>170</v>
      </c>
      <c r="K832" s="658" t="str" cm="1">
        <f t="array" ref="K832">myRGB(H832,I832,J832)</f>
        <v/>
      </c>
    </row>
    <row r="833" spans="1:11" x14ac:dyDescent="0.2">
      <c r="A833">
        <v>1293</v>
      </c>
      <c r="B833">
        <v>73</v>
      </c>
      <c r="C833">
        <v>2</v>
      </c>
      <c r="D833" t="s">
        <v>8078</v>
      </c>
      <c r="E833">
        <v>81</v>
      </c>
      <c r="F833" t="s">
        <v>7047</v>
      </c>
      <c r="G833" t="s">
        <v>7046</v>
      </c>
      <c r="H833">
        <v>168</v>
      </c>
      <c r="I833">
        <v>170</v>
      </c>
      <c r="J833">
        <v>170</v>
      </c>
      <c r="K833" s="610" t="str" cm="1">
        <f t="array" ref="K833">myRGB(H833,I833,J833)</f>
        <v/>
      </c>
    </row>
    <row r="834" spans="1:11" x14ac:dyDescent="0.2">
      <c r="A834">
        <v>1295</v>
      </c>
      <c r="B834">
        <v>81</v>
      </c>
      <c r="C834">
        <v>3</v>
      </c>
      <c r="D834" t="s">
        <v>8079</v>
      </c>
      <c r="E834">
        <v>98</v>
      </c>
      <c r="F834" t="s">
        <v>7051</v>
      </c>
      <c r="G834" t="s">
        <v>7050</v>
      </c>
      <c r="H834">
        <v>170</v>
      </c>
      <c r="I834">
        <v>168</v>
      </c>
      <c r="J834">
        <v>169</v>
      </c>
      <c r="K834" s="820" t="str" cm="1">
        <f t="array" ref="K834">myRGB(H834,I834,J834)</f>
        <v/>
      </c>
    </row>
    <row r="835" spans="1:11" x14ac:dyDescent="0.2">
      <c r="A835">
        <v>1296</v>
      </c>
      <c r="B835">
        <v>81</v>
      </c>
      <c r="C835">
        <v>3</v>
      </c>
      <c r="D835" t="s">
        <v>8080</v>
      </c>
      <c r="E835">
        <v>108</v>
      </c>
      <c r="F835" t="s">
        <v>7053</v>
      </c>
      <c r="G835" t="s">
        <v>7052</v>
      </c>
      <c r="H835">
        <v>169</v>
      </c>
      <c r="I835">
        <v>170</v>
      </c>
      <c r="J835">
        <v>168</v>
      </c>
      <c r="K835" s="544" t="str" cm="1">
        <f t="array" ref="K835">myRGB(H835,I835,J835)</f>
        <v/>
      </c>
    </row>
    <row r="836" spans="1:11" x14ac:dyDescent="0.2">
      <c r="A836">
        <v>1299</v>
      </c>
      <c r="B836">
        <v>73</v>
      </c>
      <c r="C836">
        <v>2</v>
      </c>
      <c r="D836" t="s">
        <v>8081</v>
      </c>
      <c r="E836">
        <v>129</v>
      </c>
      <c r="F836" t="s">
        <v>7059</v>
      </c>
      <c r="G836" t="s">
        <v>7058</v>
      </c>
      <c r="H836">
        <v>168</v>
      </c>
      <c r="I836">
        <v>169</v>
      </c>
      <c r="J836">
        <v>170</v>
      </c>
      <c r="K836" s="611" t="str" cm="1">
        <f t="array" ref="K836">myRGB(H836,I836,J836)</f>
        <v/>
      </c>
    </row>
    <row r="837" spans="1:11" x14ac:dyDescent="0.2">
      <c r="A837">
        <v>1300</v>
      </c>
      <c r="B837">
        <v>73</v>
      </c>
      <c r="C837">
        <v>2</v>
      </c>
      <c r="D837" t="s">
        <v>8082</v>
      </c>
      <c r="E837">
        <v>140</v>
      </c>
      <c r="F837" t="s">
        <v>7061</v>
      </c>
      <c r="G837" t="s">
        <v>7060</v>
      </c>
      <c r="H837">
        <v>169</v>
      </c>
      <c r="I837">
        <v>169</v>
      </c>
      <c r="J837">
        <v>168</v>
      </c>
      <c r="K837" s="799" t="str" cm="1">
        <f t="array" ref="K837">myRGB(H837,I837,J837)</f>
        <v/>
      </c>
    </row>
    <row r="838" spans="1:11" x14ac:dyDescent="0.2">
      <c r="A838">
        <v>1301</v>
      </c>
      <c r="B838">
        <v>73</v>
      </c>
      <c r="C838">
        <v>2</v>
      </c>
      <c r="D838" t="s">
        <v>8083</v>
      </c>
      <c r="E838">
        <v>145</v>
      </c>
      <c r="F838" t="s">
        <v>7063</v>
      </c>
      <c r="G838" t="s">
        <v>7062</v>
      </c>
      <c r="H838">
        <v>170</v>
      </c>
      <c r="I838">
        <v>169</v>
      </c>
      <c r="J838">
        <v>167</v>
      </c>
      <c r="K838" s="821" t="str" cm="1">
        <f t="array" ref="K838">myRGB(H838,I838,J838)</f>
        <v/>
      </c>
    </row>
    <row r="839" spans="1:11" x14ac:dyDescent="0.2">
      <c r="A839">
        <v>1302</v>
      </c>
      <c r="B839">
        <v>145</v>
      </c>
      <c r="C839">
        <v>3</v>
      </c>
      <c r="D839" t="s">
        <v>8084</v>
      </c>
      <c r="E839">
        <v>153</v>
      </c>
      <c r="F839" t="s">
        <v>7065</v>
      </c>
      <c r="G839" t="s">
        <v>7064</v>
      </c>
      <c r="H839">
        <v>169</v>
      </c>
      <c r="I839">
        <v>170</v>
      </c>
      <c r="J839">
        <v>167</v>
      </c>
      <c r="K839" s="716" t="str" cm="1">
        <f t="array" ref="K839">myRGB(H839,I839,J839)</f>
        <v/>
      </c>
    </row>
    <row r="840" spans="1:11" x14ac:dyDescent="0.2">
      <c r="A840">
        <v>1303</v>
      </c>
      <c r="B840">
        <v>73</v>
      </c>
      <c r="C840">
        <v>2</v>
      </c>
      <c r="D840" t="s">
        <v>8085</v>
      </c>
      <c r="E840">
        <v>164</v>
      </c>
      <c r="F840" t="s">
        <v>7238</v>
      </c>
      <c r="G840" t="s">
        <v>7066</v>
      </c>
      <c r="H840">
        <v>167</v>
      </c>
      <c r="I840">
        <v>170</v>
      </c>
      <c r="J840">
        <v>169</v>
      </c>
      <c r="K840" s="572" t="str" cm="1">
        <f t="array" ref="K840">myRGB(H840,I840,J840)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00209-481C-6043-A34D-63D1CEAE8F9D}">
  <sheetPr codeName="Sheet5"/>
  <dimension ref="A1:K840"/>
  <sheetViews>
    <sheetView workbookViewId="0">
      <selection activeCell="M17" sqref="M17"/>
    </sheetView>
  </sheetViews>
  <sheetFormatPr baseColWidth="10" defaultRowHeight="16" x14ac:dyDescent="0.2"/>
  <cols>
    <col min="4" max="4" width="51.5" bestFit="1" customWidth="1"/>
  </cols>
  <sheetData>
    <row r="1" spans="1:11" x14ac:dyDescent="0.2">
      <c r="A1" s="4" t="s">
        <v>7239</v>
      </c>
      <c r="B1" s="4" t="s">
        <v>7243</v>
      </c>
      <c r="C1" s="4" t="s">
        <v>7244</v>
      </c>
      <c r="D1" s="4" t="s">
        <v>7245</v>
      </c>
      <c r="E1" s="4" t="s">
        <v>7240</v>
      </c>
      <c r="F1" s="4" t="s">
        <v>7241</v>
      </c>
      <c r="G1" s="4" t="s">
        <v>7242</v>
      </c>
      <c r="H1" s="4" t="s">
        <v>3983</v>
      </c>
      <c r="I1" s="4" t="s">
        <v>3984</v>
      </c>
      <c r="J1" s="4" t="s">
        <v>3985</v>
      </c>
    </row>
    <row r="2" spans="1:11" x14ac:dyDescent="0.2">
      <c r="A2">
        <v>560</v>
      </c>
      <c r="B2">
        <v>942</v>
      </c>
      <c r="C2">
        <v>6</v>
      </c>
      <c r="D2" t="s">
        <v>7609</v>
      </c>
      <c r="E2">
        <v>966</v>
      </c>
      <c r="F2" t="s">
        <v>5583</v>
      </c>
      <c r="G2" t="s">
        <v>5582</v>
      </c>
      <c r="H2">
        <v>160</v>
      </c>
      <c r="I2">
        <v>237</v>
      </c>
      <c r="J2">
        <v>157</v>
      </c>
      <c r="K2" s="11" t="str" cm="1">
        <f t="array" ref="K2">myRGB(H2,I2,J2)</f>
        <v/>
      </c>
    </row>
    <row r="3" spans="1:11" x14ac:dyDescent="0.2">
      <c r="A3">
        <v>559</v>
      </c>
      <c r="B3">
        <v>942</v>
      </c>
      <c r="C3">
        <v>6</v>
      </c>
      <c r="D3" t="s">
        <v>7608</v>
      </c>
      <c r="E3">
        <v>952</v>
      </c>
      <c r="F3" t="s">
        <v>5581</v>
      </c>
      <c r="G3" t="s">
        <v>5580</v>
      </c>
      <c r="H3">
        <v>160</v>
      </c>
      <c r="I3">
        <v>238</v>
      </c>
      <c r="J3">
        <v>156</v>
      </c>
      <c r="K3" s="12" t="str" cm="1">
        <f t="array" ref="K3">myRGB(H3,I3,J3)</f>
        <v/>
      </c>
    </row>
    <row r="4" spans="1:11" x14ac:dyDescent="0.2">
      <c r="A4">
        <v>558</v>
      </c>
      <c r="B4">
        <v>703</v>
      </c>
      <c r="C4">
        <v>5</v>
      </c>
      <c r="D4" t="s">
        <v>7607</v>
      </c>
      <c r="E4">
        <v>942</v>
      </c>
      <c r="F4" t="s">
        <v>5579</v>
      </c>
      <c r="G4" t="s">
        <v>5578</v>
      </c>
      <c r="H4">
        <v>160</v>
      </c>
      <c r="I4">
        <v>238</v>
      </c>
      <c r="J4">
        <v>157</v>
      </c>
      <c r="K4" s="66" t="str" cm="1">
        <f t="array" ref="K4">myRGB(H4,I4,J4)</f>
        <v/>
      </c>
    </row>
    <row r="5" spans="1:11" x14ac:dyDescent="0.2">
      <c r="A5">
        <v>569</v>
      </c>
      <c r="B5">
        <v>703</v>
      </c>
      <c r="C5">
        <v>5</v>
      </c>
      <c r="D5" t="s">
        <v>7618</v>
      </c>
      <c r="E5">
        <v>780</v>
      </c>
      <c r="F5" t="s">
        <v>5601</v>
      </c>
      <c r="G5" t="s">
        <v>5600</v>
      </c>
      <c r="H5">
        <v>151</v>
      </c>
      <c r="I5">
        <v>236</v>
      </c>
      <c r="J5">
        <v>147</v>
      </c>
      <c r="K5" s="89" t="str" cm="1">
        <f t="array" ref="K5">myRGB(H5,I5,J5)</f>
        <v/>
      </c>
    </row>
    <row r="6" spans="1:11" x14ac:dyDescent="0.2">
      <c r="A6">
        <v>557</v>
      </c>
      <c r="B6">
        <v>703</v>
      </c>
      <c r="C6">
        <v>5</v>
      </c>
      <c r="D6" t="s">
        <v>7606</v>
      </c>
      <c r="E6">
        <v>583</v>
      </c>
      <c r="F6" t="s">
        <v>5577</v>
      </c>
      <c r="G6" t="s">
        <v>5576</v>
      </c>
      <c r="H6">
        <v>138</v>
      </c>
      <c r="I6">
        <v>218</v>
      </c>
      <c r="J6">
        <v>134</v>
      </c>
      <c r="K6" s="112" t="str" cm="1">
        <f t="array" ref="K6">myRGB(H6,I6,J6)</f>
        <v/>
      </c>
    </row>
    <row r="7" spans="1:11" x14ac:dyDescent="0.2">
      <c r="A7">
        <v>568</v>
      </c>
      <c r="B7">
        <v>319</v>
      </c>
      <c r="C7">
        <v>6</v>
      </c>
      <c r="D7" t="s">
        <v>7617</v>
      </c>
      <c r="E7">
        <v>334</v>
      </c>
      <c r="F7" t="s">
        <v>5599</v>
      </c>
      <c r="G7" t="s">
        <v>5598</v>
      </c>
      <c r="H7">
        <v>132</v>
      </c>
      <c r="I7">
        <v>233</v>
      </c>
      <c r="J7">
        <v>129</v>
      </c>
      <c r="K7" s="13" t="str" cm="1">
        <f t="array" ref="K7">myRGB(H7,I7,J7)</f>
        <v/>
      </c>
    </row>
    <row r="8" spans="1:11" x14ac:dyDescent="0.2">
      <c r="A8">
        <v>567</v>
      </c>
      <c r="B8">
        <v>319</v>
      </c>
      <c r="C8">
        <v>6</v>
      </c>
      <c r="D8" t="s">
        <v>7616</v>
      </c>
      <c r="E8">
        <v>327</v>
      </c>
      <c r="F8" t="s">
        <v>5597</v>
      </c>
      <c r="G8" t="s">
        <v>5596</v>
      </c>
      <c r="H8">
        <v>132</v>
      </c>
      <c r="I8">
        <v>234</v>
      </c>
      <c r="J8">
        <v>128</v>
      </c>
      <c r="K8" s="67" t="str" cm="1">
        <f t="array" ref="K8">myRGB(H8,I8,J8)</f>
        <v/>
      </c>
    </row>
    <row r="9" spans="1:11" x14ac:dyDescent="0.2">
      <c r="A9">
        <v>566</v>
      </c>
      <c r="B9">
        <v>703</v>
      </c>
      <c r="C9">
        <v>5</v>
      </c>
      <c r="D9" t="s">
        <v>7615</v>
      </c>
      <c r="E9">
        <v>319</v>
      </c>
      <c r="F9" t="s">
        <v>5595</v>
      </c>
      <c r="G9" t="s">
        <v>5594</v>
      </c>
      <c r="H9">
        <v>132</v>
      </c>
      <c r="I9">
        <v>234</v>
      </c>
      <c r="J9">
        <v>129</v>
      </c>
      <c r="K9" s="90" t="str" cm="1">
        <f t="array" ref="K9">myRGB(H9,I9,J9)</f>
        <v/>
      </c>
    </row>
    <row r="10" spans="1:11" x14ac:dyDescent="0.2">
      <c r="A10">
        <v>565</v>
      </c>
      <c r="B10">
        <v>295</v>
      </c>
      <c r="C10">
        <v>6</v>
      </c>
      <c r="D10" t="s">
        <v>7614</v>
      </c>
      <c r="E10">
        <v>451</v>
      </c>
      <c r="F10" t="s">
        <v>5593</v>
      </c>
      <c r="G10" t="s">
        <v>5592</v>
      </c>
      <c r="H10">
        <v>156</v>
      </c>
      <c r="I10">
        <v>231</v>
      </c>
      <c r="J10">
        <v>156</v>
      </c>
      <c r="K10" s="171" t="str" cm="1">
        <f t="array" ref="K10">myRGB(H10,I10,J10)</f>
        <v/>
      </c>
    </row>
    <row r="11" spans="1:11" x14ac:dyDescent="0.2">
      <c r="A11">
        <v>564</v>
      </c>
      <c r="B11">
        <v>295</v>
      </c>
      <c r="C11">
        <v>6</v>
      </c>
      <c r="D11" t="s">
        <v>7613</v>
      </c>
      <c r="E11">
        <v>311</v>
      </c>
      <c r="F11" t="s">
        <v>5591</v>
      </c>
      <c r="G11" t="s">
        <v>5590</v>
      </c>
      <c r="H11">
        <v>157</v>
      </c>
      <c r="I11">
        <v>230</v>
      </c>
      <c r="J11">
        <v>156</v>
      </c>
      <c r="K11" s="14" t="str" cm="1">
        <f t="array" ref="K11">myRGB(H11,I11,J11)</f>
        <v/>
      </c>
    </row>
    <row r="12" spans="1:11" x14ac:dyDescent="0.2">
      <c r="A12">
        <v>563</v>
      </c>
      <c r="B12">
        <v>295</v>
      </c>
      <c r="C12">
        <v>6</v>
      </c>
      <c r="D12" t="s">
        <v>7612</v>
      </c>
      <c r="E12">
        <v>303</v>
      </c>
      <c r="F12" t="s">
        <v>5589</v>
      </c>
      <c r="G12" t="s">
        <v>5588</v>
      </c>
      <c r="H12">
        <v>157</v>
      </c>
      <c r="I12">
        <v>231</v>
      </c>
      <c r="J12">
        <v>155</v>
      </c>
      <c r="K12" s="68" t="str" cm="1">
        <f t="array" ref="K12">myRGB(H12,I12,J12)</f>
        <v/>
      </c>
    </row>
    <row r="13" spans="1:11" x14ac:dyDescent="0.2">
      <c r="A13">
        <v>562</v>
      </c>
      <c r="B13">
        <v>703</v>
      </c>
      <c r="C13">
        <v>5</v>
      </c>
      <c r="D13" t="s">
        <v>7611</v>
      </c>
      <c r="E13">
        <v>295</v>
      </c>
      <c r="F13" t="s">
        <v>5587</v>
      </c>
      <c r="G13" t="s">
        <v>5586</v>
      </c>
      <c r="H13">
        <v>157</v>
      </c>
      <c r="I13">
        <v>231</v>
      </c>
      <c r="J13">
        <v>156</v>
      </c>
      <c r="K13" s="91" t="str" cm="1">
        <f t="array" ref="K13">myRGB(H13,I13,J13)</f>
        <v/>
      </c>
    </row>
    <row r="14" spans="1:11" x14ac:dyDescent="0.2">
      <c r="A14">
        <v>561</v>
      </c>
      <c r="B14">
        <v>703</v>
      </c>
      <c r="C14">
        <v>5</v>
      </c>
      <c r="D14" t="s">
        <v>7610</v>
      </c>
      <c r="E14">
        <v>131</v>
      </c>
      <c r="F14" t="s">
        <v>5585</v>
      </c>
      <c r="G14" t="s">
        <v>5584</v>
      </c>
      <c r="H14">
        <v>144</v>
      </c>
      <c r="I14">
        <v>235</v>
      </c>
      <c r="J14">
        <v>141</v>
      </c>
      <c r="K14" s="237" t="str" cm="1">
        <f t="array" ref="K14">myRGB(H14,I14,J14)</f>
        <v/>
      </c>
    </row>
    <row r="15" spans="1:11" x14ac:dyDescent="0.2">
      <c r="A15">
        <v>555</v>
      </c>
      <c r="B15">
        <v>688</v>
      </c>
      <c r="C15">
        <v>4</v>
      </c>
      <c r="D15" t="s">
        <v>7605</v>
      </c>
      <c r="E15">
        <v>703</v>
      </c>
      <c r="F15" t="s">
        <v>5573</v>
      </c>
      <c r="G15" t="s">
        <v>5572</v>
      </c>
      <c r="H15">
        <v>138</v>
      </c>
      <c r="I15">
        <v>217</v>
      </c>
      <c r="J15">
        <v>135</v>
      </c>
      <c r="K15" s="15" t="str" cm="1">
        <f t="array" ref="K15">myRGB(H15,I15,J15)</f>
        <v/>
      </c>
    </row>
    <row r="16" spans="1:11" x14ac:dyDescent="0.2">
      <c r="A16">
        <v>416</v>
      </c>
      <c r="B16">
        <v>698</v>
      </c>
      <c r="C16">
        <v>6</v>
      </c>
      <c r="D16" t="s">
        <v>7562</v>
      </c>
      <c r="E16">
        <v>961</v>
      </c>
      <c r="F16" t="s">
        <v>5305</v>
      </c>
      <c r="G16" t="s">
        <v>5304</v>
      </c>
      <c r="H16">
        <v>106</v>
      </c>
      <c r="I16">
        <v>202</v>
      </c>
      <c r="J16">
        <v>185</v>
      </c>
      <c r="K16" s="69" t="str" cm="1">
        <f t="array" ref="K16">myRGB(H16,I16,J16)</f>
        <v/>
      </c>
    </row>
    <row r="17" spans="1:11" x14ac:dyDescent="0.2">
      <c r="A17">
        <v>410</v>
      </c>
      <c r="B17">
        <v>698</v>
      </c>
      <c r="C17">
        <v>6</v>
      </c>
      <c r="D17" t="s">
        <v>7561</v>
      </c>
      <c r="E17">
        <v>814</v>
      </c>
      <c r="F17" t="s">
        <v>5295</v>
      </c>
      <c r="G17" t="s">
        <v>5294</v>
      </c>
      <c r="H17">
        <v>163</v>
      </c>
      <c r="I17">
        <v>218</v>
      </c>
      <c r="J17">
        <v>163</v>
      </c>
      <c r="K17" s="92" t="str" cm="1">
        <f t="array" ref="K17">myRGB(H17,I17,J17)</f>
        <v/>
      </c>
    </row>
    <row r="18" spans="1:11" x14ac:dyDescent="0.2">
      <c r="A18">
        <v>444</v>
      </c>
      <c r="B18">
        <v>698</v>
      </c>
      <c r="C18">
        <v>6</v>
      </c>
      <c r="D18" t="s">
        <v>7572</v>
      </c>
      <c r="E18">
        <v>788</v>
      </c>
      <c r="F18" t="s">
        <v>5361</v>
      </c>
      <c r="G18" t="s">
        <v>5360</v>
      </c>
      <c r="H18">
        <v>89</v>
      </c>
      <c r="I18">
        <v>217</v>
      </c>
      <c r="J18">
        <v>170</v>
      </c>
      <c r="K18" s="309" t="str" cm="1">
        <f t="array" ref="K18">myRGB(H18,I18,J18)</f>
        <v/>
      </c>
    </row>
    <row r="19" spans="1:11" x14ac:dyDescent="0.2">
      <c r="A19">
        <v>438</v>
      </c>
      <c r="B19">
        <v>647</v>
      </c>
      <c r="C19">
        <v>8</v>
      </c>
      <c r="D19" t="s">
        <v>7571</v>
      </c>
      <c r="E19">
        <v>663</v>
      </c>
      <c r="F19" t="s">
        <v>5349</v>
      </c>
      <c r="G19" t="s">
        <v>5348</v>
      </c>
      <c r="H19">
        <v>96</v>
      </c>
      <c r="I19">
        <v>230</v>
      </c>
      <c r="J19">
        <v>181</v>
      </c>
      <c r="K19" s="16" t="str" cm="1">
        <f t="array" ref="K19">myRGB(H19,I19,J19)</f>
        <v/>
      </c>
    </row>
    <row r="20" spans="1:11" x14ac:dyDescent="0.2">
      <c r="A20">
        <v>432</v>
      </c>
      <c r="B20">
        <v>647</v>
      </c>
      <c r="C20">
        <v>8</v>
      </c>
      <c r="D20" t="s">
        <v>7570</v>
      </c>
      <c r="E20">
        <v>655</v>
      </c>
      <c r="F20" t="s">
        <v>5337</v>
      </c>
      <c r="G20" t="s">
        <v>5336</v>
      </c>
      <c r="H20">
        <v>95</v>
      </c>
      <c r="I20">
        <v>230</v>
      </c>
      <c r="J20">
        <v>183</v>
      </c>
      <c r="K20" s="70" t="str" cm="1">
        <f t="array" ref="K20">myRGB(H20,I20,J20)</f>
        <v/>
      </c>
    </row>
    <row r="21" spans="1:11" x14ac:dyDescent="0.2">
      <c r="A21">
        <v>431</v>
      </c>
      <c r="B21">
        <v>631</v>
      </c>
      <c r="C21">
        <v>7</v>
      </c>
      <c r="D21" t="s">
        <v>7569</v>
      </c>
      <c r="E21">
        <v>647</v>
      </c>
      <c r="F21" t="s">
        <v>5335</v>
      </c>
      <c r="G21" t="s">
        <v>5334</v>
      </c>
      <c r="H21">
        <v>95</v>
      </c>
      <c r="I21">
        <v>231</v>
      </c>
      <c r="J21">
        <v>182</v>
      </c>
      <c r="K21" s="93" t="str" cm="1">
        <f t="array" ref="K21">myRGB(H21,I21,J21)</f>
        <v/>
      </c>
    </row>
    <row r="22" spans="1:11" x14ac:dyDescent="0.2">
      <c r="A22">
        <v>427</v>
      </c>
      <c r="B22">
        <v>631</v>
      </c>
      <c r="C22">
        <v>7</v>
      </c>
      <c r="D22" t="s">
        <v>7568</v>
      </c>
      <c r="E22">
        <v>639</v>
      </c>
      <c r="F22" t="s">
        <v>5327</v>
      </c>
      <c r="G22" t="s">
        <v>5326</v>
      </c>
      <c r="H22">
        <v>96</v>
      </c>
      <c r="I22">
        <v>229</v>
      </c>
      <c r="J22">
        <v>183</v>
      </c>
      <c r="K22" s="113" t="str" cm="1">
        <f t="array" ref="K22">myRGB(H22,I22,J22)</f>
        <v/>
      </c>
    </row>
    <row r="23" spans="1:11" x14ac:dyDescent="0.2">
      <c r="A23">
        <v>426</v>
      </c>
      <c r="B23">
        <v>698</v>
      </c>
      <c r="C23">
        <v>6</v>
      </c>
      <c r="D23" t="s">
        <v>7567</v>
      </c>
      <c r="E23">
        <v>631</v>
      </c>
      <c r="F23" t="s">
        <v>5325</v>
      </c>
      <c r="G23" t="s">
        <v>5324</v>
      </c>
      <c r="H23">
        <v>96</v>
      </c>
      <c r="I23">
        <v>231</v>
      </c>
      <c r="J23">
        <v>181</v>
      </c>
      <c r="K23" s="17" t="str" cm="1">
        <f t="array" ref="K23">myRGB(H23,I23,J23)</f>
        <v/>
      </c>
    </row>
    <row r="24" spans="1:11" x14ac:dyDescent="0.2">
      <c r="A24">
        <v>424</v>
      </c>
      <c r="B24">
        <v>619</v>
      </c>
      <c r="C24">
        <v>7</v>
      </c>
      <c r="D24" t="s">
        <v>7565</v>
      </c>
      <c r="E24">
        <v>268</v>
      </c>
      <c r="F24" t="s">
        <v>5321</v>
      </c>
      <c r="G24" t="s">
        <v>5320</v>
      </c>
      <c r="H24">
        <v>149</v>
      </c>
      <c r="I24">
        <v>227</v>
      </c>
      <c r="J24">
        <v>200</v>
      </c>
      <c r="K24" s="71" t="str" cm="1">
        <f t="array" ref="K24">myRGB(H24,I24,J24)</f>
        <v/>
      </c>
    </row>
    <row r="25" spans="1:11" x14ac:dyDescent="0.2">
      <c r="A25">
        <v>423</v>
      </c>
      <c r="B25">
        <v>619</v>
      </c>
      <c r="C25">
        <v>7</v>
      </c>
      <c r="D25" t="s">
        <v>7564</v>
      </c>
      <c r="E25">
        <v>260</v>
      </c>
      <c r="F25" t="s">
        <v>5319</v>
      </c>
      <c r="G25" t="s">
        <v>5318</v>
      </c>
      <c r="H25">
        <v>149</v>
      </c>
      <c r="I25">
        <v>228</v>
      </c>
      <c r="J25">
        <v>199</v>
      </c>
      <c r="K25" s="94" t="str" cm="1">
        <f t="array" ref="K25">myRGB(H25,I25,J25)</f>
        <v/>
      </c>
    </row>
    <row r="26" spans="1:11" x14ac:dyDescent="0.2">
      <c r="A26">
        <v>425</v>
      </c>
      <c r="B26">
        <v>619</v>
      </c>
      <c r="C26">
        <v>7</v>
      </c>
      <c r="D26" t="s">
        <v>7566</v>
      </c>
      <c r="E26">
        <v>1139</v>
      </c>
      <c r="F26" t="s">
        <v>5323</v>
      </c>
      <c r="G26" t="s">
        <v>5322</v>
      </c>
      <c r="H26">
        <v>148</v>
      </c>
      <c r="I26">
        <v>228</v>
      </c>
      <c r="J26">
        <v>199</v>
      </c>
      <c r="K26" s="172" t="str" cm="1">
        <f t="array" ref="K26">myRGB(H26,I26,J26)</f>
        <v/>
      </c>
    </row>
    <row r="27" spans="1:11" x14ac:dyDescent="0.2">
      <c r="A27">
        <v>421</v>
      </c>
      <c r="B27">
        <v>698</v>
      </c>
      <c r="C27">
        <v>6</v>
      </c>
      <c r="D27" t="s">
        <v>7563</v>
      </c>
      <c r="E27">
        <v>619</v>
      </c>
      <c r="F27" t="s">
        <v>5315</v>
      </c>
      <c r="G27" t="s">
        <v>5314</v>
      </c>
      <c r="H27">
        <v>149</v>
      </c>
      <c r="I27">
        <v>227</v>
      </c>
      <c r="J27">
        <v>199</v>
      </c>
      <c r="K27" s="18" t="str" cm="1">
        <f t="array" ref="K27">myRGB(H27,I27,J27)</f>
        <v/>
      </c>
    </row>
    <row r="28" spans="1:11" x14ac:dyDescent="0.2">
      <c r="A28">
        <v>405</v>
      </c>
      <c r="B28">
        <v>589</v>
      </c>
      <c r="C28">
        <v>7</v>
      </c>
      <c r="D28" t="s">
        <v>7560</v>
      </c>
      <c r="E28">
        <v>605</v>
      </c>
      <c r="F28" t="s">
        <v>5285</v>
      </c>
      <c r="G28" t="s">
        <v>5284</v>
      </c>
      <c r="H28">
        <v>98</v>
      </c>
      <c r="I28">
        <v>207</v>
      </c>
      <c r="J28">
        <v>158</v>
      </c>
      <c r="K28" s="72" t="str" cm="1">
        <f t="array" ref="K28">myRGB(H28,I28,J28)</f>
        <v/>
      </c>
    </row>
    <row r="29" spans="1:11" x14ac:dyDescent="0.2">
      <c r="A29">
        <v>399</v>
      </c>
      <c r="B29">
        <v>589</v>
      </c>
      <c r="C29">
        <v>7</v>
      </c>
      <c r="D29" t="s">
        <v>7559</v>
      </c>
      <c r="E29">
        <v>597</v>
      </c>
      <c r="F29" t="s">
        <v>5273</v>
      </c>
      <c r="G29" t="s">
        <v>5272</v>
      </c>
      <c r="H29">
        <v>97</v>
      </c>
      <c r="I29">
        <v>208</v>
      </c>
      <c r="J29">
        <v>159</v>
      </c>
      <c r="K29" s="95" t="str" cm="1">
        <f t="array" ref="K29">myRGB(H29,I29,J29)</f>
        <v/>
      </c>
    </row>
    <row r="30" spans="1:11" x14ac:dyDescent="0.2">
      <c r="A30">
        <v>398</v>
      </c>
      <c r="B30">
        <v>698</v>
      </c>
      <c r="C30">
        <v>6</v>
      </c>
      <c r="D30" t="s">
        <v>7558</v>
      </c>
      <c r="E30">
        <v>589</v>
      </c>
      <c r="F30" t="s">
        <v>5271</v>
      </c>
      <c r="G30" t="s">
        <v>5270</v>
      </c>
      <c r="H30">
        <v>98</v>
      </c>
      <c r="I30">
        <v>207</v>
      </c>
      <c r="J30">
        <v>159</v>
      </c>
      <c r="K30" s="238" t="str" cm="1">
        <f t="array" ref="K30">myRGB(H30,I30,J30)</f>
        <v/>
      </c>
    </row>
    <row r="31" spans="1:11" x14ac:dyDescent="0.2">
      <c r="A31">
        <v>449</v>
      </c>
      <c r="B31">
        <v>698</v>
      </c>
      <c r="C31">
        <v>6</v>
      </c>
      <c r="D31" t="s">
        <v>7573</v>
      </c>
      <c r="E31">
        <v>566</v>
      </c>
      <c r="F31" t="s">
        <v>5371</v>
      </c>
      <c r="G31" t="s">
        <v>5370</v>
      </c>
      <c r="H31">
        <v>168</v>
      </c>
      <c r="I31">
        <v>236</v>
      </c>
      <c r="J31">
        <v>210</v>
      </c>
      <c r="K31" s="19" t="str" cm="1">
        <f t="array" ref="K31">myRGB(H31,I31,J31)</f>
        <v/>
      </c>
    </row>
    <row r="32" spans="1:11" x14ac:dyDescent="0.2">
      <c r="A32">
        <v>380</v>
      </c>
      <c r="B32">
        <v>698</v>
      </c>
      <c r="C32">
        <v>6</v>
      </c>
      <c r="D32" t="s">
        <v>7552</v>
      </c>
      <c r="E32">
        <v>507</v>
      </c>
      <c r="F32" t="s">
        <v>5235</v>
      </c>
      <c r="G32" t="s">
        <v>5234</v>
      </c>
      <c r="H32">
        <v>154</v>
      </c>
      <c r="I32">
        <v>209</v>
      </c>
      <c r="J32">
        <v>189</v>
      </c>
      <c r="K32" s="73" t="str" cm="1">
        <f t="array" ref="K32">myRGB(H32,I32,J32)</f>
        <v/>
      </c>
    </row>
    <row r="33" spans="1:11" x14ac:dyDescent="0.2">
      <c r="A33">
        <v>390</v>
      </c>
      <c r="B33">
        <v>698</v>
      </c>
      <c r="C33">
        <v>6</v>
      </c>
      <c r="D33" t="s">
        <v>7557</v>
      </c>
      <c r="E33">
        <v>159</v>
      </c>
      <c r="F33" t="s">
        <v>5255</v>
      </c>
      <c r="G33" t="s">
        <v>5254</v>
      </c>
      <c r="H33">
        <v>84</v>
      </c>
      <c r="I33">
        <v>191</v>
      </c>
      <c r="J33">
        <v>148</v>
      </c>
      <c r="K33" s="96" t="str" cm="1">
        <f t="array" ref="K33">myRGB(H33,I33,J33)</f>
        <v/>
      </c>
    </row>
    <row r="34" spans="1:11" x14ac:dyDescent="0.2">
      <c r="A34">
        <v>389</v>
      </c>
      <c r="B34">
        <v>151</v>
      </c>
      <c r="C34">
        <v>7</v>
      </c>
      <c r="D34" t="s">
        <v>7556</v>
      </c>
      <c r="E34">
        <v>204</v>
      </c>
      <c r="F34" t="s">
        <v>5253</v>
      </c>
      <c r="G34" t="s">
        <v>5252</v>
      </c>
      <c r="H34">
        <v>157</v>
      </c>
      <c r="I34">
        <v>239</v>
      </c>
      <c r="J34">
        <v>210</v>
      </c>
      <c r="K34" s="310" t="str" cm="1">
        <f t="array" ref="K34">myRGB(H34,I34,J34)</f>
        <v/>
      </c>
    </row>
    <row r="35" spans="1:11" x14ac:dyDescent="0.2">
      <c r="A35">
        <v>388</v>
      </c>
      <c r="B35">
        <v>151</v>
      </c>
      <c r="C35">
        <v>7</v>
      </c>
      <c r="D35" t="s">
        <v>7555</v>
      </c>
      <c r="E35">
        <v>196</v>
      </c>
      <c r="F35" t="s">
        <v>5251</v>
      </c>
      <c r="G35" t="s">
        <v>5250</v>
      </c>
      <c r="H35">
        <v>149</v>
      </c>
      <c r="I35">
        <v>228</v>
      </c>
      <c r="J35">
        <v>200</v>
      </c>
      <c r="K35" s="20" t="str" cm="1">
        <f t="array" ref="K35">myRGB(H35,I35,J35)</f>
        <v/>
      </c>
    </row>
    <row r="36" spans="1:11" x14ac:dyDescent="0.2">
      <c r="A36">
        <v>387</v>
      </c>
      <c r="B36">
        <v>151</v>
      </c>
      <c r="C36">
        <v>7</v>
      </c>
      <c r="D36" t="s">
        <v>7554</v>
      </c>
      <c r="E36">
        <v>188</v>
      </c>
      <c r="F36" t="s">
        <v>5249</v>
      </c>
      <c r="G36" t="s">
        <v>5248</v>
      </c>
      <c r="H36">
        <v>157</v>
      </c>
      <c r="I36">
        <v>240</v>
      </c>
      <c r="J36">
        <v>209</v>
      </c>
      <c r="K36" s="74" t="str" cm="1">
        <f t="array" ref="K36">myRGB(H36,I36,J36)</f>
        <v/>
      </c>
    </row>
    <row r="37" spans="1:11" x14ac:dyDescent="0.2">
      <c r="A37">
        <v>386</v>
      </c>
      <c r="B37">
        <v>698</v>
      </c>
      <c r="C37">
        <v>6</v>
      </c>
      <c r="D37" t="s">
        <v>7553</v>
      </c>
      <c r="E37">
        <v>151</v>
      </c>
      <c r="F37" t="s">
        <v>5247</v>
      </c>
      <c r="G37" t="s">
        <v>5246</v>
      </c>
      <c r="H37">
        <v>157</v>
      </c>
      <c r="I37">
        <v>240</v>
      </c>
      <c r="J37">
        <v>210</v>
      </c>
      <c r="K37" s="97" t="str" cm="1">
        <f t="array" ref="K37">myRGB(H37,I37,J37)</f>
        <v/>
      </c>
    </row>
    <row r="38" spans="1:11" x14ac:dyDescent="0.2">
      <c r="A38">
        <v>379</v>
      </c>
      <c r="B38">
        <v>695</v>
      </c>
      <c r="C38">
        <v>5</v>
      </c>
      <c r="D38" t="s">
        <v>7551</v>
      </c>
      <c r="E38">
        <v>698</v>
      </c>
      <c r="F38" t="s">
        <v>5233</v>
      </c>
      <c r="G38" t="s">
        <v>5232</v>
      </c>
      <c r="H38">
        <v>153</v>
      </c>
      <c r="I38">
        <v>210</v>
      </c>
      <c r="J38">
        <v>189</v>
      </c>
      <c r="K38" s="114" t="str" cm="1">
        <f t="array" ref="K38">myRGB(H38,I38,J38)</f>
        <v/>
      </c>
    </row>
    <row r="39" spans="1:11" x14ac:dyDescent="0.2">
      <c r="A39">
        <v>243</v>
      </c>
      <c r="B39">
        <v>972</v>
      </c>
      <c r="C39">
        <v>7</v>
      </c>
      <c r="D39" t="s">
        <v>7453</v>
      </c>
      <c r="E39">
        <v>84</v>
      </c>
      <c r="F39" t="s">
        <v>5005</v>
      </c>
      <c r="G39" t="s">
        <v>5004</v>
      </c>
      <c r="H39">
        <v>47</v>
      </c>
      <c r="I39">
        <v>168</v>
      </c>
      <c r="J39">
        <v>80</v>
      </c>
      <c r="K39" s="21" t="str" cm="1">
        <f t="array" ref="K39">myRGB(H39,I39,J39)</f>
        <v/>
      </c>
    </row>
    <row r="40" spans="1:11" x14ac:dyDescent="0.2">
      <c r="A40">
        <v>242</v>
      </c>
      <c r="B40">
        <v>972</v>
      </c>
      <c r="C40">
        <v>7</v>
      </c>
      <c r="D40" t="s">
        <v>7452</v>
      </c>
      <c r="E40">
        <v>363</v>
      </c>
      <c r="F40" t="s">
        <v>5003</v>
      </c>
      <c r="G40" t="s">
        <v>5002</v>
      </c>
      <c r="H40">
        <v>46</v>
      </c>
      <c r="I40">
        <v>168</v>
      </c>
      <c r="J40">
        <v>79</v>
      </c>
      <c r="K40" s="75" t="str" cm="1">
        <f t="array" ref="K40">myRGB(H40,I40,J40)</f>
        <v/>
      </c>
    </row>
    <row r="41" spans="1:11" x14ac:dyDescent="0.2">
      <c r="A41">
        <v>241</v>
      </c>
      <c r="B41">
        <v>972</v>
      </c>
      <c r="C41">
        <v>7</v>
      </c>
      <c r="D41" t="s">
        <v>7451</v>
      </c>
      <c r="E41">
        <v>304</v>
      </c>
      <c r="F41" t="s">
        <v>7207</v>
      </c>
      <c r="G41" t="s">
        <v>7146</v>
      </c>
      <c r="H41">
        <v>47</v>
      </c>
      <c r="I41">
        <v>167</v>
      </c>
      <c r="J41">
        <v>79</v>
      </c>
      <c r="K41" s="98" t="str" cm="1">
        <f t="array" ref="K41">myRGB(H41,I41,J41)</f>
        <v/>
      </c>
    </row>
    <row r="42" spans="1:11" x14ac:dyDescent="0.2">
      <c r="A42">
        <v>239</v>
      </c>
      <c r="B42">
        <v>972</v>
      </c>
      <c r="C42">
        <v>7</v>
      </c>
      <c r="D42" t="s">
        <v>7450</v>
      </c>
      <c r="E42">
        <v>171</v>
      </c>
      <c r="F42" t="s">
        <v>4999</v>
      </c>
      <c r="G42" t="s">
        <v>4998</v>
      </c>
      <c r="H42">
        <v>47</v>
      </c>
      <c r="I42">
        <v>167</v>
      </c>
      <c r="J42">
        <v>80</v>
      </c>
      <c r="K42" s="173" t="str" cm="1">
        <f t="array" ref="K42">myRGB(H42,I42,J42)</f>
        <v/>
      </c>
    </row>
    <row r="43" spans="1:11" x14ac:dyDescent="0.2">
      <c r="A43">
        <v>244</v>
      </c>
      <c r="B43">
        <v>972</v>
      </c>
      <c r="C43">
        <v>7</v>
      </c>
      <c r="D43" t="s">
        <v>7454</v>
      </c>
      <c r="E43">
        <v>132</v>
      </c>
      <c r="F43" t="s">
        <v>5007</v>
      </c>
      <c r="G43" t="s">
        <v>5006</v>
      </c>
      <c r="H43">
        <v>47</v>
      </c>
      <c r="I43">
        <v>168</v>
      </c>
      <c r="J43">
        <v>79</v>
      </c>
      <c r="K43" s="22" t="str" cm="1">
        <f t="array" ref="K43">myRGB(H43,I43,J43)</f>
        <v/>
      </c>
    </row>
    <row r="44" spans="1:11" x14ac:dyDescent="0.2">
      <c r="A44">
        <v>238</v>
      </c>
      <c r="B44">
        <v>315</v>
      </c>
      <c r="C44">
        <v>6</v>
      </c>
      <c r="D44" t="s">
        <v>7449</v>
      </c>
      <c r="E44">
        <v>972</v>
      </c>
      <c r="F44" t="s">
        <v>4997</v>
      </c>
      <c r="G44" t="s">
        <v>4996</v>
      </c>
      <c r="H44">
        <v>46</v>
      </c>
      <c r="I44">
        <v>167</v>
      </c>
      <c r="J44">
        <v>80</v>
      </c>
      <c r="K44" s="76" t="str" cm="1">
        <f t="array" ref="K44">myRGB(H44,I44,J44)</f>
        <v/>
      </c>
    </row>
    <row r="45" spans="1:11" x14ac:dyDescent="0.2">
      <c r="A45">
        <v>294</v>
      </c>
      <c r="B45">
        <v>119</v>
      </c>
      <c r="C45">
        <v>8</v>
      </c>
      <c r="D45" t="s">
        <v>7496</v>
      </c>
      <c r="E45">
        <v>800</v>
      </c>
      <c r="F45" t="s">
        <v>5091</v>
      </c>
      <c r="G45" t="s">
        <v>5090</v>
      </c>
      <c r="H45">
        <v>31</v>
      </c>
      <c r="I45">
        <v>152</v>
      </c>
      <c r="J45">
        <v>101</v>
      </c>
      <c r="K45" s="99" t="str" cm="1">
        <f t="array" ref="K45">myRGB(H45,I45,J45)</f>
        <v/>
      </c>
    </row>
    <row r="46" spans="1:11" x14ac:dyDescent="0.2">
      <c r="A46">
        <v>292</v>
      </c>
      <c r="B46">
        <v>119</v>
      </c>
      <c r="C46">
        <v>8</v>
      </c>
      <c r="D46" t="s">
        <v>7494</v>
      </c>
      <c r="E46">
        <v>704</v>
      </c>
      <c r="F46" t="s">
        <v>5089</v>
      </c>
      <c r="G46" t="s">
        <v>5088</v>
      </c>
      <c r="H46">
        <v>32</v>
      </c>
      <c r="I46">
        <v>152</v>
      </c>
      <c r="J46">
        <v>100</v>
      </c>
      <c r="K46" s="239" t="str" cm="1">
        <f t="array" ref="K46">myRGB(H46,I46,J46)</f>
        <v/>
      </c>
    </row>
    <row r="47" spans="1:11" x14ac:dyDescent="0.2">
      <c r="A47">
        <v>296</v>
      </c>
      <c r="B47">
        <v>119</v>
      </c>
      <c r="C47">
        <v>8</v>
      </c>
      <c r="D47" t="s">
        <v>7498</v>
      </c>
      <c r="E47">
        <v>699</v>
      </c>
      <c r="F47" t="s">
        <v>5095</v>
      </c>
      <c r="G47" t="s">
        <v>5094</v>
      </c>
      <c r="H47">
        <v>33</v>
      </c>
      <c r="I47">
        <v>150</v>
      </c>
      <c r="J47">
        <v>101</v>
      </c>
      <c r="K47" s="23" t="str" cm="1">
        <f t="array" ref="K47">myRGB(H47,I47,J47)</f>
        <v/>
      </c>
    </row>
    <row r="48" spans="1:11" x14ac:dyDescent="0.2">
      <c r="A48">
        <v>293</v>
      </c>
      <c r="B48">
        <v>119</v>
      </c>
      <c r="C48">
        <v>8</v>
      </c>
      <c r="D48" t="s">
        <v>7495</v>
      </c>
      <c r="E48">
        <v>694</v>
      </c>
      <c r="F48" t="s">
        <v>7215</v>
      </c>
      <c r="G48" t="s">
        <v>7154</v>
      </c>
      <c r="H48">
        <v>33</v>
      </c>
      <c r="I48">
        <v>151</v>
      </c>
      <c r="J48">
        <v>100</v>
      </c>
      <c r="K48" s="77" t="str" cm="1">
        <f t="array" ref="K48">myRGB(H48,I48,J48)</f>
        <v/>
      </c>
    </row>
    <row r="49" spans="1:11" x14ac:dyDescent="0.2">
      <c r="A49">
        <v>295</v>
      </c>
      <c r="B49">
        <v>119</v>
      </c>
      <c r="C49">
        <v>8</v>
      </c>
      <c r="D49" t="s">
        <v>7497</v>
      </c>
      <c r="E49">
        <v>675</v>
      </c>
      <c r="F49" t="s">
        <v>5093</v>
      </c>
      <c r="G49" t="s">
        <v>5092</v>
      </c>
      <c r="H49">
        <v>31</v>
      </c>
      <c r="I49">
        <v>152</v>
      </c>
      <c r="J49">
        <v>102</v>
      </c>
      <c r="K49" s="100" t="str" cm="1">
        <f t="array" ref="K49">myRGB(H49,I49,J49)</f>
        <v/>
      </c>
    </row>
    <row r="50" spans="1:11" x14ac:dyDescent="0.2">
      <c r="A50">
        <v>291</v>
      </c>
      <c r="B50">
        <v>95</v>
      </c>
      <c r="C50">
        <v>7</v>
      </c>
      <c r="D50" t="s">
        <v>7493</v>
      </c>
      <c r="E50">
        <v>119</v>
      </c>
      <c r="F50" t="s">
        <v>5087</v>
      </c>
      <c r="G50" t="s">
        <v>5086</v>
      </c>
      <c r="H50">
        <v>32</v>
      </c>
      <c r="I50">
        <v>152</v>
      </c>
      <c r="J50">
        <v>102</v>
      </c>
      <c r="K50" s="311" t="str" cm="1">
        <f t="array" ref="K50">myRGB(H50,I50,J50)</f>
        <v/>
      </c>
    </row>
    <row r="51" spans="1:11" x14ac:dyDescent="0.2">
      <c r="A51">
        <v>290</v>
      </c>
      <c r="B51">
        <v>111</v>
      </c>
      <c r="C51">
        <v>8</v>
      </c>
      <c r="D51" t="s">
        <v>7492</v>
      </c>
      <c r="E51">
        <v>355</v>
      </c>
      <c r="F51" t="s">
        <v>5085</v>
      </c>
      <c r="G51" t="s">
        <v>5084</v>
      </c>
      <c r="H51">
        <v>33</v>
      </c>
      <c r="I51">
        <v>150</v>
      </c>
      <c r="J51">
        <v>102</v>
      </c>
      <c r="K51" s="24" t="str" cm="1">
        <f t="array" ref="K51">myRGB(H51,I51,J51)</f>
        <v/>
      </c>
    </row>
    <row r="52" spans="1:11" x14ac:dyDescent="0.2">
      <c r="A52">
        <v>288</v>
      </c>
      <c r="B52">
        <v>111</v>
      </c>
      <c r="C52">
        <v>8</v>
      </c>
      <c r="D52" t="s">
        <v>7490</v>
      </c>
      <c r="E52">
        <v>344</v>
      </c>
      <c r="F52" t="s">
        <v>5081</v>
      </c>
      <c r="G52" t="s">
        <v>5080</v>
      </c>
      <c r="H52">
        <v>33</v>
      </c>
      <c r="I52">
        <v>152</v>
      </c>
      <c r="J52">
        <v>100</v>
      </c>
      <c r="K52" s="78" t="str" cm="1">
        <f t="array" ref="K52">myRGB(H52,I52,J52)</f>
        <v/>
      </c>
    </row>
    <row r="53" spans="1:11" x14ac:dyDescent="0.2">
      <c r="A53">
        <v>289</v>
      </c>
      <c r="B53">
        <v>111</v>
      </c>
      <c r="C53">
        <v>8</v>
      </c>
      <c r="D53" t="s">
        <v>7491</v>
      </c>
      <c r="E53">
        <v>314</v>
      </c>
      <c r="F53" t="s">
        <v>5083</v>
      </c>
      <c r="G53" t="s">
        <v>5082</v>
      </c>
      <c r="H53">
        <v>32</v>
      </c>
      <c r="I53">
        <v>151</v>
      </c>
      <c r="J53">
        <v>102</v>
      </c>
      <c r="K53" s="101" t="str" cm="1">
        <f t="array" ref="K53">myRGB(H53,I53,J53)</f>
        <v/>
      </c>
    </row>
    <row r="54" spans="1:11" x14ac:dyDescent="0.2">
      <c r="A54">
        <v>287</v>
      </c>
      <c r="B54">
        <v>111</v>
      </c>
      <c r="C54">
        <v>8</v>
      </c>
      <c r="D54" t="s">
        <v>7489</v>
      </c>
      <c r="E54">
        <v>163</v>
      </c>
      <c r="F54" t="s">
        <v>7214</v>
      </c>
      <c r="G54" t="s">
        <v>7153</v>
      </c>
      <c r="H54">
        <v>32</v>
      </c>
      <c r="I54">
        <v>152</v>
      </c>
      <c r="J54">
        <v>101</v>
      </c>
      <c r="K54" s="115" t="str" cm="1">
        <f t="array" ref="K54">myRGB(H54,I54,J54)</f>
        <v/>
      </c>
    </row>
    <row r="55" spans="1:11" x14ac:dyDescent="0.2">
      <c r="A55">
        <v>286</v>
      </c>
      <c r="B55">
        <v>111</v>
      </c>
      <c r="C55">
        <v>8</v>
      </c>
      <c r="D55" t="s">
        <v>7488</v>
      </c>
      <c r="E55">
        <v>120</v>
      </c>
      <c r="F55" t="s">
        <v>5079</v>
      </c>
      <c r="G55" t="s">
        <v>5078</v>
      </c>
      <c r="H55">
        <v>33</v>
      </c>
      <c r="I55">
        <v>151</v>
      </c>
      <c r="J55">
        <v>101</v>
      </c>
      <c r="K55" s="25" t="str" cm="1">
        <f t="array" ref="K55">myRGB(H55,I55,J55)</f>
        <v/>
      </c>
    </row>
    <row r="56" spans="1:11" x14ac:dyDescent="0.2">
      <c r="A56">
        <v>285</v>
      </c>
      <c r="B56">
        <v>95</v>
      </c>
      <c r="C56">
        <v>7</v>
      </c>
      <c r="D56" t="s">
        <v>7487</v>
      </c>
      <c r="E56">
        <v>111</v>
      </c>
      <c r="F56" t="s">
        <v>5077</v>
      </c>
      <c r="G56" t="s">
        <v>5076</v>
      </c>
      <c r="H56">
        <v>33</v>
      </c>
      <c r="I56">
        <v>151</v>
      </c>
      <c r="J56">
        <v>102</v>
      </c>
      <c r="K56" s="79" t="str" cm="1">
        <f t="array" ref="K56">myRGB(H56,I56,J56)</f>
        <v/>
      </c>
    </row>
    <row r="57" spans="1:11" x14ac:dyDescent="0.2">
      <c r="A57">
        <v>280</v>
      </c>
      <c r="B57">
        <v>104</v>
      </c>
      <c r="C57">
        <v>8</v>
      </c>
      <c r="D57" t="s">
        <v>7482</v>
      </c>
      <c r="E57">
        <v>996</v>
      </c>
      <c r="F57" t="s">
        <v>5069</v>
      </c>
      <c r="G57" t="s">
        <v>5068</v>
      </c>
      <c r="H57">
        <v>32</v>
      </c>
      <c r="I57">
        <v>151</v>
      </c>
      <c r="J57">
        <v>100</v>
      </c>
      <c r="K57" s="102" t="str" cm="1">
        <f t="array" ref="K57">myRGB(H57,I57,J57)</f>
        <v/>
      </c>
    </row>
    <row r="58" spans="1:11" x14ac:dyDescent="0.2">
      <c r="A58">
        <v>284</v>
      </c>
      <c r="B58">
        <v>104</v>
      </c>
      <c r="C58">
        <v>8</v>
      </c>
      <c r="D58" t="s">
        <v>7486</v>
      </c>
      <c r="E58">
        <v>831</v>
      </c>
      <c r="F58" t="s">
        <v>5075</v>
      </c>
      <c r="G58" t="s">
        <v>5074</v>
      </c>
      <c r="H58">
        <v>31</v>
      </c>
      <c r="I58">
        <v>151</v>
      </c>
      <c r="J58">
        <v>102</v>
      </c>
      <c r="K58" s="174" t="str" cm="1">
        <f t="array" ref="K58">myRGB(H58,I58,J58)</f>
        <v/>
      </c>
    </row>
    <row r="59" spans="1:11" x14ac:dyDescent="0.2">
      <c r="A59">
        <v>283</v>
      </c>
      <c r="B59">
        <v>104</v>
      </c>
      <c r="C59">
        <v>8</v>
      </c>
      <c r="D59" t="s">
        <v>7485</v>
      </c>
      <c r="E59">
        <v>783</v>
      </c>
      <c r="F59" t="s">
        <v>5073</v>
      </c>
      <c r="G59" t="s">
        <v>5072</v>
      </c>
      <c r="H59">
        <v>32</v>
      </c>
      <c r="I59">
        <v>150</v>
      </c>
      <c r="J59">
        <v>102</v>
      </c>
      <c r="K59" s="26" t="str" cm="1">
        <f t="array" ref="K59">myRGB(H59,I59,J59)</f>
        <v/>
      </c>
    </row>
    <row r="60" spans="1:11" x14ac:dyDescent="0.2">
      <c r="A60">
        <v>281</v>
      </c>
      <c r="B60">
        <v>104</v>
      </c>
      <c r="C60">
        <v>8</v>
      </c>
      <c r="D60" t="s">
        <v>7483</v>
      </c>
      <c r="E60">
        <v>328</v>
      </c>
      <c r="F60" t="s">
        <v>7213</v>
      </c>
      <c r="G60" t="s">
        <v>7152</v>
      </c>
      <c r="H60">
        <v>32</v>
      </c>
      <c r="I60">
        <v>151</v>
      </c>
      <c r="J60">
        <v>101</v>
      </c>
      <c r="K60" s="80" t="str" cm="1">
        <f t="array" ref="K60">myRGB(H60,I60,J60)</f>
        <v/>
      </c>
    </row>
    <row r="61" spans="1:11" x14ac:dyDescent="0.2">
      <c r="A61">
        <v>282</v>
      </c>
      <c r="B61">
        <v>104</v>
      </c>
      <c r="C61">
        <v>8</v>
      </c>
      <c r="D61" t="s">
        <v>7484</v>
      </c>
      <c r="E61">
        <v>1101</v>
      </c>
      <c r="F61" t="s">
        <v>5071</v>
      </c>
      <c r="G61" t="s">
        <v>5070</v>
      </c>
      <c r="H61">
        <v>32</v>
      </c>
      <c r="I61">
        <v>150</v>
      </c>
      <c r="J61">
        <v>101</v>
      </c>
      <c r="K61" s="103" t="str" cm="1">
        <f t="array" ref="K61">myRGB(H61,I61,J61)</f>
        <v/>
      </c>
    </row>
    <row r="62" spans="1:11" x14ac:dyDescent="0.2">
      <c r="A62">
        <v>279</v>
      </c>
      <c r="B62">
        <v>95</v>
      </c>
      <c r="C62">
        <v>7</v>
      </c>
      <c r="D62" t="s">
        <v>7481</v>
      </c>
      <c r="E62">
        <v>104</v>
      </c>
      <c r="F62" t="s">
        <v>5067</v>
      </c>
      <c r="G62" t="s">
        <v>5066</v>
      </c>
      <c r="H62">
        <v>33</v>
      </c>
      <c r="I62">
        <v>152</v>
      </c>
      <c r="J62">
        <v>101</v>
      </c>
      <c r="K62" s="240" t="str" cm="1">
        <f t="array" ref="K62">myRGB(H62,I62,J62)</f>
        <v/>
      </c>
    </row>
    <row r="63" spans="1:11" x14ac:dyDescent="0.2">
      <c r="A63">
        <v>278</v>
      </c>
      <c r="B63">
        <v>315</v>
      </c>
      <c r="C63">
        <v>6</v>
      </c>
      <c r="D63" t="s">
        <v>7480</v>
      </c>
      <c r="E63">
        <v>95</v>
      </c>
      <c r="F63" t="s">
        <v>5065</v>
      </c>
      <c r="G63" t="s">
        <v>5064</v>
      </c>
      <c r="H63">
        <v>33</v>
      </c>
      <c r="I63">
        <v>152</v>
      </c>
      <c r="J63">
        <v>102</v>
      </c>
      <c r="K63" s="27" t="str" cm="1">
        <f t="array" ref="K63">myRGB(H63,I63,J63)</f>
        <v/>
      </c>
    </row>
    <row r="64" spans="1:11" x14ac:dyDescent="0.2">
      <c r="A64">
        <v>372</v>
      </c>
      <c r="B64">
        <v>922</v>
      </c>
      <c r="C64">
        <v>7</v>
      </c>
      <c r="D64" t="s">
        <v>7544</v>
      </c>
      <c r="E64">
        <v>888</v>
      </c>
      <c r="F64" t="s">
        <v>7226</v>
      </c>
      <c r="G64" t="s">
        <v>7165</v>
      </c>
      <c r="H64">
        <v>14</v>
      </c>
      <c r="I64">
        <v>149</v>
      </c>
      <c r="J64">
        <v>131</v>
      </c>
      <c r="K64" s="81" t="str" cm="1">
        <f t="array" ref="K64">myRGB(H64,I64,J64)</f>
        <v/>
      </c>
    </row>
    <row r="65" spans="1:11" x14ac:dyDescent="0.2">
      <c r="A65">
        <v>371</v>
      </c>
      <c r="B65">
        <v>922</v>
      </c>
      <c r="C65">
        <v>7</v>
      </c>
      <c r="D65" t="s">
        <v>7543</v>
      </c>
      <c r="E65">
        <v>692</v>
      </c>
      <c r="F65" t="s">
        <v>5221</v>
      </c>
      <c r="G65" t="s">
        <v>5220</v>
      </c>
      <c r="H65">
        <v>15</v>
      </c>
      <c r="I65">
        <v>150</v>
      </c>
      <c r="J65">
        <v>132</v>
      </c>
      <c r="K65" s="104" t="str" cm="1">
        <f t="array" ref="K65">myRGB(H65,I65,J65)</f>
        <v/>
      </c>
    </row>
    <row r="66" spans="1:11" x14ac:dyDescent="0.2">
      <c r="A66">
        <v>370</v>
      </c>
      <c r="B66">
        <v>922</v>
      </c>
      <c r="C66">
        <v>7</v>
      </c>
      <c r="D66" t="s">
        <v>7542</v>
      </c>
      <c r="E66">
        <v>540</v>
      </c>
      <c r="F66" t="s">
        <v>5219</v>
      </c>
      <c r="G66" t="s">
        <v>5218</v>
      </c>
      <c r="H66">
        <v>14</v>
      </c>
      <c r="I66">
        <v>149</v>
      </c>
      <c r="J66">
        <v>132</v>
      </c>
      <c r="K66" s="312" t="str" cm="1">
        <f t="array" ref="K66">myRGB(H66,I66,J66)</f>
        <v/>
      </c>
    </row>
    <row r="67" spans="1:11" x14ac:dyDescent="0.2">
      <c r="A67">
        <v>369</v>
      </c>
      <c r="B67">
        <v>922</v>
      </c>
      <c r="C67">
        <v>7</v>
      </c>
      <c r="D67" t="s">
        <v>7541</v>
      </c>
      <c r="E67">
        <v>368</v>
      </c>
      <c r="F67" t="s">
        <v>5225</v>
      </c>
      <c r="G67" t="s">
        <v>5224</v>
      </c>
      <c r="H67">
        <v>14</v>
      </c>
      <c r="I67">
        <v>150</v>
      </c>
      <c r="J67">
        <v>131</v>
      </c>
      <c r="K67" s="28" t="str" cm="1">
        <f t="array" ref="K67">myRGB(H67,I67,J67)</f>
        <v/>
      </c>
    </row>
    <row r="68" spans="1:11" x14ac:dyDescent="0.2">
      <c r="A68">
        <v>368</v>
      </c>
      <c r="B68">
        <v>922</v>
      </c>
      <c r="C68">
        <v>7</v>
      </c>
      <c r="D68" t="s">
        <v>7540</v>
      </c>
      <c r="E68">
        <v>335</v>
      </c>
      <c r="F68" t="s">
        <v>5223</v>
      </c>
      <c r="G68" t="s">
        <v>5222</v>
      </c>
      <c r="H68">
        <v>14</v>
      </c>
      <c r="I68">
        <v>150</v>
      </c>
      <c r="J68">
        <v>132</v>
      </c>
      <c r="K68" s="82" t="str" cm="1">
        <f t="array" ref="K68">myRGB(H68,I68,J68)</f>
        <v/>
      </c>
    </row>
    <row r="69" spans="1:11" x14ac:dyDescent="0.2">
      <c r="A69">
        <v>367</v>
      </c>
      <c r="B69">
        <v>315</v>
      </c>
      <c r="C69">
        <v>6</v>
      </c>
      <c r="D69" t="s">
        <v>7539</v>
      </c>
      <c r="E69">
        <v>922</v>
      </c>
      <c r="F69" t="s">
        <v>5217</v>
      </c>
      <c r="G69" t="s">
        <v>5216</v>
      </c>
      <c r="H69">
        <v>15</v>
      </c>
      <c r="I69">
        <v>150</v>
      </c>
      <c r="J69">
        <v>131</v>
      </c>
      <c r="K69" s="105" t="str" cm="1">
        <f t="array" ref="K69">myRGB(H69,I69,J69)</f>
        <v/>
      </c>
    </row>
    <row r="70" spans="1:11" x14ac:dyDescent="0.2">
      <c r="A70">
        <v>376</v>
      </c>
      <c r="B70">
        <v>895</v>
      </c>
      <c r="C70">
        <v>7</v>
      </c>
      <c r="D70" t="s">
        <v>7548</v>
      </c>
      <c r="E70">
        <v>988</v>
      </c>
      <c r="F70" t="s">
        <v>7229</v>
      </c>
      <c r="G70" t="s">
        <v>5229</v>
      </c>
      <c r="H70">
        <v>13</v>
      </c>
      <c r="I70">
        <v>158</v>
      </c>
      <c r="J70">
        <v>144</v>
      </c>
      <c r="K70" s="116" t="str" cm="1">
        <f t="array" ref="K70">myRGB(H70,I70,J70)</f>
        <v/>
      </c>
    </row>
    <row r="71" spans="1:11" x14ac:dyDescent="0.2">
      <c r="A71">
        <v>377</v>
      </c>
      <c r="B71">
        <v>895</v>
      </c>
      <c r="C71">
        <v>7</v>
      </c>
      <c r="D71" t="s">
        <v>7549</v>
      </c>
      <c r="E71">
        <v>977</v>
      </c>
      <c r="F71" t="s">
        <v>7230</v>
      </c>
      <c r="G71" t="s">
        <v>5230</v>
      </c>
      <c r="H71">
        <v>14</v>
      </c>
      <c r="I71">
        <v>159</v>
      </c>
      <c r="J71">
        <v>145</v>
      </c>
      <c r="K71" s="29" t="str" cm="1">
        <f t="array" ref="K71">myRGB(H71,I71,J71)</f>
        <v/>
      </c>
    </row>
    <row r="72" spans="1:11" x14ac:dyDescent="0.2">
      <c r="A72">
        <v>374</v>
      </c>
      <c r="B72">
        <v>895</v>
      </c>
      <c r="C72">
        <v>7</v>
      </c>
      <c r="D72" t="s">
        <v>7546</v>
      </c>
      <c r="E72">
        <v>836</v>
      </c>
      <c r="F72" t="s">
        <v>7227</v>
      </c>
      <c r="G72" t="s">
        <v>5228</v>
      </c>
      <c r="H72">
        <v>13</v>
      </c>
      <c r="I72">
        <v>159</v>
      </c>
      <c r="J72">
        <v>144</v>
      </c>
      <c r="K72" s="83" t="str" cm="1">
        <f t="array" ref="K72">myRGB(H72,I72,J72)</f>
        <v/>
      </c>
    </row>
    <row r="73" spans="1:11" x14ac:dyDescent="0.2">
      <c r="A73">
        <v>375</v>
      </c>
      <c r="B73">
        <v>895</v>
      </c>
      <c r="C73">
        <v>7</v>
      </c>
      <c r="D73" t="s">
        <v>7547</v>
      </c>
      <c r="E73">
        <v>427</v>
      </c>
      <c r="F73" t="s">
        <v>7228</v>
      </c>
      <c r="G73" t="s">
        <v>7166</v>
      </c>
      <c r="H73">
        <v>13</v>
      </c>
      <c r="I73">
        <v>159</v>
      </c>
      <c r="J73">
        <v>145</v>
      </c>
      <c r="K73" s="106" t="str" cm="1">
        <f t="array" ref="K73">myRGB(H73,I73,J73)</f>
        <v/>
      </c>
    </row>
    <row r="74" spans="1:11" x14ac:dyDescent="0.2">
      <c r="A74">
        <v>378</v>
      </c>
      <c r="B74">
        <v>895</v>
      </c>
      <c r="C74">
        <v>7</v>
      </c>
      <c r="D74" t="s">
        <v>7550</v>
      </c>
      <c r="E74">
        <v>1045</v>
      </c>
      <c r="F74" t="s">
        <v>7231</v>
      </c>
      <c r="G74" t="s">
        <v>5231</v>
      </c>
      <c r="H74">
        <v>14</v>
      </c>
      <c r="I74">
        <v>159</v>
      </c>
      <c r="J74">
        <v>144</v>
      </c>
      <c r="K74" s="175" t="str" cm="1">
        <f t="array" ref="K74">myRGB(H74,I74,J74)</f>
        <v/>
      </c>
    </row>
    <row r="75" spans="1:11" x14ac:dyDescent="0.2">
      <c r="A75">
        <v>373</v>
      </c>
      <c r="B75">
        <v>315</v>
      </c>
      <c r="C75">
        <v>6</v>
      </c>
      <c r="D75" t="s">
        <v>7545</v>
      </c>
      <c r="E75">
        <v>895</v>
      </c>
      <c r="F75" t="s">
        <v>5227</v>
      </c>
      <c r="G75" t="s">
        <v>5226</v>
      </c>
      <c r="H75">
        <v>13</v>
      </c>
      <c r="I75">
        <v>158</v>
      </c>
      <c r="J75">
        <v>145</v>
      </c>
      <c r="K75" s="30" t="str" cm="1">
        <f t="array" ref="K75">myRGB(H75,I75,J75)</f>
        <v/>
      </c>
    </row>
    <row r="76" spans="1:11" x14ac:dyDescent="0.2">
      <c r="A76">
        <v>273</v>
      </c>
      <c r="B76">
        <v>746</v>
      </c>
      <c r="C76">
        <v>8</v>
      </c>
      <c r="D76" t="s">
        <v>7475</v>
      </c>
      <c r="E76">
        <v>969</v>
      </c>
      <c r="F76" t="s">
        <v>5057</v>
      </c>
      <c r="G76" t="s">
        <v>5056</v>
      </c>
      <c r="H76">
        <v>36</v>
      </c>
      <c r="I76">
        <v>138</v>
      </c>
      <c r="J76">
        <v>91</v>
      </c>
      <c r="K76" s="84" t="str" cm="1">
        <f t="array" ref="K76">myRGB(H76,I76,J76)</f>
        <v/>
      </c>
    </row>
    <row r="77" spans="1:11" x14ac:dyDescent="0.2">
      <c r="A77">
        <v>277</v>
      </c>
      <c r="B77">
        <v>746</v>
      </c>
      <c r="C77">
        <v>8</v>
      </c>
      <c r="D77" t="s">
        <v>7479</v>
      </c>
      <c r="E77">
        <v>680</v>
      </c>
      <c r="F77" t="s">
        <v>5063</v>
      </c>
      <c r="G77" t="s">
        <v>5062</v>
      </c>
      <c r="H77">
        <v>34</v>
      </c>
      <c r="I77">
        <v>137</v>
      </c>
      <c r="J77">
        <v>94</v>
      </c>
      <c r="K77" s="107" t="str" cm="1">
        <f t="array" ref="K77">myRGB(H77,I77,J77)</f>
        <v/>
      </c>
    </row>
    <row r="78" spans="1:11" x14ac:dyDescent="0.2">
      <c r="A78">
        <v>276</v>
      </c>
      <c r="B78">
        <v>746</v>
      </c>
      <c r="C78">
        <v>8</v>
      </c>
      <c r="D78" t="s">
        <v>7478</v>
      </c>
      <c r="E78">
        <v>608</v>
      </c>
      <c r="F78" t="s">
        <v>5061</v>
      </c>
      <c r="G78" t="s">
        <v>5060</v>
      </c>
      <c r="H78">
        <v>35</v>
      </c>
      <c r="I78">
        <v>138</v>
      </c>
      <c r="J78">
        <v>92</v>
      </c>
      <c r="K78" s="241" t="str" cm="1">
        <f t="array" ref="K78">myRGB(H78,I78,J78)</f>
        <v/>
      </c>
    </row>
    <row r="79" spans="1:11" x14ac:dyDescent="0.2">
      <c r="A79">
        <v>274</v>
      </c>
      <c r="B79">
        <v>746</v>
      </c>
      <c r="C79">
        <v>8</v>
      </c>
      <c r="D79" t="s">
        <v>7476</v>
      </c>
      <c r="E79">
        <v>288</v>
      </c>
      <c r="F79" t="s">
        <v>7212</v>
      </c>
      <c r="G79" t="s">
        <v>7151</v>
      </c>
      <c r="H79">
        <v>36</v>
      </c>
      <c r="I79">
        <v>138</v>
      </c>
      <c r="J79">
        <v>93</v>
      </c>
      <c r="K79" s="31" t="str" cm="1">
        <f t="array" ref="K79">myRGB(H79,I79,J79)</f>
        <v/>
      </c>
    </row>
    <row r="80" spans="1:11" x14ac:dyDescent="0.2">
      <c r="A80">
        <v>275</v>
      </c>
      <c r="B80">
        <v>746</v>
      </c>
      <c r="C80">
        <v>8</v>
      </c>
      <c r="D80" t="s">
        <v>7477</v>
      </c>
      <c r="E80">
        <v>1125</v>
      </c>
      <c r="F80" t="s">
        <v>5059</v>
      </c>
      <c r="G80" t="s">
        <v>5058</v>
      </c>
      <c r="H80">
        <v>35</v>
      </c>
      <c r="I80">
        <v>136</v>
      </c>
      <c r="J80">
        <v>92</v>
      </c>
      <c r="K80" s="85" t="str" cm="1">
        <f t="array" ref="K80">myRGB(H80,I80,J80)</f>
        <v/>
      </c>
    </row>
    <row r="81" spans="1:11" x14ac:dyDescent="0.2">
      <c r="A81">
        <v>272</v>
      </c>
      <c r="B81">
        <v>714</v>
      </c>
      <c r="C81">
        <v>7</v>
      </c>
      <c r="D81" t="s">
        <v>7474</v>
      </c>
      <c r="E81">
        <v>746</v>
      </c>
      <c r="F81" t="s">
        <v>5055</v>
      </c>
      <c r="G81" t="s">
        <v>5054</v>
      </c>
      <c r="H81">
        <v>34</v>
      </c>
      <c r="I81">
        <v>138</v>
      </c>
      <c r="J81">
        <v>92</v>
      </c>
      <c r="K81" s="108" t="str" cm="1">
        <f t="array" ref="K81">myRGB(H81,I81,J81)</f>
        <v/>
      </c>
    </row>
    <row r="82" spans="1:11" x14ac:dyDescent="0.2">
      <c r="A82">
        <v>269</v>
      </c>
      <c r="B82">
        <v>731</v>
      </c>
      <c r="C82">
        <v>8</v>
      </c>
      <c r="D82" t="s">
        <v>7472</v>
      </c>
      <c r="E82">
        <v>910</v>
      </c>
      <c r="F82" t="s">
        <v>5049</v>
      </c>
      <c r="G82" t="s">
        <v>5048</v>
      </c>
      <c r="H82">
        <v>34</v>
      </c>
      <c r="I82">
        <v>136</v>
      </c>
      <c r="J82">
        <v>94</v>
      </c>
      <c r="K82" s="313" t="str" cm="1">
        <f t="array" ref="K82">myRGB(H82,I82,J82)</f>
        <v/>
      </c>
    </row>
    <row r="83" spans="1:11" x14ac:dyDescent="0.2">
      <c r="A83">
        <v>268</v>
      </c>
      <c r="B83">
        <v>731</v>
      </c>
      <c r="C83">
        <v>8</v>
      </c>
      <c r="D83" t="s">
        <v>7471</v>
      </c>
      <c r="E83">
        <v>620</v>
      </c>
      <c r="F83" t="s">
        <v>5047</v>
      </c>
      <c r="G83" t="s">
        <v>5046</v>
      </c>
      <c r="H83">
        <v>35</v>
      </c>
      <c r="I83">
        <v>136</v>
      </c>
      <c r="J83">
        <v>94</v>
      </c>
      <c r="K83" s="32" t="str" cm="1">
        <f t="array" ref="K83">myRGB(H83,I83,J83)</f>
        <v/>
      </c>
    </row>
    <row r="84" spans="1:11" x14ac:dyDescent="0.2">
      <c r="A84">
        <v>267</v>
      </c>
      <c r="B84">
        <v>731</v>
      </c>
      <c r="C84">
        <v>8</v>
      </c>
      <c r="D84" t="s">
        <v>7470</v>
      </c>
      <c r="E84">
        <v>582</v>
      </c>
      <c r="F84" t="s">
        <v>7211</v>
      </c>
      <c r="G84" t="s">
        <v>7150</v>
      </c>
      <c r="H84">
        <v>36</v>
      </c>
      <c r="I84">
        <v>136</v>
      </c>
      <c r="J84">
        <v>93</v>
      </c>
      <c r="K84" s="86" t="str" cm="1">
        <f t="array" ref="K84">myRGB(H84,I84,J84)</f>
        <v/>
      </c>
    </row>
    <row r="85" spans="1:11" x14ac:dyDescent="0.2">
      <c r="A85">
        <v>270</v>
      </c>
      <c r="B85">
        <v>731</v>
      </c>
      <c r="C85">
        <v>8</v>
      </c>
      <c r="D85" t="s">
        <v>7473</v>
      </c>
      <c r="E85">
        <v>527696977</v>
      </c>
      <c r="F85" t="s">
        <v>5051</v>
      </c>
      <c r="G85" t="s">
        <v>5050</v>
      </c>
      <c r="H85">
        <v>36</v>
      </c>
      <c r="I85">
        <v>135</v>
      </c>
      <c r="J85">
        <v>94</v>
      </c>
      <c r="K85" s="109" t="str" cm="1">
        <f t="array" ref="K85">myRGB(H85,I85,J85)</f>
        <v/>
      </c>
    </row>
    <row r="86" spans="1:11" x14ac:dyDescent="0.2">
      <c r="A86">
        <v>265</v>
      </c>
      <c r="B86">
        <v>731</v>
      </c>
      <c r="C86">
        <v>8</v>
      </c>
      <c r="D86" t="s">
        <v>7469</v>
      </c>
      <c r="E86">
        <v>484</v>
      </c>
      <c r="F86" t="s">
        <v>5043</v>
      </c>
      <c r="G86" t="s">
        <v>5042</v>
      </c>
      <c r="H86">
        <v>35</v>
      </c>
      <c r="I86">
        <v>137</v>
      </c>
      <c r="J86">
        <v>93</v>
      </c>
      <c r="K86" s="117" t="str" cm="1">
        <f t="array" ref="K86">myRGB(H86,I86,J86)</f>
        <v/>
      </c>
    </row>
    <row r="87" spans="1:11" x14ac:dyDescent="0.2">
      <c r="A87">
        <v>264</v>
      </c>
      <c r="B87">
        <v>714</v>
      </c>
      <c r="C87">
        <v>7</v>
      </c>
      <c r="D87" t="s">
        <v>7468</v>
      </c>
      <c r="E87">
        <v>731</v>
      </c>
      <c r="F87" t="s">
        <v>5041</v>
      </c>
      <c r="G87" t="s">
        <v>5040</v>
      </c>
      <c r="H87">
        <v>34</v>
      </c>
      <c r="I87">
        <v>137</v>
      </c>
      <c r="J87">
        <v>93</v>
      </c>
      <c r="K87" s="33" t="str" cm="1">
        <f t="array" ref="K87">myRGB(H87,I87,J87)</f>
        <v/>
      </c>
    </row>
    <row r="88" spans="1:11" x14ac:dyDescent="0.2">
      <c r="A88">
        <v>261</v>
      </c>
      <c r="B88">
        <v>723</v>
      </c>
      <c r="C88">
        <v>8</v>
      </c>
      <c r="D88" t="s">
        <v>7465</v>
      </c>
      <c r="E88">
        <v>630</v>
      </c>
      <c r="F88" t="s">
        <v>5035</v>
      </c>
      <c r="G88" t="s">
        <v>5034</v>
      </c>
      <c r="H88">
        <v>34</v>
      </c>
      <c r="I88">
        <v>138</v>
      </c>
      <c r="J88">
        <v>93</v>
      </c>
      <c r="K88" s="87" t="str" cm="1">
        <f t="array" ref="K88">myRGB(H88,I88,J88)</f>
        <v/>
      </c>
    </row>
    <row r="89" spans="1:11" x14ac:dyDescent="0.2">
      <c r="A89">
        <v>263</v>
      </c>
      <c r="B89">
        <v>723</v>
      </c>
      <c r="C89">
        <v>8</v>
      </c>
      <c r="D89" t="s">
        <v>7467</v>
      </c>
      <c r="E89">
        <v>488</v>
      </c>
      <c r="F89" t="s">
        <v>5039</v>
      </c>
      <c r="G89" t="s">
        <v>5038</v>
      </c>
      <c r="H89">
        <v>36</v>
      </c>
      <c r="I89">
        <v>138</v>
      </c>
      <c r="J89">
        <v>92</v>
      </c>
      <c r="K89" s="110" t="str" cm="1">
        <f t="array" ref="K89">myRGB(H89,I89,J89)</f>
        <v/>
      </c>
    </row>
    <row r="90" spans="1:11" x14ac:dyDescent="0.2">
      <c r="A90">
        <v>259</v>
      </c>
      <c r="B90">
        <v>723</v>
      </c>
      <c r="C90">
        <v>8</v>
      </c>
      <c r="D90" t="s">
        <v>7463</v>
      </c>
      <c r="E90">
        <v>448</v>
      </c>
      <c r="F90" t="s">
        <v>5033</v>
      </c>
      <c r="G90" t="s">
        <v>5032</v>
      </c>
      <c r="H90">
        <v>35</v>
      </c>
      <c r="I90">
        <v>138</v>
      </c>
      <c r="J90">
        <v>93</v>
      </c>
      <c r="K90" s="176" t="str" cm="1">
        <f t="array" ref="K90">myRGB(H90,I90,J90)</f>
        <v/>
      </c>
    </row>
    <row r="91" spans="1:11" x14ac:dyDescent="0.2">
      <c r="A91">
        <v>262</v>
      </c>
      <c r="B91">
        <v>723</v>
      </c>
      <c r="C91">
        <v>8</v>
      </c>
      <c r="D91" t="s">
        <v>7466</v>
      </c>
      <c r="E91">
        <v>440</v>
      </c>
      <c r="F91" t="s">
        <v>5037</v>
      </c>
      <c r="G91" t="s">
        <v>5036</v>
      </c>
      <c r="H91">
        <v>36</v>
      </c>
      <c r="I91">
        <v>137</v>
      </c>
      <c r="J91">
        <v>93</v>
      </c>
      <c r="K91" s="34" t="str" cm="1">
        <f t="array" ref="K91">myRGB(H91,I91,J91)</f>
        <v/>
      </c>
    </row>
    <row r="92" spans="1:11" x14ac:dyDescent="0.2">
      <c r="A92">
        <v>260</v>
      </c>
      <c r="B92">
        <v>723</v>
      </c>
      <c r="C92">
        <v>8</v>
      </c>
      <c r="D92" t="s">
        <v>7464</v>
      </c>
      <c r="E92">
        <v>412</v>
      </c>
      <c r="F92" t="s">
        <v>7210</v>
      </c>
      <c r="G92" t="s">
        <v>7149</v>
      </c>
      <c r="H92">
        <v>35</v>
      </c>
      <c r="I92">
        <v>138</v>
      </c>
      <c r="J92">
        <v>94</v>
      </c>
      <c r="K92" s="88" t="str" cm="1">
        <f t="array" ref="K92">myRGB(H92,I92,J92)</f>
        <v/>
      </c>
    </row>
    <row r="93" spans="1:11" x14ac:dyDescent="0.2">
      <c r="A93">
        <v>258</v>
      </c>
      <c r="B93">
        <v>714</v>
      </c>
      <c r="C93">
        <v>7</v>
      </c>
      <c r="D93" t="s">
        <v>7462</v>
      </c>
      <c r="E93">
        <v>723</v>
      </c>
      <c r="F93" t="s">
        <v>5031</v>
      </c>
      <c r="G93" t="s">
        <v>5030</v>
      </c>
      <c r="H93">
        <v>35</v>
      </c>
      <c r="I93">
        <v>136</v>
      </c>
      <c r="J93">
        <v>93</v>
      </c>
      <c r="K93" s="111" t="str" cm="1">
        <f t="array" ref="K93">myRGB(H93,I93,J93)</f>
        <v/>
      </c>
    </row>
    <row r="94" spans="1:11" x14ac:dyDescent="0.2">
      <c r="A94">
        <v>252</v>
      </c>
      <c r="B94">
        <v>315</v>
      </c>
      <c r="C94">
        <v>6</v>
      </c>
      <c r="D94" t="s">
        <v>7461</v>
      </c>
      <c r="E94">
        <v>714</v>
      </c>
      <c r="F94" t="s">
        <v>5021</v>
      </c>
      <c r="G94" t="s">
        <v>5020</v>
      </c>
      <c r="H94">
        <v>35</v>
      </c>
      <c r="I94">
        <v>137</v>
      </c>
      <c r="J94">
        <v>92</v>
      </c>
      <c r="K94" s="242" t="str" cm="1">
        <f t="array" ref="K94">myRGB(H94,I94,J94)</f>
        <v/>
      </c>
    </row>
    <row r="95" spans="1:11" x14ac:dyDescent="0.2">
      <c r="A95">
        <v>115</v>
      </c>
      <c r="B95">
        <v>677</v>
      </c>
      <c r="C95">
        <v>7</v>
      </c>
      <c r="D95" t="s">
        <v>7337</v>
      </c>
      <c r="E95">
        <v>897</v>
      </c>
      <c r="F95" t="s">
        <v>4787</v>
      </c>
      <c r="G95" t="s">
        <v>4786</v>
      </c>
      <c r="H95">
        <v>18</v>
      </c>
      <c r="I95">
        <v>173</v>
      </c>
      <c r="J95">
        <v>131</v>
      </c>
      <c r="K95" s="35" t="str" cm="1">
        <f t="array" ref="K95">myRGB(H95,I95,J95)</f>
        <v/>
      </c>
    </row>
    <row r="96" spans="1:11" x14ac:dyDescent="0.2">
      <c r="A96">
        <v>119</v>
      </c>
      <c r="B96">
        <v>677</v>
      </c>
      <c r="C96">
        <v>7</v>
      </c>
      <c r="D96" t="s">
        <v>7341</v>
      </c>
      <c r="E96">
        <v>857</v>
      </c>
      <c r="F96" t="s">
        <v>4793</v>
      </c>
      <c r="G96" t="s">
        <v>4792</v>
      </c>
      <c r="H96">
        <v>17</v>
      </c>
      <c r="I96">
        <v>172</v>
      </c>
      <c r="J96">
        <v>131</v>
      </c>
      <c r="K96" s="314" t="str" cm="1">
        <f t="array" ref="K96">myRGB(H96,I96,J96)</f>
        <v/>
      </c>
    </row>
    <row r="97" spans="1:11" x14ac:dyDescent="0.2">
      <c r="A97">
        <v>120</v>
      </c>
      <c r="B97">
        <v>677</v>
      </c>
      <c r="C97">
        <v>7</v>
      </c>
      <c r="D97" t="s">
        <v>7342</v>
      </c>
      <c r="E97">
        <v>849</v>
      </c>
      <c r="F97" t="s">
        <v>4795</v>
      </c>
      <c r="G97" t="s">
        <v>4794</v>
      </c>
      <c r="H97">
        <v>17</v>
      </c>
      <c r="I97">
        <v>173</v>
      </c>
      <c r="J97">
        <v>130</v>
      </c>
      <c r="K97" s="340" t="str" cm="1">
        <f t="array" ref="K97">myRGB(H97,I97,J97)</f>
        <v/>
      </c>
    </row>
    <row r="98" spans="1:11" x14ac:dyDescent="0.2">
      <c r="A98">
        <v>116</v>
      </c>
      <c r="B98">
        <v>677</v>
      </c>
      <c r="C98">
        <v>7</v>
      </c>
      <c r="D98" t="s">
        <v>7338</v>
      </c>
      <c r="E98">
        <v>1106</v>
      </c>
      <c r="F98" t="s">
        <v>7189</v>
      </c>
      <c r="G98" t="s">
        <v>7128</v>
      </c>
      <c r="H98">
        <v>18</v>
      </c>
      <c r="I98">
        <v>172</v>
      </c>
      <c r="J98">
        <v>131</v>
      </c>
      <c r="K98" s="118" t="str" cm="1">
        <f t="array" ref="K98">myRGB(H98,I98,J98)</f>
        <v/>
      </c>
    </row>
    <row r="99" spans="1:11" x14ac:dyDescent="0.2">
      <c r="A99">
        <v>118</v>
      </c>
      <c r="B99">
        <v>677</v>
      </c>
      <c r="C99">
        <v>7</v>
      </c>
      <c r="D99" t="s">
        <v>7340</v>
      </c>
      <c r="E99">
        <v>1058</v>
      </c>
      <c r="F99" t="s">
        <v>4791</v>
      </c>
      <c r="G99" t="s">
        <v>4790</v>
      </c>
      <c r="H99">
        <v>18</v>
      </c>
      <c r="I99">
        <v>173</v>
      </c>
      <c r="J99">
        <v>130</v>
      </c>
      <c r="K99" s="36" t="str" cm="1">
        <f t="array" ref="K99">myRGB(H99,I99,J99)</f>
        <v/>
      </c>
    </row>
    <row r="100" spans="1:11" x14ac:dyDescent="0.2">
      <c r="A100">
        <v>117</v>
      </c>
      <c r="B100">
        <v>677</v>
      </c>
      <c r="C100">
        <v>7</v>
      </c>
      <c r="D100" t="s">
        <v>7339</v>
      </c>
      <c r="E100">
        <v>1010</v>
      </c>
      <c r="F100" t="s">
        <v>4789</v>
      </c>
      <c r="G100" t="s">
        <v>4788</v>
      </c>
      <c r="H100">
        <v>17</v>
      </c>
      <c r="I100">
        <v>172</v>
      </c>
      <c r="J100">
        <v>130</v>
      </c>
      <c r="K100" s="177" t="str" cm="1">
        <f t="array" ref="K100">myRGB(H100,I100,J100)</f>
        <v/>
      </c>
    </row>
    <row r="101" spans="1:11" x14ac:dyDescent="0.2">
      <c r="A101">
        <v>114</v>
      </c>
      <c r="B101">
        <v>315</v>
      </c>
      <c r="C101">
        <v>6</v>
      </c>
      <c r="D101" t="s">
        <v>7336</v>
      </c>
      <c r="E101">
        <v>677</v>
      </c>
      <c r="F101" t="s">
        <v>4785</v>
      </c>
      <c r="G101" t="s">
        <v>4784</v>
      </c>
      <c r="H101">
        <v>17</v>
      </c>
      <c r="I101">
        <v>173</v>
      </c>
      <c r="J101">
        <v>131</v>
      </c>
      <c r="K101" s="203" t="str" cm="1">
        <f t="array" ref="K101">myRGB(H101,I101,J101)</f>
        <v/>
      </c>
    </row>
    <row r="102" spans="1:11" x14ac:dyDescent="0.2">
      <c r="A102">
        <v>200</v>
      </c>
      <c r="B102">
        <v>533</v>
      </c>
      <c r="C102">
        <v>8</v>
      </c>
      <c r="D102" t="s">
        <v>7411</v>
      </c>
      <c r="E102">
        <v>805</v>
      </c>
      <c r="F102" t="s">
        <v>7410</v>
      </c>
      <c r="G102" t="s">
        <v>4932</v>
      </c>
      <c r="H102">
        <v>10</v>
      </c>
      <c r="I102">
        <v>133</v>
      </c>
      <c r="J102">
        <v>137</v>
      </c>
      <c r="K102" s="243" t="str" cm="1">
        <f t="array" ref="K102">myRGB(H102,I102,J102)</f>
        <v/>
      </c>
    </row>
    <row r="103" spans="1:11" x14ac:dyDescent="0.2">
      <c r="A103">
        <v>203</v>
      </c>
      <c r="B103">
        <v>533</v>
      </c>
      <c r="C103">
        <v>8</v>
      </c>
      <c r="D103" t="s">
        <v>7417</v>
      </c>
      <c r="E103">
        <v>565</v>
      </c>
      <c r="F103" t="s">
        <v>7416</v>
      </c>
      <c r="G103" t="s">
        <v>4936</v>
      </c>
      <c r="H103">
        <v>8</v>
      </c>
      <c r="I103">
        <v>132</v>
      </c>
      <c r="J103">
        <v>137</v>
      </c>
      <c r="K103" s="37" t="str" cm="1">
        <f t="array" ref="K103">myRGB(H103,I103,J103)</f>
        <v/>
      </c>
    </row>
    <row r="104" spans="1:11" x14ac:dyDescent="0.2">
      <c r="A104">
        <v>202</v>
      </c>
      <c r="B104">
        <v>533</v>
      </c>
      <c r="C104">
        <v>8</v>
      </c>
      <c r="D104" t="s">
        <v>7415</v>
      </c>
      <c r="E104">
        <v>501</v>
      </c>
      <c r="F104" t="s">
        <v>7414</v>
      </c>
      <c r="G104" t="s">
        <v>4934</v>
      </c>
      <c r="H104">
        <v>9</v>
      </c>
      <c r="I104">
        <v>130</v>
      </c>
      <c r="J104">
        <v>139</v>
      </c>
      <c r="K104" s="315" t="str" cm="1">
        <f t="array" ref="K104">myRGB(H104,I104,J104)</f>
        <v/>
      </c>
    </row>
    <row r="105" spans="1:11" x14ac:dyDescent="0.2">
      <c r="A105">
        <v>205</v>
      </c>
      <c r="B105">
        <v>533</v>
      </c>
      <c r="C105">
        <v>8</v>
      </c>
      <c r="D105" t="s">
        <v>7421</v>
      </c>
      <c r="E105">
        <v>469</v>
      </c>
      <c r="F105" t="s">
        <v>7420</v>
      </c>
      <c r="G105" t="s">
        <v>4940</v>
      </c>
      <c r="H105">
        <v>8</v>
      </c>
      <c r="I105">
        <v>133</v>
      </c>
      <c r="J105">
        <v>137</v>
      </c>
      <c r="K105" s="341" t="str" cm="1">
        <f t="array" ref="K105">myRGB(H105,I105,J105)</f>
        <v/>
      </c>
    </row>
    <row r="106" spans="1:11" x14ac:dyDescent="0.2">
      <c r="A106">
        <v>201</v>
      </c>
      <c r="B106">
        <v>533</v>
      </c>
      <c r="C106">
        <v>8</v>
      </c>
      <c r="D106" t="s">
        <v>7413</v>
      </c>
      <c r="E106">
        <v>41</v>
      </c>
      <c r="F106" t="s">
        <v>7412</v>
      </c>
      <c r="G106" t="s">
        <v>7140</v>
      </c>
      <c r="H106">
        <v>8</v>
      </c>
      <c r="I106">
        <v>133</v>
      </c>
      <c r="J106">
        <v>139</v>
      </c>
      <c r="K106" s="119" t="str" cm="1">
        <f t="array" ref="K106">myRGB(H106,I106,J106)</f>
        <v/>
      </c>
    </row>
    <row r="107" spans="1:11" x14ac:dyDescent="0.2">
      <c r="A107">
        <v>204</v>
      </c>
      <c r="B107">
        <v>533</v>
      </c>
      <c r="C107">
        <v>8</v>
      </c>
      <c r="D107" t="s">
        <v>7419</v>
      </c>
      <c r="E107">
        <v>257</v>
      </c>
      <c r="F107" t="s">
        <v>7418</v>
      </c>
      <c r="G107" t="s">
        <v>4938</v>
      </c>
      <c r="H107">
        <v>9</v>
      </c>
      <c r="I107">
        <v>133</v>
      </c>
      <c r="J107">
        <v>139</v>
      </c>
      <c r="K107" s="38" t="str" cm="1">
        <f t="array" ref="K107">myRGB(H107,I107,J107)</f>
        <v/>
      </c>
    </row>
    <row r="108" spans="1:11" x14ac:dyDescent="0.2">
      <c r="A108">
        <v>199</v>
      </c>
      <c r="B108">
        <v>669</v>
      </c>
      <c r="C108">
        <v>7</v>
      </c>
      <c r="D108" t="s">
        <v>7409</v>
      </c>
      <c r="E108">
        <v>533</v>
      </c>
      <c r="F108" t="s">
        <v>7408</v>
      </c>
      <c r="G108" t="s">
        <v>4930</v>
      </c>
      <c r="H108">
        <v>10</v>
      </c>
      <c r="I108">
        <v>131</v>
      </c>
      <c r="J108">
        <v>139</v>
      </c>
      <c r="K108" s="178" t="str" cm="1">
        <f t="array" ref="K108">myRGB(H108,I108,J108)</f>
        <v/>
      </c>
    </row>
    <row r="109" spans="1:11" x14ac:dyDescent="0.2">
      <c r="A109">
        <v>196</v>
      </c>
      <c r="B109">
        <v>425</v>
      </c>
      <c r="C109">
        <v>8</v>
      </c>
      <c r="D109" t="s">
        <v>7405</v>
      </c>
      <c r="E109">
        <v>902</v>
      </c>
      <c r="F109" t="s">
        <v>4925</v>
      </c>
      <c r="G109" t="s">
        <v>4924</v>
      </c>
      <c r="H109">
        <v>11</v>
      </c>
      <c r="I109">
        <v>131</v>
      </c>
      <c r="J109">
        <v>140</v>
      </c>
      <c r="K109" s="204" t="str" cm="1">
        <f t="array" ref="K109">myRGB(H109,I109,J109)</f>
        <v/>
      </c>
    </row>
    <row r="110" spans="1:11" x14ac:dyDescent="0.2">
      <c r="A110">
        <v>195</v>
      </c>
      <c r="B110">
        <v>425</v>
      </c>
      <c r="C110">
        <v>8</v>
      </c>
      <c r="D110" t="s">
        <v>7404</v>
      </c>
      <c r="E110">
        <v>869</v>
      </c>
      <c r="F110" t="s">
        <v>4923</v>
      </c>
      <c r="G110" t="s">
        <v>4922</v>
      </c>
      <c r="H110">
        <v>11</v>
      </c>
      <c r="I110">
        <v>133</v>
      </c>
      <c r="J110">
        <v>138</v>
      </c>
      <c r="K110" s="244" t="str" cm="1">
        <f t="array" ref="K110">myRGB(H110,I110,J110)</f>
        <v/>
      </c>
    </row>
    <row r="111" spans="1:11" x14ac:dyDescent="0.2">
      <c r="A111">
        <v>193</v>
      </c>
      <c r="B111">
        <v>425</v>
      </c>
      <c r="C111">
        <v>8</v>
      </c>
      <c r="D111" t="s">
        <v>7402</v>
      </c>
      <c r="E111">
        <v>750</v>
      </c>
      <c r="F111" t="s">
        <v>4921</v>
      </c>
      <c r="G111" t="s">
        <v>4920</v>
      </c>
      <c r="H111">
        <v>10</v>
      </c>
      <c r="I111">
        <v>131</v>
      </c>
      <c r="J111">
        <v>138</v>
      </c>
      <c r="K111" s="39" t="str" cm="1">
        <f t="array" ref="K111">myRGB(H111,I111,J111)</f>
        <v/>
      </c>
    </row>
    <row r="112" spans="1:11" x14ac:dyDescent="0.2">
      <c r="A112">
        <v>198</v>
      </c>
      <c r="B112">
        <v>425</v>
      </c>
      <c r="C112">
        <v>8</v>
      </c>
      <c r="D112" t="s">
        <v>7407</v>
      </c>
      <c r="E112">
        <v>393</v>
      </c>
      <c r="F112" t="s">
        <v>4929</v>
      </c>
      <c r="G112" t="s">
        <v>4928</v>
      </c>
      <c r="H112">
        <v>8</v>
      </c>
      <c r="I112">
        <v>132</v>
      </c>
      <c r="J112">
        <v>138</v>
      </c>
      <c r="K112" s="316" t="str" cm="1">
        <f t="array" ref="K112">myRGB(H112,I112,J112)</f>
        <v/>
      </c>
    </row>
    <row r="113" spans="1:11" x14ac:dyDescent="0.2">
      <c r="A113">
        <v>197</v>
      </c>
      <c r="B113">
        <v>425</v>
      </c>
      <c r="C113">
        <v>8</v>
      </c>
      <c r="D113" t="s">
        <v>7406</v>
      </c>
      <c r="E113">
        <v>377</v>
      </c>
      <c r="F113" t="s">
        <v>4927</v>
      </c>
      <c r="G113" t="s">
        <v>4926</v>
      </c>
      <c r="H113">
        <v>8</v>
      </c>
      <c r="I113">
        <v>131</v>
      </c>
      <c r="J113">
        <v>140</v>
      </c>
      <c r="K113" s="342" t="str" cm="1">
        <f t="array" ref="K113">myRGB(H113,I113,J113)</f>
        <v/>
      </c>
    </row>
    <row r="114" spans="1:11" x14ac:dyDescent="0.2">
      <c r="A114">
        <v>194</v>
      </c>
      <c r="B114">
        <v>425</v>
      </c>
      <c r="C114">
        <v>8</v>
      </c>
      <c r="D114" t="s">
        <v>7403</v>
      </c>
      <c r="E114">
        <v>269</v>
      </c>
      <c r="F114" t="s">
        <v>7200</v>
      </c>
      <c r="G114" t="s">
        <v>7139</v>
      </c>
      <c r="H114">
        <v>9</v>
      </c>
      <c r="I114">
        <v>132</v>
      </c>
      <c r="J114">
        <v>140</v>
      </c>
      <c r="K114" s="120" t="str" cm="1">
        <f t="array" ref="K114">myRGB(H114,I114,J114)</f>
        <v/>
      </c>
    </row>
    <row r="115" spans="1:11" x14ac:dyDescent="0.2">
      <c r="A115">
        <v>192</v>
      </c>
      <c r="B115">
        <v>669</v>
      </c>
      <c r="C115">
        <v>7</v>
      </c>
      <c r="D115" t="s">
        <v>7401</v>
      </c>
      <c r="E115">
        <v>425</v>
      </c>
      <c r="F115" t="s">
        <v>4919</v>
      </c>
      <c r="G115" t="s">
        <v>4918</v>
      </c>
      <c r="H115">
        <v>9</v>
      </c>
      <c r="I115">
        <v>131</v>
      </c>
      <c r="J115">
        <v>139</v>
      </c>
      <c r="K115" s="40" t="str" cm="1">
        <f t="array" ref="K115">myRGB(H115,I115,J115)</f>
        <v/>
      </c>
    </row>
    <row r="116" spans="1:11" x14ac:dyDescent="0.2">
      <c r="A116">
        <v>180</v>
      </c>
      <c r="B116">
        <v>409</v>
      </c>
      <c r="C116">
        <v>8</v>
      </c>
      <c r="D116" t="s">
        <v>7389</v>
      </c>
      <c r="E116">
        <v>973</v>
      </c>
      <c r="F116" t="s">
        <v>7198</v>
      </c>
      <c r="G116" t="s">
        <v>7137</v>
      </c>
      <c r="H116">
        <v>10</v>
      </c>
      <c r="I116">
        <v>132</v>
      </c>
      <c r="J116">
        <v>137</v>
      </c>
      <c r="K116" s="179" t="str" cm="1">
        <f t="array" ref="K116">myRGB(H116,I116,J116)</f>
        <v/>
      </c>
    </row>
    <row r="117" spans="1:11" x14ac:dyDescent="0.2">
      <c r="A117">
        <v>183</v>
      </c>
      <c r="B117">
        <v>409</v>
      </c>
      <c r="C117">
        <v>8</v>
      </c>
      <c r="D117" t="s">
        <v>7392</v>
      </c>
      <c r="E117">
        <v>74</v>
      </c>
      <c r="F117" t="s">
        <v>4903</v>
      </c>
      <c r="G117" t="s">
        <v>4902</v>
      </c>
      <c r="H117">
        <v>8</v>
      </c>
      <c r="I117">
        <v>132</v>
      </c>
      <c r="J117">
        <v>140</v>
      </c>
      <c r="K117" s="205" t="str" cm="1">
        <f t="array" ref="K117">myRGB(H117,I117,J117)</f>
        <v/>
      </c>
    </row>
    <row r="118" spans="1:11" x14ac:dyDescent="0.2">
      <c r="A118">
        <v>182</v>
      </c>
      <c r="B118">
        <v>409</v>
      </c>
      <c r="C118">
        <v>8</v>
      </c>
      <c r="D118" t="s">
        <v>7391</v>
      </c>
      <c r="E118">
        <v>613</v>
      </c>
      <c r="F118" t="s">
        <v>4901</v>
      </c>
      <c r="G118" t="s">
        <v>4900</v>
      </c>
      <c r="H118">
        <v>11</v>
      </c>
      <c r="I118">
        <v>133</v>
      </c>
      <c r="J118">
        <v>139</v>
      </c>
      <c r="K118" s="245" t="str" cm="1">
        <f t="array" ref="K118">myRGB(H118,I118,J118)</f>
        <v/>
      </c>
    </row>
    <row r="119" spans="1:11" x14ac:dyDescent="0.2">
      <c r="A119">
        <v>181</v>
      </c>
      <c r="B119">
        <v>409</v>
      </c>
      <c r="C119">
        <v>8</v>
      </c>
      <c r="D119" t="s">
        <v>7390</v>
      </c>
      <c r="E119">
        <v>573</v>
      </c>
      <c r="F119" t="s">
        <v>4899</v>
      </c>
      <c r="G119" t="s">
        <v>4898</v>
      </c>
      <c r="H119">
        <v>8</v>
      </c>
      <c r="I119">
        <v>130</v>
      </c>
      <c r="J119">
        <v>139</v>
      </c>
      <c r="K119" s="41" t="str" cm="1">
        <f t="array" ref="K119">myRGB(H119,I119,J119)</f>
        <v/>
      </c>
    </row>
    <row r="120" spans="1:11" x14ac:dyDescent="0.2">
      <c r="A120">
        <v>179</v>
      </c>
      <c r="B120">
        <v>409</v>
      </c>
      <c r="C120">
        <v>8</v>
      </c>
      <c r="D120" t="s">
        <v>7388</v>
      </c>
      <c r="E120">
        <v>421</v>
      </c>
      <c r="F120" t="s">
        <v>4897</v>
      </c>
      <c r="G120" t="s">
        <v>4896</v>
      </c>
      <c r="H120">
        <v>9</v>
      </c>
      <c r="I120">
        <v>132</v>
      </c>
      <c r="J120">
        <v>138</v>
      </c>
      <c r="K120" s="317" t="str" cm="1">
        <f t="array" ref="K120">myRGB(H120,I120,J120)</f>
        <v/>
      </c>
    </row>
    <row r="121" spans="1:11" x14ac:dyDescent="0.2">
      <c r="A121">
        <v>184</v>
      </c>
      <c r="B121">
        <v>409</v>
      </c>
      <c r="C121">
        <v>8</v>
      </c>
      <c r="D121" t="s">
        <v>7393</v>
      </c>
      <c r="E121">
        <v>121</v>
      </c>
      <c r="F121" t="s">
        <v>4905</v>
      </c>
      <c r="G121" t="s">
        <v>4904</v>
      </c>
      <c r="H121">
        <v>9</v>
      </c>
      <c r="I121">
        <v>133</v>
      </c>
      <c r="J121">
        <v>140</v>
      </c>
      <c r="K121" s="343" t="str" cm="1">
        <f t="array" ref="K121">myRGB(H121,I121,J121)</f>
        <v/>
      </c>
    </row>
    <row r="122" spans="1:11" x14ac:dyDescent="0.2">
      <c r="A122">
        <v>178</v>
      </c>
      <c r="B122">
        <v>669</v>
      </c>
      <c r="C122">
        <v>7</v>
      </c>
      <c r="D122" t="s">
        <v>7387</v>
      </c>
      <c r="E122">
        <v>409</v>
      </c>
      <c r="F122" t="s">
        <v>4895</v>
      </c>
      <c r="G122" t="s">
        <v>4894</v>
      </c>
      <c r="H122">
        <v>10</v>
      </c>
      <c r="I122">
        <v>132</v>
      </c>
      <c r="J122">
        <v>140</v>
      </c>
      <c r="K122" s="121" t="str" cm="1">
        <f t="array" ref="K122">myRGB(H122,I122,J122)</f>
        <v/>
      </c>
    </row>
    <row r="123" spans="1:11" x14ac:dyDescent="0.2">
      <c r="A123">
        <v>166</v>
      </c>
      <c r="B123">
        <v>402</v>
      </c>
      <c r="C123">
        <v>8</v>
      </c>
      <c r="D123" t="s">
        <v>7375</v>
      </c>
      <c r="E123">
        <v>905</v>
      </c>
      <c r="F123" t="s">
        <v>7196</v>
      </c>
      <c r="G123" t="s">
        <v>7135</v>
      </c>
      <c r="H123">
        <v>9</v>
      </c>
      <c r="I123">
        <v>131</v>
      </c>
      <c r="J123">
        <v>137</v>
      </c>
      <c r="K123" s="42" t="str" cm="1">
        <f t="array" ref="K123">myRGB(H123,I123,J123)</f>
        <v/>
      </c>
    </row>
    <row r="124" spans="1:11" x14ac:dyDescent="0.2">
      <c r="A124">
        <v>170</v>
      </c>
      <c r="B124">
        <v>402</v>
      </c>
      <c r="C124">
        <v>8</v>
      </c>
      <c r="D124" t="s">
        <v>7379</v>
      </c>
      <c r="E124">
        <v>649</v>
      </c>
      <c r="F124" t="s">
        <v>4881</v>
      </c>
      <c r="G124" t="s">
        <v>4880</v>
      </c>
      <c r="H124">
        <v>11</v>
      </c>
      <c r="I124">
        <v>132</v>
      </c>
      <c r="J124">
        <v>140</v>
      </c>
      <c r="K124" s="180" t="str" cm="1">
        <f t="array" ref="K124">myRGB(H124,I124,J124)</f>
        <v/>
      </c>
    </row>
    <row r="125" spans="1:11" x14ac:dyDescent="0.2">
      <c r="A125">
        <v>169</v>
      </c>
      <c r="B125">
        <v>402</v>
      </c>
      <c r="C125">
        <v>8</v>
      </c>
      <c r="D125" t="s">
        <v>7378</v>
      </c>
      <c r="E125">
        <v>601</v>
      </c>
      <c r="F125" t="s">
        <v>4879</v>
      </c>
      <c r="G125" t="s">
        <v>4878</v>
      </c>
      <c r="H125">
        <v>9</v>
      </c>
      <c r="I125">
        <v>130</v>
      </c>
      <c r="J125">
        <v>140</v>
      </c>
      <c r="K125" s="206" t="str" cm="1">
        <f t="array" ref="K125">myRGB(H125,I125,J125)</f>
        <v/>
      </c>
    </row>
    <row r="126" spans="1:11" x14ac:dyDescent="0.2">
      <c r="A126">
        <v>168</v>
      </c>
      <c r="B126">
        <v>402</v>
      </c>
      <c r="C126">
        <v>8</v>
      </c>
      <c r="D126" t="s">
        <v>7377</v>
      </c>
      <c r="E126">
        <v>233</v>
      </c>
      <c r="F126" t="s">
        <v>4877</v>
      </c>
      <c r="G126" t="s">
        <v>4876</v>
      </c>
      <c r="H126">
        <v>8</v>
      </c>
      <c r="I126">
        <v>132</v>
      </c>
      <c r="J126">
        <v>139</v>
      </c>
      <c r="K126" s="246" t="str" cm="1">
        <f t="array" ref="K126">myRGB(H126,I126,J126)</f>
        <v/>
      </c>
    </row>
    <row r="127" spans="1:11" x14ac:dyDescent="0.2">
      <c r="A127">
        <v>167</v>
      </c>
      <c r="B127">
        <v>402</v>
      </c>
      <c r="C127">
        <v>8</v>
      </c>
      <c r="D127" t="s">
        <v>7376</v>
      </c>
      <c r="E127">
        <v>1114</v>
      </c>
      <c r="F127" t="s">
        <v>4875</v>
      </c>
      <c r="G127" t="s">
        <v>4874</v>
      </c>
      <c r="H127">
        <v>8</v>
      </c>
      <c r="I127">
        <v>133</v>
      </c>
      <c r="J127">
        <v>136</v>
      </c>
      <c r="K127" s="43" t="str" cm="1">
        <f t="array" ref="K127">myRGB(H127,I127,J127)</f>
        <v/>
      </c>
    </row>
    <row r="128" spans="1:11" x14ac:dyDescent="0.2">
      <c r="A128">
        <v>165</v>
      </c>
      <c r="B128">
        <v>402</v>
      </c>
      <c r="C128">
        <v>8</v>
      </c>
      <c r="D128" t="s">
        <v>7374</v>
      </c>
      <c r="E128">
        <v>1074</v>
      </c>
      <c r="F128" t="s">
        <v>4873</v>
      </c>
      <c r="G128" t="s">
        <v>4872</v>
      </c>
      <c r="H128">
        <v>11</v>
      </c>
      <c r="I128">
        <v>131</v>
      </c>
      <c r="J128">
        <v>139</v>
      </c>
      <c r="K128" s="318" t="str" cm="1">
        <f t="array" ref="K128">myRGB(H128,I128,J128)</f>
        <v/>
      </c>
    </row>
    <row r="129" spans="1:11" x14ac:dyDescent="0.2">
      <c r="A129">
        <v>164</v>
      </c>
      <c r="B129">
        <v>669</v>
      </c>
      <c r="C129">
        <v>7</v>
      </c>
      <c r="D129" t="s">
        <v>7373</v>
      </c>
      <c r="E129">
        <v>402</v>
      </c>
      <c r="F129" t="s">
        <v>4871</v>
      </c>
      <c r="G129" t="s">
        <v>4870</v>
      </c>
      <c r="H129">
        <v>9</v>
      </c>
      <c r="I129">
        <v>131</v>
      </c>
      <c r="J129">
        <v>140</v>
      </c>
      <c r="K129" s="344" t="str" cm="1">
        <f t="array" ref="K129">myRGB(H129,I129,J129)</f>
        <v/>
      </c>
    </row>
    <row r="130" spans="1:11" x14ac:dyDescent="0.2">
      <c r="A130">
        <v>177</v>
      </c>
      <c r="B130">
        <v>394</v>
      </c>
      <c r="C130">
        <v>8</v>
      </c>
      <c r="D130" t="s">
        <v>7386</v>
      </c>
      <c r="E130">
        <v>441</v>
      </c>
      <c r="F130" t="s">
        <v>4893</v>
      </c>
      <c r="G130" t="s">
        <v>4892</v>
      </c>
      <c r="H130">
        <v>8</v>
      </c>
      <c r="I130">
        <v>131</v>
      </c>
      <c r="J130">
        <v>138</v>
      </c>
      <c r="K130" s="122" t="str" cm="1">
        <f t="array" ref="K130">myRGB(H130,I130,J130)</f>
        <v/>
      </c>
    </row>
    <row r="131" spans="1:11" x14ac:dyDescent="0.2">
      <c r="A131">
        <v>175</v>
      </c>
      <c r="B131">
        <v>394</v>
      </c>
      <c r="C131">
        <v>8</v>
      </c>
      <c r="D131" t="s">
        <v>7384</v>
      </c>
      <c r="E131">
        <v>433</v>
      </c>
      <c r="F131" t="s">
        <v>4889</v>
      </c>
      <c r="G131" t="s">
        <v>4888</v>
      </c>
      <c r="H131">
        <v>10</v>
      </c>
      <c r="I131">
        <v>132</v>
      </c>
      <c r="J131">
        <v>139</v>
      </c>
      <c r="K131" s="44" t="str" cm="1">
        <f t="array" ref="K131">myRGB(H131,I131,J131)</f>
        <v/>
      </c>
    </row>
    <row r="132" spans="1:11" x14ac:dyDescent="0.2">
      <c r="A132">
        <v>174</v>
      </c>
      <c r="B132">
        <v>394</v>
      </c>
      <c r="C132">
        <v>8</v>
      </c>
      <c r="D132" t="s">
        <v>7383</v>
      </c>
      <c r="E132">
        <v>401</v>
      </c>
      <c r="F132" t="s">
        <v>4887</v>
      </c>
      <c r="G132" t="s">
        <v>4886</v>
      </c>
      <c r="H132">
        <v>9</v>
      </c>
      <c r="I132">
        <v>133</v>
      </c>
      <c r="J132">
        <v>138</v>
      </c>
      <c r="K132" s="181" t="str" cm="1">
        <f t="array" ref="K132">myRGB(H132,I132,J132)</f>
        <v/>
      </c>
    </row>
    <row r="133" spans="1:11" x14ac:dyDescent="0.2">
      <c r="A133">
        <v>172</v>
      </c>
      <c r="B133">
        <v>394</v>
      </c>
      <c r="C133">
        <v>8</v>
      </c>
      <c r="D133" t="s">
        <v>7381</v>
      </c>
      <c r="E133">
        <v>281</v>
      </c>
      <c r="F133" t="s">
        <v>4885</v>
      </c>
      <c r="G133" t="s">
        <v>4884</v>
      </c>
      <c r="H133">
        <v>9</v>
      </c>
      <c r="I133">
        <v>132</v>
      </c>
      <c r="J133">
        <v>139</v>
      </c>
      <c r="K133" s="207" t="str" cm="1">
        <f t="array" ref="K133">myRGB(H133,I133,J133)</f>
        <v/>
      </c>
    </row>
    <row r="134" spans="1:11" x14ac:dyDescent="0.2">
      <c r="A134">
        <v>173</v>
      </c>
      <c r="B134">
        <v>394</v>
      </c>
      <c r="C134">
        <v>8</v>
      </c>
      <c r="D134" t="s">
        <v>7382</v>
      </c>
      <c r="E134">
        <v>1066</v>
      </c>
      <c r="F134" t="s">
        <v>7197</v>
      </c>
      <c r="G134" t="s">
        <v>7136</v>
      </c>
      <c r="H134">
        <v>11</v>
      </c>
      <c r="I134">
        <v>132</v>
      </c>
      <c r="J134">
        <v>138</v>
      </c>
      <c r="K134" s="247" t="str" cm="1">
        <f t="array" ref="K134">myRGB(H134,I134,J134)</f>
        <v/>
      </c>
    </row>
    <row r="135" spans="1:11" x14ac:dyDescent="0.2">
      <c r="A135">
        <v>176</v>
      </c>
      <c r="B135">
        <v>394</v>
      </c>
      <c r="C135">
        <v>8</v>
      </c>
      <c r="D135" t="s">
        <v>7385</v>
      </c>
      <c r="E135">
        <v>1046</v>
      </c>
      <c r="F135" t="s">
        <v>4891</v>
      </c>
      <c r="G135" t="s">
        <v>4890</v>
      </c>
      <c r="H135">
        <v>10</v>
      </c>
      <c r="I135">
        <v>130</v>
      </c>
      <c r="J135">
        <v>139</v>
      </c>
      <c r="K135" s="45" t="str" cm="1">
        <f t="array" ref="K135">myRGB(H135,I135,J135)</f>
        <v/>
      </c>
    </row>
    <row r="136" spans="1:11" x14ac:dyDescent="0.2">
      <c r="A136">
        <v>171</v>
      </c>
      <c r="B136">
        <v>669</v>
      </c>
      <c r="C136">
        <v>7</v>
      </c>
      <c r="D136" t="s">
        <v>7380</v>
      </c>
      <c r="E136">
        <v>394</v>
      </c>
      <c r="F136" t="s">
        <v>4883</v>
      </c>
      <c r="G136" t="s">
        <v>4882</v>
      </c>
      <c r="H136">
        <v>8</v>
      </c>
      <c r="I136">
        <v>131</v>
      </c>
      <c r="J136">
        <v>139</v>
      </c>
      <c r="K136" s="319" t="str" cm="1">
        <f t="array" ref="K136">myRGB(H136,I136,J136)</f>
        <v/>
      </c>
    </row>
    <row r="137" spans="1:11" x14ac:dyDescent="0.2">
      <c r="A137">
        <v>187</v>
      </c>
      <c r="B137">
        <v>385</v>
      </c>
      <c r="C137">
        <v>8</v>
      </c>
      <c r="D137" t="s">
        <v>7396</v>
      </c>
      <c r="E137">
        <v>821</v>
      </c>
      <c r="F137" t="s">
        <v>7199</v>
      </c>
      <c r="G137" t="s">
        <v>7138</v>
      </c>
      <c r="H137">
        <v>10</v>
      </c>
      <c r="I137">
        <v>130</v>
      </c>
      <c r="J137">
        <v>140</v>
      </c>
      <c r="K137" s="345" t="str" cm="1">
        <f t="array" ref="K137">myRGB(H137,I137,J137)</f>
        <v/>
      </c>
    </row>
    <row r="138" spans="1:11" x14ac:dyDescent="0.2">
      <c r="A138">
        <v>189</v>
      </c>
      <c r="B138">
        <v>385</v>
      </c>
      <c r="C138">
        <v>8</v>
      </c>
      <c r="D138" t="s">
        <v>7398</v>
      </c>
      <c r="E138">
        <v>778</v>
      </c>
      <c r="F138" t="s">
        <v>4913</v>
      </c>
      <c r="G138" t="s">
        <v>4912</v>
      </c>
      <c r="H138">
        <v>8</v>
      </c>
      <c r="I138">
        <v>131</v>
      </c>
      <c r="J138">
        <v>137</v>
      </c>
      <c r="K138" s="123" t="str" cm="1">
        <f t="array" ref="K138">myRGB(H138,I138,J138)</f>
        <v/>
      </c>
    </row>
    <row r="139" spans="1:11" x14ac:dyDescent="0.2">
      <c r="A139">
        <v>188</v>
      </c>
      <c r="B139">
        <v>385</v>
      </c>
      <c r="C139">
        <v>8</v>
      </c>
      <c r="D139" t="s">
        <v>7397</v>
      </c>
      <c r="E139">
        <v>721</v>
      </c>
      <c r="F139" t="s">
        <v>4911</v>
      </c>
      <c r="G139" t="s">
        <v>4910</v>
      </c>
      <c r="H139">
        <v>11</v>
      </c>
      <c r="I139">
        <v>132</v>
      </c>
      <c r="J139">
        <v>139</v>
      </c>
      <c r="K139" s="46" t="str" cm="1">
        <f t="array" ref="K139">myRGB(H139,I139,J139)</f>
        <v/>
      </c>
    </row>
    <row r="140" spans="1:11" x14ac:dyDescent="0.2">
      <c r="A140">
        <v>186</v>
      </c>
      <c r="B140">
        <v>385</v>
      </c>
      <c r="C140">
        <v>8</v>
      </c>
      <c r="D140" t="s">
        <v>7395</v>
      </c>
      <c r="E140">
        <v>593</v>
      </c>
      <c r="F140" t="s">
        <v>4909</v>
      </c>
      <c r="G140" t="s">
        <v>4908</v>
      </c>
      <c r="H140">
        <v>9</v>
      </c>
      <c r="I140">
        <v>133</v>
      </c>
      <c r="J140">
        <v>137</v>
      </c>
      <c r="K140" s="182" t="str" cm="1">
        <f t="array" ref="K140">myRGB(H140,I140,J140)</f>
        <v/>
      </c>
    </row>
    <row r="141" spans="1:11" x14ac:dyDescent="0.2">
      <c r="A141">
        <v>190</v>
      </c>
      <c r="B141">
        <v>385</v>
      </c>
      <c r="C141">
        <v>8</v>
      </c>
      <c r="D141" t="s">
        <v>7399</v>
      </c>
      <c r="E141">
        <v>33</v>
      </c>
      <c r="F141" t="s">
        <v>4915</v>
      </c>
      <c r="G141" t="s">
        <v>4914</v>
      </c>
      <c r="H141">
        <v>8</v>
      </c>
      <c r="I141">
        <v>133</v>
      </c>
      <c r="J141">
        <v>140</v>
      </c>
      <c r="K141" s="208" t="str" cm="1">
        <f t="array" ref="K141">myRGB(H141,I141,J141)</f>
        <v/>
      </c>
    </row>
    <row r="142" spans="1:11" x14ac:dyDescent="0.2">
      <c r="A142">
        <v>191</v>
      </c>
      <c r="B142">
        <v>385</v>
      </c>
      <c r="C142">
        <v>8</v>
      </c>
      <c r="D142" t="s">
        <v>7400</v>
      </c>
      <c r="E142">
        <v>305</v>
      </c>
      <c r="F142" t="s">
        <v>4917</v>
      </c>
      <c r="G142" t="s">
        <v>4916</v>
      </c>
      <c r="H142">
        <v>8</v>
      </c>
      <c r="I142">
        <v>133</v>
      </c>
      <c r="J142">
        <v>138</v>
      </c>
      <c r="K142" s="248" t="str" cm="1">
        <f t="array" ref="K142">myRGB(H142,I142,J142)</f>
        <v/>
      </c>
    </row>
    <row r="143" spans="1:11" x14ac:dyDescent="0.2">
      <c r="A143">
        <v>185</v>
      </c>
      <c r="B143">
        <v>669</v>
      </c>
      <c r="C143">
        <v>7</v>
      </c>
      <c r="D143" t="s">
        <v>7394</v>
      </c>
      <c r="E143">
        <v>385</v>
      </c>
      <c r="F143" t="s">
        <v>4907</v>
      </c>
      <c r="G143" t="s">
        <v>4906</v>
      </c>
      <c r="H143">
        <v>10</v>
      </c>
      <c r="I143">
        <v>133</v>
      </c>
      <c r="J143">
        <v>140</v>
      </c>
      <c r="K143" s="47" t="str" cm="1">
        <f t="array" ref="K143">myRGB(H143,I143,J143)</f>
        <v/>
      </c>
    </row>
    <row r="144" spans="1:11" x14ac:dyDescent="0.2">
      <c r="A144">
        <v>219</v>
      </c>
      <c r="B144">
        <v>312782628</v>
      </c>
      <c r="C144">
        <v>8</v>
      </c>
      <c r="D144" t="s">
        <v>7435</v>
      </c>
      <c r="E144">
        <v>312782652</v>
      </c>
      <c r="F144" t="s">
        <v>4965</v>
      </c>
      <c r="G144" t="s">
        <v>4964</v>
      </c>
      <c r="H144">
        <v>12</v>
      </c>
      <c r="I144">
        <v>132</v>
      </c>
      <c r="J144">
        <v>140</v>
      </c>
      <c r="K144" s="320" t="str" cm="1">
        <f t="array" ref="K144">myRGB(H144,I144,J144)</f>
        <v/>
      </c>
    </row>
    <row r="145" spans="1:11" x14ac:dyDescent="0.2">
      <c r="A145">
        <v>218</v>
      </c>
      <c r="B145">
        <v>312782628</v>
      </c>
      <c r="C145">
        <v>8</v>
      </c>
      <c r="D145" t="s">
        <v>7434</v>
      </c>
      <c r="E145">
        <v>312782648</v>
      </c>
      <c r="F145" t="s">
        <v>4963</v>
      </c>
      <c r="G145" t="s">
        <v>4962</v>
      </c>
      <c r="H145">
        <v>12</v>
      </c>
      <c r="I145">
        <v>133</v>
      </c>
      <c r="J145">
        <v>139</v>
      </c>
      <c r="K145" s="346" t="str" cm="1">
        <f t="array" ref="K145">myRGB(H145,I145,J145)</f>
        <v/>
      </c>
    </row>
    <row r="146" spans="1:11" x14ac:dyDescent="0.2">
      <c r="A146">
        <v>217</v>
      </c>
      <c r="B146">
        <v>312782628</v>
      </c>
      <c r="C146">
        <v>8</v>
      </c>
      <c r="D146" t="s">
        <v>7433</v>
      </c>
      <c r="E146">
        <v>312782644</v>
      </c>
      <c r="F146" t="s">
        <v>4961</v>
      </c>
      <c r="G146" t="s">
        <v>4960</v>
      </c>
      <c r="H146">
        <v>11</v>
      </c>
      <c r="I146">
        <v>131</v>
      </c>
      <c r="J146">
        <v>138</v>
      </c>
      <c r="K146" s="124" t="str" cm="1">
        <f t="array" ref="K146">myRGB(H146,I146,J146)</f>
        <v/>
      </c>
    </row>
    <row r="147" spans="1:11" x14ac:dyDescent="0.2">
      <c r="A147">
        <v>216</v>
      </c>
      <c r="B147">
        <v>312782628</v>
      </c>
      <c r="C147">
        <v>8</v>
      </c>
      <c r="D147" t="s">
        <v>7432</v>
      </c>
      <c r="E147">
        <v>312782640</v>
      </c>
      <c r="F147" t="s">
        <v>4959</v>
      </c>
      <c r="G147" t="s">
        <v>4958</v>
      </c>
      <c r="H147">
        <v>10</v>
      </c>
      <c r="I147">
        <v>130</v>
      </c>
      <c r="J147">
        <v>138</v>
      </c>
      <c r="K147" s="48" t="str" cm="1">
        <f t="array" ref="K147">myRGB(H147,I147,J147)</f>
        <v/>
      </c>
    </row>
    <row r="148" spans="1:11" x14ac:dyDescent="0.2">
      <c r="A148">
        <v>215</v>
      </c>
      <c r="B148">
        <v>312782628</v>
      </c>
      <c r="C148">
        <v>8</v>
      </c>
      <c r="D148" t="s">
        <v>7431</v>
      </c>
      <c r="E148">
        <v>312782636</v>
      </c>
      <c r="F148" t="s">
        <v>7203</v>
      </c>
      <c r="G148" t="s">
        <v>7142</v>
      </c>
      <c r="H148">
        <v>10</v>
      </c>
      <c r="I148">
        <v>131</v>
      </c>
      <c r="J148">
        <v>137</v>
      </c>
      <c r="K148" s="183" t="str" cm="1">
        <f t="array" ref="K148">myRGB(H148,I148,J148)</f>
        <v/>
      </c>
    </row>
    <row r="149" spans="1:11" x14ac:dyDescent="0.2">
      <c r="A149">
        <v>214</v>
      </c>
      <c r="B149">
        <v>312782628</v>
      </c>
      <c r="C149">
        <v>8</v>
      </c>
      <c r="D149" t="s">
        <v>7430</v>
      </c>
      <c r="E149">
        <v>312782632</v>
      </c>
      <c r="F149" t="s">
        <v>4957</v>
      </c>
      <c r="G149" t="s">
        <v>4956</v>
      </c>
      <c r="H149">
        <v>9</v>
      </c>
      <c r="I149">
        <v>129</v>
      </c>
      <c r="J149">
        <v>140</v>
      </c>
      <c r="K149" s="209" t="str" cm="1">
        <f t="array" ref="K149">myRGB(H149,I149,J149)</f>
        <v/>
      </c>
    </row>
    <row r="150" spans="1:11" x14ac:dyDescent="0.2">
      <c r="A150">
        <v>213</v>
      </c>
      <c r="B150">
        <v>669</v>
      </c>
      <c r="C150">
        <v>7</v>
      </c>
      <c r="D150" t="s">
        <v>7429</v>
      </c>
      <c r="E150">
        <v>312782628</v>
      </c>
      <c r="F150" t="s">
        <v>4955</v>
      </c>
      <c r="G150" t="s">
        <v>4954</v>
      </c>
      <c r="H150">
        <v>9</v>
      </c>
      <c r="I150">
        <v>133</v>
      </c>
      <c r="J150">
        <v>136</v>
      </c>
      <c r="K150" s="249" t="str" cm="1">
        <f t="array" ref="K150">myRGB(H150,I150,J150)</f>
        <v/>
      </c>
    </row>
    <row r="151" spans="1:11" x14ac:dyDescent="0.2">
      <c r="A151">
        <v>212</v>
      </c>
      <c r="B151">
        <v>312782574</v>
      </c>
      <c r="C151">
        <v>8</v>
      </c>
      <c r="D151" t="s">
        <v>7428</v>
      </c>
      <c r="E151">
        <v>312782598</v>
      </c>
      <c r="F151" t="s">
        <v>4953</v>
      </c>
      <c r="G151" t="s">
        <v>4952</v>
      </c>
      <c r="H151">
        <v>8</v>
      </c>
      <c r="I151">
        <v>129</v>
      </c>
      <c r="J151">
        <v>139</v>
      </c>
      <c r="K151" s="49" t="str" cm="1">
        <f t="array" ref="K151">myRGB(H151,I151,J151)</f>
        <v/>
      </c>
    </row>
    <row r="152" spans="1:11" x14ac:dyDescent="0.2">
      <c r="A152">
        <v>211</v>
      </c>
      <c r="B152">
        <v>312782574</v>
      </c>
      <c r="C152">
        <v>8</v>
      </c>
      <c r="D152" t="s">
        <v>7427</v>
      </c>
      <c r="E152">
        <v>312782594</v>
      </c>
      <c r="F152" t="s">
        <v>4951</v>
      </c>
      <c r="G152" t="s">
        <v>4950</v>
      </c>
      <c r="H152">
        <v>8</v>
      </c>
      <c r="I152">
        <v>132</v>
      </c>
      <c r="J152">
        <v>136</v>
      </c>
      <c r="K152" s="321" t="str" cm="1">
        <f t="array" ref="K152">myRGB(H152,I152,J152)</f>
        <v/>
      </c>
    </row>
    <row r="153" spans="1:11" x14ac:dyDescent="0.2">
      <c r="A153">
        <v>210</v>
      </c>
      <c r="B153">
        <v>312782574</v>
      </c>
      <c r="C153">
        <v>8</v>
      </c>
      <c r="D153" t="s">
        <v>7426</v>
      </c>
      <c r="E153">
        <v>312782590</v>
      </c>
      <c r="F153" t="s">
        <v>4949</v>
      </c>
      <c r="G153" t="s">
        <v>4948</v>
      </c>
      <c r="H153">
        <v>10</v>
      </c>
      <c r="I153">
        <v>132</v>
      </c>
      <c r="J153">
        <v>138</v>
      </c>
      <c r="K153" s="347" t="str" cm="1">
        <f t="array" ref="K153">myRGB(H153,I153,J153)</f>
        <v/>
      </c>
    </row>
    <row r="154" spans="1:11" x14ac:dyDescent="0.2">
      <c r="A154">
        <v>209</v>
      </c>
      <c r="B154">
        <v>312782574</v>
      </c>
      <c r="C154">
        <v>8</v>
      </c>
      <c r="D154" t="s">
        <v>7425</v>
      </c>
      <c r="E154">
        <v>312782586</v>
      </c>
      <c r="F154" t="s">
        <v>4947</v>
      </c>
      <c r="G154" t="s">
        <v>4946</v>
      </c>
      <c r="H154">
        <v>8</v>
      </c>
      <c r="I154">
        <v>130</v>
      </c>
      <c r="J154">
        <v>140</v>
      </c>
      <c r="K154" s="125" t="str" cm="1">
        <f t="array" ref="K154">myRGB(H154,I154,J154)</f>
        <v/>
      </c>
    </row>
    <row r="155" spans="1:11" x14ac:dyDescent="0.2">
      <c r="A155">
        <v>208</v>
      </c>
      <c r="B155">
        <v>312782574</v>
      </c>
      <c r="C155">
        <v>8</v>
      </c>
      <c r="D155" t="s">
        <v>7424</v>
      </c>
      <c r="E155">
        <v>312782582</v>
      </c>
      <c r="F155" t="s">
        <v>7202</v>
      </c>
      <c r="G155" t="s">
        <v>7141</v>
      </c>
      <c r="H155">
        <v>10</v>
      </c>
      <c r="I155">
        <v>133</v>
      </c>
      <c r="J155">
        <v>138</v>
      </c>
      <c r="K155" s="50" t="str" cm="1">
        <f t="array" ref="K155">myRGB(H155,I155,J155)</f>
        <v/>
      </c>
    </row>
    <row r="156" spans="1:11" x14ac:dyDescent="0.2">
      <c r="A156">
        <v>207</v>
      </c>
      <c r="B156">
        <v>312782574</v>
      </c>
      <c r="C156">
        <v>8</v>
      </c>
      <c r="D156" t="s">
        <v>7423</v>
      </c>
      <c r="E156">
        <v>312782578</v>
      </c>
      <c r="F156" t="s">
        <v>4945</v>
      </c>
      <c r="G156" t="s">
        <v>4944</v>
      </c>
      <c r="H156">
        <v>12</v>
      </c>
      <c r="I156">
        <v>133</v>
      </c>
      <c r="J156">
        <v>140</v>
      </c>
      <c r="K156" s="184" t="str" cm="1">
        <f t="array" ref="K156">myRGB(H156,I156,J156)</f>
        <v/>
      </c>
    </row>
    <row r="157" spans="1:11" x14ac:dyDescent="0.2">
      <c r="A157">
        <v>206</v>
      </c>
      <c r="B157">
        <v>669</v>
      </c>
      <c r="C157">
        <v>7</v>
      </c>
      <c r="D157" t="s">
        <v>7422</v>
      </c>
      <c r="E157">
        <v>312782574</v>
      </c>
      <c r="F157" t="s">
        <v>4943</v>
      </c>
      <c r="G157" t="s">
        <v>4942</v>
      </c>
      <c r="H157">
        <v>10</v>
      </c>
      <c r="I157">
        <v>133</v>
      </c>
      <c r="J157">
        <v>139</v>
      </c>
      <c r="K157" s="210" t="str" cm="1">
        <f t="array" ref="K157">myRGB(H157,I157,J157)</f>
        <v/>
      </c>
    </row>
    <row r="158" spans="1:11" x14ac:dyDescent="0.2">
      <c r="A158">
        <v>157</v>
      </c>
      <c r="B158">
        <v>315</v>
      </c>
      <c r="C158">
        <v>6</v>
      </c>
      <c r="D158" t="s">
        <v>7372</v>
      </c>
      <c r="E158">
        <v>669</v>
      </c>
      <c r="F158" t="s">
        <v>4859</v>
      </c>
      <c r="G158" t="s">
        <v>4858</v>
      </c>
      <c r="H158">
        <v>9</v>
      </c>
      <c r="I158">
        <v>132</v>
      </c>
      <c r="J158">
        <v>137</v>
      </c>
      <c r="K158" s="250" t="str" cm="1">
        <f t="array" ref="K158">myRGB(H158,I158,J158)</f>
        <v/>
      </c>
    </row>
    <row r="159" spans="1:11" x14ac:dyDescent="0.2">
      <c r="A159">
        <v>361</v>
      </c>
      <c r="B159">
        <v>541</v>
      </c>
      <c r="C159">
        <v>7</v>
      </c>
      <c r="D159" t="s">
        <v>7533</v>
      </c>
      <c r="E159">
        <v>97</v>
      </c>
      <c r="F159" t="s">
        <v>5207</v>
      </c>
      <c r="G159" t="s">
        <v>5206</v>
      </c>
      <c r="H159">
        <v>21</v>
      </c>
      <c r="I159">
        <v>176</v>
      </c>
      <c r="J159">
        <v>179</v>
      </c>
      <c r="K159" s="51" t="str" cm="1">
        <f t="array" ref="K159">myRGB(H159,I159,J159)</f>
        <v/>
      </c>
    </row>
    <row r="160" spans="1:11" x14ac:dyDescent="0.2">
      <c r="A160">
        <v>366</v>
      </c>
      <c r="B160">
        <v>541</v>
      </c>
      <c r="C160">
        <v>7</v>
      </c>
      <c r="D160" t="s">
        <v>7538</v>
      </c>
      <c r="E160">
        <v>786</v>
      </c>
      <c r="F160" t="s">
        <v>5215</v>
      </c>
      <c r="G160" t="s">
        <v>5214</v>
      </c>
      <c r="H160">
        <v>22</v>
      </c>
      <c r="I160">
        <v>176</v>
      </c>
      <c r="J160">
        <v>178</v>
      </c>
      <c r="K160" s="322" t="str" cm="1">
        <f t="array" ref="K160">myRGB(H160,I160,J160)</f>
        <v/>
      </c>
    </row>
    <row r="161" spans="1:11" x14ac:dyDescent="0.2">
      <c r="A161">
        <v>365</v>
      </c>
      <c r="B161">
        <v>541</v>
      </c>
      <c r="C161">
        <v>7</v>
      </c>
      <c r="D161" t="s">
        <v>7537</v>
      </c>
      <c r="E161">
        <v>729</v>
      </c>
      <c r="F161" t="s">
        <v>5213</v>
      </c>
      <c r="G161" t="s">
        <v>5212</v>
      </c>
      <c r="H161">
        <v>21</v>
      </c>
      <c r="I161">
        <v>175</v>
      </c>
      <c r="J161">
        <v>178</v>
      </c>
      <c r="K161" s="348" t="str" cm="1">
        <f t="array" ref="K161">myRGB(H161,I161,J161)</f>
        <v/>
      </c>
    </row>
    <row r="162" spans="1:11" x14ac:dyDescent="0.2">
      <c r="A162">
        <v>364</v>
      </c>
      <c r="B162">
        <v>541</v>
      </c>
      <c r="C162">
        <v>7</v>
      </c>
      <c r="D162" t="s">
        <v>7536</v>
      </c>
      <c r="E162">
        <v>289</v>
      </c>
      <c r="F162" t="s">
        <v>5211</v>
      </c>
      <c r="G162" t="s">
        <v>5210</v>
      </c>
      <c r="H162">
        <v>21</v>
      </c>
      <c r="I162">
        <v>175</v>
      </c>
      <c r="J162">
        <v>179</v>
      </c>
      <c r="K162" s="126" t="str" cm="1">
        <f t="array" ref="K162">myRGB(H162,I162,J162)</f>
        <v/>
      </c>
    </row>
    <row r="163" spans="1:11" x14ac:dyDescent="0.2">
      <c r="A163">
        <v>363</v>
      </c>
      <c r="B163">
        <v>541</v>
      </c>
      <c r="C163">
        <v>7</v>
      </c>
      <c r="D163" t="s">
        <v>7535</v>
      </c>
      <c r="E163">
        <v>234</v>
      </c>
      <c r="F163" t="s">
        <v>5209</v>
      </c>
      <c r="G163" t="s">
        <v>5208</v>
      </c>
      <c r="H163">
        <v>21</v>
      </c>
      <c r="I163">
        <v>176</v>
      </c>
      <c r="J163">
        <v>178</v>
      </c>
      <c r="K163" s="52" t="str" cm="1">
        <f t="array" ref="K163">myRGB(H163,I163,J163)</f>
        <v/>
      </c>
    </row>
    <row r="164" spans="1:11" x14ac:dyDescent="0.2">
      <c r="A164">
        <v>362</v>
      </c>
      <c r="B164">
        <v>541</v>
      </c>
      <c r="C164">
        <v>7</v>
      </c>
      <c r="D164" t="s">
        <v>7534</v>
      </c>
      <c r="E164">
        <v>1127</v>
      </c>
      <c r="F164" t="s">
        <v>7225</v>
      </c>
      <c r="G164" t="s">
        <v>7164</v>
      </c>
      <c r="H164">
        <v>22</v>
      </c>
      <c r="I164">
        <v>175</v>
      </c>
      <c r="J164">
        <v>179</v>
      </c>
      <c r="K164" s="185" t="str" cm="1">
        <f t="array" ref="K164">myRGB(H164,I164,J164)</f>
        <v/>
      </c>
    </row>
    <row r="165" spans="1:11" x14ac:dyDescent="0.2">
      <c r="A165">
        <v>360</v>
      </c>
      <c r="B165">
        <v>315</v>
      </c>
      <c r="C165">
        <v>6</v>
      </c>
      <c r="D165" t="s">
        <v>7532</v>
      </c>
      <c r="E165">
        <v>541</v>
      </c>
      <c r="F165" t="s">
        <v>5205</v>
      </c>
      <c r="G165" t="s">
        <v>5204</v>
      </c>
      <c r="H165">
        <v>22</v>
      </c>
      <c r="I165">
        <v>176</v>
      </c>
      <c r="J165">
        <v>179</v>
      </c>
      <c r="K165" s="211" t="str" cm="1">
        <f t="array" ref="K165">myRGB(H165,I165,J165)</f>
        <v/>
      </c>
    </row>
    <row r="166" spans="1:11" x14ac:dyDescent="0.2">
      <c r="A166">
        <v>26</v>
      </c>
      <c r="B166">
        <v>993</v>
      </c>
      <c r="C166">
        <v>8</v>
      </c>
      <c r="D166" t="s">
        <v>7267</v>
      </c>
      <c r="E166">
        <v>962</v>
      </c>
      <c r="F166" t="s">
        <v>7176</v>
      </c>
      <c r="G166" t="s">
        <v>7115</v>
      </c>
      <c r="H166">
        <v>30</v>
      </c>
      <c r="I166">
        <v>157</v>
      </c>
      <c r="J166">
        <v>88</v>
      </c>
      <c r="K166" s="251" t="str" cm="1">
        <f t="array" ref="K166">myRGB(H166,I166,J166)</f>
        <v/>
      </c>
    </row>
    <row r="167" spans="1:11" x14ac:dyDescent="0.2">
      <c r="A167">
        <v>27</v>
      </c>
      <c r="B167">
        <v>993</v>
      </c>
      <c r="C167">
        <v>8</v>
      </c>
      <c r="D167" t="s">
        <v>7268</v>
      </c>
      <c r="E167">
        <v>767</v>
      </c>
      <c r="F167" t="s">
        <v>4635</v>
      </c>
      <c r="G167" t="s">
        <v>4634</v>
      </c>
      <c r="H167">
        <v>31</v>
      </c>
      <c r="I167">
        <v>157</v>
      </c>
      <c r="J167">
        <v>88</v>
      </c>
      <c r="K167" s="53" t="str" cm="1">
        <f t="array" ref="K167">myRGB(H167,I167,J167)</f>
        <v/>
      </c>
    </row>
    <row r="168" spans="1:11" x14ac:dyDescent="0.2">
      <c r="A168">
        <v>25</v>
      </c>
      <c r="B168">
        <v>993</v>
      </c>
      <c r="C168">
        <v>8</v>
      </c>
      <c r="D168" t="s">
        <v>7266</v>
      </c>
      <c r="E168">
        <v>656</v>
      </c>
      <c r="F168" t="s">
        <v>4633</v>
      </c>
      <c r="G168" t="s">
        <v>4632</v>
      </c>
      <c r="H168">
        <v>30</v>
      </c>
      <c r="I168">
        <v>156</v>
      </c>
      <c r="J168">
        <v>89</v>
      </c>
      <c r="K168" s="323" t="str" cm="1">
        <f t="array" ref="K168">myRGB(H168,I168,J168)</f>
        <v/>
      </c>
    </row>
    <row r="169" spans="1:11" x14ac:dyDescent="0.2">
      <c r="A169">
        <v>29</v>
      </c>
      <c r="B169">
        <v>993</v>
      </c>
      <c r="C169">
        <v>8</v>
      </c>
      <c r="D169" t="s">
        <v>7270</v>
      </c>
      <c r="E169">
        <v>1085</v>
      </c>
      <c r="F169" t="s">
        <v>4639</v>
      </c>
      <c r="G169" t="s">
        <v>4638</v>
      </c>
      <c r="H169">
        <v>30</v>
      </c>
      <c r="I169">
        <v>156</v>
      </c>
      <c r="J169">
        <v>88</v>
      </c>
      <c r="K169" s="349" t="str" cm="1">
        <f t="array" ref="K169">myRGB(H169,I169,J169)</f>
        <v/>
      </c>
    </row>
    <row r="170" spans="1:11" x14ac:dyDescent="0.2">
      <c r="A170">
        <v>28</v>
      </c>
      <c r="B170">
        <v>993</v>
      </c>
      <c r="C170">
        <v>8</v>
      </c>
      <c r="D170" t="s">
        <v>7269</v>
      </c>
      <c r="E170">
        <v>1021</v>
      </c>
      <c r="F170" t="s">
        <v>4637</v>
      </c>
      <c r="G170" t="s">
        <v>4636</v>
      </c>
      <c r="H170">
        <v>29</v>
      </c>
      <c r="I170">
        <v>156</v>
      </c>
      <c r="J170">
        <v>90</v>
      </c>
      <c r="K170" s="127" t="str" cm="1">
        <f t="array" ref="K170">myRGB(H170,I170,J170)</f>
        <v/>
      </c>
    </row>
    <row r="171" spans="1:11" x14ac:dyDescent="0.2">
      <c r="A171">
        <v>24</v>
      </c>
      <c r="B171">
        <v>500</v>
      </c>
      <c r="C171">
        <v>7</v>
      </c>
      <c r="D171" t="s">
        <v>7265</v>
      </c>
      <c r="E171">
        <v>993</v>
      </c>
      <c r="F171" t="s">
        <v>4631</v>
      </c>
      <c r="G171" t="s">
        <v>4630</v>
      </c>
      <c r="H171">
        <v>29</v>
      </c>
      <c r="I171">
        <v>157</v>
      </c>
      <c r="J171">
        <v>89</v>
      </c>
      <c r="K171" s="54" t="str" cm="1">
        <f t="array" ref="K171">myRGB(H171,I171,J171)</f>
        <v/>
      </c>
    </row>
    <row r="172" spans="1:11" x14ac:dyDescent="0.2">
      <c r="A172">
        <v>20</v>
      </c>
      <c r="B172">
        <v>985</v>
      </c>
      <c r="C172">
        <v>8</v>
      </c>
      <c r="D172" t="s">
        <v>7261</v>
      </c>
      <c r="E172">
        <v>943</v>
      </c>
      <c r="F172" t="s">
        <v>7175</v>
      </c>
      <c r="G172" t="s">
        <v>7114</v>
      </c>
      <c r="H172">
        <v>31</v>
      </c>
      <c r="I172">
        <v>156</v>
      </c>
      <c r="J172">
        <v>88</v>
      </c>
      <c r="K172" s="186" t="str" cm="1">
        <f t="array" ref="K172">myRGB(H172,I172,J172)</f>
        <v/>
      </c>
    </row>
    <row r="173" spans="1:11" x14ac:dyDescent="0.2">
      <c r="A173">
        <v>23</v>
      </c>
      <c r="B173">
        <v>985</v>
      </c>
      <c r="C173">
        <v>8</v>
      </c>
      <c r="D173" t="s">
        <v>7264</v>
      </c>
      <c r="E173">
        <v>882</v>
      </c>
      <c r="F173" t="s">
        <v>4629</v>
      </c>
      <c r="G173" t="s">
        <v>4628</v>
      </c>
      <c r="H173">
        <v>29</v>
      </c>
      <c r="I173">
        <v>157</v>
      </c>
      <c r="J173">
        <v>90</v>
      </c>
      <c r="K173" s="212" t="str" cm="1">
        <f t="array" ref="K173">myRGB(H173,I173,J173)</f>
        <v/>
      </c>
    </row>
    <row r="174" spans="1:11" x14ac:dyDescent="0.2">
      <c r="A174">
        <v>22</v>
      </c>
      <c r="B174">
        <v>985</v>
      </c>
      <c r="C174">
        <v>8</v>
      </c>
      <c r="D174" t="s">
        <v>7263</v>
      </c>
      <c r="E174">
        <v>844</v>
      </c>
      <c r="F174" t="s">
        <v>4627</v>
      </c>
      <c r="G174" t="s">
        <v>4626</v>
      </c>
      <c r="H174">
        <v>31</v>
      </c>
      <c r="I174">
        <v>155</v>
      </c>
      <c r="J174">
        <v>90</v>
      </c>
      <c r="K174" s="252" t="str" cm="1">
        <f t="array" ref="K174">myRGB(H174,I174,J174)</f>
        <v/>
      </c>
    </row>
    <row r="175" spans="1:11" x14ac:dyDescent="0.2">
      <c r="A175">
        <v>21</v>
      </c>
      <c r="B175">
        <v>985</v>
      </c>
      <c r="C175">
        <v>8</v>
      </c>
      <c r="D175" t="s">
        <v>7262</v>
      </c>
      <c r="E175">
        <v>648</v>
      </c>
      <c r="F175" t="s">
        <v>4625</v>
      </c>
      <c r="G175" t="s">
        <v>4624</v>
      </c>
      <c r="H175">
        <v>30</v>
      </c>
      <c r="I175">
        <v>156</v>
      </c>
      <c r="J175">
        <v>90</v>
      </c>
      <c r="K175" s="55" t="str" cm="1">
        <f t="array" ref="K175">myRGB(H175,I175,J175)</f>
        <v/>
      </c>
    </row>
    <row r="176" spans="1:11" x14ac:dyDescent="0.2">
      <c r="A176">
        <v>19</v>
      </c>
      <c r="B176">
        <v>985</v>
      </c>
      <c r="C176">
        <v>8</v>
      </c>
      <c r="D176" t="s">
        <v>7260</v>
      </c>
      <c r="E176">
        <v>320</v>
      </c>
      <c r="F176" t="s">
        <v>4623</v>
      </c>
      <c r="G176" t="s">
        <v>4622</v>
      </c>
      <c r="H176">
        <v>30</v>
      </c>
      <c r="I176">
        <v>157</v>
      </c>
      <c r="J176">
        <v>90</v>
      </c>
      <c r="K176" s="324" t="str" cm="1">
        <f t="array" ref="K176">myRGB(H176,I176,J176)</f>
        <v/>
      </c>
    </row>
    <row r="177" spans="1:11" x14ac:dyDescent="0.2">
      <c r="A177">
        <v>18</v>
      </c>
      <c r="B177">
        <v>500</v>
      </c>
      <c r="C177">
        <v>7</v>
      </c>
      <c r="D177" t="s">
        <v>7259</v>
      </c>
      <c r="E177">
        <v>985</v>
      </c>
      <c r="F177" t="s">
        <v>4621</v>
      </c>
      <c r="G177" t="s">
        <v>4620</v>
      </c>
      <c r="H177">
        <v>30</v>
      </c>
      <c r="I177">
        <v>155</v>
      </c>
      <c r="J177">
        <v>90</v>
      </c>
      <c r="K177" s="350" t="str" cm="1">
        <f t="array" ref="K177">myRGB(H177,I177,J177)</f>
        <v/>
      </c>
    </row>
    <row r="178" spans="1:11" x14ac:dyDescent="0.2">
      <c r="A178">
        <v>12</v>
      </c>
      <c r="B178">
        <v>315</v>
      </c>
      <c r="C178">
        <v>6</v>
      </c>
      <c r="D178" t="s">
        <v>7258</v>
      </c>
      <c r="E178">
        <v>500</v>
      </c>
      <c r="F178" t="s">
        <v>4611</v>
      </c>
      <c r="G178" t="s">
        <v>4610</v>
      </c>
      <c r="H178">
        <v>31</v>
      </c>
      <c r="I178">
        <v>156</v>
      </c>
      <c r="J178">
        <v>89</v>
      </c>
      <c r="K178" s="128" t="str" cm="1">
        <f t="array" ref="K178">myRGB(H178,I178,J178)</f>
        <v/>
      </c>
    </row>
    <row r="179" spans="1:11" x14ac:dyDescent="0.2">
      <c r="A179">
        <v>106</v>
      </c>
      <c r="B179">
        <v>378</v>
      </c>
      <c r="C179">
        <v>8</v>
      </c>
      <c r="D179" t="s">
        <v>7328</v>
      </c>
      <c r="E179">
        <v>893</v>
      </c>
      <c r="F179" t="s">
        <v>4771</v>
      </c>
      <c r="G179" t="s">
        <v>4770</v>
      </c>
      <c r="H179">
        <v>26</v>
      </c>
      <c r="I179">
        <v>128</v>
      </c>
      <c r="J179">
        <v>97</v>
      </c>
      <c r="K179" s="56" t="str" cm="1">
        <f t="array" ref="K179">myRGB(H179,I179,J179)</f>
        <v/>
      </c>
    </row>
    <row r="180" spans="1:11" x14ac:dyDescent="0.2">
      <c r="A180">
        <v>101</v>
      </c>
      <c r="B180">
        <v>378</v>
      </c>
      <c r="C180">
        <v>8</v>
      </c>
      <c r="D180" t="s">
        <v>7323</v>
      </c>
      <c r="E180">
        <v>873</v>
      </c>
      <c r="F180" t="s">
        <v>4763</v>
      </c>
      <c r="G180" t="s">
        <v>4762</v>
      </c>
      <c r="H180">
        <v>26</v>
      </c>
      <c r="I180">
        <v>126</v>
      </c>
      <c r="J180">
        <v>98</v>
      </c>
      <c r="K180" s="187" t="str" cm="1">
        <f t="array" ref="K180">myRGB(H180,I180,J180)</f>
        <v/>
      </c>
    </row>
    <row r="181" spans="1:11" x14ac:dyDescent="0.2">
      <c r="A181">
        <v>105</v>
      </c>
      <c r="B181">
        <v>378</v>
      </c>
      <c r="C181">
        <v>8</v>
      </c>
      <c r="D181" t="s">
        <v>7327</v>
      </c>
      <c r="E181">
        <v>862</v>
      </c>
      <c r="F181" t="s">
        <v>4769</v>
      </c>
      <c r="G181" t="s">
        <v>4768</v>
      </c>
      <c r="H181">
        <v>25</v>
      </c>
      <c r="I181">
        <v>125</v>
      </c>
      <c r="J181">
        <v>99</v>
      </c>
      <c r="K181" s="213" t="str" cm="1">
        <f t="array" ref="K181">myRGB(H181,I181,J181)</f>
        <v/>
      </c>
    </row>
    <row r="182" spans="1:11" x14ac:dyDescent="0.2">
      <c r="A182">
        <v>102</v>
      </c>
      <c r="B182">
        <v>378</v>
      </c>
      <c r="C182">
        <v>8</v>
      </c>
      <c r="D182" t="s">
        <v>7324</v>
      </c>
      <c r="E182">
        <v>806</v>
      </c>
      <c r="F182" t="s">
        <v>7187</v>
      </c>
      <c r="G182" t="s">
        <v>7126</v>
      </c>
      <c r="H182">
        <v>27</v>
      </c>
      <c r="I182">
        <v>128</v>
      </c>
      <c r="J182">
        <v>99</v>
      </c>
      <c r="K182" s="253" t="str" cm="1">
        <f t="array" ref="K182">myRGB(H182,I182,J182)</f>
        <v/>
      </c>
    </row>
    <row r="183" spans="1:11" x14ac:dyDescent="0.2">
      <c r="A183">
        <v>104</v>
      </c>
      <c r="B183">
        <v>378</v>
      </c>
      <c r="C183">
        <v>8</v>
      </c>
      <c r="D183" t="s">
        <v>7326</v>
      </c>
      <c r="E183">
        <v>1090</v>
      </c>
      <c r="F183" t="s">
        <v>4767</v>
      </c>
      <c r="G183" t="s">
        <v>4766</v>
      </c>
      <c r="H183">
        <v>28</v>
      </c>
      <c r="I183">
        <v>128</v>
      </c>
      <c r="J183">
        <v>99</v>
      </c>
      <c r="K183" s="57" t="str" cm="1">
        <f t="array" ref="K183">myRGB(H183,I183,J183)</f>
        <v/>
      </c>
    </row>
    <row r="184" spans="1:11" x14ac:dyDescent="0.2">
      <c r="A184">
        <v>103</v>
      </c>
      <c r="B184">
        <v>378</v>
      </c>
      <c r="C184">
        <v>8</v>
      </c>
      <c r="D184" t="s">
        <v>7325</v>
      </c>
      <c r="E184">
        <v>1035</v>
      </c>
      <c r="F184" t="s">
        <v>4765</v>
      </c>
      <c r="G184" t="s">
        <v>4764</v>
      </c>
      <c r="H184">
        <v>24</v>
      </c>
      <c r="I184">
        <v>124</v>
      </c>
      <c r="J184">
        <v>99</v>
      </c>
      <c r="K184" s="325" t="str" cm="1">
        <f t="array" ref="K184">myRGB(H184,I184,J184)</f>
        <v/>
      </c>
    </row>
    <row r="185" spans="1:11" x14ac:dyDescent="0.2">
      <c r="A185">
        <v>100</v>
      </c>
      <c r="B185">
        <v>453</v>
      </c>
      <c r="C185">
        <v>7</v>
      </c>
      <c r="D185" t="s">
        <v>7322</v>
      </c>
      <c r="E185">
        <v>378</v>
      </c>
      <c r="F185" t="s">
        <v>4761</v>
      </c>
      <c r="G185" t="s">
        <v>4760</v>
      </c>
      <c r="H185">
        <v>25</v>
      </c>
      <c r="I185">
        <v>128</v>
      </c>
      <c r="J185">
        <v>98</v>
      </c>
      <c r="K185" s="351" t="str" cm="1">
        <f t="array" ref="K185">myRGB(H185,I185,J185)</f>
        <v/>
      </c>
    </row>
    <row r="186" spans="1:11" x14ac:dyDescent="0.2">
      <c r="A186">
        <v>84</v>
      </c>
      <c r="B186">
        <v>369</v>
      </c>
      <c r="C186">
        <v>9</v>
      </c>
      <c r="D186" t="s">
        <v>7306</v>
      </c>
      <c r="E186">
        <v>945</v>
      </c>
      <c r="F186" t="s">
        <v>4733</v>
      </c>
      <c r="G186" t="s">
        <v>4732</v>
      </c>
      <c r="H186">
        <v>25</v>
      </c>
      <c r="I186">
        <v>125</v>
      </c>
      <c r="J186">
        <v>97</v>
      </c>
      <c r="K186" s="129" t="str" cm="1">
        <f t="array" ref="K186">myRGB(H186,I186,J186)</f>
        <v/>
      </c>
    </row>
    <row r="187" spans="1:11" x14ac:dyDescent="0.2">
      <c r="A187">
        <v>81</v>
      </c>
      <c r="B187">
        <v>369</v>
      </c>
      <c r="C187">
        <v>9</v>
      </c>
      <c r="D187" t="s">
        <v>7303</v>
      </c>
      <c r="E187">
        <v>854</v>
      </c>
      <c r="F187" t="s">
        <v>7184</v>
      </c>
      <c r="G187" t="s">
        <v>7123</v>
      </c>
      <c r="H187">
        <v>25</v>
      </c>
      <c r="I187">
        <v>127</v>
      </c>
      <c r="J187">
        <v>97</v>
      </c>
      <c r="K187" s="58" t="str" cm="1">
        <f t="array" ref="K187">myRGB(H187,I187,J187)</f>
        <v/>
      </c>
    </row>
    <row r="188" spans="1:11" x14ac:dyDescent="0.2">
      <c r="A188">
        <v>83</v>
      </c>
      <c r="B188">
        <v>369</v>
      </c>
      <c r="C188">
        <v>9</v>
      </c>
      <c r="D188" t="s">
        <v>7305</v>
      </c>
      <c r="E188">
        <v>625</v>
      </c>
      <c r="F188" t="s">
        <v>4731</v>
      </c>
      <c r="G188" t="s">
        <v>4730</v>
      </c>
      <c r="H188">
        <v>24</v>
      </c>
      <c r="I188">
        <v>126</v>
      </c>
      <c r="J188">
        <v>98</v>
      </c>
      <c r="K188" s="188" t="str" cm="1">
        <f t="array" ref="K188">myRGB(H188,I188,J188)</f>
        <v/>
      </c>
    </row>
    <row r="189" spans="1:11" x14ac:dyDescent="0.2">
      <c r="A189">
        <v>82</v>
      </c>
      <c r="B189">
        <v>369</v>
      </c>
      <c r="C189">
        <v>9</v>
      </c>
      <c r="D189" t="s">
        <v>7304</v>
      </c>
      <c r="E189">
        <v>577</v>
      </c>
      <c r="F189" t="s">
        <v>4729</v>
      </c>
      <c r="G189" t="s">
        <v>4728</v>
      </c>
      <c r="H189">
        <v>26</v>
      </c>
      <c r="I189">
        <v>127</v>
      </c>
      <c r="J189">
        <v>99</v>
      </c>
      <c r="K189" s="214" t="str" cm="1">
        <f t="array" ref="K189">myRGB(H189,I189,J189)</f>
        <v/>
      </c>
    </row>
    <row r="190" spans="1:11" x14ac:dyDescent="0.2">
      <c r="A190">
        <v>80</v>
      </c>
      <c r="B190">
        <v>369</v>
      </c>
      <c r="C190">
        <v>9</v>
      </c>
      <c r="D190" t="s">
        <v>7302</v>
      </c>
      <c r="E190">
        <v>450</v>
      </c>
      <c r="F190" t="s">
        <v>4727</v>
      </c>
      <c r="G190" t="s">
        <v>4726</v>
      </c>
      <c r="H190">
        <v>25</v>
      </c>
      <c r="I190">
        <v>126</v>
      </c>
      <c r="J190">
        <v>100</v>
      </c>
      <c r="K190" s="254" t="str" cm="1">
        <f t="array" ref="K190">myRGB(H190,I190,J190)</f>
        <v/>
      </c>
    </row>
    <row r="191" spans="1:11" x14ac:dyDescent="0.2">
      <c r="A191">
        <v>85</v>
      </c>
      <c r="B191">
        <v>369</v>
      </c>
      <c r="C191">
        <v>9</v>
      </c>
      <c r="D191" t="s">
        <v>7307</v>
      </c>
      <c r="E191">
        <v>1026</v>
      </c>
      <c r="F191" t="s">
        <v>4735</v>
      </c>
      <c r="G191" t="s">
        <v>4734</v>
      </c>
      <c r="H191">
        <v>28</v>
      </c>
      <c r="I191">
        <v>128</v>
      </c>
      <c r="J191">
        <v>100</v>
      </c>
      <c r="K191" s="59" t="str" cm="1">
        <f t="array" ref="K191">myRGB(H191,I191,J191)</f>
        <v/>
      </c>
    </row>
    <row r="192" spans="1:11" x14ac:dyDescent="0.2">
      <c r="A192">
        <v>79</v>
      </c>
      <c r="B192">
        <v>322</v>
      </c>
      <c r="C192">
        <v>8</v>
      </c>
      <c r="D192" t="s">
        <v>7301</v>
      </c>
      <c r="E192">
        <v>369</v>
      </c>
      <c r="F192" t="s">
        <v>4725</v>
      </c>
      <c r="G192" t="s">
        <v>4724</v>
      </c>
      <c r="H192">
        <v>24</v>
      </c>
      <c r="I192">
        <v>126</v>
      </c>
      <c r="J192">
        <v>99</v>
      </c>
      <c r="K192" s="326" t="str" cm="1">
        <f t="array" ref="K192">myRGB(H192,I192,J192)</f>
        <v/>
      </c>
    </row>
    <row r="193" spans="1:11" x14ac:dyDescent="0.2">
      <c r="A193">
        <v>91</v>
      </c>
      <c r="B193">
        <v>361</v>
      </c>
      <c r="C193">
        <v>9</v>
      </c>
      <c r="D193" t="s">
        <v>7313</v>
      </c>
      <c r="E193">
        <v>9</v>
      </c>
      <c r="F193" t="s">
        <v>4745</v>
      </c>
      <c r="G193" t="s">
        <v>4744</v>
      </c>
      <c r="H193">
        <v>24</v>
      </c>
      <c r="I193">
        <v>128</v>
      </c>
      <c r="J193">
        <v>99</v>
      </c>
      <c r="K193" s="352" t="str" cm="1">
        <f t="array" ref="K193">myRGB(H193,I193,J193)</f>
        <v/>
      </c>
    </row>
    <row r="194" spans="1:11" x14ac:dyDescent="0.2">
      <c r="A194">
        <v>88</v>
      </c>
      <c r="B194">
        <v>361</v>
      </c>
      <c r="C194">
        <v>9</v>
      </c>
      <c r="D194" t="s">
        <v>7310</v>
      </c>
      <c r="E194">
        <v>670</v>
      </c>
      <c r="F194" t="s">
        <v>7185</v>
      </c>
      <c r="G194" t="s">
        <v>7124</v>
      </c>
      <c r="H194">
        <v>24</v>
      </c>
      <c r="I194">
        <v>128</v>
      </c>
      <c r="J194">
        <v>97</v>
      </c>
      <c r="K194" s="130" t="str" cm="1">
        <f t="array" ref="K194">myRGB(H194,I194,J194)</f>
        <v/>
      </c>
    </row>
    <row r="195" spans="1:11" x14ac:dyDescent="0.2">
      <c r="A195">
        <v>92</v>
      </c>
      <c r="B195">
        <v>361</v>
      </c>
      <c r="C195">
        <v>9</v>
      </c>
      <c r="D195" t="s">
        <v>7314</v>
      </c>
      <c r="E195">
        <v>461</v>
      </c>
      <c r="F195" t="s">
        <v>4747</v>
      </c>
      <c r="G195" t="s">
        <v>4746</v>
      </c>
      <c r="H195">
        <v>26</v>
      </c>
      <c r="I195">
        <v>128</v>
      </c>
      <c r="J195">
        <v>99</v>
      </c>
      <c r="K195" s="60" t="str" cm="1">
        <f t="array" ref="K195">myRGB(H195,I195,J195)</f>
        <v/>
      </c>
    </row>
    <row r="196" spans="1:11" x14ac:dyDescent="0.2">
      <c r="A196">
        <v>90</v>
      </c>
      <c r="B196">
        <v>361</v>
      </c>
      <c r="C196">
        <v>9</v>
      </c>
      <c r="D196" t="s">
        <v>7312</v>
      </c>
      <c r="E196">
        <v>1111</v>
      </c>
      <c r="F196" t="s">
        <v>4743</v>
      </c>
      <c r="G196" t="s">
        <v>4742</v>
      </c>
      <c r="H196">
        <v>25</v>
      </c>
      <c r="I196">
        <v>127</v>
      </c>
      <c r="J196">
        <v>96</v>
      </c>
      <c r="K196" s="189" t="str" cm="1">
        <f t="array" ref="K196">myRGB(H196,I196,J196)</f>
        <v/>
      </c>
    </row>
    <row r="197" spans="1:11" x14ac:dyDescent="0.2">
      <c r="A197">
        <v>89</v>
      </c>
      <c r="B197">
        <v>361</v>
      </c>
      <c r="C197">
        <v>9</v>
      </c>
      <c r="D197" t="s">
        <v>7311</v>
      </c>
      <c r="E197">
        <v>1086</v>
      </c>
      <c r="F197" t="s">
        <v>4741</v>
      </c>
      <c r="G197" t="s">
        <v>4740</v>
      </c>
      <c r="H197">
        <v>27</v>
      </c>
      <c r="I197">
        <v>126</v>
      </c>
      <c r="J197">
        <v>98</v>
      </c>
      <c r="K197" s="215" t="str" cm="1">
        <f t="array" ref="K197">myRGB(H197,I197,J197)</f>
        <v/>
      </c>
    </row>
    <row r="198" spans="1:11" x14ac:dyDescent="0.2">
      <c r="A198">
        <v>87</v>
      </c>
      <c r="B198">
        <v>361</v>
      </c>
      <c r="C198">
        <v>9</v>
      </c>
      <c r="D198" t="s">
        <v>7309</v>
      </c>
      <c r="E198">
        <v>1006</v>
      </c>
      <c r="F198" t="s">
        <v>4739</v>
      </c>
      <c r="G198" t="s">
        <v>4738</v>
      </c>
      <c r="H198">
        <v>24</v>
      </c>
      <c r="I198">
        <v>124</v>
      </c>
      <c r="J198">
        <v>100</v>
      </c>
      <c r="K198" s="255" t="str" cm="1">
        <f t="array" ref="K198">myRGB(H198,I198,J198)</f>
        <v/>
      </c>
    </row>
    <row r="199" spans="1:11" x14ac:dyDescent="0.2">
      <c r="A199">
        <v>86</v>
      </c>
      <c r="B199">
        <v>322</v>
      </c>
      <c r="C199">
        <v>8</v>
      </c>
      <c r="D199" t="s">
        <v>7308</v>
      </c>
      <c r="E199">
        <v>361</v>
      </c>
      <c r="F199" t="s">
        <v>4737</v>
      </c>
      <c r="G199" t="s">
        <v>4736</v>
      </c>
      <c r="H199">
        <v>24</v>
      </c>
      <c r="I199">
        <v>127</v>
      </c>
      <c r="J199">
        <v>98</v>
      </c>
      <c r="K199" s="61" t="str" cm="1">
        <f t="array" ref="K199">myRGB(H199,I199,J199)</f>
        <v/>
      </c>
    </row>
    <row r="200" spans="1:11" x14ac:dyDescent="0.2">
      <c r="A200">
        <v>50</v>
      </c>
      <c r="B200">
        <v>353</v>
      </c>
      <c r="C200">
        <v>9</v>
      </c>
      <c r="D200" t="s">
        <v>7279</v>
      </c>
      <c r="E200">
        <v>929</v>
      </c>
      <c r="F200" t="s">
        <v>4675</v>
      </c>
      <c r="G200" t="s">
        <v>4674</v>
      </c>
      <c r="H200">
        <v>27</v>
      </c>
      <c r="I200">
        <v>126</v>
      </c>
      <c r="J200">
        <v>100</v>
      </c>
      <c r="K200" s="327" t="str" cm="1">
        <f t="array" ref="K200">myRGB(H200,I200,J200)</f>
        <v/>
      </c>
    </row>
    <row r="201" spans="1:11" x14ac:dyDescent="0.2">
      <c r="A201">
        <v>49</v>
      </c>
      <c r="B201">
        <v>353</v>
      </c>
      <c r="C201">
        <v>9</v>
      </c>
      <c r="D201" t="s">
        <v>7278</v>
      </c>
      <c r="E201">
        <v>889</v>
      </c>
      <c r="F201" t="s">
        <v>4673</v>
      </c>
      <c r="G201" t="s">
        <v>4672</v>
      </c>
      <c r="H201">
        <v>24</v>
      </c>
      <c r="I201">
        <v>125</v>
      </c>
      <c r="J201">
        <v>98</v>
      </c>
      <c r="K201" s="353" t="str" cm="1">
        <f t="array" ref="K201">myRGB(H201,I201,J201)</f>
        <v/>
      </c>
    </row>
    <row r="202" spans="1:11" x14ac:dyDescent="0.2">
      <c r="A202">
        <v>46</v>
      </c>
      <c r="B202">
        <v>353</v>
      </c>
      <c r="C202">
        <v>9</v>
      </c>
      <c r="D202" t="s">
        <v>7275</v>
      </c>
      <c r="E202">
        <v>838</v>
      </c>
      <c r="F202" t="s">
        <v>7179</v>
      </c>
      <c r="G202" t="s">
        <v>7118</v>
      </c>
      <c r="H202">
        <v>27</v>
      </c>
      <c r="I202">
        <v>127</v>
      </c>
      <c r="J202">
        <v>100</v>
      </c>
      <c r="K202" s="131" t="str" cm="1">
        <f t="array" ref="K202">myRGB(H202,I202,J202)</f>
        <v/>
      </c>
    </row>
    <row r="203" spans="1:11" x14ac:dyDescent="0.2">
      <c r="A203">
        <v>48</v>
      </c>
      <c r="B203">
        <v>353</v>
      </c>
      <c r="C203">
        <v>9</v>
      </c>
      <c r="D203" t="s">
        <v>7277</v>
      </c>
      <c r="E203">
        <v>702</v>
      </c>
      <c r="F203" t="s">
        <v>4671</v>
      </c>
      <c r="G203" t="s">
        <v>4670</v>
      </c>
      <c r="H203">
        <v>25</v>
      </c>
      <c r="I203">
        <v>126</v>
      </c>
      <c r="J203">
        <v>98</v>
      </c>
      <c r="K203" s="62" t="str" cm="1">
        <f t="array" ref="K203">myRGB(H203,I203,J203)</f>
        <v/>
      </c>
    </row>
    <row r="204" spans="1:11" x14ac:dyDescent="0.2">
      <c r="A204">
        <v>47</v>
      </c>
      <c r="B204">
        <v>353</v>
      </c>
      <c r="C204">
        <v>9</v>
      </c>
      <c r="D204" t="s">
        <v>7276</v>
      </c>
      <c r="E204">
        <v>654</v>
      </c>
      <c r="F204" t="s">
        <v>4669</v>
      </c>
      <c r="G204" t="s">
        <v>4668</v>
      </c>
      <c r="H204">
        <v>26</v>
      </c>
      <c r="I204">
        <v>128</v>
      </c>
      <c r="J204">
        <v>98</v>
      </c>
      <c r="K204" s="190" t="str" cm="1">
        <f t="array" ref="K204">myRGB(H204,I204,J204)</f>
        <v/>
      </c>
    </row>
    <row r="205" spans="1:11" x14ac:dyDescent="0.2">
      <c r="A205">
        <v>45</v>
      </c>
      <c r="B205">
        <v>353</v>
      </c>
      <c r="C205">
        <v>9</v>
      </c>
      <c r="D205" t="s">
        <v>7274</v>
      </c>
      <c r="E205">
        <v>558</v>
      </c>
      <c r="F205" t="s">
        <v>4667</v>
      </c>
      <c r="G205" t="s">
        <v>4666</v>
      </c>
      <c r="H205">
        <v>25</v>
      </c>
      <c r="I205">
        <v>126</v>
      </c>
      <c r="J205">
        <v>99</v>
      </c>
      <c r="K205" s="216" t="str" cm="1">
        <f t="array" ref="K205">myRGB(H205,I205,J205)</f>
        <v/>
      </c>
    </row>
    <row r="206" spans="1:11" x14ac:dyDescent="0.2">
      <c r="A206">
        <v>44</v>
      </c>
      <c r="B206">
        <v>322</v>
      </c>
      <c r="C206">
        <v>8</v>
      </c>
      <c r="D206" t="s">
        <v>7273</v>
      </c>
      <c r="E206">
        <v>353</v>
      </c>
      <c r="F206" t="s">
        <v>4665</v>
      </c>
      <c r="G206" t="s">
        <v>4664</v>
      </c>
      <c r="H206">
        <v>26</v>
      </c>
      <c r="I206">
        <v>128</v>
      </c>
      <c r="J206">
        <v>100</v>
      </c>
      <c r="K206" s="256" t="str" cm="1">
        <f t="array" ref="K206">myRGB(H206,I206,J206)</f>
        <v/>
      </c>
    </row>
    <row r="207" spans="1:11" x14ac:dyDescent="0.2">
      <c r="A207">
        <v>76</v>
      </c>
      <c r="B207">
        <v>345</v>
      </c>
      <c r="C207">
        <v>9</v>
      </c>
      <c r="D207" t="s">
        <v>7298</v>
      </c>
      <c r="E207">
        <v>974</v>
      </c>
      <c r="F207" t="s">
        <v>4719</v>
      </c>
      <c r="G207" t="s">
        <v>4718</v>
      </c>
      <c r="H207">
        <v>27</v>
      </c>
      <c r="I207">
        <v>126</v>
      </c>
      <c r="J207">
        <v>99</v>
      </c>
      <c r="K207" s="63" t="str" cm="1">
        <f t="array" ref="K207">myRGB(H207,I207,J207)</f>
        <v/>
      </c>
    </row>
    <row r="208" spans="1:11" x14ac:dyDescent="0.2">
      <c r="A208">
        <v>75</v>
      </c>
      <c r="B208">
        <v>345</v>
      </c>
      <c r="C208">
        <v>9</v>
      </c>
      <c r="D208" t="s">
        <v>7297</v>
      </c>
      <c r="E208">
        <v>950</v>
      </c>
      <c r="F208" t="s">
        <v>4717</v>
      </c>
      <c r="G208" t="s">
        <v>4716</v>
      </c>
      <c r="H208">
        <v>27</v>
      </c>
      <c r="I208">
        <v>127</v>
      </c>
      <c r="J208">
        <v>98</v>
      </c>
      <c r="K208" s="328" t="str" cm="1">
        <f t="array" ref="K208">myRGB(H208,I208,J208)</f>
        <v/>
      </c>
    </row>
    <row r="209" spans="1:11" x14ac:dyDescent="0.2">
      <c r="A209">
        <v>73</v>
      </c>
      <c r="B209">
        <v>345</v>
      </c>
      <c r="C209">
        <v>9</v>
      </c>
      <c r="D209" t="s">
        <v>7295</v>
      </c>
      <c r="E209">
        <v>878</v>
      </c>
      <c r="F209" t="s">
        <v>4715</v>
      </c>
      <c r="G209" t="s">
        <v>4714</v>
      </c>
      <c r="H209">
        <v>24</v>
      </c>
      <c r="I209">
        <v>126</v>
      </c>
      <c r="J209">
        <v>97</v>
      </c>
      <c r="K209" s="354" t="str" cm="1">
        <f t="array" ref="K209">myRGB(H209,I209,J209)</f>
        <v/>
      </c>
    </row>
    <row r="210" spans="1:11" x14ac:dyDescent="0.2">
      <c r="A210">
        <v>74</v>
      </c>
      <c r="B210">
        <v>345</v>
      </c>
      <c r="C210">
        <v>9</v>
      </c>
      <c r="D210" t="s">
        <v>7296</v>
      </c>
      <c r="E210">
        <v>657</v>
      </c>
      <c r="F210" t="s">
        <v>7183</v>
      </c>
      <c r="G210" t="s">
        <v>7122</v>
      </c>
      <c r="H210">
        <v>26</v>
      </c>
      <c r="I210">
        <v>126</v>
      </c>
      <c r="J210">
        <v>100</v>
      </c>
      <c r="K210" s="132" t="str" cm="1">
        <f t="array" ref="K210">myRGB(H210,I210,J210)</f>
        <v/>
      </c>
    </row>
    <row r="211" spans="1:11" x14ac:dyDescent="0.2">
      <c r="A211">
        <v>78</v>
      </c>
      <c r="B211">
        <v>345</v>
      </c>
      <c r="C211">
        <v>9</v>
      </c>
      <c r="D211" t="s">
        <v>7300</v>
      </c>
      <c r="E211">
        <v>2</v>
      </c>
      <c r="F211" t="s">
        <v>4723</v>
      </c>
      <c r="G211" t="s">
        <v>4722</v>
      </c>
      <c r="H211">
        <v>24</v>
      </c>
      <c r="I211">
        <v>128</v>
      </c>
      <c r="J211">
        <v>100</v>
      </c>
      <c r="K211" s="64" t="str" cm="1">
        <f t="array" ref="K211">myRGB(H211,I211,J211)</f>
        <v/>
      </c>
    </row>
    <row r="212" spans="1:11" x14ac:dyDescent="0.2">
      <c r="A212">
        <v>77</v>
      </c>
      <c r="B212">
        <v>345</v>
      </c>
      <c r="C212">
        <v>9</v>
      </c>
      <c r="D212" t="s">
        <v>7299</v>
      </c>
      <c r="E212">
        <v>1102</v>
      </c>
      <c r="F212" t="s">
        <v>4721</v>
      </c>
      <c r="G212" t="s">
        <v>4720</v>
      </c>
      <c r="H212">
        <v>24</v>
      </c>
      <c r="I212">
        <v>125</v>
      </c>
      <c r="J212">
        <v>97</v>
      </c>
      <c r="K212" s="191" t="str" cm="1">
        <f t="array" ref="K212">myRGB(H212,I212,J212)</f>
        <v/>
      </c>
    </row>
    <row r="213" spans="1:11" x14ac:dyDescent="0.2">
      <c r="A213">
        <v>72</v>
      </c>
      <c r="B213">
        <v>322</v>
      </c>
      <c r="C213">
        <v>8</v>
      </c>
      <c r="D213" t="s">
        <v>7294</v>
      </c>
      <c r="E213">
        <v>345</v>
      </c>
      <c r="F213" t="s">
        <v>4713</v>
      </c>
      <c r="G213" t="s">
        <v>4712</v>
      </c>
      <c r="H213">
        <v>24</v>
      </c>
      <c r="I213">
        <v>128</v>
      </c>
      <c r="J213">
        <v>98</v>
      </c>
      <c r="K213" s="217" t="str" cm="1">
        <f t="array" ref="K213">myRGB(H213,I213,J213)</f>
        <v/>
      </c>
    </row>
    <row r="214" spans="1:11" x14ac:dyDescent="0.2">
      <c r="A214">
        <v>71</v>
      </c>
      <c r="B214">
        <v>337</v>
      </c>
      <c r="C214">
        <v>9</v>
      </c>
      <c r="D214" t="s">
        <v>7293</v>
      </c>
      <c r="E214">
        <v>510</v>
      </c>
      <c r="F214" t="s">
        <v>4711</v>
      </c>
      <c r="G214" t="s">
        <v>4710</v>
      </c>
      <c r="H214">
        <v>25</v>
      </c>
      <c r="I214">
        <v>127</v>
      </c>
      <c r="J214">
        <v>98</v>
      </c>
      <c r="K214" s="257" t="str" cm="1">
        <f t="array" ref="K214">myRGB(H214,I214,J214)</f>
        <v/>
      </c>
    </row>
    <row r="215" spans="1:11" x14ac:dyDescent="0.2">
      <c r="A215">
        <v>70</v>
      </c>
      <c r="B215">
        <v>337</v>
      </c>
      <c r="C215">
        <v>9</v>
      </c>
      <c r="D215" t="s">
        <v>7292</v>
      </c>
      <c r="E215">
        <v>478</v>
      </c>
      <c r="F215" t="s">
        <v>4709</v>
      </c>
      <c r="G215" t="s">
        <v>4708</v>
      </c>
      <c r="H215">
        <v>26</v>
      </c>
      <c r="I215">
        <v>127</v>
      </c>
      <c r="J215">
        <v>100</v>
      </c>
      <c r="K215" s="65" t="str" cm="1">
        <f t="array" ref="K215">myRGB(H215,I215,J215)</f>
        <v/>
      </c>
    </row>
    <row r="216" spans="1:11" x14ac:dyDescent="0.2">
      <c r="A216">
        <v>67</v>
      </c>
      <c r="B216">
        <v>337</v>
      </c>
      <c r="C216">
        <v>9</v>
      </c>
      <c r="D216" t="s">
        <v>7289</v>
      </c>
      <c r="E216">
        <v>113</v>
      </c>
      <c r="F216" t="s">
        <v>7182</v>
      </c>
      <c r="G216" t="s">
        <v>7121</v>
      </c>
      <c r="H216">
        <v>24</v>
      </c>
      <c r="I216">
        <v>127</v>
      </c>
      <c r="J216">
        <v>100</v>
      </c>
      <c r="K216" s="329" t="str" cm="1">
        <f t="array" ref="K216">myRGB(H216,I216,J216)</f>
        <v/>
      </c>
    </row>
    <row r="217" spans="1:11" x14ac:dyDescent="0.2">
      <c r="A217">
        <v>69</v>
      </c>
      <c r="B217">
        <v>337</v>
      </c>
      <c r="C217">
        <v>9</v>
      </c>
      <c r="D217" t="s">
        <v>7291</v>
      </c>
      <c r="E217">
        <v>1128</v>
      </c>
      <c r="F217" t="s">
        <v>4707</v>
      </c>
      <c r="G217" t="s">
        <v>4706</v>
      </c>
      <c r="H217">
        <v>25</v>
      </c>
      <c r="I217">
        <v>124</v>
      </c>
      <c r="J217">
        <v>99</v>
      </c>
      <c r="K217" s="355" t="str" cm="1">
        <f t="array" ref="K217">myRGB(H217,I217,J217)</f>
        <v/>
      </c>
    </row>
    <row r="218" spans="1:11" x14ac:dyDescent="0.2">
      <c r="A218">
        <v>68</v>
      </c>
      <c r="B218">
        <v>337</v>
      </c>
      <c r="C218">
        <v>9</v>
      </c>
      <c r="D218" t="s">
        <v>7290</v>
      </c>
      <c r="E218">
        <v>1094</v>
      </c>
      <c r="F218" t="s">
        <v>4705</v>
      </c>
      <c r="G218" t="s">
        <v>4704</v>
      </c>
      <c r="H218">
        <v>28</v>
      </c>
      <c r="I218">
        <v>127</v>
      </c>
      <c r="J218">
        <v>100</v>
      </c>
      <c r="K218" s="133" t="str" cm="1">
        <f t="array" ref="K218">myRGB(H218,I218,J218)</f>
        <v/>
      </c>
    </row>
    <row r="219" spans="1:11" x14ac:dyDescent="0.2">
      <c r="A219">
        <v>66</v>
      </c>
      <c r="B219">
        <v>337</v>
      </c>
      <c r="C219">
        <v>9</v>
      </c>
      <c r="D219" t="s">
        <v>7288</v>
      </c>
      <c r="E219">
        <v>1030</v>
      </c>
      <c r="F219" t="s">
        <v>4703</v>
      </c>
      <c r="G219" t="s">
        <v>4702</v>
      </c>
      <c r="H219">
        <v>24</v>
      </c>
      <c r="I219">
        <v>127</v>
      </c>
      <c r="J219">
        <v>96</v>
      </c>
      <c r="K219" s="192" t="str" cm="1">
        <f t="array" ref="K219">myRGB(H219,I219,J219)</f>
        <v/>
      </c>
    </row>
    <row r="220" spans="1:11" x14ac:dyDescent="0.2">
      <c r="A220">
        <v>65</v>
      </c>
      <c r="B220">
        <v>322</v>
      </c>
      <c r="C220">
        <v>8</v>
      </c>
      <c r="D220" t="s">
        <v>7287</v>
      </c>
      <c r="E220">
        <v>337</v>
      </c>
      <c r="F220" t="s">
        <v>4701</v>
      </c>
      <c r="G220" t="s">
        <v>4700</v>
      </c>
      <c r="H220">
        <v>25</v>
      </c>
      <c r="I220">
        <v>127</v>
      </c>
      <c r="J220">
        <v>99</v>
      </c>
      <c r="K220" s="218" t="str" cm="1">
        <f t="array" ref="K220">myRGB(H220,I220,J220)</f>
        <v/>
      </c>
    </row>
    <row r="221" spans="1:11" x14ac:dyDescent="0.2">
      <c r="A221">
        <v>52</v>
      </c>
      <c r="B221">
        <v>329</v>
      </c>
      <c r="C221">
        <v>9</v>
      </c>
      <c r="D221" t="s">
        <v>7281</v>
      </c>
      <c r="E221">
        <v>981</v>
      </c>
      <c r="F221" t="s">
        <v>4679</v>
      </c>
      <c r="G221" t="s">
        <v>4678</v>
      </c>
      <c r="H221">
        <v>24</v>
      </c>
      <c r="I221">
        <v>128</v>
      </c>
      <c r="J221">
        <v>96</v>
      </c>
      <c r="K221" s="258" t="str" cm="1">
        <f t="array" ref="K221">myRGB(H221,I221,J221)</f>
        <v/>
      </c>
    </row>
    <row r="222" spans="1:11" x14ac:dyDescent="0.2">
      <c r="A222">
        <v>53</v>
      </c>
      <c r="B222">
        <v>329</v>
      </c>
      <c r="C222">
        <v>9</v>
      </c>
      <c r="D222" t="s">
        <v>7282</v>
      </c>
      <c r="E222">
        <v>201</v>
      </c>
      <c r="F222" t="s">
        <v>7180</v>
      </c>
      <c r="G222" t="s">
        <v>7119</v>
      </c>
      <c r="H222">
        <v>24</v>
      </c>
      <c r="I222">
        <v>127</v>
      </c>
      <c r="J222">
        <v>99</v>
      </c>
      <c r="K222" s="269" t="str" cm="1">
        <f t="array" ref="K222">myRGB(H222,I222,J222)</f>
        <v/>
      </c>
    </row>
    <row r="223" spans="1:11" x14ac:dyDescent="0.2">
      <c r="A223">
        <v>55</v>
      </c>
      <c r="B223">
        <v>329</v>
      </c>
      <c r="C223">
        <v>9</v>
      </c>
      <c r="D223" t="s">
        <v>7284</v>
      </c>
      <c r="E223">
        <v>1070</v>
      </c>
      <c r="F223" t="s">
        <v>4683</v>
      </c>
      <c r="G223" t="s">
        <v>4682</v>
      </c>
      <c r="H223">
        <v>26</v>
      </c>
      <c r="I223">
        <v>125</v>
      </c>
      <c r="J223">
        <v>98</v>
      </c>
      <c r="K223" s="356" t="str" cm="1">
        <f t="array" ref="K223">myRGB(H223,I223,J223)</f>
        <v/>
      </c>
    </row>
    <row r="224" spans="1:11" x14ac:dyDescent="0.2">
      <c r="A224">
        <v>57</v>
      </c>
      <c r="B224">
        <v>329</v>
      </c>
      <c r="C224">
        <v>9</v>
      </c>
      <c r="D224" t="s">
        <v>7286</v>
      </c>
      <c r="E224">
        <v>1062</v>
      </c>
      <c r="F224" t="s">
        <v>4687</v>
      </c>
      <c r="G224" t="s">
        <v>4686</v>
      </c>
      <c r="H224">
        <v>26</v>
      </c>
      <c r="I224">
        <v>126</v>
      </c>
      <c r="J224">
        <v>97</v>
      </c>
      <c r="K224" s="134" t="str" cm="1">
        <f t="array" ref="K224">myRGB(H224,I224,J224)</f>
        <v/>
      </c>
    </row>
    <row r="225" spans="1:11" x14ac:dyDescent="0.2">
      <c r="A225">
        <v>54</v>
      </c>
      <c r="B225">
        <v>329</v>
      </c>
      <c r="C225">
        <v>9</v>
      </c>
      <c r="D225" t="s">
        <v>7283</v>
      </c>
      <c r="E225">
        <v>1047</v>
      </c>
      <c r="F225" t="s">
        <v>4681</v>
      </c>
      <c r="G225" t="s">
        <v>4680</v>
      </c>
      <c r="H225">
        <v>25</v>
      </c>
      <c r="I225">
        <v>124</v>
      </c>
      <c r="J225">
        <v>100</v>
      </c>
      <c r="K225" s="144" t="str" cm="1">
        <f t="array" ref="K225">myRGB(H225,I225,J225)</f>
        <v/>
      </c>
    </row>
    <row r="226" spans="1:11" x14ac:dyDescent="0.2">
      <c r="A226">
        <v>56</v>
      </c>
      <c r="B226">
        <v>329</v>
      </c>
      <c r="C226">
        <v>9</v>
      </c>
      <c r="D226" t="s">
        <v>7285</v>
      </c>
      <c r="E226">
        <v>1038</v>
      </c>
      <c r="F226" t="s">
        <v>4685</v>
      </c>
      <c r="G226" t="s">
        <v>4684</v>
      </c>
      <c r="H226">
        <v>25</v>
      </c>
      <c r="I226">
        <v>128</v>
      </c>
      <c r="J226">
        <v>96</v>
      </c>
      <c r="K226" s="193" t="str" cm="1">
        <f t="array" ref="K226">myRGB(H226,I226,J226)</f>
        <v/>
      </c>
    </row>
    <row r="227" spans="1:11" x14ac:dyDescent="0.2">
      <c r="A227">
        <v>51</v>
      </c>
      <c r="B227">
        <v>322</v>
      </c>
      <c r="C227">
        <v>8</v>
      </c>
      <c r="D227" t="s">
        <v>7280</v>
      </c>
      <c r="E227">
        <v>329</v>
      </c>
      <c r="F227" t="s">
        <v>4677</v>
      </c>
      <c r="G227" t="s">
        <v>4676</v>
      </c>
      <c r="H227">
        <v>25</v>
      </c>
      <c r="I227">
        <v>127</v>
      </c>
      <c r="J227">
        <v>100</v>
      </c>
      <c r="K227" s="259" t="str" cm="1">
        <f t="array" ref="K227">myRGB(H227,I227,J227)</f>
        <v/>
      </c>
    </row>
    <row r="228" spans="1:11" x14ac:dyDescent="0.2">
      <c r="A228">
        <v>99</v>
      </c>
      <c r="B228">
        <v>182305689</v>
      </c>
      <c r="C228">
        <v>9</v>
      </c>
      <c r="D228" t="s">
        <v>7321</v>
      </c>
      <c r="E228">
        <v>182305713</v>
      </c>
      <c r="F228" t="s">
        <v>4759</v>
      </c>
      <c r="G228" t="s">
        <v>4758</v>
      </c>
      <c r="H228">
        <v>26</v>
      </c>
      <c r="I228">
        <v>125</v>
      </c>
      <c r="J228">
        <v>99</v>
      </c>
      <c r="K228" s="270" t="str" cm="1">
        <f t="array" ref="K228">myRGB(H228,I228,J228)</f>
        <v/>
      </c>
    </row>
    <row r="229" spans="1:11" x14ac:dyDescent="0.2">
      <c r="A229">
        <v>98</v>
      </c>
      <c r="B229">
        <v>182305689</v>
      </c>
      <c r="C229">
        <v>9</v>
      </c>
      <c r="D229" t="s">
        <v>7320</v>
      </c>
      <c r="E229">
        <v>182305709</v>
      </c>
      <c r="F229" t="s">
        <v>4757</v>
      </c>
      <c r="G229" t="s">
        <v>4756</v>
      </c>
      <c r="H229">
        <v>26</v>
      </c>
      <c r="I229">
        <v>127</v>
      </c>
      <c r="J229">
        <v>97</v>
      </c>
      <c r="K229" s="330" t="str" cm="1">
        <f t="array" ref="K229">myRGB(H229,I229,J229)</f>
        <v/>
      </c>
    </row>
    <row r="230" spans="1:11" x14ac:dyDescent="0.2">
      <c r="A230">
        <v>97</v>
      </c>
      <c r="B230">
        <v>182305689</v>
      </c>
      <c r="C230">
        <v>9</v>
      </c>
      <c r="D230" t="s">
        <v>7319</v>
      </c>
      <c r="E230">
        <v>182305705</v>
      </c>
      <c r="F230" t="s">
        <v>4755</v>
      </c>
      <c r="G230" t="s">
        <v>4754</v>
      </c>
      <c r="H230">
        <v>25</v>
      </c>
      <c r="I230">
        <v>125</v>
      </c>
      <c r="J230">
        <v>98</v>
      </c>
      <c r="K230" s="357" t="str" cm="1">
        <f t="array" ref="K230">myRGB(H230,I230,J230)</f>
        <v/>
      </c>
    </row>
    <row r="231" spans="1:11" x14ac:dyDescent="0.2">
      <c r="A231">
        <v>96</v>
      </c>
      <c r="B231">
        <v>182305689</v>
      </c>
      <c r="C231">
        <v>9</v>
      </c>
      <c r="D231" t="s">
        <v>7318</v>
      </c>
      <c r="E231">
        <v>182305701</v>
      </c>
      <c r="F231" t="s">
        <v>4753</v>
      </c>
      <c r="G231" t="s">
        <v>4752</v>
      </c>
      <c r="H231">
        <v>25</v>
      </c>
      <c r="I231">
        <v>126</v>
      </c>
      <c r="J231">
        <v>97</v>
      </c>
      <c r="K231" s="145" t="str" cm="1">
        <f t="array" ref="K231">myRGB(H231,I231,J231)</f>
        <v/>
      </c>
    </row>
    <row r="232" spans="1:11" x14ac:dyDescent="0.2">
      <c r="A232">
        <v>95</v>
      </c>
      <c r="B232">
        <v>182305689</v>
      </c>
      <c r="C232">
        <v>9</v>
      </c>
      <c r="D232" t="s">
        <v>7317</v>
      </c>
      <c r="E232">
        <v>182305697</v>
      </c>
      <c r="F232" t="s">
        <v>7186</v>
      </c>
      <c r="G232" t="s">
        <v>7125</v>
      </c>
      <c r="H232">
        <v>28</v>
      </c>
      <c r="I232">
        <v>127</v>
      </c>
      <c r="J232">
        <v>99</v>
      </c>
      <c r="K232" s="194" t="str" cm="1">
        <f t="array" ref="K232">myRGB(H232,I232,J232)</f>
        <v/>
      </c>
    </row>
    <row r="233" spans="1:11" x14ac:dyDescent="0.2">
      <c r="A233">
        <v>94</v>
      </c>
      <c r="B233">
        <v>182305689</v>
      </c>
      <c r="C233">
        <v>9</v>
      </c>
      <c r="D233" t="s">
        <v>7316</v>
      </c>
      <c r="E233">
        <v>182305693</v>
      </c>
      <c r="F233" t="s">
        <v>4751</v>
      </c>
      <c r="G233" t="s">
        <v>4750</v>
      </c>
      <c r="H233">
        <v>27</v>
      </c>
      <c r="I233">
        <v>128</v>
      </c>
      <c r="J233">
        <v>98</v>
      </c>
      <c r="K233" s="219" t="str" cm="1">
        <f t="array" ref="K233">myRGB(H233,I233,J233)</f>
        <v/>
      </c>
    </row>
    <row r="234" spans="1:11" x14ac:dyDescent="0.2">
      <c r="A234">
        <v>93</v>
      </c>
      <c r="B234">
        <v>322</v>
      </c>
      <c r="C234">
        <v>8</v>
      </c>
      <c r="D234" t="s">
        <v>7315</v>
      </c>
      <c r="E234">
        <v>182305689</v>
      </c>
      <c r="F234" t="s">
        <v>4749</v>
      </c>
      <c r="G234" t="s">
        <v>4748</v>
      </c>
      <c r="H234">
        <v>26</v>
      </c>
      <c r="I234">
        <v>125</v>
      </c>
      <c r="J234">
        <v>100</v>
      </c>
      <c r="K234" s="260" t="str" cm="1">
        <f t="array" ref="K234">myRGB(H234,I234,J234)</f>
        <v/>
      </c>
    </row>
    <row r="235" spans="1:11" x14ac:dyDescent="0.2">
      <c r="A235">
        <v>37</v>
      </c>
      <c r="B235">
        <v>453</v>
      </c>
      <c r="C235">
        <v>7</v>
      </c>
      <c r="D235" t="s">
        <v>7272</v>
      </c>
      <c r="E235">
        <v>322</v>
      </c>
      <c r="F235" t="s">
        <v>4653</v>
      </c>
      <c r="G235" t="s">
        <v>4652</v>
      </c>
      <c r="H235">
        <v>25</v>
      </c>
      <c r="I235">
        <v>128</v>
      </c>
      <c r="J235">
        <v>99</v>
      </c>
      <c r="K235" s="331" t="str" cm="1">
        <f t="array" ref="K235">myRGB(H235,I235,J235)</f>
        <v/>
      </c>
    </row>
    <row r="236" spans="1:11" x14ac:dyDescent="0.2">
      <c r="A236">
        <v>30</v>
      </c>
      <c r="B236">
        <v>315</v>
      </c>
      <c r="C236">
        <v>6</v>
      </c>
      <c r="D236" t="s">
        <v>7271</v>
      </c>
      <c r="E236">
        <v>453</v>
      </c>
      <c r="F236" t="s">
        <v>4641</v>
      </c>
      <c r="G236" t="s">
        <v>4640</v>
      </c>
      <c r="H236">
        <v>27</v>
      </c>
      <c r="I236">
        <v>128</v>
      </c>
      <c r="J236">
        <v>97</v>
      </c>
      <c r="K236" s="358" t="str" cm="1">
        <f t="array" ref="K236">myRGB(H236,I236,J236)</f>
        <v/>
      </c>
    </row>
    <row r="237" spans="1:11" x14ac:dyDescent="0.2">
      <c r="A237">
        <v>249</v>
      </c>
      <c r="B237">
        <v>44</v>
      </c>
      <c r="C237">
        <v>7</v>
      </c>
      <c r="D237" t="s">
        <v>7458</v>
      </c>
      <c r="E237">
        <v>827</v>
      </c>
      <c r="F237" t="s">
        <v>5015</v>
      </c>
      <c r="G237" t="s">
        <v>5014</v>
      </c>
      <c r="H237">
        <v>89</v>
      </c>
      <c r="I237">
        <v>178</v>
      </c>
      <c r="J237">
        <v>98</v>
      </c>
      <c r="K237" s="135" t="str" cm="1">
        <f t="array" ref="K237">myRGB(H237,I237,J237)</f>
        <v/>
      </c>
    </row>
    <row r="238" spans="1:11" x14ac:dyDescent="0.2">
      <c r="A238">
        <v>246</v>
      </c>
      <c r="B238">
        <v>44</v>
      </c>
      <c r="C238">
        <v>7</v>
      </c>
      <c r="D238" t="s">
        <v>7456</v>
      </c>
      <c r="E238">
        <v>707</v>
      </c>
      <c r="F238" t="s">
        <v>5011</v>
      </c>
      <c r="G238" t="s">
        <v>5010</v>
      </c>
      <c r="H238">
        <v>89</v>
      </c>
      <c r="I238">
        <v>178</v>
      </c>
      <c r="J238">
        <v>99</v>
      </c>
      <c r="K238" s="146" t="str" cm="1">
        <f t="array" ref="K238">myRGB(H238,I238,J238)</f>
        <v/>
      </c>
    </row>
    <row r="239" spans="1:11" x14ac:dyDescent="0.2">
      <c r="A239">
        <v>248</v>
      </c>
      <c r="B239">
        <v>44</v>
      </c>
      <c r="C239">
        <v>7</v>
      </c>
      <c r="D239" t="s">
        <v>7457</v>
      </c>
      <c r="E239">
        <v>556</v>
      </c>
      <c r="F239" t="s">
        <v>7208</v>
      </c>
      <c r="G239" t="s">
        <v>7147</v>
      </c>
      <c r="H239">
        <v>89</v>
      </c>
      <c r="I239">
        <v>179</v>
      </c>
      <c r="J239">
        <v>98</v>
      </c>
      <c r="K239" s="220" t="str" cm="1">
        <f t="array" ref="K239">myRGB(H239,I239,J239)</f>
        <v/>
      </c>
    </row>
    <row r="240" spans="1:11" x14ac:dyDescent="0.2">
      <c r="A240">
        <v>251</v>
      </c>
      <c r="B240">
        <v>44</v>
      </c>
      <c r="C240">
        <v>7</v>
      </c>
      <c r="D240" t="s">
        <v>7460</v>
      </c>
      <c r="E240">
        <v>1081</v>
      </c>
      <c r="F240" t="s">
        <v>5019</v>
      </c>
      <c r="G240" t="s">
        <v>5018</v>
      </c>
      <c r="H240">
        <v>88</v>
      </c>
      <c r="I240">
        <v>178</v>
      </c>
      <c r="J240">
        <v>99</v>
      </c>
      <c r="K240" s="261" t="str" cm="1">
        <f t="array" ref="K240">myRGB(H240,I240,J240)</f>
        <v/>
      </c>
    </row>
    <row r="241" spans="1:11" x14ac:dyDescent="0.2">
      <c r="A241">
        <v>250</v>
      </c>
      <c r="B241">
        <v>44</v>
      </c>
      <c r="C241">
        <v>7</v>
      </c>
      <c r="D241" t="s">
        <v>7459</v>
      </c>
      <c r="E241">
        <v>1054</v>
      </c>
      <c r="F241" t="s">
        <v>5017</v>
      </c>
      <c r="G241" t="s">
        <v>5016</v>
      </c>
      <c r="H241">
        <v>88</v>
      </c>
      <c r="I241">
        <v>179</v>
      </c>
      <c r="J241">
        <v>98</v>
      </c>
      <c r="K241" s="271" t="str" cm="1">
        <f t="array" ref="K241">myRGB(H241,I241,J241)</f>
        <v/>
      </c>
    </row>
    <row r="242" spans="1:11" x14ac:dyDescent="0.2">
      <c r="A242">
        <v>245</v>
      </c>
      <c r="B242">
        <v>315</v>
      </c>
      <c r="C242">
        <v>6</v>
      </c>
      <c r="D242" t="s">
        <v>7455</v>
      </c>
      <c r="E242">
        <v>44</v>
      </c>
      <c r="F242" t="s">
        <v>5009</v>
      </c>
      <c r="G242" t="s">
        <v>5008</v>
      </c>
      <c r="H242">
        <v>89</v>
      </c>
      <c r="I242">
        <v>179</v>
      </c>
      <c r="J242">
        <v>99</v>
      </c>
      <c r="K242" s="332" t="str" cm="1">
        <f t="array" ref="K242">myRGB(H242,I242,J242)</f>
        <v/>
      </c>
    </row>
    <row r="243" spans="1:11" x14ac:dyDescent="0.2">
      <c r="A243">
        <v>237</v>
      </c>
      <c r="B243">
        <v>48</v>
      </c>
      <c r="C243">
        <v>8</v>
      </c>
      <c r="D243" t="s">
        <v>7448</v>
      </c>
      <c r="E243">
        <v>819</v>
      </c>
      <c r="F243" t="s">
        <v>4995</v>
      </c>
      <c r="G243" t="s">
        <v>4994</v>
      </c>
      <c r="H243">
        <v>64</v>
      </c>
      <c r="I243">
        <v>164</v>
      </c>
      <c r="J243">
        <v>101</v>
      </c>
      <c r="K243" s="136" t="str" cm="1">
        <f t="array" ref="K243">myRGB(H243,I243,J243)</f>
        <v/>
      </c>
    </row>
    <row r="244" spans="1:11" x14ac:dyDescent="0.2">
      <c r="A244">
        <v>236</v>
      </c>
      <c r="B244">
        <v>48</v>
      </c>
      <c r="C244">
        <v>8</v>
      </c>
      <c r="D244" t="s">
        <v>7447</v>
      </c>
      <c r="E244">
        <v>810</v>
      </c>
      <c r="F244" t="s">
        <v>4993</v>
      </c>
      <c r="G244" t="s">
        <v>4992</v>
      </c>
      <c r="H244">
        <v>64</v>
      </c>
      <c r="I244">
        <v>165</v>
      </c>
      <c r="J244">
        <v>100</v>
      </c>
      <c r="K244" s="147" t="str" cm="1">
        <f t="array" ref="K244">myRGB(H244,I244,J244)</f>
        <v/>
      </c>
    </row>
    <row r="245" spans="1:11" x14ac:dyDescent="0.2">
      <c r="A245">
        <v>235</v>
      </c>
      <c r="B245">
        <v>48</v>
      </c>
      <c r="C245">
        <v>8</v>
      </c>
      <c r="D245" t="s">
        <v>7446</v>
      </c>
      <c r="E245">
        <v>772</v>
      </c>
      <c r="F245" t="s">
        <v>4991</v>
      </c>
      <c r="G245" t="s">
        <v>4990</v>
      </c>
      <c r="H245">
        <v>62</v>
      </c>
      <c r="I245">
        <v>166</v>
      </c>
      <c r="J245">
        <v>102</v>
      </c>
      <c r="K245" s="195" t="str" cm="1">
        <f t="array" ref="K245">myRGB(H245,I245,J245)</f>
        <v/>
      </c>
    </row>
    <row r="246" spans="1:11" x14ac:dyDescent="0.2">
      <c r="A246">
        <v>233</v>
      </c>
      <c r="B246">
        <v>48</v>
      </c>
      <c r="C246">
        <v>8</v>
      </c>
      <c r="D246" t="s">
        <v>7444</v>
      </c>
      <c r="E246">
        <v>588</v>
      </c>
      <c r="F246" t="s">
        <v>4989</v>
      </c>
      <c r="G246" t="s">
        <v>4988</v>
      </c>
      <c r="H246">
        <v>64</v>
      </c>
      <c r="I246">
        <v>166</v>
      </c>
      <c r="J246">
        <v>100</v>
      </c>
      <c r="K246" s="221" t="str" cm="1">
        <f t="array" ref="K246">myRGB(H246,I246,J246)</f>
        <v/>
      </c>
    </row>
    <row r="247" spans="1:11" x14ac:dyDescent="0.2">
      <c r="A247">
        <v>234</v>
      </c>
      <c r="B247">
        <v>48</v>
      </c>
      <c r="C247">
        <v>8</v>
      </c>
      <c r="D247" t="s">
        <v>7445</v>
      </c>
      <c r="E247">
        <v>296</v>
      </c>
      <c r="F247" t="s">
        <v>7206</v>
      </c>
      <c r="G247" t="s">
        <v>7145</v>
      </c>
      <c r="H247">
        <v>63</v>
      </c>
      <c r="I247">
        <v>165</v>
      </c>
      <c r="J247">
        <v>102</v>
      </c>
      <c r="K247" s="272" t="str" cm="1">
        <f t="array" ref="K247">myRGB(H247,I247,J247)</f>
        <v/>
      </c>
    </row>
    <row r="248" spans="1:11" x14ac:dyDescent="0.2">
      <c r="A248">
        <v>232</v>
      </c>
      <c r="B248">
        <v>31</v>
      </c>
      <c r="C248">
        <v>7</v>
      </c>
      <c r="D248" t="s">
        <v>7443</v>
      </c>
      <c r="E248">
        <v>48</v>
      </c>
      <c r="F248" t="s">
        <v>4987</v>
      </c>
      <c r="G248" t="s">
        <v>4986</v>
      </c>
      <c r="H248">
        <v>64</v>
      </c>
      <c r="I248">
        <v>165</v>
      </c>
      <c r="J248">
        <v>102</v>
      </c>
      <c r="K248" s="333" t="str" cm="1">
        <f t="array" ref="K248">myRGB(H248,I248,J248)</f>
        <v/>
      </c>
    </row>
    <row r="249" spans="1:11" x14ac:dyDescent="0.2">
      <c r="A249">
        <v>227</v>
      </c>
      <c r="B249">
        <v>39</v>
      </c>
      <c r="C249">
        <v>8</v>
      </c>
      <c r="D249" t="s">
        <v>7438</v>
      </c>
      <c r="E249">
        <v>935</v>
      </c>
      <c r="F249" t="s">
        <v>4979</v>
      </c>
      <c r="G249" t="s">
        <v>4978</v>
      </c>
      <c r="H249">
        <v>62</v>
      </c>
      <c r="I249">
        <v>166</v>
      </c>
      <c r="J249">
        <v>101</v>
      </c>
      <c r="K249" s="359" t="str" cm="1">
        <f t="array" ref="K249">myRGB(H249,I249,J249)</f>
        <v/>
      </c>
    </row>
    <row r="250" spans="1:11" x14ac:dyDescent="0.2">
      <c r="A250">
        <v>231</v>
      </c>
      <c r="B250">
        <v>39</v>
      </c>
      <c r="C250">
        <v>8</v>
      </c>
      <c r="D250" t="s">
        <v>7442</v>
      </c>
      <c r="E250">
        <v>927</v>
      </c>
      <c r="F250" t="s">
        <v>4985</v>
      </c>
      <c r="G250" t="s">
        <v>4984</v>
      </c>
      <c r="H250">
        <v>63</v>
      </c>
      <c r="I250">
        <v>164</v>
      </c>
      <c r="J250">
        <v>102</v>
      </c>
      <c r="K250" s="137" t="str" cm="1">
        <f t="array" ref="K250">myRGB(H250,I250,J250)</f>
        <v/>
      </c>
    </row>
    <row r="251" spans="1:11" x14ac:dyDescent="0.2">
      <c r="A251">
        <v>230</v>
      </c>
      <c r="B251">
        <v>39</v>
      </c>
      <c r="C251">
        <v>8</v>
      </c>
      <c r="D251" t="s">
        <v>7441</v>
      </c>
      <c r="E251">
        <v>919</v>
      </c>
      <c r="F251" t="s">
        <v>4983</v>
      </c>
      <c r="G251" t="s">
        <v>4982</v>
      </c>
      <c r="H251">
        <v>63</v>
      </c>
      <c r="I251">
        <v>166</v>
      </c>
      <c r="J251">
        <v>100</v>
      </c>
      <c r="K251" s="196" t="str" cm="1">
        <f t="array" ref="K251">myRGB(H251,I251,J251)</f>
        <v/>
      </c>
    </row>
    <row r="252" spans="1:11" x14ac:dyDescent="0.2">
      <c r="A252">
        <v>228</v>
      </c>
      <c r="B252">
        <v>39</v>
      </c>
      <c r="C252">
        <v>8</v>
      </c>
      <c r="D252" t="s">
        <v>7439</v>
      </c>
      <c r="E252">
        <v>211</v>
      </c>
      <c r="F252" t="s">
        <v>7205</v>
      </c>
      <c r="G252" t="s">
        <v>7144</v>
      </c>
      <c r="H252">
        <v>64</v>
      </c>
      <c r="I252">
        <v>165</v>
      </c>
      <c r="J252">
        <v>101</v>
      </c>
      <c r="K252" s="222" t="str" cm="1">
        <f t="array" ref="K252">myRGB(H252,I252,J252)</f>
        <v/>
      </c>
    </row>
    <row r="253" spans="1:11" x14ac:dyDescent="0.2">
      <c r="A253">
        <v>229</v>
      </c>
      <c r="B253">
        <v>39</v>
      </c>
      <c r="C253">
        <v>8</v>
      </c>
      <c r="D253" t="s">
        <v>7440</v>
      </c>
      <c r="E253">
        <v>1015</v>
      </c>
      <c r="F253" t="s">
        <v>4981</v>
      </c>
      <c r="G253" t="s">
        <v>4980</v>
      </c>
      <c r="H253">
        <v>62</v>
      </c>
      <c r="I253">
        <v>165</v>
      </c>
      <c r="J253">
        <v>102</v>
      </c>
      <c r="K253" s="262" t="str" cm="1">
        <f t="array" ref="K253">myRGB(H253,I253,J253)</f>
        <v/>
      </c>
    </row>
    <row r="254" spans="1:11" x14ac:dyDescent="0.2">
      <c r="A254">
        <v>226</v>
      </c>
      <c r="B254">
        <v>31</v>
      </c>
      <c r="C254">
        <v>7</v>
      </c>
      <c r="D254" t="s">
        <v>7437</v>
      </c>
      <c r="E254">
        <v>39</v>
      </c>
      <c r="F254" t="s">
        <v>4977</v>
      </c>
      <c r="G254" t="s">
        <v>4976</v>
      </c>
      <c r="H254">
        <v>64</v>
      </c>
      <c r="I254">
        <v>166</v>
      </c>
      <c r="J254">
        <v>101</v>
      </c>
      <c r="K254" s="273" t="str" cm="1">
        <f t="array" ref="K254">myRGB(H254,I254,J254)</f>
        <v/>
      </c>
    </row>
    <row r="255" spans="1:11" x14ac:dyDescent="0.2">
      <c r="A255">
        <v>220</v>
      </c>
      <c r="B255">
        <v>315</v>
      </c>
      <c r="C255">
        <v>6</v>
      </c>
      <c r="D255" t="s">
        <v>7436</v>
      </c>
      <c r="E255">
        <v>31</v>
      </c>
      <c r="F255" t="s">
        <v>4967</v>
      </c>
      <c r="G255" t="s">
        <v>4966</v>
      </c>
      <c r="H255">
        <v>64</v>
      </c>
      <c r="I255">
        <v>166</v>
      </c>
      <c r="J255">
        <v>102</v>
      </c>
      <c r="K255" s="360" t="str" cm="1">
        <f t="array" ref="K255">myRGB(H255,I255,J255)</f>
        <v/>
      </c>
    </row>
    <row r="256" spans="1:11" x14ac:dyDescent="0.2">
      <c r="A256">
        <v>300</v>
      </c>
      <c r="B256">
        <v>894</v>
      </c>
      <c r="C256">
        <v>8</v>
      </c>
      <c r="D256" t="s">
        <v>7502</v>
      </c>
      <c r="E256">
        <v>965</v>
      </c>
      <c r="F256" t="s">
        <v>7216</v>
      </c>
      <c r="G256" t="s">
        <v>7155</v>
      </c>
      <c r="H256">
        <v>26</v>
      </c>
      <c r="I256">
        <v>164</v>
      </c>
      <c r="J256">
        <v>150</v>
      </c>
      <c r="K256" s="138" t="str" cm="1">
        <f t="array" ref="K256">myRGB(H256,I256,J256)</f>
        <v/>
      </c>
    </row>
    <row r="257" spans="1:11" x14ac:dyDescent="0.2">
      <c r="A257">
        <v>302</v>
      </c>
      <c r="B257">
        <v>894</v>
      </c>
      <c r="C257">
        <v>8</v>
      </c>
      <c r="D257" t="s">
        <v>7504</v>
      </c>
      <c r="E257">
        <v>906</v>
      </c>
      <c r="F257" t="s">
        <v>5105</v>
      </c>
      <c r="G257" t="s">
        <v>5104</v>
      </c>
      <c r="H257">
        <v>28</v>
      </c>
      <c r="I257">
        <v>165</v>
      </c>
      <c r="J257">
        <v>151</v>
      </c>
      <c r="K257" s="148" t="str" cm="1">
        <f t="array" ref="K257">myRGB(H257,I257,J257)</f>
        <v/>
      </c>
    </row>
    <row r="258" spans="1:11" x14ac:dyDescent="0.2">
      <c r="A258">
        <v>301</v>
      </c>
      <c r="B258">
        <v>894</v>
      </c>
      <c r="C258">
        <v>8</v>
      </c>
      <c r="D258" t="s">
        <v>7503</v>
      </c>
      <c r="E258">
        <v>774</v>
      </c>
      <c r="F258" t="s">
        <v>5103</v>
      </c>
      <c r="G258" t="s">
        <v>5102</v>
      </c>
      <c r="H258">
        <v>28</v>
      </c>
      <c r="I258">
        <v>166</v>
      </c>
      <c r="J258">
        <v>151</v>
      </c>
      <c r="K258" s="197" t="str" cm="1">
        <f t="array" ref="K258">myRGB(H258,I258,J258)</f>
        <v/>
      </c>
    </row>
    <row r="259" spans="1:11" x14ac:dyDescent="0.2">
      <c r="A259">
        <v>299</v>
      </c>
      <c r="B259">
        <v>894</v>
      </c>
      <c r="C259">
        <v>8</v>
      </c>
      <c r="D259" t="s">
        <v>7501</v>
      </c>
      <c r="E259">
        <v>671</v>
      </c>
      <c r="F259" t="s">
        <v>5101</v>
      </c>
      <c r="G259" t="s">
        <v>5100</v>
      </c>
      <c r="H259">
        <v>27</v>
      </c>
      <c r="I259">
        <v>166</v>
      </c>
      <c r="J259">
        <v>150</v>
      </c>
      <c r="K259" s="263" t="str" cm="1">
        <f t="array" ref="K259">myRGB(H259,I259,J259)</f>
        <v/>
      </c>
    </row>
    <row r="260" spans="1:11" x14ac:dyDescent="0.2">
      <c r="A260">
        <v>303</v>
      </c>
      <c r="B260">
        <v>894</v>
      </c>
      <c r="C260">
        <v>8</v>
      </c>
      <c r="D260" t="s">
        <v>7505</v>
      </c>
      <c r="E260">
        <v>279</v>
      </c>
      <c r="F260" t="s">
        <v>5107</v>
      </c>
      <c r="G260" t="s">
        <v>5106</v>
      </c>
      <c r="H260">
        <v>26</v>
      </c>
      <c r="I260">
        <v>165</v>
      </c>
      <c r="J260">
        <v>152</v>
      </c>
      <c r="K260" s="274" t="str" cm="1">
        <f t="array" ref="K260">myRGB(H260,I260,J260)</f>
        <v/>
      </c>
    </row>
    <row r="261" spans="1:11" x14ac:dyDescent="0.2">
      <c r="A261">
        <v>298</v>
      </c>
      <c r="B261">
        <v>254</v>
      </c>
      <c r="C261">
        <v>7</v>
      </c>
      <c r="D261" t="s">
        <v>7500</v>
      </c>
      <c r="E261">
        <v>894</v>
      </c>
      <c r="F261" t="s">
        <v>5099</v>
      </c>
      <c r="G261" t="s">
        <v>5098</v>
      </c>
      <c r="H261">
        <v>27</v>
      </c>
      <c r="I261">
        <v>164</v>
      </c>
      <c r="J261">
        <v>151</v>
      </c>
      <c r="K261" s="334" t="str" cm="1">
        <f t="array" ref="K261">myRGB(H261,I261,J261)</f>
        <v/>
      </c>
    </row>
    <row r="262" spans="1:11" x14ac:dyDescent="0.2">
      <c r="A262">
        <v>336</v>
      </c>
      <c r="B262">
        <v>886</v>
      </c>
      <c r="C262">
        <v>8</v>
      </c>
      <c r="D262" t="s">
        <v>7515</v>
      </c>
      <c r="E262">
        <v>687</v>
      </c>
      <c r="F262" t="s">
        <v>5163</v>
      </c>
      <c r="G262" t="s">
        <v>5162</v>
      </c>
      <c r="H262">
        <v>27</v>
      </c>
      <c r="I262">
        <v>164</v>
      </c>
      <c r="J262">
        <v>152</v>
      </c>
      <c r="K262" s="361" t="str" cm="1">
        <f t="array" ref="K262">myRGB(H262,I262,J262)</f>
        <v/>
      </c>
    </row>
    <row r="263" spans="1:11" x14ac:dyDescent="0.2">
      <c r="A263">
        <v>338</v>
      </c>
      <c r="B263">
        <v>886</v>
      </c>
      <c r="C263">
        <v>8</v>
      </c>
      <c r="D263" t="s">
        <v>7517</v>
      </c>
      <c r="E263">
        <v>622</v>
      </c>
      <c r="F263" t="s">
        <v>5167</v>
      </c>
      <c r="G263" t="s">
        <v>5166</v>
      </c>
      <c r="H263">
        <v>26</v>
      </c>
      <c r="I263">
        <v>164</v>
      </c>
      <c r="J263">
        <v>151</v>
      </c>
      <c r="K263" s="149" t="str" cm="1">
        <f t="array" ref="K263">myRGB(H263,I263,J263)</f>
        <v/>
      </c>
    </row>
    <row r="264" spans="1:11" x14ac:dyDescent="0.2">
      <c r="A264">
        <v>337</v>
      </c>
      <c r="B264">
        <v>886</v>
      </c>
      <c r="C264">
        <v>8</v>
      </c>
      <c r="D264" t="s">
        <v>7516</v>
      </c>
      <c r="E264">
        <v>590</v>
      </c>
      <c r="F264" t="s">
        <v>5165</v>
      </c>
      <c r="G264" t="s">
        <v>5164</v>
      </c>
      <c r="H264">
        <v>26</v>
      </c>
      <c r="I264">
        <v>164</v>
      </c>
      <c r="J264">
        <v>152</v>
      </c>
      <c r="K264" s="198" t="str" cm="1">
        <f t="array" ref="K264">myRGB(H264,I264,J264)</f>
        <v/>
      </c>
    </row>
    <row r="265" spans="1:11" x14ac:dyDescent="0.2">
      <c r="A265">
        <v>333</v>
      </c>
      <c r="B265">
        <v>886</v>
      </c>
      <c r="C265">
        <v>8</v>
      </c>
      <c r="D265" t="s">
        <v>7513</v>
      </c>
      <c r="E265">
        <v>542</v>
      </c>
      <c r="F265" t="s">
        <v>5159</v>
      </c>
      <c r="G265" t="s">
        <v>5158</v>
      </c>
      <c r="H265">
        <v>27</v>
      </c>
      <c r="I265">
        <v>165</v>
      </c>
      <c r="J265">
        <v>151</v>
      </c>
      <c r="K265" s="223" t="str" cm="1">
        <f t="array" ref="K265">myRGB(H265,I265,J265)</f>
        <v/>
      </c>
    </row>
    <row r="266" spans="1:11" x14ac:dyDescent="0.2">
      <c r="A266">
        <v>335</v>
      </c>
      <c r="B266">
        <v>886</v>
      </c>
      <c r="C266">
        <v>8</v>
      </c>
      <c r="D266" t="s">
        <v>7514</v>
      </c>
      <c r="E266">
        <v>430</v>
      </c>
      <c r="F266" t="s">
        <v>7221</v>
      </c>
      <c r="G266" t="s">
        <v>7160</v>
      </c>
      <c r="H266">
        <v>26</v>
      </c>
      <c r="I266">
        <v>165</v>
      </c>
      <c r="J266">
        <v>151</v>
      </c>
      <c r="K266" s="275" t="str" cm="1">
        <f t="array" ref="K266">myRGB(H266,I266,J266)</f>
        <v/>
      </c>
    </row>
    <row r="267" spans="1:11" x14ac:dyDescent="0.2">
      <c r="A267">
        <v>332</v>
      </c>
      <c r="B267">
        <v>254</v>
      </c>
      <c r="C267">
        <v>7</v>
      </c>
      <c r="D267" t="s">
        <v>7512</v>
      </c>
      <c r="E267">
        <v>886</v>
      </c>
      <c r="F267" t="s">
        <v>5157</v>
      </c>
      <c r="G267" t="s">
        <v>5156</v>
      </c>
      <c r="H267">
        <v>27</v>
      </c>
      <c r="I267">
        <v>165</v>
      </c>
      <c r="J267">
        <v>150</v>
      </c>
      <c r="K267" s="362" t="str" cm="1">
        <f t="array" ref="K267">myRGB(H267,I267,J267)</f>
        <v/>
      </c>
    </row>
    <row r="268" spans="1:11" x14ac:dyDescent="0.2">
      <c r="A268">
        <v>329</v>
      </c>
      <c r="B268">
        <v>879</v>
      </c>
      <c r="C268">
        <v>8</v>
      </c>
      <c r="D268" t="s">
        <v>7509</v>
      </c>
      <c r="E268">
        <v>610</v>
      </c>
      <c r="F268" t="s">
        <v>5151</v>
      </c>
      <c r="G268" t="s">
        <v>5150</v>
      </c>
      <c r="H268">
        <v>26</v>
      </c>
      <c r="I268">
        <v>165</v>
      </c>
      <c r="J268">
        <v>150</v>
      </c>
      <c r="K268" s="139" t="str" cm="1">
        <f t="array" ref="K268">myRGB(H268,I268,J268)</f>
        <v/>
      </c>
    </row>
    <row r="269" spans="1:11" x14ac:dyDescent="0.2">
      <c r="A269">
        <v>326</v>
      </c>
      <c r="B269">
        <v>879</v>
      </c>
      <c r="C269">
        <v>8</v>
      </c>
      <c r="D269" t="s">
        <v>7507</v>
      </c>
      <c r="E269">
        <v>442</v>
      </c>
      <c r="F269" t="s">
        <v>5147</v>
      </c>
      <c r="G269" t="s">
        <v>5146</v>
      </c>
      <c r="H269">
        <v>27</v>
      </c>
      <c r="I269">
        <v>165</v>
      </c>
      <c r="J269">
        <v>152</v>
      </c>
      <c r="K269" s="150" t="str" cm="1">
        <f t="array" ref="K269">myRGB(H269,I269,J269)</f>
        <v/>
      </c>
    </row>
    <row r="270" spans="1:11" x14ac:dyDescent="0.2">
      <c r="A270">
        <v>327</v>
      </c>
      <c r="B270">
        <v>879</v>
      </c>
      <c r="C270">
        <v>8</v>
      </c>
      <c r="D270" t="s">
        <v>7508</v>
      </c>
      <c r="E270">
        <v>434</v>
      </c>
      <c r="F270" t="s">
        <v>7220</v>
      </c>
      <c r="G270" t="s">
        <v>7159</v>
      </c>
      <c r="H270">
        <v>27</v>
      </c>
      <c r="I270">
        <v>166</v>
      </c>
      <c r="J270">
        <v>151</v>
      </c>
      <c r="K270" s="224" t="str" cm="1">
        <f t="array" ref="K270">myRGB(H270,I270,J270)</f>
        <v/>
      </c>
    </row>
    <row r="271" spans="1:11" x14ac:dyDescent="0.2">
      <c r="A271">
        <v>331</v>
      </c>
      <c r="B271">
        <v>879</v>
      </c>
      <c r="C271">
        <v>8</v>
      </c>
      <c r="D271" t="s">
        <v>7511</v>
      </c>
      <c r="E271">
        <v>330</v>
      </c>
      <c r="F271" t="s">
        <v>5155</v>
      </c>
      <c r="G271" t="s">
        <v>5154</v>
      </c>
      <c r="H271">
        <v>27</v>
      </c>
      <c r="I271">
        <v>166</v>
      </c>
      <c r="J271">
        <v>152</v>
      </c>
      <c r="K271" s="276" t="str" cm="1">
        <f t="array" ref="K271">myRGB(H271,I271,J271)</f>
        <v/>
      </c>
    </row>
    <row r="272" spans="1:11" x14ac:dyDescent="0.2">
      <c r="A272">
        <v>330</v>
      </c>
      <c r="B272">
        <v>879</v>
      </c>
      <c r="C272">
        <v>8</v>
      </c>
      <c r="D272" t="s">
        <v>7510</v>
      </c>
      <c r="E272">
        <v>274</v>
      </c>
      <c r="F272" t="s">
        <v>5153</v>
      </c>
      <c r="G272" t="s">
        <v>5152</v>
      </c>
      <c r="H272">
        <v>26</v>
      </c>
      <c r="I272">
        <v>166</v>
      </c>
      <c r="J272">
        <v>151</v>
      </c>
      <c r="K272" s="335" t="str" cm="1">
        <f t="array" ref="K272">myRGB(H272,I272,J272)</f>
        <v/>
      </c>
    </row>
    <row r="273" spans="1:11" x14ac:dyDescent="0.2">
      <c r="A273">
        <v>325</v>
      </c>
      <c r="B273">
        <v>254</v>
      </c>
      <c r="C273">
        <v>7</v>
      </c>
      <c r="D273" t="s">
        <v>7506</v>
      </c>
      <c r="E273">
        <v>879</v>
      </c>
      <c r="F273" t="s">
        <v>5145</v>
      </c>
      <c r="G273" t="s">
        <v>5144</v>
      </c>
      <c r="H273">
        <v>28</v>
      </c>
      <c r="I273">
        <v>165</v>
      </c>
      <c r="J273">
        <v>152</v>
      </c>
      <c r="K273" s="363" t="str" cm="1">
        <f t="array" ref="K273">myRGB(H273,I273,J273)</f>
        <v/>
      </c>
    </row>
    <row r="274" spans="1:11" x14ac:dyDescent="0.2">
      <c r="A274">
        <v>297</v>
      </c>
      <c r="B274">
        <v>315</v>
      </c>
      <c r="C274">
        <v>6</v>
      </c>
      <c r="D274" t="s">
        <v>7499</v>
      </c>
      <c r="E274">
        <v>254</v>
      </c>
      <c r="F274" t="s">
        <v>5097</v>
      </c>
      <c r="G274" t="s">
        <v>5096</v>
      </c>
      <c r="H274">
        <v>26</v>
      </c>
      <c r="I274">
        <v>166</v>
      </c>
      <c r="J274">
        <v>152</v>
      </c>
      <c r="K274" s="151" t="str" cm="1">
        <f t="array" ref="K274">myRGB(H274,I274,J274)</f>
        <v/>
      </c>
    </row>
    <row r="275" spans="1:11" x14ac:dyDescent="0.2">
      <c r="A275">
        <v>147</v>
      </c>
      <c r="B275">
        <v>1027</v>
      </c>
      <c r="C275">
        <v>8</v>
      </c>
      <c r="D275" t="s">
        <v>7362</v>
      </c>
      <c r="E275">
        <v>791</v>
      </c>
      <c r="F275" t="s">
        <v>4841</v>
      </c>
      <c r="G275" t="s">
        <v>4840</v>
      </c>
      <c r="H275">
        <v>1</v>
      </c>
      <c r="I275">
        <v>145</v>
      </c>
      <c r="J275">
        <v>151</v>
      </c>
      <c r="K275" s="225" t="str" cm="1">
        <f t="array" ref="K275">myRGB(H275,I275,J275)</f>
        <v/>
      </c>
    </row>
    <row r="276" spans="1:11" x14ac:dyDescent="0.2">
      <c r="A276">
        <v>146</v>
      </c>
      <c r="B276">
        <v>1027</v>
      </c>
      <c r="C276">
        <v>8</v>
      </c>
      <c r="D276" t="s">
        <v>7361</v>
      </c>
      <c r="E276">
        <v>759</v>
      </c>
      <c r="F276" t="s">
        <v>4839</v>
      </c>
      <c r="G276" t="s">
        <v>4838</v>
      </c>
      <c r="H276">
        <v>3</v>
      </c>
      <c r="I276">
        <v>146</v>
      </c>
      <c r="J276">
        <v>152</v>
      </c>
      <c r="K276" s="264" t="str" cm="1">
        <f t="array" ref="K276">myRGB(H276,I276,J276)</f>
        <v/>
      </c>
    </row>
    <row r="277" spans="1:11" x14ac:dyDescent="0.2">
      <c r="A277">
        <v>144</v>
      </c>
      <c r="B277">
        <v>1027</v>
      </c>
      <c r="C277">
        <v>8</v>
      </c>
      <c r="D277" t="s">
        <v>7359</v>
      </c>
      <c r="E277">
        <v>696</v>
      </c>
      <c r="F277" t="s">
        <v>4837</v>
      </c>
      <c r="G277" t="s">
        <v>4836</v>
      </c>
      <c r="H277">
        <v>3</v>
      </c>
      <c r="I277">
        <v>146</v>
      </c>
      <c r="J277">
        <v>153</v>
      </c>
      <c r="K277" s="277" t="str" cm="1">
        <f t="array" ref="K277">myRGB(H277,I277,J277)</f>
        <v/>
      </c>
    </row>
    <row r="278" spans="1:11" x14ac:dyDescent="0.2">
      <c r="A278">
        <v>145</v>
      </c>
      <c r="B278">
        <v>1027</v>
      </c>
      <c r="C278">
        <v>8</v>
      </c>
      <c r="D278" t="s">
        <v>7360</v>
      </c>
      <c r="E278">
        <v>643</v>
      </c>
      <c r="F278" t="s">
        <v>7193</v>
      </c>
      <c r="G278" t="s">
        <v>7132</v>
      </c>
      <c r="H278">
        <v>2</v>
      </c>
      <c r="I278">
        <v>145</v>
      </c>
      <c r="J278">
        <v>153</v>
      </c>
      <c r="K278" s="364" t="str" cm="1">
        <f t="array" ref="K278">myRGB(H278,I278,J278)</f>
        <v/>
      </c>
    </row>
    <row r="279" spans="1:11" x14ac:dyDescent="0.2">
      <c r="A279">
        <v>149</v>
      </c>
      <c r="B279">
        <v>1027</v>
      </c>
      <c r="C279">
        <v>8</v>
      </c>
      <c r="D279" t="s">
        <v>7364</v>
      </c>
      <c r="E279">
        <v>456</v>
      </c>
      <c r="F279" t="s">
        <v>4845</v>
      </c>
      <c r="G279" t="s">
        <v>4844</v>
      </c>
      <c r="H279">
        <v>2</v>
      </c>
      <c r="I279">
        <v>146</v>
      </c>
      <c r="J279">
        <v>152</v>
      </c>
      <c r="K279" s="152" t="str" cm="1">
        <f t="array" ref="K279">myRGB(H279,I279,J279)</f>
        <v/>
      </c>
    </row>
    <row r="280" spans="1:11" x14ac:dyDescent="0.2">
      <c r="A280">
        <v>148</v>
      </c>
      <c r="B280">
        <v>1027</v>
      </c>
      <c r="C280">
        <v>8</v>
      </c>
      <c r="D280" t="s">
        <v>7363</v>
      </c>
      <c r="E280">
        <v>249</v>
      </c>
      <c r="F280" t="s">
        <v>4843</v>
      </c>
      <c r="G280" t="s">
        <v>4842</v>
      </c>
      <c r="H280">
        <v>2</v>
      </c>
      <c r="I280">
        <v>147</v>
      </c>
      <c r="J280">
        <v>153</v>
      </c>
      <c r="K280" s="199" t="str" cm="1">
        <f t="array" ref="K280">myRGB(H280,I280,J280)</f>
        <v/>
      </c>
    </row>
    <row r="281" spans="1:11" x14ac:dyDescent="0.2">
      <c r="A281">
        <v>143</v>
      </c>
      <c r="B281">
        <v>247</v>
      </c>
      <c r="C281">
        <v>7</v>
      </c>
      <c r="D281" t="s">
        <v>7358</v>
      </c>
      <c r="E281">
        <v>1027</v>
      </c>
      <c r="F281" t="s">
        <v>4835</v>
      </c>
      <c r="G281" t="s">
        <v>4834</v>
      </c>
      <c r="H281">
        <v>2</v>
      </c>
      <c r="I281">
        <v>147</v>
      </c>
      <c r="J281">
        <v>150</v>
      </c>
      <c r="K281" s="226" t="str" cm="1">
        <f t="array" ref="K281">myRGB(H281,I281,J281)</f>
        <v/>
      </c>
    </row>
    <row r="282" spans="1:11" x14ac:dyDescent="0.2">
      <c r="A282">
        <v>153</v>
      </c>
      <c r="B282">
        <v>1018</v>
      </c>
      <c r="C282">
        <v>8</v>
      </c>
      <c r="D282" t="s">
        <v>7368</v>
      </c>
      <c r="E282">
        <v>990</v>
      </c>
      <c r="F282" t="s">
        <v>4851</v>
      </c>
      <c r="G282" t="s">
        <v>4850</v>
      </c>
      <c r="H282">
        <v>2</v>
      </c>
      <c r="I282">
        <v>145</v>
      </c>
      <c r="J282">
        <v>151</v>
      </c>
      <c r="K282" s="278" t="str" cm="1">
        <f t="array" ref="K282">myRGB(H282,I282,J282)</f>
        <v/>
      </c>
    </row>
    <row r="283" spans="1:11" x14ac:dyDescent="0.2">
      <c r="A283">
        <v>151</v>
      </c>
      <c r="B283">
        <v>1018</v>
      </c>
      <c r="C283">
        <v>8</v>
      </c>
      <c r="D283" t="s">
        <v>7366</v>
      </c>
      <c r="E283">
        <v>959</v>
      </c>
      <c r="F283" t="s">
        <v>4849</v>
      </c>
      <c r="G283" t="s">
        <v>4848</v>
      </c>
      <c r="H283">
        <v>1</v>
      </c>
      <c r="I283">
        <v>144</v>
      </c>
      <c r="J283">
        <v>153</v>
      </c>
      <c r="K283" s="365" t="str" cm="1">
        <f t="array" ref="K283">myRGB(H283,I283,J283)</f>
        <v/>
      </c>
    </row>
    <row r="284" spans="1:11" x14ac:dyDescent="0.2">
      <c r="A284">
        <v>152</v>
      </c>
      <c r="B284">
        <v>1018</v>
      </c>
      <c r="C284">
        <v>8</v>
      </c>
      <c r="D284" t="s">
        <v>7367</v>
      </c>
      <c r="E284">
        <v>755</v>
      </c>
      <c r="F284" t="s">
        <v>7194</v>
      </c>
      <c r="G284" t="s">
        <v>7133</v>
      </c>
      <c r="H284">
        <v>2</v>
      </c>
      <c r="I284">
        <v>145</v>
      </c>
      <c r="J284">
        <v>152</v>
      </c>
      <c r="K284" s="140" t="str" cm="1">
        <f t="array" ref="K284">myRGB(H284,I284,J284)</f>
        <v/>
      </c>
    </row>
    <row r="285" spans="1:11" x14ac:dyDescent="0.2">
      <c r="A285">
        <v>156</v>
      </c>
      <c r="B285">
        <v>1018</v>
      </c>
      <c r="C285">
        <v>8</v>
      </c>
      <c r="D285" t="s">
        <v>7371</v>
      </c>
      <c r="E285">
        <v>598</v>
      </c>
      <c r="F285" t="s">
        <v>4857</v>
      </c>
      <c r="G285" t="s">
        <v>4856</v>
      </c>
      <c r="H285">
        <v>1</v>
      </c>
      <c r="I285">
        <v>145</v>
      </c>
      <c r="J285">
        <v>152</v>
      </c>
      <c r="K285" s="153" t="str" cm="1">
        <f t="array" ref="K285">myRGB(H285,I285,J285)</f>
        <v/>
      </c>
    </row>
    <row r="286" spans="1:11" x14ac:dyDescent="0.2">
      <c r="A286">
        <v>155</v>
      </c>
      <c r="B286">
        <v>1018</v>
      </c>
      <c r="C286">
        <v>8</v>
      </c>
      <c r="D286" t="s">
        <v>7370</v>
      </c>
      <c r="E286">
        <v>520</v>
      </c>
      <c r="F286" t="s">
        <v>4855</v>
      </c>
      <c r="G286" t="s">
        <v>4854</v>
      </c>
      <c r="H286">
        <v>1</v>
      </c>
      <c r="I286">
        <v>147</v>
      </c>
      <c r="J286">
        <v>151</v>
      </c>
      <c r="K286" s="227" t="str" cm="1">
        <f t="array" ref="K286">myRGB(H286,I286,J286)</f>
        <v/>
      </c>
    </row>
    <row r="287" spans="1:11" x14ac:dyDescent="0.2">
      <c r="A287">
        <v>154</v>
      </c>
      <c r="B287">
        <v>1018</v>
      </c>
      <c r="C287">
        <v>8</v>
      </c>
      <c r="D287" t="s">
        <v>7369</v>
      </c>
      <c r="E287">
        <v>1023</v>
      </c>
      <c r="F287" t="s">
        <v>4853</v>
      </c>
      <c r="G287" t="s">
        <v>4852</v>
      </c>
      <c r="H287">
        <v>1</v>
      </c>
      <c r="I287">
        <v>144</v>
      </c>
      <c r="J287">
        <v>152</v>
      </c>
      <c r="K287" s="279" t="str" cm="1">
        <f t="array" ref="K287">myRGB(H287,I287,J287)</f>
        <v/>
      </c>
    </row>
    <row r="288" spans="1:11" x14ac:dyDescent="0.2">
      <c r="A288">
        <v>150</v>
      </c>
      <c r="B288">
        <v>247</v>
      </c>
      <c r="C288">
        <v>7</v>
      </c>
      <c r="D288" t="s">
        <v>7365</v>
      </c>
      <c r="E288">
        <v>1018</v>
      </c>
      <c r="F288" t="s">
        <v>4847</v>
      </c>
      <c r="G288" t="s">
        <v>4846</v>
      </c>
      <c r="H288">
        <v>1</v>
      </c>
      <c r="I288">
        <v>146</v>
      </c>
      <c r="J288">
        <v>150</v>
      </c>
      <c r="K288" s="336" t="str" cm="1">
        <f t="array" ref="K288">myRGB(H288,I288,J288)</f>
        <v/>
      </c>
    </row>
    <row r="289" spans="1:11" x14ac:dyDescent="0.2">
      <c r="A289">
        <v>125</v>
      </c>
      <c r="B289">
        <v>1011</v>
      </c>
      <c r="C289">
        <v>8</v>
      </c>
      <c r="D289" t="s">
        <v>7347</v>
      </c>
      <c r="E289">
        <v>678</v>
      </c>
      <c r="F289" t="s">
        <v>4803</v>
      </c>
      <c r="G289" t="s">
        <v>4802</v>
      </c>
      <c r="H289">
        <v>3</v>
      </c>
      <c r="I289">
        <v>147</v>
      </c>
      <c r="J289">
        <v>152</v>
      </c>
      <c r="K289" s="366" t="str" cm="1">
        <f t="array" ref="K289">myRGB(H289,I289,J289)</f>
        <v/>
      </c>
    </row>
    <row r="290" spans="1:11" x14ac:dyDescent="0.2">
      <c r="A290">
        <v>124</v>
      </c>
      <c r="B290">
        <v>1011</v>
      </c>
      <c r="C290">
        <v>8</v>
      </c>
      <c r="D290" t="s">
        <v>7346</v>
      </c>
      <c r="E290">
        <v>600</v>
      </c>
      <c r="F290" t="s">
        <v>7190</v>
      </c>
      <c r="G290" t="s">
        <v>7129</v>
      </c>
      <c r="H290">
        <v>2</v>
      </c>
      <c r="I290">
        <v>147</v>
      </c>
      <c r="J290">
        <v>151</v>
      </c>
      <c r="K290" s="154" t="str" cm="1">
        <f t="array" ref="K290">myRGB(H290,I290,J290)</f>
        <v/>
      </c>
    </row>
    <row r="291" spans="1:11" x14ac:dyDescent="0.2">
      <c r="A291">
        <v>123</v>
      </c>
      <c r="B291">
        <v>1011</v>
      </c>
      <c r="C291">
        <v>8</v>
      </c>
      <c r="D291" t="s">
        <v>7345</v>
      </c>
      <c r="E291">
        <v>527</v>
      </c>
      <c r="F291" t="s">
        <v>4801</v>
      </c>
      <c r="G291" t="s">
        <v>4800</v>
      </c>
      <c r="H291">
        <v>3</v>
      </c>
      <c r="I291">
        <v>147</v>
      </c>
      <c r="J291">
        <v>153</v>
      </c>
      <c r="K291" s="228" t="str" cm="1">
        <f t="array" ref="K291">myRGB(H291,I291,J291)</f>
        <v/>
      </c>
    </row>
    <row r="292" spans="1:11" x14ac:dyDescent="0.2">
      <c r="A292">
        <v>126</v>
      </c>
      <c r="B292">
        <v>1011</v>
      </c>
      <c r="C292">
        <v>8</v>
      </c>
      <c r="D292" t="s">
        <v>7348</v>
      </c>
      <c r="E292">
        <v>252</v>
      </c>
      <c r="F292" t="s">
        <v>4805</v>
      </c>
      <c r="G292" t="s">
        <v>4804</v>
      </c>
      <c r="H292">
        <v>2</v>
      </c>
      <c r="I292">
        <v>147</v>
      </c>
      <c r="J292">
        <v>152</v>
      </c>
      <c r="K292" s="265" t="str" cm="1">
        <f t="array" ref="K292">myRGB(H292,I292,J292)</f>
        <v/>
      </c>
    </row>
    <row r="293" spans="1:11" x14ac:dyDescent="0.2">
      <c r="A293">
        <v>128</v>
      </c>
      <c r="B293">
        <v>1011</v>
      </c>
      <c r="C293">
        <v>8</v>
      </c>
      <c r="D293" t="s">
        <v>7350</v>
      </c>
      <c r="E293">
        <v>243</v>
      </c>
      <c r="F293" t="s">
        <v>4809</v>
      </c>
      <c r="G293" t="s">
        <v>4808</v>
      </c>
      <c r="H293">
        <v>1</v>
      </c>
      <c r="I293">
        <v>147</v>
      </c>
      <c r="J293">
        <v>152</v>
      </c>
      <c r="K293" s="280" t="str" cm="1">
        <f t="array" ref="K293">myRGB(H293,I293,J293)</f>
        <v/>
      </c>
    </row>
    <row r="294" spans="1:11" x14ac:dyDescent="0.2">
      <c r="A294">
        <v>127</v>
      </c>
      <c r="B294">
        <v>1011</v>
      </c>
      <c r="C294">
        <v>8</v>
      </c>
      <c r="D294" t="s">
        <v>7349</v>
      </c>
      <c r="E294">
        <v>156</v>
      </c>
      <c r="F294" t="s">
        <v>4807</v>
      </c>
      <c r="G294" t="s">
        <v>4806</v>
      </c>
      <c r="H294">
        <v>1</v>
      </c>
      <c r="I294">
        <v>147</v>
      </c>
      <c r="J294">
        <v>153</v>
      </c>
      <c r="K294" s="367" t="str" cm="1">
        <f t="array" ref="K294">myRGB(H294,I294,J294)</f>
        <v/>
      </c>
    </row>
    <row r="295" spans="1:11" x14ac:dyDescent="0.2">
      <c r="A295">
        <v>122</v>
      </c>
      <c r="B295">
        <v>247</v>
      </c>
      <c r="C295">
        <v>7</v>
      </c>
      <c r="D295" t="s">
        <v>7344</v>
      </c>
      <c r="E295">
        <v>1011</v>
      </c>
      <c r="F295" t="s">
        <v>4799</v>
      </c>
      <c r="G295" t="s">
        <v>4798</v>
      </c>
      <c r="H295">
        <v>4</v>
      </c>
      <c r="I295">
        <v>147</v>
      </c>
      <c r="J295">
        <v>153</v>
      </c>
      <c r="K295" s="155" t="str" cm="1">
        <f t="array" ref="K295">myRGB(H295,I295,J295)</f>
        <v/>
      </c>
    </row>
    <row r="296" spans="1:11" x14ac:dyDescent="0.2">
      <c r="A296">
        <v>141</v>
      </c>
      <c r="B296">
        <v>1002</v>
      </c>
      <c r="C296">
        <v>8</v>
      </c>
      <c r="D296" t="s">
        <v>7356</v>
      </c>
      <c r="E296">
        <v>954</v>
      </c>
      <c r="F296" t="s">
        <v>4831</v>
      </c>
      <c r="G296" t="s">
        <v>4830</v>
      </c>
      <c r="H296">
        <v>1</v>
      </c>
      <c r="I296">
        <v>147</v>
      </c>
      <c r="J296">
        <v>150</v>
      </c>
      <c r="K296" s="200" t="str" cm="1">
        <f t="array" ref="K296">myRGB(H296,I296,J296)</f>
        <v/>
      </c>
    </row>
    <row r="297" spans="1:11" x14ac:dyDescent="0.2">
      <c r="A297">
        <v>140</v>
      </c>
      <c r="B297">
        <v>1002</v>
      </c>
      <c r="C297">
        <v>8</v>
      </c>
      <c r="D297" t="s">
        <v>7355</v>
      </c>
      <c r="E297">
        <v>847</v>
      </c>
      <c r="F297" t="s">
        <v>4829</v>
      </c>
      <c r="G297" t="s">
        <v>4828</v>
      </c>
      <c r="H297">
        <v>3</v>
      </c>
      <c r="I297">
        <v>145</v>
      </c>
      <c r="J297">
        <v>153</v>
      </c>
      <c r="K297" s="229" t="str" cm="1">
        <f t="array" ref="K297">myRGB(H297,I297,J297)</f>
        <v/>
      </c>
    </row>
    <row r="298" spans="1:11" x14ac:dyDescent="0.2">
      <c r="A298">
        <v>139</v>
      </c>
      <c r="B298">
        <v>1002</v>
      </c>
      <c r="C298">
        <v>8</v>
      </c>
      <c r="D298" t="s">
        <v>7354</v>
      </c>
      <c r="E298">
        <v>816</v>
      </c>
      <c r="F298" t="s">
        <v>4827</v>
      </c>
      <c r="G298" t="s">
        <v>4826</v>
      </c>
      <c r="H298">
        <v>3</v>
      </c>
      <c r="I298">
        <v>147</v>
      </c>
      <c r="J298">
        <v>151</v>
      </c>
      <c r="K298" s="281" t="str" cm="1">
        <f t="array" ref="K298">myRGB(H298,I298,J298)</f>
        <v/>
      </c>
    </row>
    <row r="299" spans="1:11" x14ac:dyDescent="0.2">
      <c r="A299">
        <v>137</v>
      </c>
      <c r="B299">
        <v>1002</v>
      </c>
      <c r="C299">
        <v>8</v>
      </c>
      <c r="D299" t="s">
        <v>7352</v>
      </c>
      <c r="E299">
        <v>735</v>
      </c>
      <c r="F299" t="s">
        <v>4825</v>
      </c>
      <c r="G299" t="s">
        <v>4824</v>
      </c>
      <c r="H299">
        <v>2</v>
      </c>
      <c r="I299">
        <v>146</v>
      </c>
      <c r="J299">
        <v>151</v>
      </c>
      <c r="K299" s="368" t="str" cm="1">
        <f t="array" ref="K299">myRGB(H299,I299,J299)</f>
        <v/>
      </c>
    </row>
    <row r="300" spans="1:11" x14ac:dyDescent="0.2">
      <c r="A300">
        <v>138</v>
      </c>
      <c r="B300">
        <v>1002</v>
      </c>
      <c r="C300">
        <v>8</v>
      </c>
      <c r="D300" t="s">
        <v>7353</v>
      </c>
      <c r="E300">
        <v>251</v>
      </c>
      <c r="F300" t="s">
        <v>7192</v>
      </c>
      <c r="G300" t="s">
        <v>7131</v>
      </c>
      <c r="H300">
        <v>1</v>
      </c>
      <c r="I300">
        <v>146</v>
      </c>
      <c r="J300">
        <v>152</v>
      </c>
      <c r="K300" s="141" t="str" cm="1">
        <f t="array" ref="K300">myRGB(H300,I300,J300)</f>
        <v/>
      </c>
    </row>
    <row r="301" spans="1:11" x14ac:dyDescent="0.2">
      <c r="A301">
        <v>142</v>
      </c>
      <c r="B301">
        <v>1002</v>
      </c>
      <c r="C301">
        <v>8</v>
      </c>
      <c r="D301" t="s">
        <v>7357</v>
      </c>
      <c r="E301">
        <v>1005</v>
      </c>
      <c r="F301" t="s">
        <v>4833</v>
      </c>
      <c r="G301" t="s">
        <v>4832</v>
      </c>
      <c r="H301">
        <v>3</v>
      </c>
      <c r="I301">
        <v>145</v>
      </c>
      <c r="J301">
        <v>152</v>
      </c>
      <c r="K301" s="156" t="str" cm="1">
        <f t="array" ref="K301">myRGB(H301,I301,J301)</f>
        <v/>
      </c>
    </row>
    <row r="302" spans="1:11" x14ac:dyDescent="0.2">
      <c r="A302">
        <v>136</v>
      </c>
      <c r="B302">
        <v>247</v>
      </c>
      <c r="C302">
        <v>7</v>
      </c>
      <c r="D302" t="s">
        <v>7351</v>
      </c>
      <c r="E302">
        <v>1002</v>
      </c>
      <c r="F302" t="s">
        <v>4823</v>
      </c>
      <c r="G302" t="s">
        <v>4822</v>
      </c>
      <c r="H302">
        <v>3</v>
      </c>
      <c r="I302">
        <v>146</v>
      </c>
      <c r="J302">
        <v>151</v>
      </c>
      <c r="K302" s="230" t="str" cm="1">
        <f t="array" ref="K302">myRGB(H302,I302,J302)</f>
        <v/>
      </c>
    </row>
    <row r="303" spans="1:11" x14ac:dyDescent="0.2">
      <c r="A303">
        <v>121</v>
      </c>
      <c r="B303">
        <v>315</v>
      </c>
      <c r="C303">
        <v>6</v>
      </c>
      <c r="D303" t="s">
        <v>7343</v>
      </c>
      <c r="E303">
        <v>247</v>
      </c>
      <c r="F303" t="s">
        <v>4797</v>
      </c>
      <c r="G303" t="s">
        <v>4796</v>
      </c>
      <c r="H303">
        <v>1</v>
      </c>
      <c r="I303">
        <v>146</v>
      </c>
      <c r="J303">
        <v>153</v>
      </c>
      <c r="K303" s="282" t="str" cm="1">
        <f t="array" ref="K303">myRGB(H303,I303,J303)</f>
        <v/>
      </c>
    </row>
    <row r="304" spans="1:11" x14ac:dyDescent="0.2">
      <c r="A304">
        <v>358</v>
      </c>
      <c r="B304">
        <v>417</v>
      </c>
      <c r="C304">
        <v>8</v>
      </c>
      <c r="D304" t="s">
        <v>7531</v>
      </c>
      <c r="E304">
        <v>312782620</v>
      </c>
      <c r="F304" t="s">
        <v>5201</v>
      </c>
      <c r="G304" t="s">
        <v>5200</v>
      </c>
      <c r="H304">
        <v>2</v>
      </c>
      <c r="I304">
        <v>158</v>
      </c>
      <c r="J304">
        <v>171</v>
      </c>
      <c r="K304" s="337" t="str" cm="1">
        <f t="array" ref="K304">myRGB(H304,I304,J304)</f>
        <v/>
      </c>
    </row>
    <row r="305" spans="1:11" x14ac:dyDescent="0.2">
      <c r="A305">
        <v>357</v>
      </c>
      <c r="B305">
        <v>417</v>
      </c>
      <c r="C305">
        <v>8</v>
      </c>
      <c r="D305" t="s">
        <v>7530</v>
      </c>
      <c r="E305">
        <v>312782616</v>
      </c>
      <c r="F305" t="s">
        <v>5199</v>
      </c>
      <c r="G305" t="s">
        <v>5198</v>
      </c>
      <c r="H305">
        <v>1</v>
      </c>
      <c r="I305">
        <v>157</v>
      </c>
      <c r="J305">
        <v>171</v>
      </c>
      <c r="K305" s="369" t="str" cm="1">
        <f t="array" ref="K305">myRGB(H305,I305,J305)</f>
        <v/>
      </c>
    </row>
    <row r="306" spans="1:11" x14ac:dyDescent="0.2">
      <c r="A306">
        <v>356</v>
      </c>
      <c r="B306">
        <v>417</v>
      </c>
      <c r="C306">
        <v>8</v>
      </c>
      <c r="D306" t="s">
        <v>7529</v>
      </c>
      <c r="E306">
        <v>312782612</v>
      </c>
      <c r="F306" t="s">
        <v>5197</v>
      </c>
      <c r="G306" t="s">
        <v>5196</v>
      </c>
      <c r="H306">
        <v>1</v>
      </c>
      <c r="I306">
        <v>158</v>
      </c>
      <c r="J306">
        <v>170</v>
      </c>
      <c r="K306" s="157" t="str" cm="1">
        <f t="array" ref="K306">myRGB(H306,I306,J306)</f>
        <v/>
      </c>
    </row>
    <row r="307" spans="1:11" x14ac:dyDescent="0.2">
      <c r="A307">
        <v>355</v>
      </c>
      <c r="B307">
        <v>417</v>
      </c>
      <c r="C307">
        <v>8</v>
      </c>
      <c r="D307" t="s">
        <v>7528</v>
      </c>
      <c r="E307">
        <v>312782608</v>
      </c>
      <c r="F307" t="s">
        <v>7224</v>
      </c>
      <c r="G307" t="s">
        <v>7163</v>
      </c>
      <c r="H307">
        <v>2</v>
      </c>
      <c r="I307">
        <v>158</v>
      </c>
      <c r="J307">
        <v>172</v>
      </c>
      <c r="K307" s="231" t="str" cm="1">
        <f t="array" ref="K307">myRGB(H307,I307,J307)</f>
        <v/>
      </c>
    </row>
    <row r="308" spans="1:11" x14ac:dyDescent="0.2">
      <c r="A308">
        <v>354</v>
      </c>
      <c r="B308">
        <v>417</v>
      </c>
      <c r="C308">
        <v>8</v>
      </c>
      <c r="D308" t="s">
        <v>7527</v>
      </c>
      <c r="E308">
        <v>312782604</v>
      </c>
      <c r="F308" t="s">
        <v>5195</v>
      </c>
      <c r="G308" t="s">
        <v>5194</v>
      </c>
      <c r="H308">
        <v>2</v>
      </c>
      <c r="I308">
        <v>159</v>
      </c>
      <c r="J308">
        <v>171</v>
      </c>
      <c r="K308" s="266" t="str" cm="1">
        <f t="array" ref="K308">myRGB(H308,I308,J308)</f>
        <v/>
      </c>
    </row>
    <row r="309" spans="1:11" x14ac:dyDescent="0.2">
      <c r="A309">
        <v>359</v>
      </c>
      <c r="B309">
        <v>417</v>
      </c>
      <c r="C309">
        <v>8</v>
      </c>
      <c r="D309" t="s">
        <v>8089</v>
      </c>
      <c r="E309">
        <v>22</v>
      </c>
      <c r="F309" t="s">
        <v>5203</v>
      </c>
      <c r="G309" t="s">
        <v>5202</v>
      </c>
      <c r="H309">
        <v>0</v>
      </c>
      <c r="I309">
        <v>157</v>
      </c>
      <c r="J309">
        <v>170</v>
      </c>
      <c r="K309" s="283" t="str" cm="1">
        <f t="array" ref="K309">myRGB(H309,I309,J309)</f>
        <v/>
      </c>
    </row>
    <row r="310" spans="1:11" x14ac:dyDescent="0.2">
      <c r="A310">
        <v>353</v>
      </c>
      <c r="B310">
        <v>22</v>
      </c>
      <c r="C310">
        <v>7</v>
      </c>
      <c r="D310" t="s">
        <v>7526</v>
      </c>
      <c r="E310">
        <v>417</v>
      </c>
      <c r="F310" t="s">
        <v>5193</v>
      </c>
      <c r="G310" t="s">
        <v>5192</v>
      </c>
      <c r="H310">
        <v>0</v>
      </c>
      <c r="I310">
        <v>158</v>
      </c>
      <c r="J310">
        <v>170</v>
      </c>
      <c r="K310" s="370" t="str" cm="1">
        <f t="array" ref="K310">myRGB(H310,I310,J310)</f>
        <v/>
      </c>
    </row>
    <row r="311" spans="1:11" x14ac:dyDescent="0.2">
      <c r="A311">
        <v>352</v>
      </c>
      <c r="B311">
        <v>312782546</v>
      </c>
      <c r="C311">
        <v>8</v>
      </c>
      <c r="D311" t="s">
        <v>7525</v>
      </c>
      <c r="E311">
        <v>312782570</v>
      </c>
      <c r="F311" t="s">
        <v>5191</v>
      </c>
      <c r="G311" t="s">
        <v>5190</v>
      </c>
      <c r="H311">
        <v>2</v>
      </c>
      <c r="I311">
        <v>159</v>
      </c>
      <c r="J311">
        <v>172</v>
      </c>
      <c r="K311" s="158" t="str" cm="1">
        <f t="array" ref="K311">myRGB(H311,I311,J311)</f>
        <v/>
      </c>
    </row>
    <row r="312" spans="1:11" x14ac:dyDescent="0.2">
      <c r="A312">
        <v>351</v>
      </c>
      <c r="B312">
        <v>312782546</v>
      </c>
      <c r="C312">
        <v>8</v>
      </c>
      <c r="D312" t="s">
        <v>7524</v>
      </c>
      <c r="E312">
        <v>312782566</v>
      </c>
      <c r="F312" t="s">
        <v>5189</v>
      </c>
      <c r="G312" t="s">
        <v>5188</v>
      </c>
      <c r="H312">
        <v>0</v>
      </c>
      <c r="I312">
        <v>157</v>
      </c>
      <c r="J312">
        <v>172</v>
      </c>
      <c r="K312" s="201" t="str" cm="1">
        <f t="array" ref="K312">myRGB(H312,I312,J312)</f>
        <v/>
      </c>
    </row>
    <row r="313" spans="1:11" x14ac:dyDescent="0.2">
      <c r="A313">
        <v>350</v>
      </c>
      <c r="B313">
        <v>312782546</v>
      </c>
      <c r="C313">
        <v>8</v>
      </c>
      <c r="D313" t="s">
        <v>7523</v>
      </c>
      <c r="E313">
        <v>312782562</v>
      </c>
      <c r="F313" t="s">
        <v>5187</v>
      </c>
      <c r="G313" t="s">
        <v>5186</v>
      </c>
      <c r="H313">
        <v>1</v>
      </c>
      <c r="I313">
        <v>158</v>
      </c>
      <c r="J313">
        <v>171</v>
      </c>
      <c r="K313" s="232" t="str" cm="1">
        <f t="array" ref="K313">myRGB(H313,I313,J313)</f>
        <v/>
      </c>
    </row>
    <row r="314" spans="1:11" x14ac:dyDescent="0.2">
      <c r="A314">
        <v>349</v>
      </c>
      <c r="B314">
        <v>312782546</v>
      </c>
      <c r="C314">
        <v>8</v>
      </c>
      <c r="D314" t="s">
        <v>7522</v>
      </c>
      <c r="E314">
        <v>312782558</v>
      </c>
      <c r="F314" t="s">
        <v>5185</v>
      </c>
      <c r="G314" t="s">
        <v>5184</v>
      </c>
      <c r="H314">
        <v>1</v>
      </c>
      <c r="I314">
        <v>158</v>
      </c>
      <c r="J314">
        <v>172</v>
      </c>
      <c r="K314" s="284" t="str" cm="1">
        <f t="array" ref="K314">myRGB(H314,I314,J314)</f>
        <v/>
      </c>
    </row>
    <row r="315" spans="1:11" x14ac:dyDescent="0.2">
      <c r="A315">
        <v>348</v>
      </c>
      <c r="B315">
        <v>312782546</v>
      </c>
      <c r="C315">
        <v>8</v>
      </c>
      <c r="D315" t="s">
        <v>7521</v>
      </c>
      <c r="E315">
        <v>312782554</v>
      </c>
      <c r="F315" t="s">
        <v>7223</v>
      </c>
      <c r="G315" t="s">
        <v>7162</v>
      </c>
      <c r="H315">
        <v>0</v>
      </c>
      <c r="I315">
        <v>158</v>
      </c>
      <c r="J315">
        <v>171</v>
      </c>
      <c r="K315" s="371" t="str" cm="1">
        <f t="array" ref="K315">myRGB(H315,I315,J315)</f>
        <v/>
      </c>
    </row>
    <row r="316" spans="1:11" x14ac:dyDescent="0.2">
      <c r="A316">
        <v>347</v>
      </c>
      <c r="B316">
        <v>312782546</v>
      </c>
      <c r="C316">
        <v>8</v>
      </c>
      <c r="D316" t="s">
        <v>7520</v>
      </c>
      <c r="E316">
        <v>312782550</v>
      </c>
      <c r="F316" t="s">
        <v>5183</v>
      </c>
      <c r="G316" t="s">
        <v>5182</v>
      </c>
      <c r="H316">
        <v>1</v>
      </c>
      <c r="I316">
        <v>159</v>
      </c>
      <c r="J316">
        <v>172</v>
      </c>
      <c r="K316" s="142" t="str" cm="1">
        <f t="array" ref="K316">myRGB(H316,I316,J316)</f>
        <v/>
      </c>
    </row>
    <row r="317" spans="1:11" x14ac:dyDescent="0.2">
      <c r="A317">
        <v>346</v>
      </c>
      <c r="B317">
        <v>22</v>
      </c>
      <c r="C317">
        <v>7</v>
      </c>
      <c r="D317" t="s">
        <v>7519</v>
      </c>
      <c r="E317">
        <v>312782546</v>
      </c>
      <c r="F317" t="s">
        <v>5181</v>
      </c>
      <c r="G317" t="s">
        <v>5180</v>
      </c>
      <c r="H317">
        <v>0</v>
      </c>
      <c r="I317">
        <v>159</v>
      </c>
      <c r="J317">
        <v>171</v>
      </c>
      <c r="K317" s="159" t="str" cm="1">
        <f t="array" ref="K317">myRGB(H317,I317,J317)</f>
        <v/>
      </c>
    </row>
    <row r="318" spans="1:11" x14ac:dyDescent="0.2">
      <c r="A318">
        <v>339</v>
      </c>
      <c r="B318">
        <v>315</v>
      </c>
      <c r="C318">
        <v>6</v>
      </c>
      <c r="D318" t="s">
        <v>7518</v>
      </c>
      <c r="E318">
        <v>22</v>
      </c>
      <c r="F318" t="s">
        <v>5169</v>
      </c>
      <c r="G318" t="s">
        <v>5168</v>
      </c>
      <c r="H318">
        <v>0</v>
      </c>
      <c r="I318">
        <v>159</v>
      </c>
      <c r="J318">
        <v>172</v>
      </c>
      <c r="K318" s="233" t="str" cm="1">
        <f t="array" ref="K318">myRGB(H318,I318,J318)</f>
        <v/>
      </c>
    </row>
    <row r="319" spans="1:11" x14ac:dyDescent="0.2">
      <c r="A319">
        <v>7</v>
      </c>
      <c r="B319">
        <v>184</v>
      </c>
      <c r="C319">
        <v>7</v>
      </c>
      <c r="D319" t="s">
        <v>7253</v>
      </c>
      <c r="E319">
        <v>68</v>
      </c>
      <c r="F319" t="s">
        <v>4603</v>
      </c>
      <c r="G319" t="s">
        <v>4602</v>
      </c>
      <c r="H319">
        <v>38</v>
      </c>
      <c r="I319">
        <v>143</v>
      </c>
      <c r="J319">
        <v>69</v>
      </c>
      <c r="K319" s="285" t="str" cm="1">
        <f t="array" ref="K319">myRGB(H319,I319,J319)</f>
        <v/>
      </c>
    </row>
    <row r="320" spans="1:11" x14ac:dyDescent="0.2">
      <c r="A320">
        <v>8</v>
      </c>
      <c r="B320">
        <v>184</v>
      </c>
      <c r="C320">
        <v>7</v>
      </c>
      <c r="D320" t="s">
        <v>7254</v>
      </c>
      <c r="E320">
        <v>667</v>
      </c>
      <c r="F320" t="s">
        <v>7173</v>
      </c>
      <c r="G320" t="s">
        <v>7112</v>
      </c>
      <c r="H320">
        <v>38</v>
      </c>
      <c r="I320">
        <v>142</v>
      </c>
      <c r="J320">
        <v>69</v>
      </c>
      <c r="K320" s="338" t="str" cm="1">
        <f t="array" ref="K320">myRGB(H320,I320,J320)</f>
        <v/>
      </c>
    </row>
    <row r="321" spans="1:11" x14ac:dyDescent="0.2">
      <c r="A321">
        <v>11</v>
      </c>
      <c r="B321">
        <v>184</v>
      </c>
      <c r="C321">
        <v>7</v>
      </c>
      <c r="D321" t="s">
        <v>7257</v>
      </c>
      <c r="E321">
        <v>526322264</v>
      </c>
      <c r="F321" t="s">
        <v>4609</v>
      </c>
      <c r="G321" t="s">
        <v>4608</v>
      </c>
      <c r="H321">
        <v>37</v>
      </c>
      <c r="I321">
        <v>143</v>
      </c>
      <c r="J321">
        <v>68</v>
      </c>
      <c r="K321" s="372" t="str" cm="1">
        <f t="array" ref="K321">myRGB(H321,I321,J321)</f>
        <v/>
      </c>
    </row>
    <row r="322" spans="1:11" x14ac:dyDescent="0.2">
      <c r="A322">
        <v>10</v>
      </c>
      <c r="B322">
        <v>184</v>
      </c>
      <c r="C322">
        <v>7</v>
      </c>
      <c r="D322" t="s">
        <v>7256</v>
      </c>
      <c r="E322">
        <v>526157196</v>
      </c>
      <c r="F322" t="s">
        <v>4607</v>
      </c>
      <c r="G322" t="s">
        <v>4606</v>
      </c>
      <c r="H322">
        <v>38</v>
      </c>
      <c r="I322">
        <v>142</v>
      </c>
      <c r="J322">
        <v>68</v>
      </c>
      <c r="K322" s="160" t="str" cm="1">
        <f t="array" ref="K322">myRGB(H322,I322,J322)</f>
        <v/>
      </c>
    </row>
    <row r="323" spans="1:11" x14ac:dyDescent="0.2">
      <c r="A323">
        <v>9</v>
      </c>
      <c r="B323">
        <v>184</v>
      </c>
      <c r="C323">
        <v>7</v>
      </c>
      <c r="D323" t="s">
        <v>7255</v>
      </c>
      <c r="E323">
        <v>526157192</v>
      </c>
      <c r="F323" t="s">
        <v>4605</v>
      </c>
      <c r="G323" t="s">
        <v>4604</v>
      </c>
      <c r="H323">
        <v>37</v>
      </c>
      <c r="I323">
        <v>143</v>
      </c>
      <c r="J323">
        <v>69</v>
      </c>
      <c r="K323" s="234" t="str" cm="1">
        <f t="array" ref="K323">myRGB(H323,I323,J323)</f>
        <v/>
      </c>
    </row>
    <row r="324" spans="1:11" x14ac:dyDescent="0.2">
      <c r="A324">
        <v>6</v>
      </c>
      <c r="B324">
        <v>315</v>
      </c>
      <c r="C324">
        <v>6</v>
      </c>
      <c r="D324" t="s">
        <v>7252</v>
      </c>
      <c r="E324">
        <v>184</v>
      </c>
      <c r="F324" t="s">
        <v>4601</v>
      </c>
      <c r="G324" t="s">
        <v>4600</v>
      </c>
      <c r="H324">
        <v>38</v>
      </c>
      <c r="I324">
        <v>143</v>
      </c>
      <c r="J324">
        <v>68</v>
      </c>
      <c r="K324" s="267" t="str" cm="1">
        <f t="array" ref="K324">myRGB(H324,I324,J324)</f>
        <v/>
      </c>
    </row>
    <row r="325" spans="1:11" x14ac:dyDescent="0.2">
      <c r="A325">
        <v>113</v>
      </c>
      <c r="B325">
        <v>1057</v>
      </c>
      <c r="C325">
        <v>7</v>
      </c>
      <c r="D325" t="s">
        <v>7335</v>
      </c>
      <c r="E325">
        <v>662</v>
      </c>
      <c r="F325" t="s">
        <v>4783</v>
      </c>
      <c r="G325" t="s">
        <v>4782</v>
      </c>
      <c r="H325">
        <v>1</v>
      </c>
      <c r="I325">
        <v>156</v>
      </c>
      <c r="J325">
        <v>116</v>
      </c>
      <c r="K325" s="286" t="str" cm="1">
        <f t="array" ref="K325">myRGB(H325,I325,J325)</f>
        <v/>
      </c>
    </row>
    <row r="326" spans="1:11" x14ac:dyDescent="0.2">
      <c r="A326">
        <v>112</v>
      </c>
      <c r="B326">
        <v>1057</v>
      </c>
      <c r="C326">
        <v>7</v>
      </c>
      <c r="D326" t="s">
        <v>7334</v>
      </c>
      <c r="E326">
        <v>638</v>
      </c>
      <c r="F326" t="s">
        <v>4781</v>
      </c>
      <c r="G326" t="s">
        <v>4780</v>
      </c>
      <c r="H326">
        <v>0</v>
      </c>
      <c r="I326">
        <v>155</v>
      </c>
      <c r="J326">
        <v>116</v>
      </c>
      <c r="K326" s="373" t="str" cm="1">
        <f t="array" ref="K326">myRGB(H326,I326,J326)</f>
        <v/>
      </c>
    </row>
    <row r="327" spans="1:11" x14ac:dyDescent="0.2">
      <c r="A327">
        <v>108</v>
      </c>
      <c r="B327">
        <v>1057</v>
      </c>
      <c r="C327">
        <v>7</v>
      </c>
      <c r="D327" t="s">
        <v>7330</v>
      </c>
      <c r="E327">
        <v>36</v>
      </c>
      <c r="F327" t="s">
        <v>4775</v>
      </c>
      <c r="G327" t="s">
        <v>4774</v>
      </c>
      <c r="H327">
        <v>0</v>
      </c>
      <c r="I327">
        <v>156</v>
      </c>
      <c r="J327">
        <v>117</v>
      </c>
      <c r="K327" s="161" t="str" cm="1">
        <f t="array" ref="K327">myRGB(H327,I327,J327)</f>
        <v/>
      </c>
    </row>
    <row r="328" spans="1:11" x14ac:dyDescent="0.2">
      <c r="A328">
        <v>111</v>
      </c>
      <c r="B328">
        <v>1057</v>
      </c>
      <c r="C328">
        <v>7</v>
      </c>
      <c r="D328" t="s">
        <v>7333</v>
      </c>
      <c r="E328">
        <v>187</v>
      </c>
      <c r="F328" t="s">
        <v>4779</v>
      </c>
      <c r="G328" t="s">
        <v>4778</v>
      </c>
      <c r="H328">
        <v>1</v>
      </c>
      <c r="I328">
        <v>156</v>
      </c>
      <c r="J328">
        <v>117</v>
      </c>
      <c r="K328" s="202" t="str" cm="1">
        <f t="array" ref="K328">myRGB(H328,I328,J328)</f>
        <v/>
      </c>
    </row>
    <row r="329" spans="1:11" x14ac:dyDescent="0.2">
      <c r="A329">
        <v>109</v>
      </c>
      <c r="B329">
        <v>1057</v>
      </c>
      <c r="C329">
        <v>7</v>
      </c>
      <c r="D329" t="s">
        <v>7331</v>
      </c>
      <c r="E329">
        <v>180</v>
      </c>
      <c r="F329" t="s">
        <v>7188</v>
      </c>
      <c r="G329" t="s">
        <v>7127</v>
      </c>
      <c r="H329">
        <v>0</v>
      </c>
      <c r="I329">
        <v>155</v>
      </c>
      <c r="J329">
        <v>117</v>
      </c>
      <c r="K329" s="235" t="str" cm="1">
        <f t="array" ref="K329">myRGB(H329,I329,J329)</f>
        <v/>
      </c>
    </row>
    <row r="330" spans="1:11" x14ac:dyDescent="0.2">
      <c r="A330">
        <v>110</v>
      </c>
      <c r="B330">
        <v>1057</v>
      </c>
      <c r="C330">
        <v>7</v>
      </c>
      <c r="D330" t="s">
        <v>7332</v>
      </c>
      <c r="E330">
        <v>148</v>
      </c>
      <c r="F330" t="s">
        <v>4777</v>
      </c>
      <c r="G330" t="s">
        <v>4776</v>
      </c>
      <c r="H330">
        <v>0</v>
      </c>
      <c r="I330">
        <v>156</v>
      </c>
      <c r="J330">
        <v>116</v>
      </c>
      <c r="K330" s="287" t="str" cm="1">
        <f t="array" ref="K330">myRGB(H330,I330,J330)</f>
        <v/>
      </c>
    </row>
    <row r="331" spans="1:11" x14ac:dyDescent="0.2">
      <c r="A331">
        <v>107</v>
      </c>
      <c r="B331">
        <v>315</v>
      </c>
      <c r="C331">
        <v>6</v>
      </c>
      <c r="D331" t="s">
        <v>7329</v>
      </c>
      <c r="E331">
        <v>1057</v>
      </c>
      <c r="F331" t="s">
        <v>4773</v>
      </c>
      <c r="G331" t="s">
        <v>4772</v>
      </c>
      <c r="H331">
        <v>1</v>
      </c>
      <c r="I331">
        <v>155</v>
      </c>
      <c r="J331">
        <v>117</v>
      </c>
      <c r="K331" s="374" t="str" cm="1">
        <f t="array" ref="K331">myRGB(H331,I331,J331)</f>
        <v/>
      </c>
    </row>
    <row r="332" spans="1:11" x14ac:dyDescent="0.2">
      <c r="A332">
        <v>5</v>
      </c>
      <c r="B332">
        <v>695</v>
      </c>
      <c r="C332">
        <v>5</v>
      </c>
      <c r="D332" t="s">
        <v>7251</v>
      </c>
      <c r="E332">
        <v>315</v>
      </c>
      <c r="F332" t="s">
        <v>4599</v>
      </c>
      <c r="G332" t="s">
        <v>4599</v>
      </c>
      <c r="H332">
        <v>112</v>
      </c>
      <c r="I332">
        <v>255</v>
      </c>
      <c r="J332">
        <v>113</v>
      </c>
      <c r="K332" s="143" t="str" cm="1">
        <f t="array" ref="K332">myRGB(H332,I332,J332)</f>
        <v/>
      </c>
    </row>
    <row r="333" spans="1:11" x14ac:dyDescent="0.2">
      <c r="A333">
        <v>516</v>
      </c>
      <c r="B333">
        <v>926</v>
      </c>
      <c r="C333">
        <v>9</v>
      </c>
      <c r="D333" t="s">
        <v>7597</v>
      </c>
      <c r="E333">
        <v>743</v>
      </c>
      <c r="F333" t="s">
        <v>5497</v>
      </c>
      <c r="G333" t="s">
        <v>5496</v>
      </c>
      <c r="H333">
        <v>50</v>
      </c>
      <c r="I333">
        <v>182</v>
      </c>
      <c r="J333">
        <v>35</v>
      </c>
      <c r="K333" s="162" t="str" cm="1">
        <f t="array" ref="K333">myRGB(H333,I333,J333)</f>
        <v/>
      </c>
    </row>
    <row r="334" spans="1:11" x14ac:dyDescent="0.2">
      <c r="A334">
        <v>514</v>
      </c>
      <c r="B334">
        <v>926</v>
      </c>
      <c r="C334">
        <v>9</v>
      </c>
      <c r="D334" t="s">
        <v>7596</v>
      </c>
      <c r="E334">
        <v>727</v>
      </c>
      <c r="F334" t="s">
        <v>5495</v>
      </c>
      <c r="G334" t="s">
        <v>5494</v>
      </c>
      <c r="H334">
        <v>48</v>
      </c>
      <c r="I334">
        <v>183</v>
      </c>
      <c r="J334">
        <v>36</v>
      </c>
      <c r="K334" s="236" t="str" cm="1">
        <f t="array" ref="K334">myRGB(H334,I334,J334)</f>
        <v/>
      </c>
    </row>
    <row r="335" spans="1:11" x14ac:dyDescent="0.2">
      <c r="A335">
        <v>512</v>
      </c>
      <c r="B335">
        <v>926</v>
      </c>
      <c r="C335">
        <v>9</v>
      </c>
      <c r="D335" t="s">
        <v>7595</v>
      </c>
      <c r="E335">
        <v>664</v>
      </c>
      <c r="F335" t="s">
        <v>5491</v>
      </c>
      <c r="G335" t="s">
        <v>5490</v>
      </c>
      <c r="H335">
        <v>49</v>
      </c>
      <c r="I335">
        <v>183</v>
      </c>
      <c r="J335">
        <v>35</v>
      </c>
      <c r="K335" s="288" t="str" cm="1">
        <f t="array" ref="K335">myRGB(H335,I335,J335)</f>
        <v/>
      </c>
    </row>
    <row r="336" spans="1:11" x14ac:dyDescent="0.2">
      <c r="A336">
        <v>509</v>
      </c>
      <c r="B336">
        <v>926</v>
      </c>
      <c r="C336">
        <v>9</v>
      </c>
      <c r="D336" t="s">
        <v>7594</v>
      </c>
      <c r="E336">
        <v>543</v>
      </c>
      <c r="F336" t="s">
        <v>5485</v>
      </c>
      <c r="G336" t="s">
        <v>5484</v>
      </c>
      <c r="H336">
        <v>48</v>
      </c>
      <c r="I336">
        <v>184</v>
      </c>
      <c r="J336">
        <v>36</v>
      </c>
      <c r="K336" s="339" t="str" cm="1">
        <f t="array" ref="K336">myRGB(H336,I336,J336)</f>
        <v/>
      </c>
    </row>
    <row r="337" spans="1:11" x14ac:dyDescent="0.2">
      <c r="A337">
        <v>508</v>
      </c>
      <c r="B337">
        <v>926</v>
      </c>
      <c r="C337">
        <v>9</v>
      </c>
      <c r="D337" t="s">
        <v>7593</v>
      </c>
      <c r="E337">
        <v>526</v>
      </c>
      <c r="F337" t="s">
        <v>5483</v>
      </c>
      <c r="G337" t="s">
        <v>5482</v>
      </c>
      <c r="H337">
        <v>49</v>
      </c>
      <c r="I337">
        <v>182</v>
      </c>
      <c r="J337">
        <v>37</v>
      </c>
      <c r="K337" s="375" t="str" cm="1">
        <f t="array" ref="K337">myRGB(H337,I337,J337)</f>
        <v/>
      </c>
    </row>
    <row r="338" spans="1:11" x14ac:dyDescent="0.2">
      <c r="A338">
        <v>507</v>
      </c>
      <c r="B338">
        <v>909</v>
      </c>
      <c r="C338">
        <v>8</v>
      </c>
      <c r="D338" t="s">
        <v>7592</v>
      </c>
      <c r="E338">
        <v>926</v>
      </c>
      <c r="F338" t="s">
        <v>5481</v>
      </c>
      <c r="G338" t="s">
        <v>5480</v>
      </c>
      <c r="H338">
        <v>49</v>
      </c>
      <c r="I338">
        <v>182</v>
      </c>
      <c r="J338">
        <v>35</v>
      </c>
      <c r="K338" s="163" t="str" cm="1">
        <f t="array" ref="K338">myRGB(H338,I338,J338)</f>
        <v/>
      </c>
    </row>
    <row r="339" spans="1:11" x14ac:dyDescent="0.2">
      <c r="A339">
        <v>500</v>
      </c>
      <c r="B339">
        <v>918</v>
      </c>
      <c r="C339">
        <v>9</v>
      </c>
      <c r="D339" t="s">
        <v>7589</v>
      </c>
      <c r="E339">
        <v>52</v>
      </c>
      <c r="F339" t="s">
        <v>5471</v>
      </c>
      <c r="G339" t="s">
        <v>5470</v>
      </c>
      <c r="H339">
        <v>50</v>
      </c>
      <c r="I339">
        <v>183</v>
      </c>
      <c r="J339">
        <v>37</v>
      </c>
      <c r="K339" s="376" t="str" cm="1">
        <f t="array" ref="K339">myRGB(H339,I339,J339)</f>
        <v/>
      </c>
    </row>
    <row r="340" spans="1:11" x14ac:dyDescent="0.2">
      <c r="A340">
        <v>505</v>
      </c>
      <c r="B340">
        <v>918</v>
      </c>
      <c r="C340">
        <v>9</v>
      </c>
      <c r="D340" t="s">
        <v>7591</v>
      </c>
      <c r="E340">
        <v>28</v>
      </c>
      <c r="F340" t="s">
        <v>5477</v>
      </c>
      <c r="G340" t="s">
        <v>5476</v>
      </c>
      <c r="H340">
        <v>50</v>
      </c>
      <c r="I340">
        <v>184</v>
      </c>
      <c r="J340">
        <v>36</v>
      </c>
      <c r="K340" s="268" t="str" cm="1">
        <f t="array" ref="K340">myRGB(H340,I340,J340)</f>
        <v/>
      </c>
    </row>
    <row r="341" spans="1:11" x14ac:dyDescent="0.2">
      <c r="A341">
        <v>496</v>
      </c>
      <c r="B341">
        <v>918</v>
      </c>
      <c r="C341">
        <v>9</v>
      </c>
      <c r="D341" t="s">
        <v>7588</v>
      </c>
      <c r="E341">
        <v>20</v>
      </c>
      <c r="F341" t="s">
        <v>5465</v>
      </c>
      <c r="G341" t="s">
        <v>5464</v>
      </c>
      <c r="H341">
        <v>50</v>
      </c>
      <c r="I341">
        <v>184</v>
      </c>
      <c r="J341">
        <v>37</v>
      </c>
      <c r="K341" s="289" t="str" cm="1">
        <f t="array" ref="K341">myRGB(H341,I341,J341)</f>
        <v/>
      </c>
    </row>
    <row r="342" spans="1:11" x14ac:dyDescent="0.2">
      <c r="A342">
        <v>503</v>
      </c>
      <c r="B342">
        <v>918</v>
      </c>
      <c r="C342">
        <v>9</v>
      </c>
      <c r="D342" t="s">
        <v>7590</v>
      </c>
      <c r="E342">
        <v>139</v>
      </c>
      <c r="F342" t="s">
        <v>5475</v>
      </c>
      <c r="G342" t="s">
        <v>5474</v>
      </c>
      <c r="H342">
        <v>49</v>
      </c>
      <c r="I342">
        <v>184</v>
      </c>
      <c r="J342">
        <v>36</v>
      </c>
      <c r="K342" s="389" t="str" cm="1">
        <f t="array" ref="K342">myRGB(H342,I342,J342)</f>
        <v/>
      </c>
    </row>
    <row r="343" spans="1:11" x14ac:dyDescent="0.2">
      <c r="A343">
        <v>495</v>
      </c>
      <c r="B343">
        <v>918</v>
      </c>
      <c r="C343">
        <v>9</v>
      </c>
      <c r="D343" t="s">
        <v>7587</v>
      </c>
      <c r="E343">
        <v>1121</v>
      </c>
      <c r="F343" t="s">
        <v>5463</v>
      </c>
      <c r="G343" t="s">
        <v>5462</v>
      </c>
      <c r="H343">
        <v>50</v>
      </c>
      <c r="I343">
        <v>183</v>
      </c>
      <c r="J343">
        <v>34</v>
      </c>
      <c r="K343" s="164" t="str" cm="1">
        <f t="array" ref="K343">myRGB(H343,I343,J343)</f>
        <v/>
      </c>
    </row>
    <row r="344" spans="1:11" x14ac:dyDescent="0.2">
      <c r="A344">
        <v>494</v>
      </c>
      <c r="B344">
        <v>909</v>
      </c>
      <c r="C344">
        <v>8</v>
      </c>
      <c r="D344" t="s">
        <v>7586</v>
      </c>
      <c r="E344">
        <v>918</v>
      </c>
      <c r="F344" t="s">
        <v>5461</v>
      </c>
      <c r="G344" t="s">
        <v>5460</v>
      </c>
      <c r="H344">
        <v>50</v>
      </c>
      <c r="I344">
        <v>181</v>
      </c>
      <c r="J344">
        <v>37</v>
      </c>
      <c r="K344" s="436" t="str" cm="1">
        <f t="array" ref="K344">myRGB(H344,I344,J344)</f>
        <v/>
      </c>
    </row>
    <row r="345" spans="1:11" x14ac:dyDescent="0.2">
      <c r="A345">
        <v>493</v>
      </c>
      <c r="B345">
        <v>822</v>
      </c>
      <c r="C345">
        <v>7</v>
      </c>
      <c r="D345" t="s">
        <v>7585</v>
      </c>
      <c r="E345">
        <v>909</v>
      </c>
      <c r="F345" t="s">
        <v>5459</v>
      </c>
      <c r="G345" t="s">
        <v>5458</v>
      </c>
      <c r="H345">
        <v>50</v>
      </c>
      <c r="I345">
        <v>184</v>
      </c>
      <c r="J345">
        <v>34</v>
      </c>
      <c r="K345" s="290" t="str" cm="1">
        <f t="array" ref="K345">myRGB(H345,I345,J345)</f>
        <v/>
      </c>
    </row>
    <row r="346" spans="1:11" x14ac:dyDescent="0.2">
      <c r="A346">
        <v>523</v>
      </c>
      <c r="B346">
        <v>822</v>
      </c>
      <c r="C346">
        <v>7</v>
      </c>
      <c r="D346" t="s">
        <v>7598</v>
      </c>
      <c r="E346">
        <v>843</v>
      </c>
      <c r="F346" t="s">
        <v>5509</v>
      </c>
      <c r="G346" t="s">
        <v>5508</v>
      </c>
      <c r="H346">
        <v>114</v>
      </c>
      <c r="I346">
        <v>213</v>
      </c>
      <c r="J346">
        <v>104</v>
      </c>
      <c r="K346" s="452" t="str" cm="1">
        <f t="array" ref="K346">myRGB(H346,I346,J346)</f>
        <v/>
      </c>
    </row>
    <row r="347" spans="1:11" x14ac:dyDescent="0.2">
      <c r="A347">
        <v>553</v>
      </c>
      <c r="B347">
        <v>822</v>
      </c>
      <c r="C347">
        <v>7</v>
      </c>
      <c r="D347" t="s">
        <v>7603</v>
      </c>
      <c r="E347">
        <v>589508447</v>
      </c>
      <c r="F347" t="s">
        <v>5569</v>
      </c>
      <c r="G347" t="s">
        <v>5568</v>
      </c>
      <c r="H347">
        <v>51</v>
      </c>
      <c r="I347">
        <v>185</v>
      </c>
      <c r="J347">
        <v>49</v>
      </c>
      <c r="K347" s="165" t="str" cm="1">
        <f t="array" ref="K347">myRGB(H347,I347,J347)</f>
        <v/>
      </c>
    </row>
    <row r="348" spans="1:11" x14ac:dyDescent="0.2">
      <c r="A348">
        <v>535</v>
      </c>
      <c r="B348">
        <v>822</v>
      </c>
      <c r="C348">
        <v>7</v>
      </c>
      <c r="D348" t="s">
        <v>7601</v>
      </c>
      <c r="E348">
        <v>502</v>
      </c>
      <c r="F348" t="s">
        <v>5533</v>
      </c>
      <c r="G348" t="s">
        <v>5532</v>
      </c>
      <c r="H348">
        <v>79</v>
      </c>
      <c r="I348">
        <v>194</v>
      </c>
      <c r="J348">
        <v>68</v>
      </c>
      <c r="K348" s="477" t="str" cm="1">
        <f t="array" ref="K348">myRGB(H348,I348,J348)</f>
        <v/>
      </c>
    </row>
    <row r="349" spans="1:11" x14ac:dyDescent="0.2">
      <c r="A349">
        <v>554</v>
      </c>
      <c r="B349">
        <v>822</v>
      </c>
      <c r="C349">
        <v>7</v>
      </c>
      <c r="D349" t="s">
        <v>7604</v>
      </c>
      <c r="E349">
        <v>484682508</v>
      </c>
      <c r="F349" t="s">
        <v>5571</v>
      </c>
      <c r="G349" t="s">
        <v>5570</v>
      </c>
      <c r="H349">
        <v>51</v>
      </c>
      <c r="I349">
        <v>185</v>
      </c>
      <c r="J349">
        <v>50</v>
      </c>
      <c r="K349" s="291" t="str" cm="1">
        <f t="array" ref="K349">myRGB(H349,I349,J349)</f>
        <v/>
      </c>
    </row>
    <row r="350" spans="1:11" x14ac:dyDescent="0.2">
      <c r="A350">
        <v>544</v>
      </c>
      <c r="B350">
        <v>822</v>
      </c>
      <c r="C350">
        <v>7</v>
      </c>
      <c r="D350" t="s">
        <v>7602</v>
      </c>
      <c r="E350">
        <v>484682470</v>
      </c>
      <c r="F350" t="s">
        <v>5551</v>
      </c>
      <c r="G350" t="s">
        <v>5550</v>
      </c>
      <c r="H350">
        <v>87</v>
      </c>
      <c r="I350">
        <v>185</v>
      </c>
      <c r="J350">
        <v>71</v>
      </c>
      <c r="K350" s="490" t="str" cm="1">
        <f t="array" ref="K350">myRGB(H350,I350,J350)</f>
        <v/>
      </c>
    </row>
    <row r="351" spans="1:11" x14ac:dyDescent="0.2">
      <c r="A351">
        <v>531</v>
      </c>
      <c r="B351">
        <v>822</v>
      </c>
      <c r="C351">
        <v>7</v>
      </c>
      <c r="D351" t="s">
        <v>7600</v>
      </c>
      <c r="E351">
        <v>1084</v>
      </c>
      <c r="F351" t="s">
        <v>5525</v>
      </c>
      <c r="G351" t="s">
        <v>5524</v>
      </c>
      <c r="H351">
        <v>89</v>
      </c>
      <c r="I351">
        <v>184</v>
      </c>
      <c r="J351">
        <v>71</v>
      </c>
      <c r="K351" s="166" t="str" cm="1">
        <f t="array" ref="K351">myRGB(H351,I351,J351)</f>
        <v/>
      </c>
    </row>
    <row r="352" spans="1:11" x14ac:dyDescent="0.2">
      <c r="A352">
        <v>527</v>
      </c>
      <c r="B352">
        <v>822</v>
      </c>
      <c r="C352">
        <v>7</v>
      </c>
      <c r="D352" t="s">
        <v>7599</v>
      </c>
      <c r="E352">
        <v>1037</v>
      </c>
      <c r="F352" t="s">
        <v>5517</v>
      </c>
      <c r="G352" t="s">
        <v>5516</v>
      </c>
      <c r="H352">
        <v>71</v>
      </c>
      <c r="I352">
        <v>200</v>
      </c>
      <c r="J352">
        <v>60</v>
      </c>
      <c r="K352" s="515" t="str" cm="1">
        <f t="array" ref="K352">myRGB(H352,I352,J352)</f>
        <v/>
      </c>
    </row>
    <row r="353" spans="1:11" x14ac:dyDescent="0.2">
      <c r="A353">
        <v>492</v>
      </c>
      <c r="B353">
        <v>1089</v>
      </c>
      <c r="C353">
        <v>6</v>
      </c>
      <c r="D353" t="s">
        <v>7584</v>
      </c>
      <c r="E353">
        <v>822</v>
      </c>
      <c r="F353" t="s">
        <v>5457</v>
      </c>
      <c r="G353" t="s">
        <v>5456</v>
      </c>
      <c r="H353">
        <v>48</v>
      </c>
      <c r="I353">
        <v>182</v>
      </c>
      <c r="J353">
        <v>37</v>
      </c>
      <c r="K353" s="292" t="str" cm="1">
        <f t="array" ref="K353">myRGB(H353,I353,J353)</f>
        <v/>
      </c>
    </row>
    <row r="354" spans="1:11" x14ac:dyDescent="0.2">
      <c r="A354">
        <v>490</v>
      </c>
      <c r="B354">
        <v>1080</v>
      </c>
      <c r="C354">
        <v>7</v>
      </c>
      <c r="D354" t="s">
        <v>7582</v>
      </c>
      <c r="E354">
        <v>982</v>
      </c>
      <c r="F354" t="s">
        <v>5453</v>
      </c>
      <c r="G354" t="s">
        <v>5452</v>
      </c>
      <c r="H354">
        <v>126</v>
      </c>
      <c r="I354">
        <v>205</v>
      </c>
      <c r="J354">
        <v>74</v>
      </c>
      <c r="K354" s="579" t="str" cm="1">
        <f t="array" ref="K354">myRGB(H354,I354,J354)</f>
        <v/>
      </c>
    </row>
    <row r="355" spans="1:11" x14ac:dyDescent="0.2">
      <c r="A355">
        <v>476</v>
      </c>
      <c r="B355">
        <v>726</v>
      </c>
      <c r="C355">
        <v>8</v>
      </c>
      <c r="D355" t="s">
        <v>7581</v>
      </c>
      <c r="E355">
        <v>632</v>
      </c>
      <c r="F355" t="s">
        <v>5425</v>
      </c>
      <c r="G355" t="s">
        <v>5424</v>
      </c>
      <c r="H355">
        <v>101</v>
      </c>
      <c r="I355">
        <v>168</v>
      </c>
      <c r="J355">
        <v>61</v>
      </c>
      <c r="K355" s="167" t="str" cm="1">
        <f t="array" ref="K355">myRGB(H355,I355,J355)</f>
        <v/>
      </c>
    </row>
    <row r="356" spans="1:11" x14ac:dyDescent="0.2">
      <c r="A356">
        <v>475</v>
      </c>
      <c r="B356">
        <v>726</v>
      </c>
      <c r="C356">
        <v>8</v>
      </c>
      <c r="D356" t="s">
        <v>8088</v>
      </c>
      <c r="E356">
        <v>1142</v>
      </c>
      <c r="F356" t="s">
        <v>5423</v>
      </c>
      <c r="G356" t="s">
        <v>5422</v>
      </c>
      <c r="H356">
        <v>126</v>
      </c>
      <c r="I356">
        <v>206</v>
      </c>
      <c r="J356">
        <v>74</v>
      </c>
      <c r="K356" s="377" t="str" cm="1">
        <f t="array" ref="K356">myRGB(H356,I356,J356)</f>
        <v/>
      </c>
    </row>
    <row r="357" spans="1:11" x14ac:dyDescent="0.2">
      <c r="A357">
        <v>474</v>
      </c>
      <c r="B357">
        <v>726</v>
      </c>
      <c r="C357">
        <v>8</v>
      </c>
      <c r="D357" t="s">
        <v>8087</v>
      </c>
      <c r="E357">
        <v>1141</v>
      </c>
      <c r="F357" t="s">
        <v>5421</v>
      </c>
      <c r="G357" t="s">
        <v>5420</v>
      </c>
      <c r="H357">
        <v>123</v>
      </c>
      <c r="I357">
        <v>208</v>
      </c>
      <c r="J357">
        <v>74</v>
      </c>
      <c r="K357" s="293" t="str" cm="1">
        <f t="array" ref="K357">myRGB(H357,I357,J357)</f>
        <v/>
      </c>
    </row>
    <row r="358" spans="1:11" x14ac:dyDescent="0.2">
      <c r="A358">
        <v>473</v>
      </c>
      <c r="B358">
        <v>1080</v>
      </c>
      <c r="C358">
        <v>7</v>
      </c>
      <c r="D358" t="s">
        <v>7580</v>
      </c>
      <c r="E358">
        <v>726</v>
      </c>
      <c r="F358" t="s">
        <v>5419</v>
      </c>
      <c r="G358" t="s">
        <v>5418</v>
      </c>
      <c r="H358">
        <v>125</v>
      </c>
      <c r="I358">
        <v>207</v>
      </c>
      <c r="J358">
        <v>73</v>
      </c>
      <c r="K358" s="390" t="str" cm="1">
        <f t="array" ref="K358">myRGB(H358,I358,J358)</f>
        <v/>
      </c>
    </row>
    <row r="359" spans="1:11" x14ac:dyDescent="0.2">
      <c r="A359">
        <v>467</v>
      </c>
      <c r="B359">
        <v>375</v>
      </c>
      <c r="C359">
        <v>8</v>
      </c>
      <c r="D359" t="s">
        <v>7579</v>
      </c>
      <c r="E359">
        <v>463</v>
      </c>
      <c r="F359" t="s">
        <v>5407</v>
      </c>
      <c r="G359" t="s">
        <v>5406</v>
      </c>
      <c r="H359">
        <v>126</v>
      </c>
      <c r="I359">
        <v>207</v>
      </c>
      <c r="J359">
        <v>73</v>
      </c>
      <c r="K359" s="168" t="str" cm="1">
        <f t="array" ref="K359">myRGB(H359,I359,J359)</f>
        <v/>
      </c>
    </row>
    <row r="360" spans="1:11" x14ac:dyDescent="0.2">
      <c r="A360">
        <v>462</v>
      </c>
      <c r="B360">
        <v>375</v>
      </c>
      <c r="C360">
        <v>8</v>
      </c>
      <c r="D360" t="s">
        <v>7578</v>
      </c>
      <c r="E360">
        <v>423</v>
      </c>
      <c r="F360" t="s">
        <v>5397</v>
      </c>
      <c r="G360" t="s">
        <v>5396</v>
      </c>
      <c r="H360">
        <v>125</v>
      </c>
      <c r="I360">
        <v>207</v>
      </c>
      <c r="J360">
        <v>75</v>
      </c>
      <c r="K360" s="437" t="str" cm="1">
        <f t="array" ref="K360">myRGB(H360,I360,J360)</f>
        <v/>
      </c>
    </row>
    <row r="361" spans="1:11" x14ac:dyDescent="0.2">
      <c r="A361">
        <v>457</v>
      </c>
      <c r="B361">
        <v>375</v>
      </c>
      <c r="C361">
        <v>8</v>
      </c>
      <c r="D361" t="s">
        <v>7577</v>
      </c>
      <c r="E361">
        <v>382</v>
      </c>
      <c r="F361" t="s">
        <v>5387</v>
      </c>
      <c r="G361" t="s">
        <v>5386</v>
      </c>
      <c r="H361">
        <v>126</v>
      </c>
      <c r="I361">
        <v>207</v>
      </c>
      <c r="J361">
        <v>75</v>
      </c>
      <c r="K361" s="294" t="str" cm="1">
        <f t="array" ref="K361">myRGB(H361,I361,J361)</f>
        <v/>
      </c>
    </row>
    <row r="362" spans="1:11" x14ac:dyDescent="0.2">
      <c r="A362">
        <v>456</v>
      </c>
      <c r="B362">
        <v>1080</v>
      </c>
      <c r="C362">
        <v>7</v>
      </c>
      <c r="D362" t="s">
        <v>7576</v>
      </c>
      <c r="E362">
        <v>375</v>
      </c>
      <c r="F362" t="s">
        <v>5385</v>
      </c>
      <c r="G362" t="s">
        <v>5384</v>
      </c>
      <c r="H362">
        <v>126</v>
      </c>
      <c r="I362">
        <v>208</v>
      </c>
      <c r="J362">
        <v>74</v>
      </c>
      <c r="K362" s="453" t="str" cm="1">
        <f t="array" ref="K362">myRGB(H362,I362,J362)</f>
        <v/>
      </c>
    </row>
    <row r="363" spans="1:11" x14ac:dyDescent="0.2">
      <c r="A363">
        <v>491</v>
      </c>
      <c r="B363">
        <v>1080</v>
      </c>
      <c r="C363">
        <v>7</v>
      </c>
      <c r="D363" t="s">
        <v>7583</v>
      </c>
      <c r="E363">
        <v>19</v>
      </c>
      <c r="F363" t="s">
        <v>5455</v>
      </c>
      <c r="G363" t="s">
        <v>5454</v>
      </c>
      <c r="H363">
        <v>126</v>
      </c>
      <c r="I363">
        <v>208</v>
      </c>
      <c r="J363">
        <v>75</v>
      </c>
      <c r="K363" s="169" t="str" cm="1">
        <f t="array" ref="K363">myRGB(H363,I363,J363)</f>
        <v/>
      </c>
    </row>
    <row r="364" spans="1:11" x14ac:dyDescent="0.2">
      <c r="A364">
        <v>455</v>
      </c>
      <c r="B364">
        <v>1089</v>
      </c>
      <c r="C364">
        <v>6</v>
      </c>
      <c r="D364" t="s">
        <v>7575</v>
      </c>
      <c r="E364">
        <v>1080</v>
      </c>
      <c r="F364" t="s">
        <v>5383</v>
      </c>
      <c r="G364" t="s">
        <v>5382</v>
      </c>
      <c r="H364">
        <v>125</v>
      </c>
      <c r="I364">
        <v>208</v>
      </c>
      <c r="J364">
        <v>72</v>
      </c>
      <c r="K364" s="478" t="str" cm="1">
        <f t="array" ref="K364">myRGB(H364,I364,J364)</f>
        <v/>
      </c>
    </row>
    <row r="365" spans="1:11" x14ac:dyDescent="0.2">
      <c r="A365">
        <v>454</v>
      </c>
      <c r="B365">
        <v>695</v>
      </c>
      <c r="C365">
        <v>5</v>
      </c>
      <c r="D365" t="s">
        <v>7574</v>
      </c>
      <c r="E365">
        <v>1089</v>
      </c>
      <c r="F365" t="s">
        <v>5381</v>
      </c>
      <c r="G365" t="s">
        <v>5380</v>
      </c>
      <c r="H365">
        <v>125</v>
      </c>
      <c r="I365">
        <v>205</v>
      </c>
      <c r="J365">
        <v>75</v>
      </c>
      <c r="K365" s="295" t="str" cm="1">
        <f t="array" ref="K365">myRGB(H365,I365,J365)</f>
        <v/>
      </c>
    </row>
    <row r="366" spans="1:11" x14ac:dyDescent="0.2">
      <c r="A366">
        <v>4</v>
      </c>
      <c r="B366">
        <v>688</v>
      </c>
      <c r="C366">
        <v>4</v>
      </c>
      <c r="D366" t="s">
        <v>7250</v>
      </c>
      <c r="E366">
        <v>695</v>
      </c>
      <c r="F366" t="s">
        <v>4598</v>
      </c>
      <c r="G366" t="s">
        <v>4597</v>
      </c>
      <c r="H366">
        <v>112</v>
      </c>
      <c r="I366">
        <v>255</v>
      </c>
      <c r="J366">
        <v>112</v>
      </c>
      <c r="K366" s="491" t="str" cm="1">
        <f t="array" ref="K366">myRGB(H366,I366,J366)</f>
        <v/>
      </c>
    </row>
    <row r="367" spans="1:11" x14ac:dyDescent="0.2">
      <c r="A367">
        <v>3</v>
      </c>
      <c r="B367">
        <v>567</v>
      </c>
      <c r="C367">
        <v>3</v>
      </c>
      <c r="D367" t="s">
        <v>7249</v>
      </c>
      <c r="E367">
        <v>688</v>
      </c>
      <c r="F367" t="s">
        <v>4596</v>
      </c>
      <c r="G367" t="s">
        <v>4595</v>
      </c>
      <c r="H367">
        <v>176</v>
      </c>
      <c r="I367">
        <v>255</v>
      </c>
      <c r="J367">
        <v>184</v>
      </c>
      <c r="K367" s="170" t="str" cm="1">
        <f t="array" ref="K367">myRGB(H367,I367,J367)</f>
        <v/>
      </c>
    </row>
    <row r="368" spans="1:11" x14ac:dyDescent="0.2">
      <c r="A368">
        <v>613</v>
      </c>
      <c r="B368">
        <v>835</v>
      </c>
      <c r="C368">
        <v>6</v>
      </c>
      <c r="D368" t="s">
        <v>7648</v>
      </c>
      <c r="E368">
        <v>342</v>
      </c>
      <c r="F368" t="s">
        <v>5689</v>
      </c>
      <c r="G368" t="s">
        <v>5688</v>
      </c>
      <c r="H368">
        <v>162</v>
      </c>
      <c r="I368">
        <v>177</v>
      </c>
      <c r="J368">
        <v>215</v>
      </c>
      <c r="K368" s="638" t="str" cm="1">
        <f t="array" ref="K368">myRGB(H368,I368,J368)</f>
        <v/>
      </c>
    </row>
    <row r="369" spans="1:11" x14ac:dyDescent="0.2">
      <c r="A369">
        <v>614</v>
      </c>
      <c r="B369">
        <v>835</v>
      </c>
      <c r="C369">
        <v>6</v>
      </c>
      <c r="D369" t="s">
        <v>7649</v>
      </c>
      <c r="E369">
        <v>298</v>
      </c>
      <c r="F369" t="s">
        <v>5691</v>
      </c>
      <c r="G369" t="s">
        <v>5690</v>
      </c>
      <c r="H369">
        <v>162</v>
      </c>
      <c r="I369">
        <v>177</v>
      </c>
      <c r="J369">
        <v>216</v>
      </c>
      <c r="K369" s="296" t="str" cm="1">
        <f t="array" ref="K369">myRGB(H369,I369,J369)</f>
        <v/>
      </c>
    </row>
    <row r="370" spans="1:11" x14ac:dyDescent="0.2">
      <c r="A370">
        <v>612</v>
      </c>
      <c r="B370">
        <v>803</v>
      </c>
      <c r="C370">
        <v>5</v>
      </c>
      <c r="D370" t="s">
        <v>7647</v>
      </c>
      <c r="E370">
        <v>835</v>
      </c>
      <c r="F370" t="s">
        <v>5687</v>
      </c>
      <c r="G370" t="s">
        <v>5686</v>
      </c>
      <c r="H370">
        <v>162</v>
      </c>
      <c r="I370">
        <v>176</v>
      </c>
      <c r="J370">
        <v>216</v>
      </c>
      <c r="K370" s="563" t="str" cm="1">
        <f t="array" ref="K370">myRGB(H370,I370,J370)</f>
        <v/>
      </c>
    </row>
    <row r="371" spans="1:11" x14ac:dyDescent="0.2">
      <c r="A371">
        <v>618</v>
      </c>
      <c r="B371">
        <v>904</v>
      </c>
      <c r="C371">
        <v>7</v>
      </c>
      <c r="D371" t="s">
        <v>7653</v>
      </c>
      <c r="E371">
        <v>596</v>
      </c>
      <c r="F371" t="s">
        <v>5699</v>
      </c>
      <c r="G371" t="s">
        <v>5698</v>
      </c>
      <c r="H371">
        <v>150</v>
      </c>
      <c r="I371">
        <v>166</v>
      </c>
      <c r="J371">
        <v>211</v>
      </c>
      <c r="K371" s="378" t="str" cm="1">
        <f t="array" ref="K371">myRGB(H371,I371,J371)</f>
        <v/>
      </c>
    </row>
    <row r="372" spans="1:11" x14ac:dyDescent="0.2">
      <c r="A372">
        <v>617</v>
      </c>
      <c r="B372">
        <v>904</v>
      </c>
      <c r="C372">
        <v>7</v>
      </c>
      <c r="D372" t="s">
        <v>7652</v>
      </c>
      <c r="E372">
        <v>564</v>
      </c>
      <c r="F372" t="s">
        <v>5697</v>
      </c>
      <c r="G372" t="s">
        <v>5696</v>
      </c>
      <c r="H372">
        <v>150</v>
      </c>
      <c r="I372">
        <v>167</v>
      </c>
      <c r="J372">
        <v>211</v>
      </c>
      <c r="K372" s="391" t="str" cm="1">
        <f t="array" ref="K372">myRGB(H372,I372,J372)</f>
        <v/>
      </c>
    </row>
    <row r="373" spans="1:11" x14ac:dyDescent="0.2">
      <c r="A373">
        <v>616</v>
      </c>
      <c r="B373">
        <v>826</v>
      </c>
      <c r="C373">
        <v>6</v>
      </c>
      <c r="D373" t="s">
        <v>7651</v>
      </c>
      <c r="E373">
        <v>904</v>
      </c>
      <c r="F373" t="s">
        <v>5695</v>
      </c>
      <c r="G373" t="s">
        <v>5694</v>
      </c>
      <c r="H373">
        <v>150</v>
      </c>
      <c r="I373">
        <v>166</v>
      </c>
      <c r="J373">
        <v>210</v>
      </c>
      <c r="K373" s="297" t="str" cm="1">
        <f t="array" ref="K373">myRGB(H373,I373,J373)</f>
        <v/>
      </c>
    </row>
    <row r="374" spans="1:11" x14ac:dyDescent="0.2">
      <c r="A374">
        <v>619</v>
      </c>
      <c r="B374">
        <v>826</v>
      </c>
      <c r="C374">
        <v>6</v>
      </c>
      <c r="D374" t="s">
        <v>7654</v>
      </c>
      <c r="E374">
        <v>581</v>
      </c>
      <c r="F374" t="s">
        <v>5701</v>
      </c>
      <c r="G374" t="s">
        <v>5700</v>
      </c>
      <c r="H374">
        <v>150</v>
      </c>
      <c r="I374">
        <v>167</v>
      </c>
      <c r="J374">
        <v>210</v>
      </c>
      <c r="K374" s="438" t="str" cm="1">
        <f t="array" ref="K374">myRGB(H374,I374,J374)</f>
        <v/>
      </c>
    </row>
    <row r="375" spans="1:11" x14ac:dyDescent="0.2">
      <c r="A375">
        <v>615</v>
      </c>
      <c r="B375">
        <v>803</v>
      </c>
      <c r="C375">
        <v>5</v>
      </c>
      <c r="D375" t="s">
        <v>7650</v>
      </c>
      <c r="E375">
        <v>826</v>
      </c>
      <c r="F375" t="s">
        <v>5693</v>
      </c>
      <c r="G375" t="s">
        <v>5692</v>
      </c>
      <c r="H375">
        <v>149</v>
      </c>
      <c r="I375">
        <v>167</v>
      </c>
      <c r="J375">
        <v>211</v>
      </c>
      <c r="K375" s="454" t="str" cm="1">
        <f t="array" ref="K375">myRGB(H375,I375,J375)</f>
        <v/>
      </c>
    </row>
    <row r="376" spans="1:11" x14ac:dyDescent="0.2">
      <c r="A376">
        <v>611</v>
      </c>
      <c r="B376">
        <v>818</v>
      </c>
      <c r="C376">
        <v>6</v>
      </c>
      <c r="D376" t="s">
        <v>7646</v>
      </c>
      <c r="E376">
        <v>1031</v>
      </c>
      <c r="F376" t="s">
        <v>5685</v>
      </c>
      <c r="G376" t="s">
        <v>5684</v>
      </c>
      <c r="H376">
        <v>132</v>
      </c>
      <c r="I376">
        <v>153</v>
      </c>
      <c r="J376">
        <v>204</v>
      </c>
      <c r="K376" s="479" t="str" cm="1">
        <f t="array" ref="K376">myRGB(H376,I376,J376)</f>
        <v/>
      </c>
    </row>
    <row r="377" spans="1:11" x14ac:dyDescent="0.2">
      <c r="A377">
        <v>610</v>
      </c>
      <c r="B377">
        <v>818</v>
      </c>
      <c r="C377">
        <v>6</v>
      </c>
      <c r="D377" t="s">
        <v>7645</v>
      </c>
      <c r="E377">
        <v>1022</v>
      </c>
      <c r="F377" t="s">
        <v>5683</v>
      </c>
      <c r="G377" t="s">
        <v>5682</v>
      </c>
      <c r="H377">
        <v>133</v>
      </c>
      <c r="I377">
        <v>152</v>
      </c>
      <c r="J377">
        <v>204</v>
      </c>
      <c r="K377" s="298" t="str" cm="1">
        <f t="array" ref="K377">myRGB(H377,I377,J377)</f>
        <v/>
      </c>
    </row>
    <row r="378" spans="1:11" x14ac:dyDescent="0.2">
      <c r="A378">
        <v>609</v>
      </c>
      <c r="B378">
        <v>803</v>
      </c>
      <c r="C378">
        <v>5</v>
      </c>
      <c r="D378" t="s">
        <v>7644</v>
      </c>
      <c r="E378">
        <v>818</v>
      </c>
      <c r="F378" t="s">
        <v>5681</v>
      </c>
      <c r="G378" t="s">
        <v>5680</v>
      </c>
      <c r="H378">
        <v>133</v>
      </c>
      <c r="I378">
        <v>153</v>
      </c>
      <c r="J378">
        <v>203</v>
      </c>
      <c r="K378" s="492" t="str" cm="1">
        <f t="array" ref="K378">myRGB(H378,I378,J378)</f>
        <v/>
      </c>
    </row>
    <row r="379" spans="1:11" x14ac:dyDescent="0.2">
      <c r="A379">
        <v>621</v>
      </c>
      <c r="B379">
        <v>809</v>
      </c>
      <c r="C379">
        <v>6</v>
      </c>
      <c r="D379" t="s">
        <v>7656</v>
      </c>
      <c r="E379">
        <v>351</v>
      </c>
      <c r="F379" t="s">
        <v>5705</v>
      </c>
      <c r="G379" t="s">
        <v>5704</v>
      </c>
      <c r="H379">
        <v>179</v>
      </c>
      <c r="I379">
        <v>192</v>
      </c>
      <c r="J379">
        <v>222</v>
      </c>
      <c r="K379" s="689" t="str" cm="1">
        <f t="array" ref="K379">myRGB(H379,I379,J379)</f>
        <v/>
      </c>
    </row>
    <row r="380" spans="1:11" x14ac:dyDescent="0.2">
      <c r="A380">
        <v>638</v>
      </c>
      <c r="B380">
        <v>809</v>
      </c>
      <c r="C380">
        <v>6</v>
      </c>
      <c r="D380" t="s">
        <v>7657</v>
      </c>
      <c r="E380">
        <v>287</v>
      </c>
      <c r="F380" t="s">
        <v>5739</v>
      </c>
      <c r="G380" t="s">
        <v>5738</v>
      </c>
      <c r="H380">
        <v>179</v>
      </c>
      <c r="I380">
        <v>192</v>
      </c>
      <c r="J380">
        <v>223</v>
      </c>
      <c r="K380" s="745" t="str" cm="1">
        <f t="array" ref="K380">myRGB(H380,I380,J380)</f>
        <v/>
      </c>
    </row>
    <row r="381" spans="1:11" x14ac:dyDescent="0.2">
      <c r="A381">
        <v>620</v>
      </c>
      <c r="B381">
        <v>803</v>
      </c>
      <c r="C381">
        <v>5</v>
      </c>
      <c r="D381" t="s">
        <v>7655</v>
      </c>
      <c r="E381">
        <v>809</v>
      </c>
      <c r="F381" t="s">
        <v>5703</v>
      </c>
      <c r="G381" t="s">
        <v>5702</v>
      </c>
      <c r="H381">
        <v>177</v>
      </c>
      <c r="I381">
        <v>191</v>
      </c>
      <c r="J381">
        <v>223</v>
      </c>
      <c r="K381" s="299" t="str" cm="1">
        <f t="array" ref="K381">myRGB(H381,I381,J381)</f>
        <v/>
      </c>
    </row>
    <row r="382" spans="1:11" x14ac:dyDescent="0.2">
      <c r="A382">
        <v>608</v>
      </c>
      <c r="B382">
        <v>623</v>
      </c>
      <c r="C382">
        <v>4</v>
      </c>
      <c r="D382" t="s">
        <v>7643</v>
      </c>
      <c r="E382">
        <v>803</v>
      </c>
      <c r="F382" t="s">
        <v>5679</v>
      </c>
      <c r="G382" t="s">
        <v>5678</v>
      </c>
      <c r="H382">
        <v>133</v>
      </c>
      <c r="I382">
        <v>153</v>
      </c>
      <c r="J382">
        <v>204</v>
      </c>
      <c r="K382" s="392" t="str" cm="1">
        <f t="array" ref="K382">myRGB(H382,I382,J382)</f>
        <v/>
      </c>
    </row>
    <row r="383" spans="1:11" x14ac:dyDescent="0.2">
      <c r="A383">
        <v>576</v>
      </c>
      <c r="B383">
        <v>493</v>
      </c>
      <c r="C383">
        <v>6</v>
      </c>
      <c r="D383" t="s">
        <v>7625</v>
      </c>
      <c r="E383">
        <v>998</v>
      </c>
      <c r="F383" t="s">
        <v>5615</v>
      </c>
      <c r="G383" t="s">
        <v>5614</v>
      </c>
      <c r="H383">
        <v>126</v>
      </c>
      <c r="I383">
        <v>205</v>
      </c>
      <c r="J383">
        <v>248</v>
      </c>
      <c r="K383" s="439" t="str" cm="1">
        <f t="array" ref="K383">myRGB(H383,I383,J383)</f>
        <v/>
      </c>
    </row>
    <row r="384" spans="1:11" x14ac:dyDescent="0.2">
      <c r="A384">
        <v>577</v>
      </c>
      <c r="B384">
        <v>493</v>
      </c>
      <c r="C384">
        <v>6</v>
      </c>
      <c r="D384" t="s">
        <v>7626</v>
      </c>
      <c r="E384">
        <v>754</v>
      </c>
      <c r="F384" t="s">
        <v>5617</v>
      </c>
      <c r="G384" t="s">
        <v>5616</v>
      </c>
      <c r="H384">
        <v>127</v>
      </c>
      <c r="I384">
        <v>204</v>
      </c>
      <c r="J384">
        <v>247</v>
      </c>
      <c r="K384" s="455" t="str" cm="1">
        <f t="array" ref="K384">myRGB(H384,I384,J384)</f>
        <v/>
      </c>
    </row>
    <row r="385" spans="1:11" x14ac:dyDescent="0.2">
      <c r="A385">
        <v>575</v>
      </c>
      <c r="B385">
        <v>493</v>
      </c>
      <c r="C385">
        <v>6</v>
      </c>
      <c r="D385" t="s">
        <v>7624</v>
      </c>
      <c r="E385">
        <v>56</v>
      </c>
      <c r="F385" t="s">
        <v>5613</v>
      </c>
      <c r="G385" t="s">
        <v>5612</v>
      </c>
      <c r="H385">
        <v>128</v>
      </c>
      <c r="I385">
        <v>205</v>
      </c>
      <c r="J385">
        <v>248</v>
      </c>
      <c r="K385" s="300" t="str" cm="1">
        <f t="array" ref="K385">myRGB(H385,I385,J385)</f>
        <v/>
      </c>
    </row>
    <row r="386" spans="1:11" x14ac:dyDescent="0.2">
      <c r="A386">
        <v>574</v>
      </c>
      <c r="B386">
        <v>477</v>
      </c>
      <c r="C386">
        <v>5</v>
      </c>
      <c r="D386" t="s">
        <v>7623</v>
      </c>
      <c r="E386">
        <v>493</v>
      </c>
      <c r="F386" t="s">
        <v>5611</v>
      </c>
      <c r="G386" t="s">
        <v>5610</v>
      </c>
      <c r="H386">
        <v>127</v>
      </c>
      <c r="I386">
        <v>205</v>
      </c>
      <c r="J386">
        <v>247</v>
      </c>
      <c r="K386" s="493" t="str" cm="1">
        <f t="array" ref="K386">myRGB(H386,I386,J386)</f>
        <v/>
      </c>
    </row>
    <row r="387" spans="1:11" x14ac:dyDescent="0.2">
      <c r="A387">
        <v>573</v>
      </c>
      <c r="B387">
        <v>485</v>
      </c>
      <c r="C387">
        <v>6</v>
      </c>
      <c r="D387" t="s">
        <v>7622</v>
      </c>
      <c r="E387">
        <v>672</v>
      </c>
      <c r="F387" t="s">
        <v>5609</v>
      </c>
      <c r="G387" t="s">
        <v>5608</v>
      </c>
      <c r="H387">
        <v>152</v>
      </c>
      <c r="I387">
        <v>213</v>
      </c>
      <c r="J387">
        <v>249</v>
      </c>
      <c r="K387" s="803" t="str" cm="1">
        <f t="array" ref="K387">myRGB(H387,I387,J387)</f>
        <v/>
      </c>
    </row>
    <row r="388" spans="1:11" x14ac:dyDescent="0.2">
      <c r="A388">
        <v>572</v>
      </c>
      <c r="B388">
        <v>477</v>
      </c>
      <c r="C388">
        <v>5</v>
      </c>
      <c r="D388" t="s">
        <v>7621</v>
      </c>
      <c r="E388">
        <v>485</v>
      </c>
      <c r="F388" t="s">
        <v>5607</v>
      </c>
      <c r="G388" t="s">
        <v>5606</v>
      </c>
      <c r="H388">
        <v>152</v>
      </c>
      <c r="I388">
        <v>214</v>
      </c>
      <c r="J388">
        <v>249</v>
      </c>
      <c r="K388" s="833" t="str" cm="1">
        <f t="array" ref="K388">myRGB(H388,I388,J388)</f>
        <v/>
      </c>
    </row>
    <row r="389" spans="1:11" x14ac:dyDescent="0.2">
      <c r="A389">
        <v>598</v>
      </c>
      <c r="B389">
        <v>536</v>
      </c>
      <c r="C389">
        <v>7</v>
      </c>
      <c r="D389" t="s">
        <v>7640</v>
      </c>
      <c r="E389">
        <v>559</v>
      </c>
      <c r="F389" t="s">
        <v>5659</v>
      </c>
      <c r="G389" t="s">
        <v>5658</v>
      </c>
      <c r="H389">
        <v>127</v>
      </c>
      <c r="I389">
        <v>192</v>
      </c>
      <c r="J389">
        <v>224</v>
      </c>
      <c r="K389" s="301" t="str" cm="1">
        <f t="array" ref="K389">myRGB(H389,I389,J389)</f>
        <v/>
      </c>
    </row>
    <row r="390" spans="1:11" x14ac:dyDescent="0.2">
      <c r="A390">
        <v>597</v>
      </c>
      <c r="B390">
        <v>536</v>
      </c>
      <c r="C390">
        <v>7</v>
      </c>
      <c r="D390" t="s">
        <v>7639</v>
      </c>
      <c r="E390">
        <v>551</v>
      </c>
      <c r="F390" t="s">
        <v>5657</v>
      </c>
      <c r="G390" t="s">
        <v>5656</v>
      </c>
      <c r="H390">
        <v>128</v>
      </c>
      <c r="I390">
        <v>190</v>
      </c>
      <c r="J390">
        <v>225</v>
      </c>
      <c r="K390" s="393" t="str" cm="1">
        <f t="array" ref="K390">myRGB(H390,I390,J390)</f>
        <v/>
      </c>
    </row>
    <row r="391" spans="1:11" x14ac:dyDescent="0.2">
      <c r="A391">
        <v>596</v>
      </c>
      <c r="B391">
        <v>536</v>
      </c>
      <c r="C391">
        <v>7</v>
      </c>
      <c r="D391" t="s">
        <v>7638</v>
      </c>
      <c r="E391">
        <v>544</v>
      </c>
      <c r="F391" t="s">
        <v>5655</v>
      </c>
      <c r="G391" t="s">
        <v>5654</v>
      </c>
      <c r="H391">
        <v>128</v>
      </c>
      <c r="I391">
        <v>191</v>
      </c>
      <c r="J391">
        <v>224</v>
      </c>
      <c r="K391" s="440" t="str" cm="1">
        <f t="array" ref="K391">myRGB(H391,I391,J391)</f>
        <v/>
      </c>
    </row>
    <row r="392" spans="1:11" x14ac:dyDescent="0.2">
      <c r="A392">
        <v>595</v>
      </c>
      <c r="B392">
        <v>278</v>
      </c>
      <c r="C392">
        <v>6</v>
      </c>
      <c r="D392" t="s">
        <v>7637</v>
      </c>
      <c r="E392">
        <v>536</v>
      </c>
      <c r="F392" t="s">
        <v>5653</v>
      </c>
      <c r="G392" t="s">
        <v>5652</v>
      </c>
      <c r="H392">
        <v>126</v>
      </c>
      <c r="I392">
        <v>192</v>
      </c>
      <c r="J392">
        <v>226</v>
      </c>
      <c r="K392" s="456" t="str" cm="1">
        <f t="array" ref="K392">myRGB(H392,I392,J392)</f>
        <v/>
      </c>
    </row>
    <row r="393" spans="1:11" x14ac:dyDescent="0.2">
      <c r="A393">
        <v>600</v>
      </c>
      <c r="B393">
        <v>278</v>
      </c>
      <c r="C393">
        <v>6</v>
      </c>
      <c r="D393" t="s">
        <v>7642</v>
      </c>
      <c r="E393">
        <v>403</v>
      </c>
      <c r="F393" t="s">
        <v>5663</v>
      </c>
      <c r="G393" t="s">
        <v>5662</v>
      </c>
      <c r="H393">
        <v>128</v>
      </c>
      <c r="I393">
        <v>191</v>
      </c>
      <c r="J393">
        <v>225</v>
      </c>
      <c r="K393" s="302" t="str" cm="1">
        <f t="array" ref="K393">myRGB(H393,I393,J393)</f>
        <v/>
      </c>
    </row>
    <row r="394" spans="1:11" x14ac:dyDescent="0.2">
      <c r="A394">
        <v>594</v>
      </c>
      <c r="B394">
        <v>278</v>
      </c>
      <c r="C394">
        <v>6</v>
      </c>
      <c r="D394" t="s">
        <v>7636</v>
      </c>
      <c r="E394">
        <v>292</v>
      </c>
      <c r="F394" t="s">
        <v>5651</v>
      </c>
      <c r="G394" t="s">
        <v>5650</v>
      </c>
      <c r="H394">
        <v>128</v>
      </c>
      <c r="I394">
        <v>191</v>
      </c>
      <c r="J394">
        <v>226</v>
      </c>
      <c r="K394" s="494" t="str" cm="1">
        <f t="array" ref="K394">myRGB(H394,I394,J394)</f>
        <v/>
      </c>
    </row>
    <row r="395" spans="1:11" x14ac:dyDescent="0.2">
      <c r="A395">
        <v>593</v>
      </c>
      <c r="B395">
        <v>278</v>
      </c>
      <c r="C395">
        <v>6</v>
      </c>
      <c r="D395" t="s">
        <v>7635</v>
      </c>
      <c r="E395">
        <v>23</v>
      </c>
      <c r="F395" t="s">
        <v>5649</v>
      </c>
      <c r="G395" t="s">
        <v>5648</v>
      </c>
      <c r="H395">
        <v>128</v>
      </c>
      <c r="I395">
        <v>192</v>
      </c>
      <c r="J395">
        <v>226</v>
      </c>
      <c r="K395" s="516" t="str" cm="1">
        <f t="array" ref="K395">myRGB(H395,I395,J395)</f>
        <v/>
      </c>
    </row>
    <row r="396" spans="1:11" x14ac:dyDescent="0.2">
      <c r="A396">
        <v>599</v>
      </c>
      <c r="B396">
        <v>278</v>
      </c>
      <c r="C396">
        <v>6</v>
      </c>
      <c r="D396" t="s">
        <v>7641</v>
      </c>
      <c r="E396">
        <v>1105</v>
      </c>
      <c r="F396" t="s">
        <v>5661</v>
      </c>
      <c r="G396" t="s">
        <v>5660</v>
      </c>
      <c r="H396">
        <v>128</v>
      </c>
      <c r="I396">
        <v>190</v>
      </c>
      <c r="J396">
        <v>226</v>
      </c>
      <c r="K396" s="580" t="str" cm="1">
        <f t="array" ref="K396">myRGB(H396,I396,J396)</f>
        <v/>
      </c>
    </row>
    <row r="397" spans="1:11" x14ac:dyDescent="0.2">
      <c r="A397">
        <v>592</v>
      </c>
      <c r="B397">
        <v>477</v>
      </c>
      <c r="C397">
        <v>5</v>
      </c>
      <c r="D397" t="s">
        <v>7634</v>
      </c>
      <c r="E397">
        <v>278</v>
      </c>
      <c r="F397" t="s">
        <v>5647</v>
      </c>
      <c r="G397" t="s">
        <v>5646</v>
      </c>
      <c r="H397">
        <v>128</v>
      </c>
      <c r="I397">
        <v>192</v>
      </c>
      <c r="J397">
        <v>225</v>
      </c>
      <c r="K397" s="303" t="str" cm="1">
        <f t="array" ref="K397">myRGB(H397,I397,J397)</f>
        <v/>
      </c>
    </row>
    <row r="398" spans="1:11" x14ac:dyDescent="0.2">
      <c r="A398">
        <v>591</v>
      </c>
      <c r="B398">
        <v>275</v>
      </c>
      <c r="C398">
        <v>6</v>
      </c>
      <c r="D398" t="s">
        <v>7633</v>
      </c>
      <c r="E398">
        <v>333</v>
      </c>
      <c r="F398" t="s">
        <v>5645</v>
      </c>
      <c r="G398" t="s">
        <v>5644</v>
      </c>
      <c r="H398">
        <v>143</v>
      </c>
      <c r="I398">
        <v>202</v>
      </c>
      <c r="J398">
        <v>237</v>
      </c>
      <c r="K398" s="394" t="str" cm="1">
        <f t="array" ref="K398">myRGB(H398,I398,J398)</f>
        <v/>
      </c>
    </row>
    <row r="399" spans="1:11" x14ac:dyDescent="0.2">
      <c r="A399">
        <v>590</v>
      </c>
      <c r="B399">
        <v>275</v>
      </c>
      <c r="C399">
        <v>6</v>
      </c>
      <c r="D399" t="s">
        <v>7632</v>
      </c>
      <c r="E399">
        <v>310</v>
      </c>
      <c r="F399" t="s">
        <v>5643</v>
      </c>
      <c r="G399" t="s">
        <v>5642</v>
      </c>
      <c r="H399">
        <v>143</v>
      </c>
      <c r="I399">
        <v>203</v>
      </c>
      <c r="J399">
        <v>236</v>
      </c>
      <c r="K399" s="441" t="str" cm="1">
        <f t="array" ref="K399">myRGB(H399,I399,J399)</f>
        <v/>
      </c>
    </row>
    <row r="400" spans="1:11" x14ac:dyDescent="0.2">
      <c r="A400">
        <v>589</v>
      </c>
      <c r="B400">
        <v>242</v>
      </c>
      <c r="C400">
        <v>7</v>
      </c>
      <c r="D400" t="s">
        <v>7631</v>
      </c>
      <c r="E400">
        <v>266</v>
      </c>
      <c r="F400" t="s">
        <v>5641</v>
      </c>
      <c r="G400" t="s">
        <v>5640</v>
      </c>
      <c r="H400">
        <v>143</v>
      </c>
      <c r="I400">
        <v>203</v>
      </c>
      <c r="J400">
        <v>237</v>
      </c>
      <c r="K400" s="457" t="str" cm="1">
        <f t="array" ref="K400">myRGB(H400,I400,J400)</f>
        <v/>
      </c>
    </row>
    <row r="401" spans="1:11" x14ac:dyDescent="0.2">
      <c r="A401">
        <v>588</v>
      </c>
      <c r="B401">
        <v>242</v>
      </c>
      <c r="C401">
        <v>7</v>
      </c>
      <c r="D401" t="s">
        <v>7630</v>
      </c>
      <c r="E401">
        <v>258</v>
      </c>
      <c r="F401" t="s">
        <v>5639</v>
      </c>
      <c r="G401" t="s">
        <v>5638</v>
      </c>
      <c r="H401">
        <v>144</v>
      </c>
      <c r="I401">
        <v>202</v>
      </c>
      <c r="J401">
        <v>237</v>
      </c>
      <c r="K401" s="304" t="str" cm="1">
        <f t="array" ref="K401">myRGB(H401,I401,J401)</f>
        <v/>
      </c>
    </row>
    <row r="402" spans="1:11" x14ac:dyDescent="0.2">
      <c r="A402">
        <v>587</v>
      </c>
      <c r="B402">
        <v>242</v>
      </c>
      <c r="C402">
        <v>7</v>
      </c>
      <c r="D402" t="s">
        <v>7629</v>
      </c>
      <c r="E402">
        <v>250</v>
      </c>
      <c r="F402" t="s">
        <v>5637</v>
      </c>
      <c r="G402" t="s">
        <v>5636</v>
      </c>
      <c r="H402">
        <v>144</v>
      </c>
      <c r="I402">
        <v>203</v>
      </c>
      <c r="J402">
        <v>236</v>
      </c>
      <c r="K402" s="495" t="str" cm="1">
        <f t="array" ref="K402">myRGB(H402,I402,J402)</f>
        <v/>
      </c>
    </row>
    <row r="403" spans="1:11" x14ac:dyDescent="0.2">
      <c r="A403">
        <v>586</v>
      </c>
      <c r="B403">
        <v>275</v>
      </c>
      <c r="C403">
        <v>6</v>
      </c>
      <c r="D403" t="s">
        <v>7628</v>
      </c>
      <c r="E403">
        <v>242</v>
      </c>
      <c r="F403" t="s">
        <v>5635</v>
      </c>
      <c r="G403" t="s">
        <v>5634</v>
      </c>
      <c r="H403">
        <v>144</v>
      </c>
      <c r="I403">
        <v>203</v>
      </c>
      <c r="J403">
        <v>237</v>
      </c>
      <c r="K403" s="639" t="str" cm="1">
        <f t="array" ref="K403">myRGB(H403,I403,J403)</f>
        <v/>
      </c>
    </row>
    <row r="404" spans="1:11" x14ac:dyDescent="0.2">
      <c r="A404">
        <v>585</v>
      </c>
      <c r="B404">
        <v>477</v>
      </c>
      <c r="C404">
        <v>5</v>
      </c>
      <c r="D404" t="s">
        <v>7627</v>
      </c>
      <c r="E404">
        <v>275</v>
      </c>
      <c r="F404" t="s">
        <v>5633</v>
      </c>
      <c r="G404" t="s">
        <v>5632</v>
      </c>
      <c r="H404">
        <v>144</v>
      </c>
      <c r="I404">
        <v>202</v>
      </c>
      <c r="J404">
        <v>236</v>
      </c>
      <c r="K404" s="669" t="str" cm="1">
        <f t="array" ref="K404">myRGB(H404,I404,J404)</f>
        <v/>
      </c>
    </row>
    <row r="405" spans="1:11" x14ac:dyDescent="0.2">
      <c r="A405">
        <v>571</v>
      </c>
      <c r="B405">
        <v>623</v>
      </c>
      <c r="C405">
        <v>4</v>
      </c>
      <c r="D405" t="s">
        <v>7620</v>
      </c>
      <c r="E405">
        <v>477</v>
      </c>
      <c r="F405" t="s">
        <v>5605</v>
      </c>
      <c r="G405" t="s">
        <v>5604</v>
      </c>
      <c r="H405">
        <v>151</v>
      </c>
      <c r="I405">
        <v>214</v>
      </c>
      <c r="J405">
        <v>249</v>
      </c>
      <c r="K405" s="305" t="str" cm="1">
        <f t="array" ref="K405">myRGB(H405,I405,J405)</f>
        <v/>
      </c>
    </row>
    <row r="406" spans="1:11" x14ac:dyDescent="0.2">
      <c r="A406">
        <v>570</v>
      </c>
      <c r="B406">
        <v>567</v>
      </c>
      <c r="C406">
        <v>3</v>
      </c>
      <c r="D406" t="s">
        <v>7619</v>
      </c>
      <c r="E406">
        <v>623</v>
      </c>
      <c r="F406" t="s">
        <v>5603</v>
      </c>
      <c r="G406" t="s">
        <v>5602</v>
      </c>
      <c r="H406">
        <v>152</v>
      </c>
      <c r="I406">
        <v>214</v>
      </c>
      <c r="J406">
        <v>248</v>
      </c>
      <c r="K406" s="442" t="str" cm="1">
        <f t="array" ref="K406">myRGB(H406,I406,J406)</f>
        <v/>
      </c>
    </row>
    <row r="407" spans="1:11" x14ac:dyDescent="0.2">
      <c r="A407">
        <v>2</v>
      </c>
      <c r="B407">
        <v>8</v>
      </c>
      <c r="C407">
        <v>2</v>
      </c>
      <c r="D407" t="s">
        <v>7248</v>
      </c>
      <c r="E407">
        <v>567</v>
      </c>
      <c r="F407" t="s">
        <v>4594</v>
      </c>
      <c r="G407" t="s">
        <v>4593</v>
      </c>
      <c r="H407">
        <v>176</v>
      </c>
      <c r="I407">
        <v>240</v>
      </c>
      <c r="J407">
        <v>255</v>
      </c>
      <c r="K407" s="458" t="str" cm="1">
        <f t="array" ref="K407">myRGB(H407,I407,J407)</f>
        <v/>
      </c>
    </row>
    <row r="408" spans="1:11" x14ac:dyDescent="0.2">
      <c r="A408">
        <v>1059</v>
      </c>
      <c r="B408">
        <v>645</v>
      </c>
      <c r="C408">
        <v>5</v>
      </c>
      <c r="D408" t="s">
        <v>7956</v>
      </c>
      <c r="E408">
        <v>968</v>
      </c>
      <c r="F408" t="s">
        <v>6586</v>
      </c>
      <c r="G408" t="s">
        <v>6585</v>
      </c>
      <c r="H408">
        <v>253</v>
      </c>
      <c r="I408">
        <v>252</v>
      </c>
      <c r="J408">
        <v>143</v>
      </c>
      <c r="K408" s="480" t="str" cm="1">
        <f t="array" ref="K408">myRGB(H408,I408,J408)</f>
        <v/>
      </c>
    </row>
    <row r="409" spans="1:11" x14ac:dyDescent="0.2">
      <c r="A409">
        <v>1055</v>
      </c>
      <c r="B409">
        <v>645</v>
      </c>
      <c r="C409">
        <v>5</v>
      </c>
      <c r="D409" t="s">
        <v>7955</v>
      </c>
      <c r="E409">
        <v>957</v>
      </c>
      <c r="F409" t="s">
        <v>6578</v>
      </c>
      <c r="G409" t="s">
        <v>6577</v>
      </c>
      <c r="H409">
        <v>255</v>
      </c>
      <c r="I409">
        <v>250</v>
      </c>
      <c r="J409">
        <v>143</v>
      </c>
      <c r="K409" s="306" t="str" cm="1">
        <f t="array" ref="K409">myRGB(H409,I409,J409)</f>
        <v/>
      </c>
    </row>
    <row r="410" spans="1:11" x14ac:dyDescent="0.2">
      <c r="A410">
        <v>1051</v>
      </c>
      <c r="B410">
        <v>645</v>
      </c>
      <c r="C410">
        <v>5</v>
      </c>
      <c r="D410" t="s">
        <v>7954</v>
      </c>
      <c r="E410">
        <v>951</v>
      </c>
      <c r="F410" t="s">
        <v>6570</v>
      </c>
      <c r="G410" t="s">
        <v>6569</v>
      </c>
      <c r="H410">
        <v>251</v>
      </c>
      <c r="I410">
        <v>252</v>
      </c>
      <c r="J410">
        <v>145</v>
      </c>
      <c r="K410" s="746" t="str" cm="1">
        <f t="array" ref="K410">myRGB(H410,I410,J410)</f>
        <v/>
      </c>
    </row>
    <row r="411" spans="1:11" x14ac:dyDescent="0.2">
      <c r="A411">
        <v>1047</v>
      </c>
      <c r="B411">
        <v>645</v>
      </c>
      <c r="C411">
        <v>5</v>
      </c>
      <c r="D411" t="s">
        <v>7953</v>
      </c>
      <c r="E411">
        <v>944</v>
      </c>
      <c r="F411" t="s">
        <v>6562</v>
      </c>
      <c r="G411" t="s">
        <v>6561</v>
      </c>
      <c r="H411">
        <v>253</v>
      </c>
      <c r="I411">
        <v>251</v>
      </c>
      <c r="J411">
        <v>144</v>
      </c>
      <c r="K411" s="379" t="str" cm="1">
        <f t="array" ref="K411">myRGB(H411,I411,J411)</f>
        <v/>
      </c>
    </row>
    <row r="412" spans="1:11" x14ac:dyDescent="0.2">
      <c r="A412">
        <v>1043</v>
      </c>
      <c r="B412">
        <v>645</v>
      </c>
      <c r="C412">
        <v>5</v>
      </c>
      <c r="D412" t="s">
        <v>7952</v>
      </c>
      <c r="E412">
        <v>936</v>
      </c>
      <c r="F412" t="s">
        <v>6554</v>
      </c>
      <c r="G412" t="s">
        <v>6553</v>
      </c>
      <c r="H412">
        <v>254</v>
      </c>
      <c r="I412">
        <v>250</v>
      </c>
      <c r="J412">
        <v>144</v>
      </c>
      <c r="K412" s="395" t="str" cm="1">
        <f t="array" ref="K412">myRGB(H412,I412,J412)</f>
        <v/>
      </c>
    </row>
    <row r="413" spans="1:11" x14ac:dyDescent="0.2">
      <c r="A413">
        <v>1039</v>
      </c>
      <c r="B413">
        <v>928</v>
      </c>
      <c r="C413">
        <v>6</v>
      </c>
      <c r="D413" t="s">
        <v>7951</v>
      </c>
      <c r="E413">
        <v>1091</v>
      </c>
      <c r="F413" t="s">
        <v>6546</v>
      </c>
      <c r="G413" t="s">
        <v>6545</v>
      </c>
      <c r="H413">
        <v>252</v>
      </c>
      <c r="I413">
        <v>251</v>
      </c>
      <c r="J413">
        <v>144</v>
      </c>
      <c r="K413" s="307" t="str" cm="1">
        <f t="array" ref="K413">myRGB(H413,I413,J413)</f>
        <v/>
      </c>
    </row>
    <row r="414" spans="1:11" x14ac:dyDescent="0.2">
      <c r="A414">
        <v>1030</v>
      </c>
      <c r="B414">
        <v>645</v>
      </c>
      <c r="C414">
        <v>5</v>
      </c>
      <c r="D414" t="s">
        <v>7950</v>
      </c>
      <c r="E414">
        <v>928</v>
      </c>
      <c r="F414" t="s">
        <v>6528</v>
      </c>
      <c r="G414" t="s">
        <v>6527</v>
      </c>
      <c r="H414">
        <v>254</v>
      </c>
      <c r="I414">
        <v>251</v>
      </c>
      <c r="J414">
        <v>143</v>
      </c>
      <c r="K414" s="481" t="str" cm="1">
        <f t="array" ref="K414">myRGB(H414,I414,J414)</f>
        <v/>
      </c>
    </row>
    <row r="415" spans="1:11" x14ac:dyDescent="0.2">
      <c r="A415">
        <v>1026</v>
      </c>
      <c r="B415">
        <v>920</v>
      </c>
      <c r="C415">
        <v>6</v>
      </c>
      <c r="D415" t="s">
        <v>7949</v>
      </c>
      <c r="E415">
        <v>984</v>
      </c>
      <c r="F415" t="s">
        <v>6520</v>
      </c>
      <c r="G415" t="s">
        <v>6519</v>
      </c>
      <c r="H415">
        <v>255</v>
      </c>
      <c r="I415">
        <v>252</v>
      </c>
      <c r="J415">
        <v>142</v>
      </c>
      <c r="K415" s="496" t="str" cm="1">
        <f t="array" ref="K415">myRGB(H415,I415,J415)</f>
        <v/>
      </c>
    </row>
    <row r="416" spans="1:11" x14ac:dyDescent="0.2">
      <c r="A416">
        <v>1022</v>
      </c>
      <c r="B416">
        <v>920</v>
      </c>
      <c r="C416">
        <v>6</v>
      </c>
      <c r="D416" t="s">
        <v>7948</v>
      </c>
      <c r="E416">
        <v>976</v>
      </c>
      <c r="F416" t="s">
        <v>6512</v>
      </c>
      <c r="G416" t="s">
        <v>6511</v>
      </c>
      <c r="H416">
        <v>253</v>
      </c>
      <c r="I416">
        <v>250</v>
      </c>
      <c r="J416">
        <v>145</v>
      </c>
      <c r="K416" s="804" t="str" cm="1">
        <f t="array" ref="K416">myRGB(H416,I416,J416)</f>
        <v/>
      </c>
    </row>
    <row r="417" spans="1:11" x14ac:dyDescent="0.2">
      <c r="A417">
        <v>1021</v>
      </c>
      <c r="B417">
        <v>645</v>
      </c>
      <c r="C417">
        <v>5</v>
      </c>
      <c r="D417" t="s">
        <v>7947</v>
      </c>
      <c r="E417">
        <v>920</v>
      </c>
      <c r="F417" t="s">
        <v>6510</v>
      </c>
      <c r="G417" t="s">
        <v>6509</v>
      </c>
      <c r="H417">
        <v>253</v>
      </c>
      <c r="I417">
        <v>251</v>
      </c>
      <c r="J417">
        <v>145</v>
      </c>
      <c r="K417" s="308" t="str" cm="1">
        <f t="array" ref="K417">myRGB(H417,I417,J417)</f>
        <v/>
      </c>
    </row>
    <row r="418" spans="1:11" x14ac:dyDescent="0.2">
      <c r="A418">
        <v>1017</v>
      </c>
      <c r="B418">
        <v>645</v>
      </c>
      <c r="C418">
        <v>5</v>
      </c>
      <c r="D418" t="s">
        <v>7946</v>
      </c>
      <c r="E418">
        <v>912</v>
      </c>
      <c r="F418" t="s">
        <v>6502</v>
      </c>
      <c r="G418" t="s">
        <v>6501</v>
      </c>
      <c r="H418">
        <v>254</v>
      </c>
      <c r="I418">
        <v>250</v>
      </c>
      <c r="J418">
        <v>145</v>
      </c>
      <c r="K418" s="396" t="str" cm="1">
        <f t="array" ref="K418">myRGB(H418,I418,J418)</f>
        <v/>
      </c>
    </row>
    <row r="419" spans="1:11" x14ac:dyDescent="0.2">
      <c r="A419">
        <v>1016</v>
      </c>
      <c r="B419">
        <v>528</v>
      </c>
      <c r="C419">
        <v>4</v>
      </c>
      <c r="D419" t="s">
        <v>7945</v>
      </c>
      <c r="E419">
        <v>645</v>
      </c>
      <c r="F419" t="s">
        <v>6500</v>
      </c>
      <c r="G419" t="s">
        <v>6499</v>
      </c>
      <c r="H419">
        <v>255</v>
      </c>
      <c r="I419">
        <v>250</v>
      </c>
      <c r="J419">
        <v>145</v>
      </c>
      <c r="K419" s="443" t="str" cm="1">
        <f t="array" ref="K419">myRGB(H419,I419,J419)</f>
        <v/>
      </c>
    </row>
    <row r="420" spans="1:11" x14ac:dyDescent="0.2">
      <c r="A420">
        <v>1089</v>
      </c>
      <c r="B420">
        <v>1073</v>
      </c>
      <c r="C420">
        <v>5</v>
      </c>
      <c r="D420" t="s">
        <v>7965</v>
      </c>
      <c r="E420">
        <v>1049</v>
      </c>
      <c r="F420" t="s">
        <v>6646</v>
      </c>
      <c r="G420" t="s">
        <v>6645</v>
      </c>
      <c r="H420">
        <v>254</v>
      </c>
      <c r="I420">
        <v>249</v>
      </c>
      <c r="J420">
        <v>145</v>
      </c>
      <c r="K420" s="459" t="str" cm="1">
        <f t="array" ref="K420">myRGB(H420,I420,J420)</f>
        <v/>
      </c>
    </row>
    <row r="421" spans="1:11" x14ac:dyDescent="0.2">
      <c r="A421">
        <v>1085</v>
      </c>
      <c r="B421">
        <v>1073</v>
      </c>
      <c r="C421">
        <v>5</v>
      </c>
      <c r="D421" t="s">
        <v>7964</v>
      </c>
      <c r="E421">
        <v>1041</v>
      </c>
      <c r="F421" t="s">
        <v>6638</v>
      </c>
      <c r="G421" t="s">
        <v>6637</v>
      </c>
      <c r="H421">
        <v>255</v>
      </c>
      <c r="I421">
        <v>252</v>
      </c>
      <c r="J421">
        <v>141</v>
      </c>
      <c r="K421" s="497" t="str" cm="1">
        <f t="array" ref="K421">myRGB(H421,I421,J421)</f>
        <v/>
      </c>
    </row>
    <row r="422" spans="1:11" x14ac:dyDescent="0.2">
      <c r="A422">
        <v>1081</v>
      </c>
      <c r="B422">
        <v>1073</v>
      </c>
      <c r="C422">
        <v>5</v>
      </c>
      <c r="D422" t="s">
        <v>7963</v>
      </c>
      <c r="E422">
        <v>1033</v>
      </c>
      <c r="F422" t="s">
        <v>6630</v>
      </c>
      <c r="G422" t="s">
        <v>6629</v>
      </c>
      <c r="H422">
        <v>255</v>
      </c>
      <c r="I422">
        <v>249</v>
      </c>
      <c r="J422">
        <v>144</v>
      </c>
      <c r="K422" s="581" t="str" cm="1">
        <f t="array" ref="K422">myRGB(H422,I422,J422)</f>
        <v/>
      </c>
    </row>
    <row r="423" spans="1:11" x14ac:dyDescent="0.2">
      <c r="A423">
        <v>1077</v>
      </c>
      <c r="B423">
        <v>1073</v>
      </c>
      <c r="C423">
        <v>5</v>
      </c>
      <c r="D423" t="s">
        <v>7962</v>
      </c>
      <c r="E423">
        <v>1025</v>
      </c>
      <c r="F423" t="s">
        <v>6622</v>
      </c>
      <c r="G423" t="s">
        <v>6621</v>
      </c>
      <c r="H423">
        <v>255</v>
      </c>
      <c r="I423">
        <v>251</v>
      </c>
      <c r="J423">
        <v>142</v>
      </c>
      <c r="K423" s="380" t="str" cm="1">
        <f t="array" ref="K423">myRGB(H423,I423,J423)</f>
        <v/>
      </c>
    </row>
    <row r="424" spans="1:11" x14ac:dyDescent="0.2">
      <c r="A424">
        <v>1073</v>
      </c>
      <c r="B424">
        <v>1017</v>
      </c>
      <c r="C424">
        <v>6</v>
      </c>
      <c r="D424" t="s">
        <v>7961</v>
      </c>
      <c r="E424">
        <v>1064</v>
      </c>
      <c r="F424" t="s">
        <v>6614</v>
      </c>
      <c r="G424" t="s">
        <v>6613</v>
      </c>
      <c r="H424">
        <v>252</v>
      </c>
      <c r="I424">
        <v>250</v>
      </c>
      <c r="J424">
        <v>145</v>
      </c>
      <c r="K424" s="397" t="str" cm="1">
        <f t="array" ref="K424">myRGB(H424,I424,J424)</f>
        <v/>
      </c>
    </row>
    <row r="425" spans="1:11" x14ac:dyDescent="0.2">
      <c r="A425">
        <v>1069</v>
      </c>
      <c r="B425">
        <v>1017</v>
      </c>
      <c r="C425">
        <v>6</v>
      </c>
      <c r="D425" t="s">
        <v>7960</v>
      </c>
      <c r="E425">
        <v>1056</v>
      </c>
      <c r="F425" t="s">
        <v>6606</v>
      </c>
      <c r="G425" t="s">
        <v>6605</v>
      </c>
      <c r="H425">
        <v>252</v>
      </c>
      <c r="I425">
        <v>252</v>
      </c>
      <c r="J425">
        <v>144</v>
      </c>
      <c r="K425" s="460" t="str" cm="1">
        <f t="array" ref="K425">myRGB(H425,I425,J425)</f>
        <v/>
      </c>
    </row>
    <row r="426" spans="1:11" x14ac:dyDescent="0.2">
      <c r="A426">
        <v>1068</v>
      </c>
      <c r="B426">
        <v>1073</v>
      </c>
      <c r="C426">
        <v>5</v>
      </c>
      <c r="D426" t="s">
        <v>7959</v>
      </c>
      <c r="E426">
        <v>1017</v>
      </c>
      <c r="F426" t="s">
        <v>6604</v>
      </c>
      <c r="G426" t="s">
        <v>6603</v>
      </c>
      <c r="H426">
        <v>252</v>
      </c>
      <c r="I426">
        <v>252</v>
      </c>
      <c r="J426">
        <v>145</v>
      </c>
      <c r="K426" s="498" t="str" cm="1">
        <f t="array" ref="K426">myRGB(H426,I426,J426)</f>
        <v/>
      </c>
    </row>
    <row r="427" spans="1:11" x14ac:dyDescent="0.2">
      <c r="A427">
        <v>1064</v>
      </c>
      <c r="B427">
        <v>1073</v>
      </c>
      <c r="C427">
        <v>5</v>
      </c>
      <c r="D427" t="s">
        <v>7958</v>
      </c>
      <c r="E427">
        <v>1007</v>
      </c>
      <c r="F427" t="s">
        <v>6596</v>
      </c>
      <c r="G427" t="s">
        <v>6595</v>
      </c>
      <c r="H427">
        <v>253</v>
      </c>
      <c r="I427">
        <v>251</v>
      </c>
      <c r="J427">
        <v>143</v>
      </c>
      <c r="K427" s="640" t="str" cm="1">
        <f t="array" ref="K427">myRGB(H427,I427,J427)</f>
        <v/>
      </c>
    </row>
    <row r="428" spans="1:11" x14ac:dyDescent="0.2">
      <c r="A428">
        <v>1063</v>
      </c>
      <c r="B428">
        <v>528</v>
      </c>
      <c r="C428">
        <v>4</v>
      </c>
      <c r="D428" t="s">
        <v>7957</v>
      </c>
      <c r="E428">
        <v>1073</v>
      </c>
      <c r="F428" t="s">
        <v>6594</v>
      </c>
      <c r="G428" t="s">
        <v>6593</v>
      </c>
      <c r="H428">
        <v>254</v>
      </c>
      <c r="I428">
        <v>249</v>
      </c>
      <c r="J428">
        <v>144</v>
      </c>
      <c r="K428" s="623" t="str" cm="1">
        <f t="array" ref="K428">myRGB(H428,I428,J428)</f>
        <v/>
      </c>
    </row>
    <row r="429" spans="1:11" x14ac:dyDescent="0.2">
      <c r="A429">
        <v>1015</v>
      </c>
      <c r="B429">
        <v>512</v>
      </c>
      <c r="C429">
        <v>3</v>
      </c>
      <c r="D429" t="s">
        <v>7944</v>
      </c>
      <c r="E429">
        <v>528</v>
      </c>
      <c r="F429" t="s">
        <v>6492</v>
      </c>
      <c r="G429" t="s">
        <v>6491</v>
      </c>
      <c r="H429">
        <v>240</v>
      </c>
      <c r="I429">
        <v>239</v>
      </c>
      <c r="J429">
        <v>128</v>
      </c>
      <c r="K429" s="398" t="str" cm="1">
        <f t="array" ref="K429">myRGB(H429,I429,J429)</f>
        <v/>
      </c>
    </row>
    <row r="430" spans="1:11" x14ac:dyDescent="0.2">
      <c r="A430">
        <v>1097</v>
      </c>
      <c r="B430">
        <v>519</v>
      </c>
      <c r="C430">
        <v>4</v>
      </c>
      <c r="D430" t="s">
        <v>7967</v>
      </c>
      <c r="E430">
        <v>989</v>
      </c>
      <c r="F430" t="s">
        <v>6656</v>
      </c>
      <c r="G430" t="s">
        <v>6655</v>
      </c>
      <c r="H430">
        <v>255</v>
      </c>
      <c r="I430">
        <v>252</v>
      </c>
      <c r="J430">
        <v>188</v>
      </c>
      <c r="K430" s="461" t="str" cm="1">
        <f t="array" ref="K430">myRGB(H430,I430,J430)</f>
        <v/>
      </c>
    </row>
    <row r="431" spans="1:11" x14ac:dyDescent="0.2">
      <c r="A431">
        <v>1098</v>
      </c>
      <c r="B431">
        <v>519</v>
      </c>
      <c r="C431">
        <v>4</v>
      </c>
      <c r="D431" t="s">
        <v>7968</v>
      </c>
      <c r="E431">
        <v>91</v>
      </c>
      <c r="F431" t="s">
        <v>6658</v>
      </c>
      <c r="G431" t="s">
        <v>6657</v>
      </c>
      <c r="H431">
        <v>255</v>
      </c>
      <c r="I431">
        <v>253</v>
      </c>
      <c r="J431">
        <v>188</v>
      </c>
      <c r="K431" s="482" t="str" cm="1">
        <f t="array" ref="K431">myRGB(H431,I431,J431)</f>
        <v/>
      </c>
    </row>
    <row r="432" spans="1:11" x14ac:dyDescent="0.2">
      <c r="A432">
        <v>1099</v>
      </c>
      <c r="B432">
        <v>519</v>
      </c>
      <c r="C432">
        <v>4</v>
      </c>
      <c r="D432" t="s">
        <v>7969</v>
      </c>
      <c r="E432">
        <v>846</v>
      </c>
      <c r="F432" t="s">
        <v>6660</v>
      </c>
      <c r="G432" t="s">
        <v>6659</v>
      </c>
      <c r="H432">
        <v>255</v>
      </c>
      <c r="I432">
        <v>253</v>
      </c>
      <c r="J432">
        <v>187</v>
      </c>
      <c r="K432" s="499" t="str" cm="1">
        <f t="array" ref="K432">myRGB(H432,I432,J432)</f>
        <v/>
      </c>
    </row>
    <row r="433" spans="1:11" x14ac:dyDescent="0.2">
      <c r="A433">
        <v>1100</v>
      </c>
      <c r="B433">
        <v>519</v>
      </c>
      <c r="C433">
        <v>4</v>
      </c>
      <c r="D433" t="s">
        <v>7970</v>
      </c>
      <c r="E433">
        <v>589508455</v>
      </c>
      <c r="F433" t="s">
        <v>6662</v>
      </c>
      <c r="G433" t="s">
        <v>6661</v>
      </c>
      <c r="H433">
        <v>254</v>
      </c>
      <c r="I433">
        <v>253</v>
      </c>
      <c r="J433">
        <v>188</v>
      </c>
      <c r="K433" s="747" t="str" cm="1">
        <f t="array" ref="K433">myRGB(H433,I433,J433)</f>
        <v/>
      </c>
    </row>
    <row r="434" spans="1:11" x14ac:dyDescent="0.2">
      <c r="A434">
        <v>1096</v>
      </c>
      <c r="B434">
        <v>512</v>
      </c>
      <c r="C434">
        <v>3</v>
      </c>
      <c r="D434" t="s">
        <v>7966</v>
      </c>
      <c r="E434">
        <v>519</v>
      </c>
      <c r="F434" t="s">
        <v>6654</v>
      </c>
      <c r="G434" t="s">
        <v>6653</v>
      </c>
      <c r="H434">
        <v>240</v>
      </c>
      <c r="I434">
        <v>240</v>
      </c>
      <c r="J434">
        <v>127</v>
      </c>
      <c r="K434" s="399" t="str" cm="1">
        <f t="array" ref="K434">myRGB(H434,I434,J434)</f>
        <v/>
      </c>
    </row>
    <row r="435" spans="1:11" x14ac:dyDescent="0.2">
      <c r="A435">
        <v>1014</v>
      </c>
      <c r="B435">
        <v>8</v>
      </c>
      <c r="C435">
        <v>2</v>
      </c>
      <c r="D435" t="s">
        <v>7943</v>
      </c>
      <c r="E435">
        <v>512</v>
      </c>
      <c r="F435" t="s">
        <v>6490</v>
      </c>
      <c r="G435" t="s">
        <v>6489</v>
      </c>
      <c r="H435">
        <v>240</v>
      </c>
      <c r="I435">
        <v>240</v>
      </c>
      <c r="J435">
        <v>128</v>
      </c>
      <c r="K435" s="444" t="str" cm="1">
        <f t="array" ref="K435">myRGB(H435,I435,J435)</f>
        <v/>
      </c>
    </row>
    <row r="436" spans="1:11" x14ac:dyDescent="0.2">
      <c r="A436">
        <v>866</v>
      </c>
      <c r="B436">
        <v>348</v>
      </c>
      <c r="C436">
        <v>5</v>
      </c>
      <c r="D436" t="s">
        <v>7834</v>
      </c>
      <c r="E436">
        <v>374</v>
      </c>
      <c r="F436" t="s">
        <v>6195</v>
      </c>
      <c r="G436" t="s">
        <v>6194</v>
      </c>
      <c r="H436">
        <v>255</v>
      </c>
      <c r="I436">
        <v>166</v>
      </c>
      <c r="J436">
        <v>253</v>
      </c>
      <c r="K436" s="462" t="str" cm="1">
        <f t="array" ref="K436">myRGB(H436,I436,J436)</f>
        <v/>
      </c>
    </row>
    <row r="437" spans="1:11" x14ac:dyDescent="0.2">
      <c r="A437">
        <v>881</v>
      </c>
      <c r="B437">
        <v>165</v>
      </c>
      <c r="C437">
        <v>6</v>
      </c>
      <c r="D437" t="s">
        <v>7849</v>
      </c>
      <c r="E437">
        <v>872</v>
      </c>
      <c r="F437" t="s">
        <v>6225</v>
      </c>
      <c r="G437" t="s">
        <v>6224</v>
      </c>
      <c r="H437">
        <v>253</v>
      </c>
      <c r="I437">
        <v>166</v>
      </c>
      <c r="J437">
        <v>255</v>
      </c>
      <c r="K437" s="500" t="str" cm="1">
        <f t="array" ref="K437">myRGB(H437,I437,J437)</f>
        <v/>
      </c>
    </row>
    <row r="438" spans="1:11" x14ac:dyDescent="0.2">
      <c r="A438">
        <v>880</v>
      </c>
      <c r="B438">
        <v>165</v>
      </c>
      <c r="C438">
        <v>6</v>
      </c>
      <c r="D438" t="s">
        <v>7848</v>
      </c>
      <c r="E438">
        <v>591</v>
      </c>
      <c r="F438" t="s">
        <v>6223</v>
      </c>
      <c r="G438" t="s">
        <v>6222</v>
      </c>
      <c r="H438">
        <v>255</v>
      </c>
      <c r="I438">
        <v>164</v>
      </c>
      <c r="J438">
        <v>255</v>
      </c>
      <c r="K438" s="834" t="str" cm="1">
        <f t="array" ref="K438">myRGB(H438,I438,J438)</f>
        <v/>
      </c>
    </row>
    <row r="439" spans="1:11" x14ac:dyDescent="0.2">
      <c r="A439">
        <v>879</v>
      </c>
      <c r="B439">
        <v>165</v>
      </c>
      <c r="C439">
        <v>6</v>
      </c>
      <c r="D439" t="s">
        <v>7847</v>
      </c>
      <c r="E439">
        <v>197</v>
      </c>
      <c r="F439" t="s">
        <v>6221</v>
      </c>
      <c r="G439" t="s">
        <v>6220</v>
      </c>
      <c r="H439">
        <v>254</v>
      </c>
      <c r="I439">
        <v>166</v>
      </c>
      <c r="J439">
        <v>255</v>
      </c>
      <c r="K439" s="381" t="str" cm="1">
        <f t="array" ref="K439">myRGB(H439,I439,J439)</f>
        <v/>
      </c>
    </row>
    <row r="440" spans="1:11" x14ac:dyDescent="0.2">
      <c r="A440">
        <v>869</v>
      </c>
      <c r="B440">
        <v>165</v>
      </c>
      <c r="C440">
        <v>6</v>
      </c>
      <c r="D440" t="s">
        <v>7837</v>
      </c>
      <c r="E440">
        <v>12</v>
      </c>
      <c r="F440" t="s">
        <v>6201</v>
      </c>
      <c r="G440" t="s">
        <v>6200</v>
      </c>
      <c r="H440">
        <v>255</v>
      </c>
      <c r="I440">
        <v>166</v>
      </c>
      <c r="J440">
        <v>255</v>
      </c>
      <c r="K440" s="400" t="str" cm="1">
        <f t="array" ref="K440">myRGB(H440,I440,J440)</f>
        <v/>
      </c>
    </row>
    <row r="441" spans="1:11" x14ac:dyDescent="0.2">
      <c r="A441">
        <v>878</v>
      </c>
      <c r="B441">
        <v>100</v>
      </c>
      <c r="C441">
        <v>7</v>
      </c>
      <c r="D441" t="s">
        <v>7846</v>
      </c>
      <c r="E441">
        <v>607344862</v>
      </c>
      <c r="F441" t="s">
        <v>6219</v>
      </c>
      <c r="G441" t="s">
        <v>6218</v>
      </c>
      <c r="H441">
        <v>254</v>
      </c>
      <c r="I441">
        <v>165</v>
      </c>
      <c r="J441">
        <v>254</v>
      </c>
      <c r="K441" s="463" t="str" cm="1">
        <f t="array" ref="K441">myRGB(H441,I441,J441)</f>
        <v/>
      </c>
    </row>
    <row r="442" spans="1:11" x14ac:dyDescent="0.2">
      <c r="A442">
        <v>877</v>
      </c>
      <c r="B442">
        <v>100</v>
      </c>
      <c r="C442">
        <v>7</v>
      </c>
      <c r="D442" t="s">
        <v>7845</v>
      </c>
      <c r="E442">
        <v>607344858</v>
      </c>
      <c r="F442" t="s">
        <v>6217</v>
      </c>
      <c r="G442" t="s">
        <v>6216</v>
      </c>
      <c r="H442">
        <v>253</v>
      </c>
      <c r="I442">
        <v>166</v>
      </c>
      <c r="J442">
        <v>254</v>
      </c>
      <c r="K442" s="501" t="str" cm="1">
        <f t="array" ref="K442">myRGB(H442,I442,J442)</f>
        <v/>
      </c>
    </row>
    <row r="443" spans="1:11" x14ac:dyDescent="0.2">
      <c r="A443">
        <v>876</v>
      </c>
      <c r="B443">
        <v>100</v>
      </c>
      <c r="C443">
        <v>7</v>
      </c>
      <c r="D443" t="s">
        <v>7844</v>
      </c>
      <c r="E443">
        <v>607344854</v>
      </c>
      <c r="F443" t="s">
        <v>6215</v>
      </c>
      <c r="G443" t="s">
        <v>6214</v>
      </c>
      <c r="H443">
        <v>254</v>
      </c>
      <c r="I443">
        <v>164</v>
      </c>
      <c r="J443">
        <v>255</v>
      </c>
      <c r="K443" s="517" t="str" cm="1">
        <f t="array" ref="K443">myRGB(H443,I443,J443)</f>
        <v/>
      </c>
    </row>
    <row r="444" spans="1:11" x14ac:dyDescent="0.2">
      <c r="A444">
        <v>875</v>
      </c>
      <c r="B444">
        <v>100</v>
      </c>
      <c r="C444">
        <v>7</v>
      </c>
      <c r="D444" t="s">
        <v>7843</v>
      </c>
      <c r="E444">
        <v>607344850</v>
      </c>
      <c r="F444" t="s">
        <v>6213</v>
      </c>
      <c r="G444" t="s">
        <v>6212</v>
      </c>
      <c r="H444">
        <v>254</v>
      </c>
      <c r="I444">
        <v>166</v>
      </c>
      <c r="J444">
        <v>253</v>
      </c>
      <c r="K444" s="582" t="str" cm="1">
        <f t="array" ref="K444">myRGB(H444,I444,J444)</f>
        <v/>
      </c>
    </row>
    <row r="445" spans="1:11" x14ac:dyDescent="0.2">
      <c r="A445">
        <v>874</v>
      </c>
      <c r="B445">
        <v>100</v>
      </c>
      <c r="C445">
        <v>7</v>
      </c>
      <c r="D445" t="s">
        <v>7842</v>
      </c>
      <c r="E445">
        <v>607344846</v>
      </c>
      <c r="F445" t="s">
        <v>6211</v>
      </c>
      <c r="G445" t="s">
        <v>6210</v>
      </c>
      <c r="H445">
        <v>254</v>
      </c>
      <c r="I445">
        <v>165</v>
      </c>
      <c r="J445">
        <v>255</v>
      </c>
      <c r="K445" s="401" t="str" cm="1">
        <f t="array" ref="K445">myRGB(H445,I445,J445)</f>
        <v/>
      </c>
    </row>
    <row r="446" spans="1:11" x14ac:dyDescent="0.2">
      <c r="A446">
        <v>873</v>
      </c>
      <c r="B446">
        <v>100</v>
      </c>
      <c r="C446">
        <v>7</v>
      </c>
      <c r="D446" t="s">
        <v>7841</v>
      </c>
      <c r="E446">
        <v>607344842</v>
      </c>
      <c r="F446" t="s">
        <v>6209</v>
      </c>
      <c r="G446" t="s">
        <v>6208</v>
      </c>
      <c r="H446">
        <v>254</v>
      </c>
      <c r="I446">
        <v>166</v>
      </c>
      <c r="J446">
        <v>254</v>
      </c>
      <c r="K446" s="464" t="str" cm="1">
        <f t="array" ref="K446">myRGB(H446,I446,J446)</f>
        <v/>
      </c>
    </row>
    <row r="447" spans="1:11" x14ac:dyDescent="0.2">
      <c r="A447">
        <v>872</v>
      </c>
      <c r="B447">
        <v>100</v>
      </c>
      <c r="C447">
        <v>7</v>
      </c>
      <c r="D447" t="s">
        <v>7840</v>
      </c>
      <c r="E447">
        <v>607344838</v>
      </c>
      <c r="F447" t="s">
        <v>6207</v>
      </c>
      <c r="G447" t="s">
        <v>6206</v>
      </c>
      <c r="H447">
        <v>255</v>
      </c>
      <c r="I447">
        <v>165</v>
      </c>
      <c r="J447">
        <v>254</v>
      </c>
      <c r="K447" s="483" t="str" cm="1">
        <f t="array" ref="K447">myRGB(H447,I447,J447)</f>
        <v/>
      </c>
    </row>
    <row r="448" spans="1:11" x14ac:dyDescent="0.2">
      <c r="A448">
        <v>871</v>
      </c>
      <c r="B448">
        <v>100</v>
      </c>
      <c r="C448">
        <v>7</v>
      </c>
      <c r="D448" t="s">
        <v>7839</v>
      </c>
      <c r="E448">
        <v>607344834</v>
      </c>
      <c r="F448" t="s">
        <v>6205</v>
      </c>
      <c r="G448" t="s">
        <v>6204</v>
      </c>
      <c r="H448">
        <v>255</v>
      </c>
      <c r="I448">
        <v>164</v>
      </c>
      <c r="J448">
        <v>254</v>
      </c>
      <c r="K448" s="502" t="str" cm="1">
        <f t="array" ref="K448">myRGB(H448,I448,J448)</f>
        <v/>
      </c>
    </row>
    <row r="449" spans="1:11" x14ac:dyDescent="0.2">
      <c r="A449">
        <v>870</v>
      </c>
      <c r="B449">
        <v>165</v>
      </c>
      <c r="C449">
        <v>6</v>
      </c>
      <c r="D449" t="s">
        <v>7838</v>
      </c>
      <c r="E449">
        <v>100</v>
      </c>
      <c r="F449" t="s">
        <v>6203</v>
      </c>
      <c r="G449" t="s">
        <v>6202</v>
      </c>
      <c r="H449">
        <v>255</v>
      </c>
      <c r="I449">
        <v>166</v>
      </c>
      <c r="J449">
        <v>254</v>
      </c>
      <c r="K449" s="670" t="str" cm="1">
        <f t="array" ref="K449">myRGB(H449,I449,J449)</f>
        <v/>
      </c>
    </row>
    <row r="450" spans="1:11" x14ac:dyDescent="0.2">
      <c r="A450">
        <v>868</v>
      </c>
      <c r="B450">
        <v>348</v>
      </c>
      <c r="C450">
        <v>5</v>
      </c>
      <c r="D450" t="s">
        <v>7836</v>
      </c>
      <c r="E450">
        <v>165</v>
      </c>
      <c r="F450" t="s">
        <v>6199</v>
      </c>
      <c r="G450" t="s">
        <v>6198</v>
      </c>
      <c r="H450">
        <v>255</v>
      </c>
      <c r="I450">
        <v>165</v>
      </c>
      <c r="J450">
        <v>255</v>
      </c>
      <c r="K450" s="402" t="str" cm="1">
        <f t="array" ref="K450">myRGB(H450,I450,J450)</f>
        <v/>
      </c>
    </row>
    <row r="451" spans="1:11" x14ac:dyDescent="0.2">
      <c r="A451">
        <v>867</v>
      </c>
      <c r="B451">
        <v>348</v>
      </c>
      <c r="C451">
        <v>5</v>
      </c>
      <c r="D451" t="s">
        <v>7835</v>
      </c>
      <c r="E451">
        <v>1052</v>
      </c>
      <c r="F451" t="s">
        <v>6197</v>
      </c>
      <c r="G451" t="s">
        <v>6196</v>
      </c>
      <c r="H451">
        <v>255</v>
      </c>
      <c r="I451">
        <v>165</v>
      </c>
      <c r="J451">
        <v>253</v>
      </c>
      <c r="K451" s="445" t="str" cm="1">
        <f t="array" ref="K451">myRGB(H451,I451,J451)</f>
        <v/>
      </c>
    </row>
    <row r="452" spans="1:11" x14ac:dyDescent="0.2">
      <c r="A452">
        <v>865</v>
      </c>
      <c r="B452">
        <v>313</v>
      </c>
      <c r="C452">
        <v>4</v>
      </c>
      <c r="D452" t="s">
        <v>7833</v>
      </c>
      <c r="E452">
        <v>348</v>
      </c>
      <c r="F452" t="s">
        <v>6193</v>
      </c>
      <c r="G452" t="s">
        <v>6192</v>
      </c>
      <c r="H452">
        <v>253</v>
      </c>
      <c r="I452">
        <v>143</v>
      </c>
      <c r="J452">
        <v>254</v>
      </c>
      <c r="K452" s="465" t="str" cm="1">
        <f t="array" ref="K452">myRGB(H452,I452,J452)</f>
        <v/>
      </c>
    </row>
    <row r="453" spans="1:11" x14ac:dyDescent="0.2">
      <c r="A453">
        <v>818</v>
      </c>
      <c r="B453">
        <v>339</v>
      </c>
      <c r="C453">
        <v>5</v>
      </c>
      <c r="D453" t="s">
        <v>7794</v>
      </c>
      <c r="E453">
        <v>874</v>
      </c>
      <c r="F453" t="s">
        <v>6099</v>
      </c>
      <c r="G453" t="s">
        <v>6098</v>
      </c>
      <c r="H453">
        <v>255</v>
      </c>
      <c r="I453">
        <v>121</v>
      </c>
      <c r="J453">
        <v>253</v>
      </c>
      <c r="K453" s="503" t="str" cm="1">
        <f t="array" ref="K453">myRGB(H453,I453,J453)</f>
        <v/>
      </c>
    </row>
    <row r="454" spans="1:11" x14ac:dyDescent="0.2">
      <c r="A454">
        <v>820</v>
      </c>
      <c r="B454">
        <v>339</v>
      </c>
      <c r="C454">
        <v>5</v>
      </c>
      <c r="D454" t="s">
        <v>7796</v>
      </c>
      <c r="E454">
        <v>599626923</v>
      </c>
      <c r="F454" t="s">
        <v>6103</v>
      </c>
      <c r="G454" t="s">
        <v>6102</v>
      </c>
      <c r="H454">
        <v>255</v>
      </c>
      <c r="I454">
        <v>120</v>
      </c>
      <c r="J454">
        <v>254</v>
      </c>
      <c r="K454" s="748" t="str" cm="1">
        <f t="array" ref="K454">myRGB(H454,I454,J454)</f>
        <v/>
      </c>
    </row>
    <row r="455" spans="1:11" x14ac:dyDescent="0.2">
      <c r="A455">
        <v>816</v>
      </c>
      <c r="B455">
        <v>339</v>
      </c>
      <c r="C455">
        <v>5</v>
      </c>
      <c r="D455" t="s">
        <v>7792</v>
      </c>
      <c r="E455">
        <v>580</v>
      </c>
      <c r="F455" t="s">
        <v>6095</v>
      </c>
      <c r="G455" t="s">
        <v>6094</v>
      </c>
      <c r="H455">
        <v>254</v>
      </c>
      <c r="I455">
        <v>122</v>
      </c>
      <c r="J455">
        <v>253</v>
      </c>
      <c r="K455" s="382" t="str" cm="1">
        <f t="array" ref="K455">myRGB(H455,I455,J455)</f>
        <v/>
      </c>
    </row>
    <row r="456" spans="1:11" x14ac:dyDescent="0.2">
      <c r="A456">
        <v>819</v>
      </c>
      <c r="B456">
        <v>339</v>
      </c>
      <c r="C456">
        <v>5</v>
      </c>
      <c r="D456" t="s">
        <v>7795</v>
      </c>
      <c r="E456">
        <v>460</v>
      </c>
      <c r="F456" t="s">
        <v>6101</v>
      </c>
      <c r="G456" t="s">
        <v>6100</v>
      </c>
      <c r="H456">
        <v>255</v>
      </c>
      <c r="I456">
        <v>121</v>
      </c>
      <c r="J456">
        <v>254</v>
      </c>
      <c r="K456" s="403" t="str" cm="1">
        <f t="array" ref="K456">myRGB(H456,I456,J456)</f>
        <v/>
      </c>
    </row>
    <row r="457" spans="1:11" x14ac:dyDescent="0.2">
      <c r="A457">
        <v>815</v>
      </c>
      <c r="B457">
        <v>4</v>
      </c>
      <c r="C457">
        <v>6</v>
      </c>
      <c r="D457" t="s">
        <v>7791</v>
      </c>
      <c r="E457">
        <v>828</v>
      </c>
      <c r="F457" t="s">
        <v>6093</v>
      </c>
      <c r="G457" t="s">
        <v>6092</v>
      </c>
      <c r="H457">
        <v>254</v>
      </c>
      <c r="I457">
        <v>121</v>
      </c>
      <c r="J457">
        <v>254</v>
      </c>
      <c r="K457" s="466" t="str" cm="1">
        <f t="array" ref="K457">myRGB(H457,I457,J457)</f>
        <v/>
      </c>
    </row>
    <row r="458" spans="1:11" x14ac:dyDescent="0.2">
      <c r="A458">
        <v>814</v>
      </c>
      <c r="B458">
        <v>4</v>
      </c>
      <c r="C458">
        <v>6</v>
      </c>
      <c r="D458" t="s">
        <v>7790</v>
      </c>
      <c r="E458">
        <v>820</v>
      </c>
      <c r="F458" t="s">
        <v>6091</v>
      </c>
      <c r="G458" t="s">
        <v>6090</v>
      </c>
      <c r="H458">
        <v>254</v>
      </c>
      <c r="I458">
        <v>121</v>
      </c>
      <c r="J458">
        <v>255</v>
      </c>
      <c r="K458" s="504" t="str" cm="1">
        <f t="array" ref="K458">myRGB(H458,I458,J458)</f>
        <v/>
      </c>
    </row>
    <row r="459" spans="1:11" x14ac:dyDescent="0.2">
      <c r="A459">
        <v>813</v>
      </c>
      <c r="B459">
        <v>4</v>
      </c>
      <c r="C459">
        <v>6</v>
      </c>
      <c r="D459" t="s">
        <v>7789</v>
      </c>
      <c r="E459">
        <v>811</v>
      </c>
      <c r="F459" t="s">
        <v>6089</v>
      </c>
      <c r="G459" t="s">
        <v>6088</v>
      </c>
      <c r="H459">
        <v>254</v>
      </c>
      <c r="I459">
        <v>122</v>
      </c>
      <c r="J459">
        <v>254</v>
      </c>
      <c r="K459" s="805" t="str" cm="1">
        <f t="array" ref="K459">myRGB(H459,I459,J459)</f>
        <v/>
      </c>
    </row>
    <row r="460" spans="1:11" x14ac:dyDescent="0.2">
      <c r="A460">
        <v>812</v>
      </c>
      <c r="B460">
        <v>339</v>
      </c>
      <c r="C460">
        <v>5</v>
      </c>
      <c r="D460" t="s">
        <v>7788</v>
      </c>
      <c r="E460">
        <v>4</v>
      </c>
      <c r="F460" t="s">
        <v>6087</v>
      </c>
      <c r="G460" t="s">
        <v>6086</v>
      </c>
      <c r="H460">
        <v>255</v>
      </c>
      <c r="I460">
        <v>122</v>
      </c>
      <c r="J460">
        <v>255</v>
      </c>
      <c r="K460" s="731" t="str" cm="1">
        <f t="array" ref="K460">myRGB(H460,I460,J460)</f>
        <v/>
      </c>
    </row>
    <row r="461" spans="1:11" x14ac:dyDescent="0.2">
      <c r="A461">
        <v>809</v>
      </c>
      <c r="B461">
        <v>302</v>
      </c>
      <c r="C461">
        <v>6</v>
      </c>
      <c r="D461" t="s">
        <v>7785</v>
      </c>
      <c r="E461">
        <v>851</v>
      </c>
      <c r="F461" t="s">
        <v>6081</v>
      </c>
      <c r="G461" t="s">
        <v>6080</v>
      </c>
      <c r="H461">
        <v>253</v>
      </c>
      <c r="I461">
        <v>122</v>
      </c>
      <c r="J461">
        <v>255</v>
      </c>
      <c r="K461" s="404" t="str" cm="1">
        <f t="array" ref="K461">myRGB(H461,I461,J461)</f>
        <v/>
      </c>
    </row>
    <row r="462" spans="1:11" x14ac:dyDescent="0.2">
      <c r="A462">
        <v>810</v>
      </c>
      <c r="B462">
        <v>302</v>
      </c>
      <c r="C462">
        <v>6</v>
      </c>
      <c r="D462" t="s">
        <v>7786</v>
      </c>
      <c r="E462">
        <v>842</v>
      </c>
      <c r="F462" t="s">
        <v>6083</v>
      </c>
      <c r="G462" t="s">
        <v>6082</v>
      </c>
      <c r="H462">
        <v>255</v>
      </c>
      <c r="I462">
        <v>120</v>
      </c>
      <c r="J462">
        <v>255</v>
      </c>
      <c r="K462" s="467" t="str" cm="1">
        <f t="array" ref="K462">myRGB(H462,I462,J462)</f>
        <v/>
      </c>
    </row>
    <row r="463" spans="1:11" x14ac:dyDescent="0.2">
      <c r="A463">
        <v>811</v>
      </c>
      <c r="B463">
        <v>302</v>
      </c>
      <c r="C463">
        <v>6</v>
      </c>
      <c r="D463" t="s">
        <v>7787</v>
      </c>
      <c r="E463">
        <v>834</v>
      </c>
      <c r="F463" t="s">
        <v>6085</v>
      </c>
      <c r="G463" t="s">
        <v>6084</v>
      </c>
      <c r="H463">
        <v>255</v>
      </c>
      <c r="I463">
        <v>122</v>
      </c>
      <c r="J463">
        <v>253</v>
      </c>
      <c r="K463" s="484" t="str" cm="1">
        <f t="array" ref="K463">myRGB(H463,I463,J463)</f>
        <v/>
      </c>
    </row>
    <row r="464" spans="1:11" x14ac:dyDescent="0.2">
      <c r="A464">
        <v>808</v>
      </c>
      <c r="B464">
        <v>339</v>
      </c>
      <c r="C464">
        <v>5</v>
      </c>
      <c r="D464" t="s">
        <v>7784</v>
      </c>
      <c r="E464">
        <v>302</v>
      </c>
      <c r="F464" t="s">
        <v>6079</v>
      </c>
      <c r="G464" t="s">
        <v>6078</v>
      </c>
      <c r="H464">
        <v>255</v>
      </c>
      <c r="I464">
        <v>121</v>
      </c>
      <c r="J464">
        <v>255</v>
      </c>
      <c r="K464" s="505" t="str" cm="1">
        <f t="array" ref="K464">myRGB(H464,I464,J464)</f>
        <v/>
      </c>
    </row>
    <row r="465" spans="1:11" x14ac:dyDescent="0.2">
      <c r="A465">
        <v>817</v>
      </c>
      <c r="B465">
        <v>339</v>
      </c>
      <c r="C465">
        <v>5</v>
      </c>
      <c r="D465" t="s">
        <v>7793</v>
      </c>
      <c r="E465">
        <v>271</v>
      </c>
      <c r="F465" t="s">
        <v>6097</v>
      </c>
      <c r="G465" t="s">
        <v>6096</v>
      </c>
      <c r="H465">
        <v>255</v>
      </c>
      <c r="I465">
        <v>122</v>
      </c>
      <c r="J465">
        <v>254</v>
      </c>
      <c r="K465" s="583" t="str" cm="1">
        <f t="array" ref="K465">myRGB(H465,I465,J465)</f>
        <v/>
      </c>
    </row>
    <row r="466" spans="1:11" x14ac:dyDescent="0.2">
      <c r="A466">
        <v>807</v>
      </c>
      <c r="B466">
        <v>313</v>
      </c>
      <c r="C466">
        <v>4</v>
      </c>
      <c r="D466" t="s">
        <v>7783</v>
      </c>
      <c r="E466">
        <v>339</v>
      </c>
      <c r="F466" t="s">
        <v>6077</v>
      </c>
      <c r="G466" t="s">
        <v>6076</v>
      </c>
      <c r="H466">
        <v>254</v>
      </c>
      <c r="I466">
        <v>122</v>
      </c>
      <c r="J466">
        <v>255</v>
      </c>
      <c r="K466" s="405" t="str" cm="1">
        <f t="array" ref="K466">myRGB(H466,I466,J466)</f>
        <v/>
      </c>
    </row>
    <row r="467" spans="1:11" x14ac:dyDescent="0.2">
      <c r="A467">
        <v>856</v>
      </c>
      <c r="B467">
        <v>323</v>
      </c>
      <c r="C467">
        <v>5</v>
      </c>
      <c r="D467" t="s">
        <v>7825</v>
      </c>
      <c r="E467">
        <v>975</v>
      </c>
      <c r="F467" t="s">
        <v>6175</v>
      </c>
      <c r="G467" t="s">
        <v>6174</v>
      </c>
      <c r="H467">
        <v>254</v>
      </c>
      <c r="I467">
        <v>143</v>
      </c>
      <c r="J467">
        <v>252</v>
      </c>
      <c r="K467" s="446" t="str" cm="1">
        <f t="array" ref="K467">myRGB(H467,I467,J467)</f>
        <v/>
      </c>
    </row>
    <row r="468" spans="1:11" x14ac:dyDescent="0.2">
      <c r="A468">
        <v>840</v>
      </c>
      <c r="B468">
        <v>795</v>
      </c>
      <c r="C468">
        <v>6</v>
      </c>
      <c r="D468" t="s">
        <v>7810</v>
      </c>
      <c r="E468">
        <v>67</v>
      </c>
      <c r="F468" t="s">
        <v>6143</v>
      </c>
      <c r="G468" t="s">
        <v>6142</v>
      </c>
      <c r="H468">
        <v>255</v>
      </c>
      <c r="I468">
        <v>144</v>
      </c>
      <c r="J468">
        <v>253</v>
      </c>
      <c r="K468" s="468" t="str" cm="1">
        <f t="array" ref="K468">myRGB(H468,I468,J468)</f>
        <v/>
      </c>
    </row>
    <row r="469" spans="1:11" x14ac:dyDescent="0.2">
      <c r="A469">
        <v>842</v>
      </c>
      <c r="B469">
        <v>795</v>
      </c>
      <c r="C469">
        <v>6</v>
      </c>
      <c r="D469" t="s">
        <v>7812</v>
      </c>
      <c r="E469">
        <v>614454277</v>
      </c>
      <c r="F469" t="s">
        <v>6147</v>
      </c>
      <c r="G469" t="s">
        <v>6146</v>
      </c>
      <c r="H469">
        <v>253</v>
      </c>
      <c r="I469">
        <v>144</v>
      </c>
      <c r="J469">
        <v>252</v>
      </c>
      <c r="K469" s="506" t="str" cm="1">
        <f t="array" ref="K469">myRGB(H469,I469,J469)</f>
        <v/>
      </c>
    </row>
    <row r="470" spans="1:11" x14ac:dyDescent="0.2">
      <c r="A470">
        <v>841</v>
      </c>
      <c r="B470">
        <v>795</v>
      </c>
      <c r="C470">
        <v>6</v>
      </c>
      <c r="D470" t="s">
        <v>7811</v>
      </c>
      <c r="E470">
        <v>587</v>
      </c>
      <c r="F470" t="s">
        <v>6145</v>
      </c>
      <c r="G470" t="s">
        <v>6144</v>
      </c>
      <c r="H470">
        <v>253</v>
      </c>
      <c r="I470">
        <v>143</v>
      </c>
      <c r="J470">
        <v>253</v>
      </c>
      <c r="K470" s="671" t="str" cm="1">
        <f t="array" ref="K470">myRGB(H470,I470,J470)</f>
        <v/>
      </c>
    </row>
    <row r="471" spans="1:11" x14ac:dyDescent="0.2">
      <c r="A471">
        <v>839</v>
      </c>
      <c r="B471">
        <v>795</v>
      </c>
      <c r="C471">
        <v>6</v>
      </c>
      <c r="D471" t="s">
        <v>7809</v>
      </c>
      <c r="E471">
        <v>50</v>
      </c>
      <c r="F471" t="s">
        <v>6141</v>
      </c>
      <c r="G471" t="s">
        <v>6140</v>
      </c>
      <c r="H471">
        <v>254</v>
      </c>
      <c r="I471">
        <v>144</v>
      </c>
      <c r="J471">
        <v>254</v>
      </c>
      <c r="K471" s="383" t="str" cm="1">
        <f t="array" ref="K471">myRGB(H471,I471,J471)</f>
        <v/>
      </c>
    </row>
    <row r="472" spans="1:11" x14ac:dyDescent="0.2">
      <c r="A472">
        <v>838</v>
      </c>
      <c r="B472">
        <v>323</v>
      </c>
      <c r="C472">
        <v>5</v>
      </c>
      <c r="D472" t="s">
        <v>7808</v>
      </c>
      <c r="E472">
        <v>795</v>
      </c>
      <c r="F472" t="s">
        <v>6139</v>
      </c>
      <c r="G472" t="s">
        <v>6138</v>
      </c>
      <c r="H472">
        <v>252</v>
      </c>
      <c r="I472">
        <v>143</v>
      </c>
      <c r="J472">
        <v>255</v>
      </c>
      <c r="K472" s="406" t="str" cm="1">
        <f t="array" ref="K472">myRGB(H472,I472,J472)</f>
        <v/>
      </c>
    </row>
    <row r="473" spans="1:11" x14ac:dyDescent="0.2">
      <c r="A473">
        <v>859</v>
      </c>
      <c r="B473">
        <v>323</v>
      </c>
      <c r="C473">
        <v>5</v>
      </c>
      <c r="D473" t="s">
        <v>7828</v>
      </c>
      <c r="E473">
        <v>757</v>
      </c>
      <c r="F473" t="s">
        <v>6181</v>
      </c>
      <c r="G473" t="s">
        <v>6180</v>
      </c>
      <c r="H473">
        <v>252</v>
      </c>
      <c r="I473">
        <v>144</v>
      </c>
      <c r="J473">
        <v>254</v>
      </c>
      <c r="K473" s="469" t="str" cm="1">
        <f t="array" ref="K473">myRGB(H473,I473,J473)</f>
        <v/>
      </c>
    </row>
    <row r="474" spans="1:11" x14ac:dyDescent="0.2">
      <c r="A474">
        <v>862</v>
      </c>
      <c r="B474">
        <v>323</v>
      </c>
      <c r="C474">
        <v>5</v>
      </c>
      <c r="D474" t="s">
        <v>7831</v>
      </c>
      <c r="E474">
        <v>75</v>
      </c>
      <c r="F474" t="s">
        <v>6187</v>
      </c>
      <c r="G474" t="s">
        <v>6186</v>
      </c>
      <c r="H474">
        <v>255</v>
      </c>
      <c r="I474">
        <v>142</v>
      </c>
      <c r="J474">
        <v>255</v>
      </c>
      <c r="K474" s="507" t="str" cm="1">
        <f t="array" ref="K474">myRGB(H474,I474,J474)</f>
        <v/>
      </c>
    </row>
    <row r="475" spans="1:11" x14ac:dyDescent="0.2">
      <c r="A475">
        <v>823</v>
      </c>
      <c r="B475">
        <v>323</v>
      </c>
      <c r="C475">
        <v>5</v>
      </c>
      <c r="D475" t="s">
        <v>7799</v>
      </c>
      <c r="E475">
        <v>749</v>
      </c>
      <c r="F475" t="s">
        <v>6109</v>
      </c>
      <c r="G475" t="s">
        <v>6108</v>
      </c>
      <c r="H475">
        <v>254</v>
      </c>
      <c r="I475">
        <v>141</v>
      </c>
      <c r="J475">
        <v>255</v>
      </c>
      <c r="K475" s="690" t="str" cm="1">
        <f t="array" ref="K475">myRGB(H475,I475,J475)</f>
        <v/>
      </c>
    </row>
    <row r="476" spans="1:11" x14ac:dyDescent="0.2">
      <c r="A476">
        <v>861</v>
      </c>
      <c r="B476">
        <v>323</v>
      </c>
      <c r="C476">
        <v>5</v>
      </c>
      <c r="D476" t="s">
        <v>7830</v>
      </c>
      <c r="E476">
        <v>66</v>
      </c>
      <c r="F476" t="s">
        <v>6185</v>
      </c>
      <c r="G476" t="s">
        <v>6184</v>
      </c>
      <c r="H476">
        <v>254</v>
      </c>
      <c r="I476">
        <v>143</v>
      </c>
      <c r="J476">
        <v>254</v>
      </c>
      <c r="K476" s="749" t="str" cm="1">
        <f t="array" ref="K476">myRGB(H476,I476,J476)</f>
        <v/>
      </c>
    </row>
    <row r="477" spans="1:11" x14ac:dyDescent="0.2">
      <c r="A477">
        <v>852</v>
      </c>
      <c r="B477">
        <v>323</v>
      </c>
      <c r="C477">
        <v>5</v>
      </c>
      <c r="D477" t="s">
        <v>7821</v>
      </c>
      <c r="E477">
        <v>616</v>
      </c>
      <c r="F477" t="s">
        <v>6167</v>
      </c>
      <c r="G477" t="s">
        <v>6166</v>
      </c>
      <c r="H477">
        <v>252</v>
      </c>
      <c r="I477">
        <v>144</v>
      </c>
      <c r="J477">
        <v>255</v>
      </c>
      <c r="K477" s="407" t="str" cm="1">
        <f t="array" ref="K477">myRGB(H477,I477,J477)</f>
        <v/>
      </c>
    </row>
    <row r="478" spans="1:11" x14ac:dyDescent="0.2">
      <c r="A478">
        <v>824</v>
      </c>
      <c r="B478">
        <v>323</v>
      </c>
      <c r="C478">
        <v>5</v>
      </c>
      <c r="D478" t="s">
        <v>7800</v>
      </c>
      <c r="E478">
        <v>607344830</v>
      </c>
      <c r="F478" t="s">
        <v>6111</v>
      </c>
      <c r="G478" t="s">
        <v>6110</v>
      </c>
      <c r="H478">
        <v>255</v>
      </c>
      <c r="I478">
        <v>142</v>
      </c>
      <c r="J478">
        <v>254</v>
      </c>
      <c r="K478" s="470" t="str" cm="1">
        <f t="array" ref="K478">myRGB(H478,I478,J478)</f>
        <v/>
      </c>
    </row>
    <row r="479" spans="1:11" x14ac:dyDescent="0.2">
      <c r="A479">
        <v>858</v>
      </c>
      <c r="B479">
        <v>323</v>
      </c>
      <c r="C479">
        <v>5</v>
      </c>
      <c r="D479" t="s">
        <v>7827</v>
      </c>
      <c r="E479">
        <v>606826663</v>
      </c>
      <c r="F479" t="s">
        <v>6179</v>
      </c>
      <c r="G479" t="s">
        <v>6178</v>
      </c>
      <c r="H479">
        <v>254</v>
      </c>
      <c r="I479">
        <v>141</v>
      </c>
      <c r="J479">
        <v>254</v>
      </c>
      <c r="K479" s="485" t="str" cm="1">
        <f t="array" ref="K479">myRGB(H479,I479,J479)</f>
        <v/>
      </c>
    </row>
    <row r="480" spans="1:11" x14ac:dyDescent="0.2">
      <c r="A480">
        <v>863</v>
      </c>
      <c r="B480">
        <v>323</v>
      </c>
      <c r="C480">
        <v>5</v>
      </c>
      <c r="D480" t="s">
        <v>7832</v>
      </c>
      <c r="E480">
        <v>58</v>
      </c>
      <c r="F480" t="s">
        <v>6189</v>
      </c>
      <c r="G480" t="s">
        <v>6188</v>
      </c>
      <c r="H480">
        <v>254</v>
      </c>
      <c r="I480">
        <v>143</v>
      </c>
      <c r="J480">
        <v>255</v>
      </c>
      <c r="K480" s="508" t="str" cm="1">
        <f t="array" ref="K480">myRGB(H480,I480,J480)</f>
        <v/>
      </c>
    </row>
    <row r="481" spans="1:11" x14ac:dyDescent="0.2">
      <c r="A481">
        <v>855</v>
      </c>
      <c r="B481">
        <v>323</v>
      </c>
      <c r="C481">
        <v>5</v>
      </c>
      <c r="D481" t="s">
        <v>7824</v>
      </c>
      <c r="E481">
        <v>549009211</v>
      </c>
      <c r="F481" t="s">
        <v>6173</v>
      </c>
      <c r="G481" t="s">
        <v>6172</v>
      </c>
      <c r="H481">
        <v>252</v>
      </c>
      <c r="I481">
        <v>142</v>
      </c>
      <c r="J481">
        <v>255</v>
      </c>
      <c r="K481" s="835" t="str" cm="1">
        <f t="array" ref="K481">myRGB(H481,I481,J481)</f>
        <v/>
      </c>
    </row>
    <row r="482" spans="1:11" x14ac:dyDescent="0.2">
      <c r="A482">
        <v>822</v>
      </c>
      <c r="B482">
        <v>323</v>
      </c>
      <c r="C482">
        <v>5</v>
      </c>
      <c r="D482" t="s">
        <v>7798</v>
      </c>
      <c r="E482">
        <v>381</v>
      </c>
      <c r="F482" t="s">
        <v>6107</v>
      </c>
      <c r="G482" t="s">
        <v>6106</v>
      </c>
      <c r="H482">
        <v>255</v>
      </c>
      <c r="I482">
        <v>141</v>
      </c>
      <c r="J482">
        <v>253</v>
      </c>
      <c r="K482" s="408" t="str" cm="1">
        <f t="array" ref="K482">myRGB(H482,I482,J482)</f>
        <v/>
      </c>
    </row>
    <row r="483" spans="1:11" x14ac:dyDescent="0.2">
      <c r="A483">
        <v>854</v>
      </c>
      <c r="B483">
        <v>323</v>
      </c>
      <c r="C483">
        <v>5</v>
      </c>
      <c r="D483" t="s">
        <v>7823</v>
      </c>
      <c r="E483">
        <v>35</v>
      </c>
      <c r="F483" t="s">
        <v>6171</v>
      </c>
      <c r="G483" t="s">
        <v>6170</v>
      </c>
      <c r="H483">
        <v>254</v>
      </c>
      <c r="I483">
        <v>144</v>
      </c>
      <c r="J483">
        <v>255</v>
      </c>
      <c r="K483" s="447" t="str" cm="1">
        <f t="array" ref="K483">myRGB(H483,I483,J483)</f>
        <v/>
      </c>
    </row>
    <row r="484" spans="1:11" x14ac:dyDescent="0.2">
      <c r="A484">
        <v>832</v>
      </c>
      <c r="B484">
        <v>294</v>
      </c>
      <c r="C484">
        <v>6</v>
      </c>
      <c r="D484" t="s">
        <v>7805</v>
      </c>
      <c r="E484">
        <v>42</v>
      </c>
      <c r="F484" t="s">
        <v>6127</v>
      </c>
      <c r="G484" t="s">
        <v>6126</v>
      </c>
      <c r="H484">
        <v>255</v>
      </c>
      <c r="I484">
        <v>143</v>
      </c>
      <c r="J484">
        <v>254</v>
      </c>
      <c r="K484" s="471" t="str" cm="1">
        <f t="array" ref="K484">myRGB(H484,I484,J484)</f>
        <v/>
      </c>
    </row>
    <row r="485" spans="1:11" x14ac:dyDescent="0.2">
      <c r="A485">
        <v>831</v>
      </c>
      <c r="B485">
        <v>294</v>
      </c>
      <c r="C485">
        <v>6</v>
      </c>
      <c r="D485" t="s">
        <v>7804</v>
      </c>
      <c r="E485">
        <v>26</v>
      </c>
      <c r="F485" t="s">
        <v>6125</v>
      </c>
      <c r="G485" t="s">
        <v>6124</v>
      </c>
      <c r="H485">
        <v>255</v>
      </c>
      <c r="I485">
        <v>143</v>
      </c>
      <c r="J485">
        <v>255</v>
      </c>
      <c r="K485" s="509" t="str" cm="1">
        <f t="array" ref="K485">myRGB(H485,I485,J485)</f>
        <v/>
      </c>
    </row>
    <row r="486" spans="1:11" x14ac:dyDescent="0.2">
      <c r="A486">
        <v>833</v>
      </c>
      <c r="B486">
        <v>294</v>
      </c>
      <c r="C486">
        <v>6</v>
      </c>
      <c r="D486" t="s">
        <v>7806</v>
      </c>
      <c r="E486">
        <v>17</v>
      </c>
      <c r="F486" t="s">
        <v>6129</v>
      </c>
      <c r="G486" t="s">
        <v>6128</v>
      </c>
      <c r="H486">
        <v>255</v>
      </c>
      <c r="I486">
        <v>144</v>
      </c>
      <c r="J486">
        <v>254</v>
      </c>
      <c r="K486" s="584" t="str" cm="1">
        <f t="array" ref="K486">myRGB(H486,I486,J486)</f>
        <v/>
      </c>
    </row>
    <row r="487" spans="1:11" x14ac:dyDescent="0.2">
      <c r="A487">
        <v>834</v>
      </c>
      <c r="B487">
        <v>294</v>
      </c>
      <c r="C487">
        <v>6</v>
      </c>
      <c r="D487" t="s">
        <v>7807</v>
      </c>
      <c r="E487">
        <v>10</v>
      </c>
      <c r="F487" t="s">
        <v>6131</v>
      </c>
      <c r="G487" t="s">
        <v>6130</v>
      </c>
      <c r="H487">
        <v>255</v>
      </c>
      <c r="I487">
        <v>144</v>
      </c>
      <c r="J487">
        <v>255</v>
      </c>
      <c r="K487" s="384" t="str" cm="1">
        <f t="array" ref="K487">myRGB(H487,I487,J487)</f>
        <v/>
      </c>
    </row>
    <row r="488" spans="1:11" x14ac:dyDescent="0.2">
      <c r="A488">
        <v>830</v>
      </c>
      <c r="B488">
        <v>323</v>
      </c>
      <c r="C488">
        <v>5</v>
      </c>
      <c r="D488" t="s">
        <v>7803</v>
      </c>
      <c r="E488">
        <v>294</v>
      </c>
      <c r="F488" t="s">
        <v>6123</v>
      </c>
      <c r="G488" t="s">
        <v>6122</v>
      </c>
      <c r="H488">
        <v>254</v>
      </c>
      <c r="I488">
        <v>143</v>
      </c>
      <c r="J488">
        <v>253</v>
      </c>
      <c r="K488" s="409" t="str" cm="1">
        <f t="array" ref="K488">myRGB(H488,I488,J488)</f>
        <v/>
      </c>
    </row>
    <row r="489" spans="1:11" x14ac:dyDescent="0.2">
      <c r="A489">
        <v>825</v>
      </c>
      <c r="B489">
        <v>323</v>
      </c>
      <c r="C489">
        <v>5</v>
      </c>
      <c r="D489" t="s">
        <v>7801</v>
      </c>
      <c r="E489">
        <v>246</v>
      </c>
      <c r="F489" t="s">
        <v>6113</v>
      </c>
      <c r="G489" t="s">
        <v>6112</v>
      </c>
      <c r="H489">
        <v>253</v>
      </c>
      <c r="I489">
        <v>143</v>
      </c>
      <c r="J489">
        <v>255</v>
      </c>
      <c r="K489" s="472" t="str" cm="1">
        <f t="array" ref="K489">myRGB(H489,I489,J489)</f>
        <v/>
      </c>
    </row>
    <row r="490" spans="1:11" x14ac:dyDescent="0.2">
      <c r="A490">
        <v>860</v>
      </c>
      <c r="B490">
        <v>323</v>
      </c>
      <c r="C490">
        <v>5</v>
      </c>
      <c r="D490" t="s">
        <v>7829</v>
      </c>
      <c r="E490">
        <v>231</v>
      </c>
      <c r="F490" t="s">
        <v>6183</v>
      </c>
      <c r="G490" t="s">
        <v>6182</v>
      </c>
      <c r="H490">
        <v>253</v>
      </c>
      <c r="I490">
        <v>144</v>
      </c>
      <c r="J490">
        <v>254</v>
      </c>
      <c r="K490" s="510" t="str" cm="1">
        <f t="array" ref="K490">myRGB(H490,I490,J490)</f>
        <v/>
      </c>
    </row>
    <row r="491" spans="1:11" x14ac:dyDescent="0.2">
      <c r="A491">
        <v>853</v>
      </c>
      <c r="B491">
        <v>323</v>
      </c>
      <c r="C491">
        <v>5</v>
      </c>
      <c r="D491" t="s">
        <v>7822</v>
      </c>
      <c r="E491">
        <v>214</v>
      </c>
      <c r="F491" t="s">
        <v>6169</v>
      </c>
      <c r="G491" t="s">
        <v>6168</v>
      </c>
      <c r="H491">
        <v>254</v>
      </c>
      <c r="I491">
        <v>144</v>
      </c>
      <c r="J491">
        <v>253</v>
      </c>
      <c r="K491" s="641" t="str" cm="1">
        <f t="array" ref="K491">myRGB(H491,I491,J491)</f>
        <v/>
      </c>
    </row>
    <row r="492" spans="1:11" x14ac:dyDescent="0.2">
      <c r="A492">
        <v>826</v>
      </c>
      <c r="B492">
        <v>323</v>
      </c>
      <c r="C492">
        <v>5</v>
      </c>
      <c r="D492" t="s">
        <v>7802</v>
      </c>
      <c r="E492">
        <v>128</v>
      </c>
      <c r="F492" t="s">
        <v>6115</v>
      </c>
      <c r="G492" t="s">
        <v>6114</v>
      </c>
      <c r="H492">
        <v>255</v>
      </c>
      <c r="I492">
        <v>143</v>
      </c>
      <c r="J492">
        <v>253</v>
      </c>
      <c r="K492" s="672" t="str" cm="1">
        <f t="array" ref="K492">myRGB(H492,I492,J492)</f>
        <v/>
      </c>
    </row>
    <row r="493" spans="1:11" x14ac:dyDescent="0.2">
      <c r="A493">
        <v>857</v>
      </c>
      <c r="B493">
        <v>323</v>
      </c>
      <c r="C493">
        <v>5</v>
      </c>
      <c r="D493" t="s">
        <v>7826</v>
      </c>
      <c r="E493">
        <v>115</v>
      </c>
      <c r="F493" t="s">
        <v>6177</v>
      </c>
      <c r="G493" t="s">
        <v>6176</v>
      </c>
      <c r="H493">
        <v>253</v>
      </c>
      <c r="I493">
        <v>144</v>
      </c>
      <c r="J493">
        <v>255</v>
      </c>
      <c r="K493" s="410" t="str" cm="1">
        <f t="array" ref="K493">myRGB(H493,I493,J493)</f>
        <v/>
      </c>
    </row>
    <row r="494" spans="1:11" x14ac:dyDescent="0.2">
      <c r="A494">
        <v>848</v>
      </c>
      <c r="B494">
        <v>1100</v>
      </c>
      <c r="C494">
        <v>6</v>
      </c>
      <c r="D494" t="s">
        <v>7818</v>
      </c>
      <c r="E494">
        <v>706</v>
      </c>
      <c r="F494" t="s">
        <v>6159</v>
      </c>
      <c r="G494" t="s">
        <v>6158</v>
      </c>
      <c r="H494">
        <v>254</v>
      </c>
      <c r="I494">
        <v>144</v>
      </c>
      <c r="J494">
        <v>252</v>
      </c>
      <c r="K494" s="473" t="str" cm="1">
        <f t="array" ref="K494">myRGB(H494,I494,J494)</f>
        <v/>
      </c>
    </row>
    <row r="495" spans="1:11" x14ac:dyDescent="0.2">
      <c r="A495">
        <v>847</v>
      </c>
      <c r="B495">
        <v>1100</v>
      </c>
      <c r="C495">
        <v>6</v>
      </c>
      <c r="D495" t="s">
        <v>7817</v>
      </c>
      <c r="E495">
        <v>634</v>
      </c>
      <c r="F495" t="s">
        <v>6157</v>
      </c>
      <c r="G495" t="s">
        <v>6156</v>
      </c>
      <c r="H495">
        <v>255</v>
      </c>
      <c r="I495">
        <v>141</v>
      </c>
      <c r="J495">
        <v>254</v>
      </c>
      <c r="K495" s="486" t="str" cm="1">
        <f t="array" ref="K495">myRGB(H495,I495,J495)</f>
        <v/>
      </c>
    </row>
    <row r="496" spans="1:11" x14ac:dyDescent="0.2">
      <c r="A496">
        <v>846</v>
      </c>
      <c r="B496">
        <v>1100</v>
      </c>
      <c r="C496">
        <v>6</v>
      </c>
      <c r="D496" t="s">
        <v>7816</v>
      </c>
      <c r="E496">
        <v>628</v>
      </c>
      <c r="F496" t="s">
        <v>6155</v>
      </c>
      <c r="G496" t="s">
        <v>6154</v>
      </c>
      <c r="H496">
        <v>255</v>
      </c>
      <c r="I496">
        <v>143</v>
      </c>
      <c r="J496">
        <v>252</v>
      </c>
      <c r="K496" s="511" t="str" cm="1">
        <f t="array" ref="K496">myRGB(H496,I496,J496)</f>
        <v/>
      </c>
    </row>
    <row r="497" spans="1:11" x14ac:dyDescent="0.2">
      <c r="A497">
        <v>850</v>
      </c>
      <c r="B497">
        <v>1100</v>
      </c>
      <c r="C497">
        <v>6</v>
      </c>
      <c r="D497" t="s">
        <v>7820</v>
      </c>
      <c r="E497">
        <v>549009203</v>
      </c>
      <c r="F497" t="s">
        <v>6163</v>
      </c>
      <c r="G497" t="s">
        <v>6162</v>
      </c>
      <c r="H497">
        <v>253</v>
      </c>
      <c r="I497">
        <v>141</v>
      </c>
      <c r="J497">
        <v>255</v>
      </c>
      <c r="K497" s="750" t="str" cm="1">
        <f t="array" ref="K497">myRGB(H497,I497,J497)</f>
        <v/>
      </c>
    </row>
    <row r="498" spans="1:11" x14ac:dyDescent="0.2">
      <c r="A498">
        <v>845</v>
      </c>
      <c r="B498">
        <v>1100</v>
      </c>
      <c r="C498">
        <v>6</v>
      </c>
      <c r="D498" t="s">
        <v>7815</v>
      </c>
      <c r="E498">
        <v>531</v>
      </c>
      <c r="F498" t="s">
        <v>6153</v>
      </c>
      <c r="G498" t="s">
        <v>6152</v>
      </c>
      <c r="H498">
        <v>255</v>
      </c>
      <c r="I498">
        <v>144</v>
      </c>
      <c r="J498">
        <v>252</v>
      </c>
      <c r="K498" s="411" t="str" cm="1">
        <f t="array" ref="K498">myRGB(H498,I498,J498)</f>
        <v/>
      </c>
    </row>
    <row r="499" spans="1:11" x14ac:dyDescent="0.2">
      <c r="A499">
        <v>844</v>
      </c>
      <c r="B499">
        <v>1100</v>
      </c>
      <c r="C499">
        <v>6</v>
      </c>
      <c r="D499" t="s">
        <v>7814</v>
      </c>
      <c r="E499">
        <v>215</v>
      </c>
      <c r="F499" t="s">
        <v>6151</v>
      </c>
      <c r="G499" t="s">
        <v>6150</v>
      </c>
      <c r="H499">
        <v>254</v>
      </c>
      <c r="I499">
        <v>142</v>
      </c>
      <c r="J499">
        <v>255</v>
      </c>
      <c r="K499" s="448" t="str" cm="1">
        <f t="array" ref="K499">myRGB(H499,I499,J499)</f>
        <v/>
      </c>
    </row>
    <row r="500" spans="1:11" x14ac:dyDescent="0.2">
      <c r="A500">
        <v>849</v>
      </c>
      <c r="B500">
        <v>1100</v>
      </c>
      <c r="C500">
        <v>6</v>
      </c>
      <c r="D500" t="s">
        <v>7819</v>
      </c>
      <c r="E500">
        <v>1061</v>
      </c>
      <c r="F500" t="s">
        <v>6161</v>
      </c>
      <c r="G500" t="s">
        <v>6160</v>
      </c>
      <c r="H500">
        <v>252</v>
      </c>
      <c r="I500">
        <v>143</v>
      </c>
      <c r="J500">
        <v>254</v>
      </c>
      <c r="K500" s="474" t="str" cm="1">
        <f t="array" ref="K500">myRGB(H500,I500,J500)</f>
        <v/>
      </c>
    </row>
    <row r="501" spans="1:11" x14ac:dyDescent="0.2">
      <c r="A501">
        <v>843</v>
      </c>
      <c r="B501">
        <v>323</v>
      </c>
      <c r="C501">
        <v>5</v>
      </c>
      <c r="D501" t="s">
        <v>7813</v>
      </c>
      <c r="E501">
        <v>1100</v>
      </c>
      <c r="F501" t="s">
        <v>6149</v>
      </c>
      <c r="G501" t="s">
        <v>6148</v>
      </c>
      <c r="H501">
        <v>253</v>
      </c>
      <c r="I501">
        <v>142</v>
      </c>
      <c r="J501">
        <v>253</v>
      </c>
      <c r="K501" s="512" t="str" cm="1">
        <f t="array" ref="K501">myRGB(H501,I501,J501)</f>
        <v/>
      </c>
    </row>
    <row r="502" spans="1:11" x14ac:dyDescent="0.2">
      <c r="A502">
        <v>821</v>
      </c>
      <c r="B502">
        <v>313</v>
      </c>
      <c r="C502">
        <v>4</v>
      </c>
      <c r="D502" t="s">
        <v>7797</v>
      </c>
      <c r="E502">
        <v>323</v>
      </c>
      <c r="F502" t="s">
        <v>6105</v>
      </c>
      <c r="G502" t="s">
        <v>6104</v>
      </c>
      <c r="H502">
        <v>254</v>
      </c>
      <c r="I502">
        <v>142</v>
      </c>
      <c r="J502">
        <v>254</v>
      </c>
      <c r="K502" s="836" t="str" cm="1">
        <f t="array" ref="K502">myRGB(H502,I502,J502)</f>
        <v/>
      </c>
    </row>
    <row r="503" spans="1:11" x14ac:dyDescent="0.2">
      <c r="A503">
        <v>806</v>
      </c>
      <c r="B503">
        <v>343</v>
      </c>
      <c r="C503">
        <v>3</v>
      </c>
      <c r="D503" t="s">
        <v>7782</v>
      </c>
      <c r="E503">
        <v>313</v>
      </c>
      <c r="F503" t="s">
        <v>6075</v>
      </c>
      <c r="G503" t="s">
        <v>6074</v>
      </c>
      <c r="H503">
        <v>255</v>
      </c>
      <c r="I503">
        <v>100</v>
      </c>
      <c r="J503">
        <v>255</v>
      </c>
      <c r="K503" s="385" t="str" cm="1">
        <f t="array" ref="K503">myRGB(H503,I503,J503)</f>
        <v/>
      </c>
    </row>
    <row r="504" spans="1:11" x14ac:dyDescent="0.2">
      <c r="A504">
        <v>650</v>
      </c>
      <c r="B504">
        <v>709</v>
      </c>
      <c r="C504">
        <v>8</v>
      </c>
      <c r="D504" t="s">
        <v>7669</v>
      </c>
      <c r="E504">
        <v>741</v>
      </c>
      <c r="F504" t="s">
        <v>5763</v>
      </c>
      <c r="G504" t="s">
        <v>5762</v>
      </c>
      <c r="H504">
        <v>254</v>
      </c>
      <c r="I504">
        <v>128</v>
      </c>
      <c r="J504">
        <v>130</v>
      </c>
      <c r="K504" s="412" t="str" cm="1">
        <f t="array" ref="K504">myRGB(H504,I504,J504)</f>
        <v/>
      </c>
    </row>
    <row r="505" spans="1:11" x14ac:dyDescent="0.2">
      <c r="A505">
        <v>649</v>
      </c>
      <c r="B505">
        <v>709</v>
      </c>
      <c r="C505">
        <v>8</v>
      </c>
      <c r="D505" t="s">
        <v>7668</v>
      </c>
      <c r="E505">
        <v>733</v>
      </c>
      <c r="F505" t="s">
        <v>5761</v>
      </c>
      <c r="G505" t="s">
        <v>5760</v>
      </c>
      <c r="H505">
        <v>255</v>
      </c>
      <c r="I505">
        <v>126</v>
      </c>
      <c r="J505">
        <v>131</v>
      </c>
      <c r="K505" s="475" t="str" cm="1">
        <f t="array" ref="K505">myRGB(H505,I505,J505)</f>
        <v/>
      </c>
    </row>
    <row r="506" spans="1:11" x14ac:dyDescent="0.2">
      <c r="A506">
        <v>648</v>
      </c>
      <c r="B506">
        <v>709</v>
      </c>
      <c r="C506">
        <v>8</v>
      </c>
      <c r="D506" t="s">
        <v>7667</v>
      </c>
      <c r="E506">
        <v>725</v>
      </c>
      <c r="F506" t="s">
        <v>5759</v>
      </c>
      <c r="G506" t="s">
        <v>5758</v>
      </c>
      <c r="H506">
        <v>255</v>
      </c>
      <c r="I506">
        <v>127</v>
      </c>
      <c r="J506">
        <v>130</v>
      </c>
      <c r="K506" s="513" t="str" cm="1">
        <f t="array" ref="K506">myRGB(H506,I506,J506)</f>
        <v/>
      </c>
    </row>
    <row r="507" spans="1:11" x14ac:dyDescent="0.2">
      <c r="A507">
        <v>647</v>
      </c>
      <c r="B507">
        <v>709</v>
      </c>
      <c r="C507">
        <v>8</v>
      </c>
      <c r="D507" t="s">
        <v>7666</v>
      </c>
      <c r="E507">
        <v>718</v>
      </c>
      <c r="F507" t="s">
        <v>5757</v>
      </c>
      <c r="G507" t="s">
        <v>5756</v>
      </c>
      <c r="H507">
        <v>253</v>
      </c>
      <c r="I507">
        <v>128</v>
      </c>
      <c r="J507">
        <v>132</v>
      </c>
      <c r="K507" s="518" t="str" cm="1">
        <f t="array" ref="K507">myRGB(H507,I507,J507)</f>
        <v/>
      </c>
    </row>
    <row r="508" spans="1:11" x14ac:dyDescent="0.2">
      <c r="A508">
        <v>646</v>
      </c>
      <c r="B508">
        <v>637</v>
      </c>
      <c r="C508">
        <v>7</v>
      </c>
      <c r="D508" t="s">
        <v>7665</v>
      </c>
      <c r="E508">
        <v>709</v>
      </c>
      <c r="F508" t="s">
        <v>5755</v>
      </c>
      <c r="G508" t="s">
        <v>5754</v>
      </c>
      <c r="H508">
        <v>255</v>
      </c>
      <c r="I508">
        <v>128</v>
      </c>
      <c r="J508">
        <v>129</v>
      </c>
      <c r="K508" s="585" t="str" cm="1">
        <f t="array" ref="K508">myRGB(H508,I508,J508)</f>
        <v/>
      </c>
    </row>
    <row r="509" spans="1:11" x14ac:dyDescent="0.2">
      <c r="A509">
        <v>645</v>
      </c>
      <c r="B509">
        <v>637</v>
      </c>
      <c r="C509">
        <v>7</v>
      </c>
      <c r="D509" t="s">
        <v>7664</v>
      </c>
      <c r="E509">
        <v>685</v>
      </c>
      <c r="F509" t="s">
        <v>5753</v>
      </c>
      <c r="G509" t="s">
        <v>5752</v>
      </c>
      <c r="H509">
        <v>255</v>
      </c>
      <c r="I509">
        <v>126</v>
      </c>
      <c r="J509">
        <v>132</v>
      </c>
      <c r="K509" s="413" t="str" cm="1">
        <f t="array" ref="K509">myRGB(H509,I509,J509)</f>
        <v/>
      </c>
    </row>
    <row r="510" spans="1:11" x14ac:dyDescent="0.2">
      <c r="A510">
        <v>644</v>
      </c>
      <c r="B510">
        <v>637</v>
      </c>
      <c r="C510">
        <v>7</v>
      </c>
      <c r="D510" t="s">
        <v>7663</v>
      </c>
      <c r="E510">
        <v>629</v>
      </c>
      <c r="F510" t="s">
        <v>5751</v>
      </c>
      <c r="G510" t="s">
        <v>5750</v>
      </c>
      <c r="H510">
        <v>253</v>
      </c>
      <c r="I510">
        <v>126</v>
      </c>
      <c r="J510">
        <v>132</v>
      </c>
      <c r="K510" s="476" t="str" cm="1">
        <f t="array" ref="K510">myRGB(H510,I510,J510)</f>
        <v/>
      </c>
    </row>
    <row r="511" spans="1:11" x14ac:dyDescent="0.2">
      <c r="A511">
        <v>651</v>
      </c>
      <c r="B511">
        <v>637</v>
      </c>
      <c r="C511">
        <v>7</v>
      </c>
      <c r="D511" t="s">
        <v>7670</v>
      </c>
      <c r="E511">
        <v>563807435</v>
      </c>
      <c r="F511" t="s">
        <v>5765</v>
      </c>
      <c r="G511" t="s">
        <v>5764</v>
      </c>
      <c r="H511">
        <v>255</v>
      </c>
      <c r="I511">
        <v>126</v>
      </c>
      <c r="J511">
        <v>130</v>
      </c>
      <c r="K511" s="487" t="str" cm="1">
        <f t="array" ref="K511">myRGB(H511,I511,J511)</f>
        <v/>
      </c>
    </row>
    <row r="512" spans="1:11" x14ac:dyDescent="0.2">
      <c r="A512">
        <v>643</v>
      </c>
      <c r="B512">
        <v>864</v>
      </c>
      <c r="C512">
        <v>6</v>
      </c>
      <c r="D512" t="s">
        <v>7662</v>
      </c>
      <c r="E512">
        <v>637</v>
      </c>
      <c r="F512" t="s">
        <v>5749</v>
      </c>
      <c r="G512" t="s">
        <v>5748</v>
      </c>
      <c r="H512">
        <v>255</v>
      </c>
      <c r="I512">
        <v>128</v>
      </c>
      <c r="J512">
        <v>130</v>
      </c>
      <c r="K512" s="514" t="str" cm="1">
        <f t="array" ref="K512">myRGB(H512,I512,J512)</f>
        <v/>
      </c>
    </row>
    <row r="513" spans="1:11" x14ac:dyDescent="0.2">
      <c r="A513">
        <v>655</v>
      </c>
      <c r="B513">
        <v>864</v>
      </c>
      <c r="C513">
        <v>6</v>
      </c>
      <c r="D513" t="s">
        <v>7674</v>
      </c>
      <c r="E513">
        <v>609</v>
      </c>
      <c r="F513" t="s">
        <v>5773</v>
      </c>
      <c r="G513" t="s">
        <v>5772</v>
      </c>
      <c r="H513">
        <v>254</v>
      </c>
      <c r="I513">
        <v>127</v>
      </c>
      <c r="J513">
        <v>131</v>
      </c>
      <c r="K513" s="673" t="str" cm="1">
        <f t="array" ref="K513">myRGB(H513,I513,J513)</f>
        <v/>
      </c>
    </row>
    <row r="514" spans="1:11" x14ac:dyDescent="0.2">
      <c r="A514">
        <v>654</v>
      </c>
      <c r="B514">
        <v>406</v>
      </c>
      <c r="C514">
        <v>7</v>
      </c>
      <c r="D514" t="s">
        <v>7673</v>
      </c>
      <c r="E514">
        <v>422</v>
      </c>
      <c r="F514" t="s">
        <v>5771</v>
      </c>
      <c r="G514" t="s">
        <v>5770</v>
      </c>
      <c r="H514">
        <v>254</v>
      </c>
      <c r="I514">
        <v>128</v>
      </c>
      <c r="J514">
        <v>132</v>
      </c>
      <c r="K514" s="414" t="str" cm="1">
        <f t="array" ref="K514">myRGB(H514,I514,J514)</f>
        <v/>
      </c>
    </row>
    <row r="515" spans="1:11" x14ac:dyDescent="0.2">
      <c r="A515">
        <v>653</v>
      </c>
      <c r="B515">
        <v>406</v>
      </c>
      <c r="C515">
        <v>7</v>
      </c>
      <c r="D515" t="s">
        <v>7672</v>
      </c>
      <c r="E515">
        <v>414</v>
      </c>
      <c r="F515" t="s">
        <v>5769</v>
      </c>
      <c r="G515" t="s">
        <v>5768</v>
      </c>
      <c r="H515">
        <v>255</v>
      </c>
      <c r="I515">
        <v>127</v>
      </c>
      <c r="J515">
        <v>132</v>
      </c>
      <c r="K515" s="449" t="str" cm="1">
        <f t="array" ref="K515">myRGB(H515,I515,J515)</f>
        <v/>
      </c>
    </row>
    <row r="516" spans="1:11" x14ac:dyDescent="0.2">
      <c r="A516">
        <v>652</v>
      </c>
      <c r="B516">
        <v>864</v>
      </c>
      <c r="C516">
        <v>6</v>
      </c>
      <c r="D516" t="s">
        <v>7671</v>
      </c>
      <c r="E516">
        <v>406</v>
      </c>
      <c r="F516" t="s">
        <v>5767</v>
      </c>
      <c r="G516" t="s">
        <v>5766</v>
      </c>
      <c r="H516">
        <v>255</v>
      </c>
      <c r="I516">
        <v>128</v>
      </c>
      <c r="J516">
        <v>131</v>
      </c>
      <c r="K516" s="691" t="str" cm="1">
        <f t="array" ref="K516">myRGB(H516,I516,J516)</f>
        <v/>
      </c>
    </row>
    <row r="517" spans="1:11" x14ac:dyDescent="0.2">
      <c r="A517">
        <v>656</v>
      </c>
      <c r="B517">
        <v>864</v>
      </c>
      <c r="C517">
        <v>6</v>
      </c>
      <c r="D517" t="s">
        <v>7675</v>
      </c>
      <c r="E517">
        <v>1044</v>
      </c>
      <c r="F517" t="s">
        <v>5775</v>
      </c>
      <c r="G517" t="s">
        <v>5774</v>
      </c>
      <c r="H517">
        <v>253</v>
      </c>
      <c r="I517">
        <v>127</v>
      </c>
      <c r="J517">
        <v>132</v>
      </c>
      <c r="K517" s="751" t="str" cm="1">
        <f t="array" ref="K517">myRGB(H517,I517,J517)</f>
        <v/>
      </c>
    </row>
    <row r="518" spans="1:11" x14ac:dyDescent="0.2">
      <c r="A518">
        <v>661</v>
      </c>
      <c r="B518">
        <v>475</v>
      </c>
      <c r="C518">
        <v>8</v>
      </c>
      <c r="D518" t="s">
        <v>7680</v>
      </c>
      <c r="E518">
        <v>1088</v>
      </c>
      <c r="F518" t="s">
        <v>5785</v>
      </c>
      <c r="G518" t="s">
        <v>5784</v>
      </c>
      <c r="H518">
        <v>253</v>
      </c>
      <c r="I518">
        <v>127</v>
      </c>
      <c r="J518">
        <v>131</v>
      </c>
      <c r="K518" s="791" t="str" cm="1">
        <f t="array" ref="K518">myRGB(H518,I518,J518)</f>
        <v/>
      </c>
    </row>
    <row r="519" spans="1:11" x14ac:dyDescent="0.2">
      <c r="A519">
        <v>660</v>
      </c>
      <c r="B519">
        <v>475</v>
      </c>
      <c r="C519">
        <v>8</v>
      </c>
      <c r="D519" t="s">
        <v>7679</v>
      </c>
      <c r="E519">
        <v>1079</v>
      </c>
      <c r="F519" t="s">
        <v>5783</v>
      </c>
      <c r="G519" t="s">
        <v>5782</v>
      </c>
      <c r="H519">
        <v>254</v>
      </c>
      <c r="I519">
        <v>126</v>
      </c>
      <c r="J519">
        <v>131</v>
      </c>
      <c r="K519" s="386" t="str" cm="1">
        <f t="array" ref="K519">myRGB(H519,I519,J519)</f>
        <v/>
      </c>
    </row>
    <row r="520" spans="1:11" x14ac:dyDescent="0.2">
      <c r="A520">
        <v>659</v>
      </c>
      <c r="B520">
        <v>475</v>
      </c>
      <c r="C520">
        <v>8</v>
      </c>
      <c r="D520" t="s">
        <v>7678</v>
      </c>
      <c r="E520">
        <v>1072</v>
      </c>
      <c r="F520" t="s">
        <v>5781</v>
      </c>
      <c r="G520" t="s">
        <v>5780</v>
      </c>
      <c r="H520">
        <v>254</v>
      </c>
      <c r="I520">
        <v>127</v>
      </c>
      <c r="J520">
        <v>130</v>
      </c>
      <c r="K520" s="415" t="str" cm="1">
        <f t="array" ref="K520">myRGB(H520,I520,J520)</f>
        <v/>
      </c>
    </row>
    <row r="521" spans="1:11" x14ac:dyDescent="0.2">
      <c r="A521">
        <v>658</v>
      </c>
      <c r="B521">
        <v>1008</v>
      </c>
      <c r="C521">
        <v>7</v>
      </c>
      <c r="D521" t="s">
        <v>7677</v>
      </c>
      <c r="E521">
        <v>475</v>
      </c>
      <c r="F521" t="s">
        <v>5779</v>
      </c>
      <c r="G521" t="s">
        <v>5778</v>
      </c>
      <c r="H521">
        <v>255</v>
      </c>
      <c r="I521">
        <v>127</v>
      </c>
      <c r="J521">
        <v>131</v>
      </c>
      <c r="K521" s="519" t="str" cm="1">
        <f t="array" ref="K521">myRGB(H521,I521,J521)</f>
        <v/>
      </c>
    </row>
    <row r="522" spans="1:11" x14ac:dyDescent="0.2">
      <c r="A522">
        <v>663</v>
      </c>
      <c r="B522">
        <v>170</v>
      </c>
      <c r="C522">
        <v>8</v>
      </c>
      <c r="D522" t="s">
        <v>8091</v>
      </c>
      <c r="E522">
        <v>549</v>
      </c>
      <c r="F522" t="s">
        <v>5789</v>
      </c>
      <c r="G522" t="s">
        <v>5788</v>
      </c>
      <c r="H522">
        <v>254</v>
      </c>
      <c r="I522">
        <v>128</v>
      </c>
      <c r="J522">
        <v>131</v>
      </c>
      <c r="K522" s="586" t="str" cm="1">
        <f t="array" ref="K522">myRGB(H522,I522,J522)</f>
        <v/>
      </c>
    </row>
    <row r="523" spans="1:11" x14ac:dyDescent="0.2">
      <c r="A523">
        <v>665</v>
      </c>
      <c r="B523">
        <v>170</v>
      </c>
      <c r="C523">
        <v>8</v>
      </c>
      <c r="D523" t="s">
        <v>7683</v>
      </c>
      <c r="E523">
        <v>496345672</v>
      </c>
      <c r="F523" t="s">
        <v>5793</v>
      </c>
      <c r="G523" t="s">
        <v>5792</v>
      </c>
      <c r="H523">
        <v>253</v>
      </c>
      <c r="I523">
        <v>128</v>
      </c>
      <c r="J523">
        <v>130</v>
      </c>
      <c r="K523" s="642" t="str" cm="1">
        <f t="array" ref="K523">myRGB(H523,I523,J523)</f>
        <v/>
      </c>
    </row>
    <row r="524" spans="1:11" x14ac:dyDescent="0.2">
      <c r="A524">
        <v>664</v>
      </c>
      <c r="B524">
        <v>170</v>
      </c>
      <c r="C524">
        <v>8</v>
      </c>
      <c r="D524" t="s">
        <v>7682</v>
      </c>
      <c r="E524">
        <v>496345668</v>
      </c>
      <c r="F524" t="s">
        <v>5791</v>
      </c>
      <c r="G524" t="s">
        <v>5790</v>
      </c>
      <c r="H524">
        <v>254</v>
      </c>
      <c r="I524">
        <v>127</v>
      </c>
      <c r="J524">
        <v>132</v>
      </c>
      <c r="K524" s="564" t="str" cm="1">
        <f t="array" ref="K524">myRGB(H524,I524,J524)</f>
        <v/>
      </c>
    </row>
    <row r="525" spans="1:11" x14ac:dyDescent="0.2">
      <c r="A525">
        <v>662</v>
      </c>
      <c r="B525">
        <v>1008</v>
      </c>
      <c r="C525">
        <v>7</v>
      </c>
      <c r="D525" t="s">
        <v>7681</v>
      </c>
      <c r="E525">
        <v>170</v>
      </c>
      <c r="F525" t="s">
        <v>5787</v>
      </c>
      <c r="G525" t="s">
        <v>5786</v>
      </c>
      <c r="H525">
        <v>255</v>
      </c>
      <c r="I525">
        <v>128</v>
      </c>
      <c r="J525">
        <v>132</v>
      </c>
      <c r="K525" s="416" t="str" cm="1">
        <f t="array" ref="K525">myRGB(H525,I525,J525)</f>
        <v/>
      </c>
    </row>
    <row r="526" spans="1:11" x14ac:dyDescent="0.2">
      <c r="A526">
        <v>657</v>
      </c>
      <c r="B526">
        <v>864</v>
      </c>
      <c r="C526">
        <v>6</v>
      </c>
      <c r="D526" t="s">
        <v>7676</v>
      </c>
      <c r="E526">
        <v>1008</v>
      </c>
      <c r="F526" t="s">
        <v>5777</v>
      </c>
      <c r="G526" t="s">
        <v>5776</v>
      </c>
      <c r="H526">
        <v>253</v>
      </c>
      <c r="I526">
        <v>128</v>
      </c>
      <c r="J526">
        <v>131</v>
      </c>
      <c r="K526" s="692" t="str" cm="1">
        <f t="array" ref="K526">myRGB(H526,I526,J526)</f>
        <v/>
      </c>
    </row>
    <row r="527" spans="1:11" x14ac:dyDescent="0.2">
      <c r="A527">
        <v>642</v>
      </c>
      <c r="B527">
        <v>549</v>
      </c>
      <c r="C527">
        <v>5</v>
      </c>
      <c r="D527" t="s">
        <v>7661</v>
      </c>
      <c r="E527">
        <v>864</v>
      </c>
      <c r="F527" t="s">
        <v>5747</v>
      </c>
      <c r="G527" t="s">
        <v>5746</v>
      </c>
      <c r="H527">
        <v>254</v>
      </c>
      <c r="I527">
        <v>126</v>
      </c>
      <c r="J527">
        <v>132</v>
      </c>
      <c r="K527" s="488" t="str" cm="1">
        <f t="array" ref="K527">myRGB(H527,I527,J527)</f>
        <v/>
      </c>
    </row>
    <row r="528" spans="1:11" x14ac:dyDescent="0.2">
      <c r="A528">
        <v>712</v>
      </c>
      <c r="B528">
        <v>958</v>
      </c>
      <c r="C528">
        <v>7</v>
      </c>
      <c r="D528" t="s">
        <v>7724</v>
      </c>
      <c r="E528">
        <v>483</v>
      </c>
      <c r="F528" t="s">
        <v>5887</v>
      </c>
      <c r="G528" t="s">
        <v>5886</v>
      </c>
      <c r="H528">
        <v>255</v>
      </c>
      <c r="I528">
        <v>141</v>
      </c>
      <c r="J528">
        <v>159</v>
      </c>
      <c r="K528" s="752" t="str" cm="1">
        <f t="array" ref="K528">myRGB(H528,I528,J528)</f>
        <v/>
      </c>
    </row>
    <row r="529" spans="1:11" x14ac:dyDescent="0.2">
      <c r="A529">
        <v>713</v>
      </c>
      <c r="B529">
        <v>958</v>
      </c>
      <c r="C529">
        <v>7</v>
      </c>
      <c r="D529" t="s">
        <v>7725</v>
      </c>
      <c r="E529">
        <v>186</v>
      </c>
      <c r="F529" t="s">
        <v>5889</v>
      </c>
      <c r="G529" t="s">
        <v>5888</v>
      </c>
      <c r="H529">
        <v>255</v>
      </c>
      <c r="I529">
        <v>143</v>
      </c>
      <c r="J529">
        <v>157</v>
      </c>
      <c r="K529" s="837" t="str" cm="1">
        <f t="array" ref="K529">myRGB(H529,I529,J529)</f>
        <v/>
      </c>
    </row>
    <row r="530" spans="1:11" x14ac:dyDescent="0.2">
      <c r="A530">
        <v>711</v>
      </c>
      <c r="B530">
        <v>856</v>
      </c>
      <c r="C530">
        <v>6</v>
      </c>
      <c r="D530" t="s">
        <v>7723</v>
      </c>
      <c r="E530">
        <v>958</v>
      </c>
      <c r="F530" t="s">
        <v>5885</v>
      </c>
      <c r="G530" t="s">
        <v>5884</v>
      </c>
      <c r="H530">
        <v>252</v>
      </c>
      <c r="I530">
        <v>143</v>
      </c>
      <c r="J530">
        <v>158</v>
      </c>
      <c r="K530" s="417" t="str" cm="1">
        <f t="array" ref="K530">myRGB(H530,I530,J530)</f>
        <v/>
      </c>
    </row>
    <row r="531" spans="1:11" x14ac:dyDescent="0.2">
      <c r="A531">
        <v>695</v>
      </c>
      <c r="B531">
        <v>571</v>
      </c>
      <c r="C531">
        <v>7</v>
      </c>
      <c r="D531" t="s">
        <v>7709</v>
      </c>
      <c r="E531">
        <v>560581559</v>
      </c>
      <c r="F531" t="s">
        <v>5853</v>
      </c>
      <c r="G531" t="s">
        <v>5852</v>
      </c>
      <c r="H531">
        <v>252</v>
      </c>
      <c r="I531">
        <v>143</v>
      </c>
      <c r="J531">
        <v>159</v>
      </c>
      <c r="K531" s="450" t="str" cm="1">
        <f t="array" ref="K531">myRGB(H531,I531,J531)</f>
        <v/>
      </c>
    </row>
    <row r="532" spans="1:11" x14ac:dyDescent="0.2">
      <c r="A532">
        <v>694</v>
      </c>
      <c r="B532">
        <v>571</v>
      </c>
      <c r="C532">
        <v>7</v>
      </c>
      <c r="D532" t="s">
        <v>7708</v>
      </c>
      <c r="E532">
        <v>181</v>
      </c>
      <c r="F532" t="s">
        <v>5851</v>
      </c>
      <c r="G532" t="s">
        <v>5850</v>
      </c>
      <c r="H532">
        <v>253</v>
      </c>
      <c r="I532">
        <v>144</v>
      </c>
      <c r="J532">
        <v>159</v>
      </c>
      <c r="K532" s="520" t="str" cm="1">
        <f t="array" ref="K532">myRGB(H532,I532,J532)</f>
        <v/>
      </c>
    </row>
    <row r="533" spans="1:11" x14ac:dyDescent="0.2">
      <c r="A533">
        <v>693</v>
      </c>
      <c r="B533">
        <v>571</v>
      </c>
      <c r="C533">
        <v>7</v>
      </c>
      <c r="D533" t="s">
        <v>7707</v>
      </c>
      <c r="E533">
        <v>15</v>
      </c>
      <c r="F533" t="s">
        <v>5849</v>
      </c>
      <c r="G533" t="s">
        <v>5848</v>
      </c>
      <c r="H533">
        <v>255</v>
      </c>
      <c r="I533">
        <v>144</v>
      </c>
      <c r="J533">
        <v>159</v>
      </c>
      <c r="K533" s="587" t="str" cm="1">
        <f t="array" ref="K533">myRGB(H533,I533,J533)</f>
        <v/>
      </c>
    </row>
    <row r="534" spans="1:11" x14ac:dyDescent="0.2">
      <c r="A534">
        <v>692</v>
      </c>
      <c r="B534">
        <v>571</v>
      </c>
      <c r="C534">
        <v>7</v>
      </c>
      <c r="D534" t="s">
        <v>7706</v>
      </c>
      <c r="E534">
        <v>149</v>
      </c>
      <c r="F534" t="s">
        <v>5847</v>
      </c>
      <c r="G534" t="s">
        <v>5846</v>
      </c>
      <c r="H534">
        <v>254</v>
      </c>
      <c r="I534">
        <v>143</v>
      </c>
      <c r="J534">
        <v>158</v>
      </c>
      <c r="K534" s="674" t="str" cm="1">
        <f t="array" ref="K534">myRGB(H534,I534,J534)</f>
        <v/>
      </c>
    </row>
    <row r="535" spans="1:11" x14ac:dyDescent="0.2">
      <c r="A535">
        <v>691</v>
      </c>
      <c r="B535">
        <v>856</v>
      </c>
      <c r="C535">
        <v>6</v>
      </c>
      <c r="D535" t="s">
        <v>7705</v>
      </c>
      <c r="E535">
        <v>571</v>
      </c>
      <c r="F535" t="s">
        <v>5845</v>
      </c>
      <c r="G535" t="s">
        <v>5844</v>
      </c>
      <c r="H535">
        <v>254</v>
      </c>
      <c r="I535">
        <v>142</v>
      </c>
      <c r="J535">
        <v>157</v>
      </c>
      <c r="K535" s="387" t="str" cm="1">
        <f t="array" ref="K535">myRGB(H535,I535,J535)</f>
        <v/>
      </c>
    </row>
    <row r="536" spans="1:11" x14ac:dyDescent="0.2">
      <c r="A536">
        <v>701</v>
      </c>
      <c r="B536">
        <v>51</v>
      </c>
      <c r="C536">
        <v>7</v>
      </c>
      <c r="D536" t="s">
        <v>7715</v>
      </c>
      <c r="E536">
        <v>930</v>
      </c>
      <c r="F536" t="s">
        <v>5865</v>
      </c>
      <c r="G536" t="s">
        <v>5864</v>
      </c>
      <c r="H536">
        <v>252</v>
      </c>
      <c r="I536">
        <v>144</v>
      </c>
      <c r="J536">
        <v>158</v>
      </c>
      <c r="K536" s="418" t="str" cm="1">
        <f t="array" ref="K536">myRGB(H536,I536,J536)</f>
        <v/>
      </c>
    </row>
    <row r="537" spans="1:11" x14ac:dyDescent="0.2">
      <c r="A537">
        <v>699</v>
      </c>
      <c r="B537">
        <v>51</v>
      </c>
      <c r="C537">
        <v>7</v>
      </c>
      <c r="D537" t="s">
        <v>7713</v>
      </c>
      <c r="E537">
        <v>907</v>
      </c>
      <c r="F537" t="s">
        <v>5861</v>
      </c>
      <c r="G537" t="s">
        <v>5860</v>
      </c>
      <c r="H537">
        <v>254</v>
      </c>
      <c r="I537">
        <v>141</v>
      </c>
      <c r="J537">
        <v>159</v>
      </c>
      <c r="K537" s="693" t="str" cm="1">
        <f t="array" ref="K537">myRGB(H537,I537,J537)</f>
        <v/>
      </c>
    </row>
    <row r="538" spans="1:11" x14ac:dyDescent="0.2">
      <c r="A538">
        <v>698</v>
      </c>
      <c r="B538">
        <v>51</v>
      </c>
      <c r="C538">
        <v>7</v>
      </c>
      <c r="D538" t="s">
        <v>7712</v>
      </c>
      <c r="E538">
        <v>599</v>
      </c>
      <c r="F538" t="s">
        <v>5859</v>
      </c>
      <c r="G538" t="s">
        <v>5858</v>
      </c>
      <c r="H538">
        <v>253</v>
      </c>
      <c r="I538">
        <v>142</v>
      </c>
      <c r="J538">
        <v>158</v>
      </c>
      <c r="K538" s="753" t="str" cm="1">
        <f t="array" ref="K538">myRGB(H538,I538,J538)</f>
        <v/>
      </c>
    </row>
    <row r="539" spans="1:11" x14ac:dyDescent="0.2">
      <c r="A539">
        <v>700</v>
      </c>
      <c r="B539">
        <v>51</v>
      </c>
      <c r="C539">
        <v>7</v>
      </c>
      <c r="D539" t="s">
        <v>7714</v>
      </c>
      <c r="E539">
        <v>575</v>
      </c>
      <c r="F539" t="s">
        <v>5863</v>
      </c>
      <c r="G539" t="s">
        <v>5862</v>
      </c>
      <c r="H539">
        <v>253</v>
      </c>
      <c r="I539">
        <v>143</v>
      </c>
      <c r="J539">
        <v>157</v>
      </c>
      <c r="K539" s="806" t="str" cm="1">
        <f t="array" ref="K539">myRGB(H539,I539,J539)</f>
        <v/>
      </c>
    </row>
    <row r="540" spans="1:11" x14ac:dyDescent="0.2">
      <c r="A540">
        <v>702</v>
      </c>
      <c r="B540">
        <v>51</v>
      </c>
      <c r="C540">
        <v>7</v>
      </c>
      <c r="D540" t="s">
        <v>7716</v>
      </c>
      <c r="E540">
        <v>560581563</v>
      </c>
      <c r="F540" t="s">
        <v>5867</v>
      </c>
      <c r="G540" t="s">
        <v>5866</v>
      </c>
      <c r="H540">
        <v>254</v>
      </c>
      <c r="I540">
        <v>141</v>
      </c>
      <c r="J540">
        <v>158</v>
      </c>
      <c r="K540" s="732" t="str" cm="1">
        <f t="array" ref="K540">myRGB(H540,I540,J540)</f>
        <v/>
      </c>
    </row>
    <row r="541" spans="1:11" x14ac:dyDescent="0.2">
      <c r="A541">
        <v>697</v>
      </c>
      <c r="B541">
        <v>51</v>
      </c>
      <c r="C541">
        <v>7</v>
      </c>
      <c r="D541" t="s">
        <v>7711</v>
      </c>
      <c r="E541">
        <v>189</v>
      </c>
      <c r="F541" t="s">
        <v>5857</v>
      </c>
      <c r="G541" t="s">
        <v>5856</v>
      </c>
      <c r="H541">
        <v>255</v>
      </c>
      <c r="I541">
        <v>142</v>
      </c>
      <c r="J541">
        <v>158</v>
      </c>
      <c r="K541" s="419" t="str" cm="1">
        <f t="array" ref="K541">myRGB(H541,I541,J541)</f>
        <v/>
      </c>
    </row>
    <row r="542" spans="1:11" x14ac:dyDescent="0.2">
      <c r="A542">
        <v>696</v>
      </c>
      <c r="B542">
        <v>856</v>
      </c>
      <c r="C542">
        <v>6</v>
      </c>
      <c r="D542" t="s">
        <v>7710</v>
      </c>
      <c r="E542">
        <v>51</v>
      </c>
      <c r="F542" t="s">
        <v>5855</v>
      </c>
      <c r="G542" t="s">
        <v>5854</v>
      </c>
      <c r="H542">
        <v>255</v>
      </c>
      <c r="I542">
        <v>143</v>
      </c>
      <c r="J542">
        <v>159</v>
      </c>
      <c r="K542" s="521" t="str" cm="1">
        <f t="array" ref="K542">myRGB(H542,I542,J542)</f>
        <v/>
      </c>
    </row>
    <row r="543" spans="1:11" x14ac:dyDescent="0.2">
      <c r="A543">
        <v>684</v>
      </c>
      <c r="B543">
        <v>444</v>
      </c>
      <c r="C543">
        <v>7</v>
      </c>
      <c r="D543" t="s">
        <v>7701</v>
      </c>
      <c r="E543">
        <v>59</v>
      </c>
      <c r="F543" t="s">
        <v>5831</v>
      </c>
      <c r="G543" t="s">
        <v>5830</v>
      </c>
      <c r="H543">
        <v>254</v>
      </c>
      <c r="I543">
        <v>144</v>
      </c>
      <c r="J543">
        <v>159</v>
      </c>
      <c r="K543" s="489" t="str" cm="1">
        <f t="array" ref="K543">myRGB(H543,I543,J543)</f>
        <v/>
      </c>
    </row>
    <row r="544" spans="1:11" x14ac:dyDescent="0.2">
      <c r="A544">
        <v>689</v>
      </c>
      <c r="B544">
        <v>444</v>
      </c>
      <c r="C544">
        <v>7</v>
      </c>
      <c r="D544" t="s">
        <v>7703</v>
      </c>
      <c r="E544">
        <v>366</v>
      </c>
      <c r="F544" t="s">
        <v>5841</v>
      </c>
      <c r="G544" t="s">
        <v>5840</v>
      </c>
      <c r="H544">
        <v>253</v>
      </c>
      <c r="I544">
        <v>142</v>
      </c>
      <c r="J544">
        <v>159</v>
      </c>
      <c r="K544" s="588" t="str" cm="1">
        <f t="array" ref="K544">myRGB(H544,I544,J544)</f>
        <v/>
      </c>
    </row>
    <row r="545" spans="1:11" x14ac:dyDescent="0.2">
      <c r="A545">
        <v>685</v>
      </c>
      <c r="B545">
        <v>444</v>
      </c>
      <c r="C545">
        <v>7</v>
      </c>
      <c r="D545" t="s">
        <v>7702</v>
      </c>
      <c r="E545">
        <v>362</v>
      </c>
      <c r="F545" t="s">
        <v>5833</v>
      </c>
      <c r="G545" t="s">
        <v>5832</v>
      </c>
      <c r="H545">
        <v>253</v>
      </c>
      <c r="I545">
        <v>144</v>
      </c>
      <c r="J545">
        <v>157</v>
      </c>
      <c r="K545" s="624" t="str" cm="1">
        <f t="array" ref="K545">myRGB(H545,I545,J545)</f>
        <v/>
      </c>
    </row>
    <row r="546" spans="1:11" x14ac:dyDescent="0.2">
      <c r="A546">
        <v>690</v>
      </c>
      <c r="B546">
        <v>444</v>
      </c>
      <c r="C546">
        <v>7</v>
      </c>
      <c r="D546" t="s">
        <v>7704</v>
      </c>
      <c r="E546">
        <v>1077</v>
      </c>
      <c r="F546" t="s">
        <v>5843</v>
      </c>
      <c r="G546" t="s">
        <v>5842</v>
      </c>
      <c r="H546">
        <v>253</v>
      </c>
      <c r="I546">
        <v>144</v>
      </c>
      <c r="J546">
        <v>156</v>
      </c>
      <c r="K546" s="420" t="str" cm="1">
        <f t="array" ref="K546">myRGB(H546,I546,J546)</f>
        <v/>
      </c>
    </row>
    <row r="547" spans="1:11" x14ac:dyDescent="0.2">
      <c r="A547">
        <v>683</v>
      </c>
      <c r="B547">
        <v>856</v>
      </c>
      <c r="C547">
        <v>6</v>
      </c>
      <c r="D547" t="s">
        <v>7700</v>
      </c>
      <c r="E547">
        <v>444</v>
      </c>
      <c r="F547" t="s">
        <v>5829</v>
      </c>
      <c r="G547" t="s">
        <v>5828</v>
      </c>
      <c r="H547">
        <v>255</v>
      </c>
      <c r="I547">
        <v>144</v>
      </c>
      <c r="J547">
        <v>156</v>
      </c>
      <c r="K547" s="451" t="str" cm="1">
        <f t="array" ref="K547">myRGB(H547,I547,J547)</f>
        <v/>
      </c>
    </row>
    <row r="548" spans="1:11" x14ac:dyDescent="0.2">
      <c r="A548">
        <v>703</v>
      </c>
      <c r="B548">
        <v>856</v>
      </c>
      <c r="C548">
        <v>6</v>
      </c>
      <c r="D548" t="s">
        <v>7717</v>
      </c>
      <c r="E548">
        <v>262</v>
      </c>
      <c r="F548" t="s">
        <v>5869</v>
      </c>
      <c r="G548" t="s">
        <v>5868</v>
      </c>
      <c r="H548">
        <v>253</v>
      </c>
      <c r="I548">
        <v>143</v>
      </c>
      <c r="J548">
        <v>159</v>
      </c>
      <c r="K548" s="694" t="str" cm="1">
        <f t="array" ref="K548">myRGB(H548,I548,J548)</f>
        <v/>
      </c>
    </row>
    <row r="549" spans="1:11" x14ac:dyDescent="0.2">
      <c r="A549">
        <v>679</v>
      </c>
      <c r="B549">
        <v>239</v>
      </c>
      <c r="C549">
        <v>7</v>
      </c>
      <c r="D549" t="s">
        <v>7696</v>
      </c>
      <c r="E549">
        <v>64</v>
      </c>
      <c r="F549" t="s">
        <v>5821</v>
      </c>
      <c r="G549" t="s">
        <v>5820</v>
      </c>
      <c r="H549">
        <v>255</v>
      </c>
      <c r="I549">
        <v>143</v>
      </c>
      <c r="J549">
        <v>158</v>
      </c>
      <c r="K549" s="754" t="str" cm="1">
        <f t="array" ref="K549">myRGB(H549,I549,J549)</f>
        <v/>
      </c>
    </row>
    <row r="550" spans="1:11" x14ac:dyDescent="0.2">
      <c r="A550">
        <v>675</v>
      </c>
      <c r="B550">
        <v>239</v>
      </c>
      <c r="C550">
        <v>7</v>
      </c>
      <c r="D550" t="s">
        <v>7692</v>
      </c>
      <c r="E550">
        <v>255</v>
      </c>
      <c r="F550" t="s">
        <v>5813</v>
      </c>
      <c r="G550" t="s">
        <v>5812</v>
      </c>
      <c r="H550">
        <v>253</v>
      </c>
      <c r="I550">
        <v>144</v>
      </c>
      <c r="J550">
        <v>158</v>
      </c>
      <c r="K550" s="838" t="str" cm="1">
        <f t="array" ref="K550">myRGB(H550,I550,J550)</f>
        <v/>
      </c>
    </row>
    <row r="551" spans="1:11" x14ac:dyDescent="0.2">
      <c r="A551">
        <v>682</v>
      </c>
      <c r="B551">
        <v>239</v>
      </c>
      <c r="C551">
        <v>7</v>
      </c>
      <c r="D551" t="s">
        <v>7699</v>
      </c>
      <c r="E551">
        <v>155</v>
      </c>
      <c r="F551" t="s">
        <v>5827</v>
      </c>
      <c r="G551" t="s">
        <v>5826</v>
      </c>
      <c r="H551">
        <v>255</v>
      </c>
      <c r="I551">
        <v>144</v>
      </c>
      <c r="J551">
        <v>157</v>
      </c>
      <c r="K551" s="388" t="str" cm="1">
        <f t="array" ref="K551">myRGB(H551,I551,J551)</f>
        <v/>
      </c>
    </row>
    <row r="552" spans="1:11" x14ac:dyDescent="0.2">
      <c r="A552">
        <v>678</v>
      </c>
      <c r="B552">
        <v>127</v>
      </c>
      <c r="C552">
        <v>8</v>
      </c>
      <c r="D552" t="s">
        <v>7695</v>
      </c>
      <c r="E552">
        <v>1104</v>
      </c>
      <c r="F552" t="s">
        <v>5819</v>
      </c>
      <c r="G552" t="s">
        <v>5818</v>
      </c>
      <c r="H552">
        <v>252</v>
      </c>
      <c r="I552">
        <v>144</v>
      </c>
      <c r="J552">
        <v>157</v>
      </c>
      <c r="K552" s="421" t="str" cm="1">
        <f t="array" ref="K552">myRGB(H552,I552,J552)</f>
        <v/>
      </c>
    </row>
    <row r="553" spans="1:11" x14ac:dyDescent="0.2">
      <c r="A553">
        <v>677</v>
      </c>
      <c r="B553">
        <v>127</v>
      </c>
      <c r="C553">
        <v>8</v>
      </c>
      <c r="D553" t="s">
        <v>7694</v>
      </c>
      <c r="E553">
        <v>1096</v>
      </c>
      <c r="F553" t="s">
        <v>5817</v>
      </c>
      <c r="G553" t="s">
        <v>5816</v>
      </c>
      <c r="H553">
        <v>253</v>
      </c>
      <c r="I553">
        <v>141</v>
      </c>
      <c r="J553">
        <v>159</v>
      </c>
      <c r="K553" s="522" t="str" cm="1">
        <f t="array" ref="K553">myRGB(H553,I553,J553)</f>
        <v/>
      </c>
    </row>
    <row r="554" spans="1:11" x14ac:dyDescent="0.2">
      <c r="A554">
        <v>676</v>
      </c>
      <c r="B554">
        <v>239</v>
      </c>
      <c r="C554">
        <v>7</v>
      </c>
      <c r="D554" t="s">
        <v>7693</v>
      </c>
      <c r="E554">
        <v>127</v>
      </c>
      <c r="F554" t="s">
        <v>5815</v>
      </c>
      <c r="G554" t="s">
        <v>5814</v>
      </c>
      <c r="H554">
        <v>254</v>
      </c>
      <c r="I554">
        <v>144</v>
      </c>
      <c r="J554">
        <v>158</v>
      </c>
      <c r="K554" s="589" t="str" cm="1">
        <f t="array" ref="K554">myRGB(H554,I554,J554)</f>
        <v/>
      </c>
    </row>
    <row r="555" spans="1:11" x14ac:dyDescent="0.2">
      <c r="A555">
        <v>680</v>
      </c>
      <c r="B555">
        <v>239</v>
      </c>
      <c r="C555">
        <v>7</v>
      </c>
      <c r="D555" t="s">
        <v>7697</v>
      </c>
      <c r="E555">
        <v>1120</v>
      </c>
      <c r="F555" t="s">
        <v>5823</v>
      </c>
      <c r="G555" t="s">
        <v>5822</v>
      </c>
      <c r="H555">
        <v>254</v>
      </c>
      <c r="I555">
        <v>142</v>
      </c>
      <c r="J555">
        <v>156</v>
      </c>
      <c r="K555" s="675" t="str" cm="1">
        <f t="array" ref="K555">myRGB(H555,I555,J555)</f>
        <v/>
      </c>
    </row>
    <row r="556" spans="1:11" x14ac:dyDescent="0.2">
      <c r="A556">
        <v>681</v>
      </c>
      <c r="B556">
        <v>239</v>
      </c>
      <c r="C556">
        <v>7</v>
      </c>
      <c r="D556" t="s">
        <v>7698</v>
      </c>
      <c r="E556">
        <v>1113</v>
      </c>
      <c r="F556" t="s">
        <v>5825</v>
      </c>
      <c r="G556" t="s">
        <v>5824</v>
      </c>
      <c r="H556">
        <v>252</v>
      </c>
      <c r="I556">
        <v>142</v>
      </c>
      <c r="J556">
        <v>159</v>
      </c>
      <c r="K556" s="422" t="str" cm="1">
        <f t="array" ref="K556">myRGB(H556,I556,J556)</f>
        <v/>
      </c>
    </row>
    <row r="557" spans="1:11" x14ac:dyDescent="0.2">
      <c r="A557">
        <v>674</v>
      </c>
      <c r="B557">
        <v>856</v>
      </c>
      <c r="C557">
        <v>6</v>
      </c>
      <c r="D557" t="s">
        <v>7691</v>
      </c>
      <c r="E557">
        <v>239</v>
      </c>
      <c r="F557" t="s">
        <v>5811</v>
      </c>
      <c r="G557" t="s">
        <v>5810</v>
      </c>
      <c r="H557">
        <v>254</v>
      </c>
      <c r="I557">
        <v>142</v>
      </c>
      <c r="J557">
        <v>159</v>
      </c>
      <c r="K557" s="695" t="str" cm="1">
        <f t="array" ref="K557">myRGB(H557,I557,J557)</f>
        <v/>
      </c>
    </row>
    <row r="558" spans="1:11" x14ac:dyDescent="0.2">
      <c r="A558">
        <v>672</v>
      </c>
      <c r="B558">
        <v>138</v>
      </c>
      <c r="C558">
        <v>7</v>
      </c>
      <c r="D558" t="s">
        <v>7690</v>
      </c>
      <c r="E558">
        <v>560581551</v>
      </c>
      <c r="F558" t="s">
        <v>5807</v>
      </c>
      <c r="G558" t="s">
        <v>5806</v>
      </c>
      <c r="H558">
        <v>253</v>
      </c>
      <c r="I558">
        <v>143</v>
      </c>
      <c r="J558">
        <v>156</v>
      </c>
      <c r="K558" s="755" t="str" cm="1">
        <f t="array" ref="K558">myRGB(H558,I558,J558)</f>
        <v/>
      </c>
    </row>
    <row r="559" spans="1:11" x14ac:dyDescent="0.2">
      <c r="A559">
        <v>671</v>
      </c>
      <c r="B559">
        <v>138</v>
      </c>
      <c r="C559">
        <v>7</v>
      </c>
      <c r="D559" t="s">
        <v>7689</v>
      </c>
      <c r="E559">
        <v>325</v>
      </c>
      <c r="F559" t="s">
        <v>5805</v>
      </c>
      <c r="G559" t="s">
        <v>5804</v>
      </c>
      <c r="H559">
        <v>255</v>
      </c>
      <c r="I559">
        <v>142</v>
      </c>
      <c r="J559">
        <v>157</v>
      </c>
      <c r="K559" s="792" t="str" cm="1">
        <f t="array" ref="K559">myRGB(H559,I559,J559)</f>
        <v/>
      </c>
    </row>
    <row r="560" spans="1:11" x14ac:dyDescent="0.2">
      <c r="A560">
        <v>668</v>
      </c>
      <c r="B560">
        <v>138</v>
      </c>
      <c r="C560">
        <v>7</v>
      </c>
      <c r="D560" t="s">
        <v>7686</v>
      </c>
      <c r="E560">
        <v>218</v>
      </c>
      <c r="F560" t="s">
        <v>5799</v>
      </c>
      <c r="G560" t="s">
        <v>5798</v>
      </c>
      <c r="H560">
        <v>254</v>
      </c>
      <c r="I560">
        <v>144</v>
      </c>
      <c r="J560">
        <v>157</v>
      </c>
      <c r="K560" s="423" t="str" cm="1">
        <f t="array" ref="K560">myRGB(H560,I560,J560)</f>
        <v/>
      </c>
    </row>
    <row r="561" spans="1:11" x14ac:dyDescent="0.2">
      <c r="A561">
        <v>670</v>
      </c>
      <c r="B561">
        <v>138</v>
      </c>
      <c r="C561">
        <v>7</v>
      </c>
      <c r="D561" t="s">
        <v>7688</v>
      </c>
      <c r="E561">
        <v>1029</v>
      </c>
      <c r="F561" t="s">
        <v>5803</v>
      </c>
      <c r="G561" t="s">
        <v>5802</v>
      </c>
      <c r="H561">
        <v>255</v>
      </c>
      <c r="I561">
        <v>141</v>
      </c>
      <c r="J561">
        <v>157</v>
      </c>
      <c r="K561" s="523" t="str" cm="1">
        <f t="array" ref="K561">myRGB(H561,I561,J561)</f>
        <v/>
      </c>
    </row>
    <row r="562" spans="1:11" x14ac:dyDescent="0.2">
      <c r="A562">
        <v>669</v>
      </c>
      <c r="B562">
        <v>138</v>
      </c>
      <c r="C562">
        <v>7</v>
      </c>
      <c r="D562" t="s">
        <v>7687</v>
      </c>
      <c r="E562">
        <v>1020</v>
      </c>
      <c r="F562" t="s">
        <v>5801</v>
      </c>
      <c r="G562" t="s">
        <v>5800</v>
      </c>
      <c r="H562">
        <v>255</v>
      </c>
      <c r="I562">
        <v>142</v>
      </c>
      <c r="J562">
        <v>156</v>
      </c>
      <c r="K562" s="590" t="str" cm="1">
        <f t="array" ref="K562">myRGB(H562,I562,J562)</f>
        <v/>
      </c>
    </row>
    <row r="563" spans="1:11" x14ac:dyDescent="0.2">
      <c r="A563">
        <v>667</v>
      </c>
      <c r="B563">
        <v>856</v>
      </c>
      <c r="C563">
        <v>6</v>
      </c>
      <c r="D563" t="s">
        <v>7685</v>
      </c>
      <c r="E563">
        <v>138</v>
      </c>
      <c r="F563" t="s">
        <v>5797</v>
      </c>
      <c r="G563" t="s">
        <v>5796</v>
      </c>
      <c r="H563">
        <v>254</v>
      </c>
      <c r="I563">
        <v>143</v>
      </c>
      <c r="J563">
        <v>159</v>
      </c>
      <c r="K563" s="565" t="str" cm="1">
        <f t="array" ref="K563">myRGB(H563,I563,J563)</f>
        <v/>
      </c>
    </row>
    <row r="564" spans="1:11" x14ac:dyDescent="0.2">
      <c r="A564">
        <v>706</v>
      </c>
      <c r="B564">
        <v>1014</v>
      </c>
      <c r="C564">
        <v>7</v>
      </c>
      <c r="D564" t="s">
        <v>7720</v>
      </c>
      <c r="E564">
        <v>563807439</v>
      </c>
      <c r="F564" t="s">
        <v>5875</v>
      </c>
      <c r="G564" t="s">
        <v>5874</v>
      </c>
      <c r="H564">
        <v>254</v>
      </c>
      <c r="I564">
        <v>141</v>
      </c>
      <c r="J564">
        <v>157</v>
      </c>
      <c r="K564" s="424" t="str" cm="1">
        <f t="array" ref="K564">myRGB(H564,I564,J564)</f>
        <v/>
      </c>
    </row>
    <row r="565" spans="1:11" x14ac:dyDescent="0.2">
      <c r="A565">
        <v>710</v>
      </c>
      <c r="B565">
        <v>1014</v>
      </c>
      <c r="C565">
        <v>7</v>
      </c>
      <c r="D565" t="s">
        <v>7722</v>
      </c>
      <c r="E565">
        <v>321</v>
      </c>
      <c r="F565" t="s">
        <v>5883</v>
      </c>
      <c r="G565" t="s">
        <v>5882</v>
      </c>
      <c r="H565">
        <v>253</v>
      </c>
      <c r="I565">
        <v>143</v>
      </c>
      <c r="J565">
        <v>158</v>
      </c>
      <c r="K565" s="696" t="str" cm="1">
        <f t="array" ref="K565">myRGB(H565,I565,J565)</f>
        <v/>
      </c>
    </row>
    <row r="566" spans="1:11" x14ac:dyDescent="0.2">
      <c r="A566">
        <v>705</v>
      </c>
      <c r="B566">
        <v>1014</v>
      </c>
      <c r="C566">
        <v>7</v>
      </c>
      <c r="D566" t="s">
        <v>7719</v>
      </c>
      <c r="E566">
        <v>27</v>
      </c>
      <c r="F566" t="s">
        <v>5873</v>
      </c>
      <c r="G566" t="s">
        <v>5872</v>
      </c>
      <c r="H566">
        <v>255</v>
      </c>
      <c r="I566">
        <v>144</v>
      </c>
      <c r="J566">
        <v>158</v>
      </c>
      <c r="K566" s="756" t="str" cm="1">
        <f t="array" ref="K566">myRGB(H566,I566,J566)</f>
        <v/>
      </c>
    </row>
    <row r="567" spans="1:11" x14ac:dyDescent="0.2">
      <c r="A567">
        <v>707</v>
      </c>
      <c r="B567">
        <v>1014</v>
      </c>
      <c r="C567">
        <v>7</v>
      </c>
      <c r="D567" t="s">
        <v>7721</v>
      </c>
      <c r="E567">
        <v>178</v>
      </c>
      <c r="F567" t="s">
        <v>5877</v>
      </c>
      <c r="G567" t="s">
        <v>5876</v>
      </c>
      <c r="H567">
        <v>255</v>
      </c>
      <c r="I567">
        <v>142</v>
      </c>
      <c r="J567">
        <v>159</v>
      </c>
      <c r="K567" s="733" t="str" cm="1">
        <f t="array" ref="K567">myRGB(H567,I567,J567)</f>
        <v/>
      </c>
    </row>
    <row r="568" spans="1:11" x14ac:dyDescent="0.2">
      <c r="A568">
        <v>704</v>
      </c>
      <c r="B568">
        <v>856</v>
      </c>
      <c r="C568">
        <v>6</v>
      </c>
      <c r="D568" t="s">
        <v>7718</v>
      </c>
      <c r="E568">
        <v>1014</v>
      </c>
      <c r="F568" t="s">
        <v>5871</v>
      </c>
      <c r="G568" t="s">
        <v>5870</v>
      </c>
      <c r="H568">
        <v>253</v>
      </c>
      <c r="I568">
        <v>142</v>
      </c>
      <c r="J568">
        <v>157</v>
      </c>
      <c r="K568" s="425" t="str" cm="1">
        <f t="array" ref="K568">myRGB(H568,I568,J568)</f>
        <v/>
      </c>
    </row>
    <row r="569" spans="1:11" x14ac:dyDescent="0.2">
      <c r="A569">
        <v>666</v>
      </c>
      <c r="B569">
        <v>549</v>
      </c>
      <c r="C569">
        <v>5</v>
      </c>
      <c r="D569" t="s">
        <v>7684</v>
      </c>
      <c r="E569">
        <v>856</v>
      </c>
      <c r="F569" t="s">
        <v>5795</v>
      </c>
      <c r="G569" t="s">
        <v>5794</v>
      </c>
      <c r="H569">
        <v>254</v>
      </c>
      <c r="I569">
        <v>144</v>
      </c>
      <c r="J569">
        <v>156</v>
      </c>
      <c r="K569" s="524" t="str" cm="1">
        <f t="array" ref="K569">myRGB(H569,I569,J569)</f>
        <v/>
      </c>
    </row>
    <row r="570" spans="1:11" x14ac:dyDescent="0.2">
      <c r="A570">
        <v>641</v>
      </c>
      <c r="B570">
        <v>1129</v>
      </c>
      <c r="C570">
        <v>4</v>
      </c>
      <c r="D570" t="s">
        <v>7660</v>
      </c>
      <c r="E570">
        <v>549</v>
      </c>
      <c r="F570" t="s">
        <v>5745</v>
      </c>
      <c r="G570" t="s">
        <v>5744</v>
      </c>
      <c r="H570">
        <v>255</v>
      </c>
      <c r="I570">
        <v>111</v>
      </c>
      <c r="J570">
        <v>128</v>
      </c>
      <c r="K570" s="591" t="str" cm="1">
        <f t="array" ref="K570">myRGB(H570,I570,J570)</f>
        <v/>
      </c>
    </row>
    <row r="571" spans="1:11" x14ac:dyDescent="0.2">
      <c r="A571">
        <v>780</v>
      </c>
      <c r="B571">
        <v>467</v>
      </c>
      <c r="C571">
        <v>6</v>
      </c>
      <c r="D571" t="s">
        <v>7766</v>
      </c>
      <c r="E571">
        <v>980</v>
      </c>
      <c r="F571" t="s">
        <v>6023</v>
      </c>
      <c r="G571" t="s">
        <v>6022</v>
      </c>
      <c r="H571">
        <v>252</v>
      </c>
      <c r="I571">
        <v>76</v>
      </c>
      <c r="J571">
        <v>62</v>
      </c>
      <c r="K571" s="625" t="str" cm="1">
        <f t="array" ref="K571">myRGB(H571,I571,J571)</f>
        <v/>
      </c>
    </row>
    <row r="572" spans="1:11" x14ac:dyDescent="0.2">
      <c r="A572">
        <v>792</v>
      </c>
      <c r="B572">
        <v>467</v>
      </c>
      <c r="C572">
        <v>6</v>
      </c>
      <c r="D572" t="s">
        <v>7770</v>
      </c>
      <c r="E572">
        <v>946</v>
      </c>
      <c r="F572" t="s">
        <v>6047</v>
      </c>
      <c r="G572" t="s">
        <v>6046</v>
      </c>
      <c r="H572">
        <v>253</v>
      </c>
      <c r="I572">
        <v>75</v>
      </c>
      <c r="J572">
        <v>60</v>
      </c>
      <c r="K572" s="426" t="str" cm="1">
        <f t="array" ref="K572">myRGB(H572,I572,J572)</f>
        <v/>
      </c>
    </row>
    <row r="573" spans="1:11" x14ac:dyDescent="0.2">
      <c r="A573">
        <v>757</v>
      </c>
      <c r="B573">
        <v>467</v>
      </c>
      <c r="C573">
        <v>6</v>
      </c>
      <c r="D573" t="s">
        <v>7752</v>
      </c>
      <c r="E573">
        <v>88</v>
      </c>
      <c r="F573" t="s">
        <v>5977</v>
      </c>
      <c r="G573" t="s">
        <v>5976</v>
      </c>
      <c r="H573">
        <v>255</v>
      </c>
      <c r="I573">
        <v>75</v>
      </c>
      <c r="J573">
        <v>62</v>
      </c>
      <c r="K573" s="697" t="str" cm="1">
        <f t="array" ref="K573">myRGB(H573,I573,J573)</f>
        <v/>
      </c>
    </row>
    <row r="574" spans="1:11" x14ac:dyDescent="0.2">
      <c r="A574">
        <v>787</v>
      </c>
      <c r="B574">
        <v>467</v>
      </c>
      <c r="C574">
        <v>6</v>
      </c>
      <c r="D574" t="s">
        <v>7769</v>
      </c>
      <c r="E574">
        <v>693</v>
      </c>
      <c r="F574" t="s">
        <v>6037</v>
      </c>
      <c r="G574" t="s">
        <v>6036</v>
      </c>
      <c r="H574">
        <v>255</v>
      </c>
      <c r="I574">
        <v>74</v>
      </c>
      <c r="J574">
        <v>61</v>
      </c>
      <c r="K574" s="757" t="str" cm="1">
        <f t="array" ref="K574">myRGB(H574,I574,J574)</f>
        <v/>
      </c>
    </row>
    <row r="575" spans="1:11" x14ac:dyDescent="0.2">
      <c r="A575">
        <v>782</v>
      </c>
      <c r="B575">
        <v>467</v>
      </c>
      <c r="C575">
        <v>6</v>
      </c>
      <c r="D575" t="s">
        <v>7768</v>
      </c>
      <c r="E575">
        <v>63</v>
      </c>
      <c r="F575" t="s">
        <v>6027</v>
      </c>
      <c r="G575" t="s">
        <v>6026</v>
      </c>
      <c r="H575">
        <v>255</v>
      </c>
      <c r="I575">
        <v>76</v>
      </c>
      <c r="J575">
        <v>61</v>
      </c>
      <c r="K575" s="839" t="str" cm="1">
        <f t="array" ref="K575">myRGB(H575,I575,J575)</f>
        <v/>
      </c>
    </row>
    <row r="576" spans="1:11" x14ac:dyDescent="0.2">
      <c r="A576">
        <v>776</v>
      </c>
      <c r="B576">
        <v>467</v>
      </c>
      <c r="C576">
        <v>6</v>
      </c>
      <c r="D576" t="s">
        <v>7765</v>
      </c>
      <c r="E576">
        <v>515</v>
      </c>
      <c r="F576" t="s">
        <v>6015</v>
      </c>
      <c r="G576" t="s">
        <v>6014</v>
      </c>
      <c r="H576">
        <v>253</v>
      </c>
      <c r="I576">
        <v>76</v>
      </c>
      <c r="J576">
        <v>62</v>
      </c>
      <c r="K576" s="427" t="str" cm="1">
        <f t="array" ref="K576">myRGB(H576,I576,J576)</f>
        <v/>
      </c>
    </row>
    <row r="577" spans="1:11" x14ac:dyDescent="0.2">
      <c r="A577">
        <v>774</v>
      </c>
      <c r="B577">
        <v>557</v>
      </c>
      <c r="C577">
        <v>8</v>
      </c>
      <c r="D577" t="s">
        <v>7763</v>
      </c>
      <c r="E577">
        <v>1126</v>
      </c>
      <c r="F577" t="s">
        <v>6011</v>
      </c>
      <c r="G577" t="s">
        <v>6010</v>
      </c>
      <c r="H577">
        <v>252</v>
      </c>
      <c r="I577">
        <v>76</v>
      </c>
      <c r="J577">
        <v>61</v>
      </c>
      <c r="K577" s="525" t="str" cm="1">
        <f t="array" ref="K577">myRGB(H577,I577,J577)</f>
        <v/>
      </c>
    </row>
    <row r="578" spans="1:11" x14ac:dyDescent="0.2">
      <c r="A578">
        <v>775</v>
      </c>
      <c r="B578">
        <v>557</v>
      </c>
      <c r="C578">
        <v>8</v>
      </c>
      <c r="D578" t="s">
        <v>7764</v>
      </c>
      <c r="E578">
        <v>1</v>
      </c>
      <c r="F578" t="s">
        <v>6013</v>
      </c>
      <c r="G578" t="s">
        <v>6012</v>
      </c>
      <c r="H578">
        <v>255</v>
      </c>
      <c r="I578">
        <v>76</v>
      </c>
      <c r="J578">
        <v>62</v>
      </c>
      <c r="K578" s="592" t="str" cm="1">
        <f t="array" ref="K578">myRGB(H578,I578,J578)</f>
        <v/>
      </c>
    </row>
    <row r="579" spans="1:11" x14ac:dyDescent="0.2">
      <c r="A579">
        <v>773</v>
      </c>
      <c r="B579">
        <v>331</v>
      </c>
      <c r="C579">
        <v>7</v>
      </c>
      <c r="D579" t="s">
        <v>7762</v>
      </c>
      <c r="E579">
        <v>557</v>
      </c>
      <c r="F579" t="s">
        <v>6009</v>
      </c>
      <c r="G579" t="s">
        <v>6008</v>
      </c>
      <c r="H579">
        <v>255</v>
      </c>
      <c r="I579">
        <v>75</v>
      </c>
      <c r="J579">
        <v>60</v>
      </c>
      <c r="K579" s="566" t="str" cm="1">
        <f t="array" ref="K579">myRGB(H579,I579,J579)</f>
        <v/>
      </c>
    </row>
    <row r="580" spans="1:11" x14ac:dyDescent="0.2">
      <c r="A580">
        <v>770</v>
      </c>
      <c r="B580">
        <v>331</v>
      </c>
      <c r="C580">
        <v>7</v>
      </c>
      <c r="D580" t="s">
        <v>7761</v>
      </c>
      <c r="E580">
        <v>525</v>
      </c>
      <c r="F580" t="s">
        <v>6003</v>
      </c>
      <c r="G580" t="s">
        <v>6002</v>
      </c>
      <c r="H580">
        <v>255</v>
      </c>
      <c r="I580">
        <v>73</v>
      </c>
      <c r="J580">
        <v>61</v>
      </c>
      <c r="K580" s="428" t="str" cm="1">
        <f t="array" ref="K580">myRGB(H580,I580,J580)</f>
        <v/>
      </c>
    </row>
    <row r="581" spans="1:11" x14ac:dyDescent="0.2">
      <c r="A581">
        <v>765</v>
      </c>
      <c r="B581">
        <v>491</v>
      </c>
      <c r="C581">
        <v>8</v>
      </c>
      <c r="D581" t="s">
        <v>7756</v>
      </c>
      <c r="E581">
        <v>732</v>
      </c>
      <c r="F581" t="s">
        <v>5993</v>
      </c>
      <c r="G581" t="s">
        <v>5992</v>
      </c>
      <c r="H581">
        <v>253</v>
      </c>
      <c r="I581">
        <v>75</v>
      </c>
      <c r="J581">
        <v>62</v>
      </c>
      <c r="K581" s="698" t="str" cm="1">
        <f t="array" ref="K581">myRGB(H581,I581,J581)</f>
        <v/>
      </c>
    </row>
    <row r="582" spans="1:11" x14ac:dyDescent="0.2">
      <c r="A582">
        <v>769</v>
      </c>
      <c r="B582">
        <v>491</v>
      </c>
      <c r="C582">
        <v>8</v>
      </c>
      <c r="D582" t="s">
        <v>7760</v>
      </c>
      <c r="E582">
        <v>606826659</v>
      </c>
      <c r="F582" t="s">
        <v>6001</v>
      </c>
      <c r="G582" t="s">
        <v>6000</v>
      </c>
      <c r="H582">
        <v>253</v>
      </c>
      <c r="I582">
        <v>74</v>
      </c>
      <c r="J582">
        <v>61</v>
      </c>
      <c r="K582" s="758" t="str" cm="1">
        <f t="array" ref="K582">myRGB(H582,I582,J582)</f>
        <v/>
      </c>
    </row>
    <row r="583" spans="1:11" x14ac:dyDescent="0.2">
      <c r="A583">
        <v>768</v>
      </c>
      <c r="B583">
        <v>491</v>
      </c>
      <c r="C583">
        <v>8</v>
      </c>
      <c r="D583" t="s">
        <v>7759</v>
      </c>
      <c r="E583">
        <v>606826655</v>
      </c>
      <c r="F583" t="s">
        <v>5999</v>
      </c>
      <c r="G583" t="s">
        <v>5998</v>
      </c>
      <c r="H583">
        <v>254</v>
      </c>
      <c r="I583">
        <v>73</v>
      </c>
      <c r="J583">
        <v>61</v>
      </c>
      <c r="K583" s="793" t="str" cm="1">
        <f t="array" ref="K583">myRGB(H583,I583,J583)</f>
        <v/>
      </c>
    </row>
    <row r="584" spans="1:11" x14ac:dyDescent="0.2">
      <c r="A584">
        <v>767</v>
      </c>
      <c r="B584">
        <v>491</v>
      </c>
      <c r="C584">
        <v>8</v>
      </c>
      <c r="D584" t="s">
        <v>7758</v>
      </c>
      <c r="E584">
        <v>606826651</v>
      </c>
      <c r="F584" t="s">
        <v>5997</v>
      </c>
      <c r="G584" t="s">
        <v>5996</v>
      </c>
      <c r="H584">
        <v>254</v>
      </c>
      <c r="I584">
        <v>74</v>
      </c>
      <c r="J584">
        <v>60</v>
      </c>
      <c r="K584" s="429" t="str" cm="1">
        <f t="array" ref="K584">myRGB(H584,I584,J584)</f>
        <v/>
      </c>
    </row>
    <row r="585" spans="1:11" x14ac:dyDescent="0.2">
      <c r="A585">
        <v>766</v>
      </c>
      <c r="B585">
        <v>491</v>
      </c>
      <c r="C585">
        <v>8</v>
      </c>
      <c r="D585" t="s">
        <v>7757</v>
      </c>
      <c r="E585">
        <v>606826647</v>
      </c>
      <c r="F585" t="s">
        <v>5995</v>
      </c>
      <c r="G585" t="s">
        <v>5994</v>
      </c>
      <c r="H585">
        <v>252</v>
      </c>
      <c r="I585">
        <v>75</v>
      </c>
      <c r="J585">
        <v>62</v>
      </c>
      <c r="K585" s="526" t="str" cm="1">
        <f t="array" ref="K585">myRGB(H585,I585,J585)</f>
        <v/>
      </c>
    </row>
    <row r="586" spans="1:11" x14ac:dyDescent="0.2">
      <c r="A586">
        <v>764</v>
      </c>
      <c r="B586">
        <v>331</v>
      </c>
      <c r="C586">
        <v>7</v>
      </c>
      <c r="D586" t="s">
        <v>7755</v>
      </c>
      <c r="E586">
        <v>491</v>
      </c>
      <c r="F586" t="s">
        <v>5991</v>
      </c>
      <c r="G586" t="s">
        <v>5990</v>
      </c>
      <c r="H586">
        <v>255</v>
      </c>
      <c r="I586">
        <v>74</v>
      </c>
      <c r="J586">
        <v>62</v>
      </c>
      <c r="K586" s="593" t="str" cm="1">
        <f t="array" ref="K586">myRGB(H586,I586,J586)</f>
        <v/>
      </c>
    </row>
    <row r="587" spans="1:11" x14ac:dyDescent="0.2">
      <c r="A587">
        <v>763</v>
      </c>
      <c r="B587">
        <v>331</v>
      </c>
      <c r="C587">
        <v>7</v>
      </c>
      <c r="D587" t="s">
        <v>7754</v>
      </c>
      <c r="E587">
        <v>210</v>
      </c>
      <c r="F587" t="s">
        <v>5989</v>
      </c>
      <c r="G587" t="s">
        <v>5988</v>
      </c>
      <c r="H587">
        <v>255</v>
      </c>
      <c r="I587">
        <v>75</v>
      </c>
      <c r="J587">
        <v>61</v>
      </c>
      <c r="K587" s="676" t="str" cm="1">
        <f t="array" ref="K587">myRGB(H587,I587,J587)</f>
        <v/>
      </c>
    </row>
    <row r="588" spans="1:11" x14ac:dyDescent="0.2">
      <c r="A588">
        <v>762</v>
      </c>
      <c r="B588">
        <v>467</v>
      </c>
      <c r="C588">
        <v>6</v>
      </c>
      <c r="D588" t="s">
        <v>7753</v>
      </c>
      <c r="E588">
        <v>331</v>
      </c>
      <c r="F588" t="s">
        <v>5987</v>
      </c>
      <c r="G588" t="s">
        <v>5986</v>
      </c>
      <c r="H588">
        <v>254</v>
      </c>
      <c r="I588">
        <v>76</v>
      </c>
      <c r="J588">
        <v>61</v>
      </c>
      <c r="K588" s="430" t="str" cm="1">
        <f t="array" ref="K588">myRGB(H588,I588,J588)</f>
        <v/>
      </c>
    </row>
    <row r="589" spans="1:11" x14ac:dyDescent="0.2">
      <c r="A589">
        <v>781</v>
      </c>
      <c r="B589">
        <v>467</v>
      </c>
      <c r="C589">
        <v>6</v>
      </c>
      <c r="D589" t="s">
        <v>7767</v>
      </c>
      <c r="E589">
        <v>1004</v>
      </c>
      <c r="F589" t="s">
        <v>6025</v>
      </c>
      <c r="G589" t="s">
        <v>6024</v>
      </c>
      <c r="H589">
        <v>255</v>
      </c>
      <c r="I589">
        <v>75</v>
      </c>
      <c r="J589">
        <v>59</v>
      </c>
      <c r="K589" s="699" t="str" cm="1">
        <f t="array" ref="K589">myRGB(H589,I589,J589)</f>
        <v/>
      </c>
    </row>
    <row r="590" spans="1:11" x14ac:dyDescent="0.2">
      <c r="A590">
        <v>756</v>
      </c>
      <c r="B590">
        <v>1097</v>
      </c>
      <c r="C590">
        <v>5</v>
      </c>
      <c r="D590" t="s">
        <v>7751</v>
      </c>
      <c r="E590">
        <v>467</v>
      </c>
      <c r="F590" t="s">
        <v>5975</v>
      </c>
      <c r="G590" t="s">
        <v>5974</v>
      </c>
      <c r="H590">
        <v>255</v>
      </c>
      <c r="I590">
        <v>76</v>
      </c>
      <c r="J590">
        <v>60</v>
      </c>
      <c r="K590" s="759" t="str" cm="1">
        <f t="array" ref="K590">myRGB(H590,I590,J590)</f>
        <v/>
      </c>
    </row>
    <row r="591" spans="1:11" x14ac:dyDescent="0.2">
      <c r="A591">
        <v>804</v>
      </c>
      <c r="B591">
        <v>797</v>
      </c>
      <c r="C591">
        <v>7</v>
      </c>
      <c r="D591" t="s">
        <v>7781</v>
      </c>
      <c r="E591">
        <v>804</v>
      </c>
      <c r="F591" t="s">
        <v>6071</v>
      </c>
      <c r="G591" t="s">
        <v>6070</v>
      </c>
      <c r="H591">
        <v>242</v>
      </c>
      <c r="I591">
        <v>71</v>
      </c>
      <c r="J591">
        <v>57</v>
      </c>
      <c r="K591" s="734" t="str" cm="1">
        <f t="array" ref="K591">myRGB(H591,I591,J591)</f>
        <v/>
      </c>
    </row>
    <row r="592" spans="1:11" x14ac:dyDescent="0.2">
      <c r="A592">
        <v>802</v>
      </c>
      <c r="B592">
        <v>290</v>
      </c>
      <c r="C592">
        <v>6</v>
      </c>
      <c r="D592" t="s">
        <v>7780</v>
      </c>
      <c r="E592">
        <v>797</v>
      </c>
      <c r="F592" t="s">
        <v>6067</v>
      </c>
      <c r="G592" t="s">
        <v>6066</v>
      </c>
      <c r="H592">
        <v>240</v>
      </c>
      <c r="I592">
        <v>72</v>
      </c>
      <c r="J592">
        <v>59</v>
      </c>
      <c r="K592" s="431" t="str" cm="1">
        <f t="array" ref="K592">myRGB(H592,I592,J592)</f>
        <v/>
      </c>
    </row>
    <row r="593" spans="1:11" x14ac:dyDescent="0.2">
      <c r="A593">
        <v>801</v>
      </c>
      <c r="B593">
        <v>290</v>
      </c>
      <c r="C593">
        <v>6</v>
      </c>
      <c r="D593" t="s">
        <v>7779</v>
      </c>
      <c r="E593">
        <v>614</v>
      </c>
      <c r="F593" t="s">
        <v>6065</v>
      </c>
      <c r="G593" t="s">
        <v>6064</v>
      </c>
      <c r="H593">
        <v>242</v>
      </c>
      <c r="I593">
        <v>72</v>
      </c>
      <c r="J593">
        <v>57</v>
      </c>
      <c r="K593" s="527" t="str" cm="1">
        <f t="array" ref="K593">myRGB(H593,I593,J593)</f>
        <v/>
      </c>
    </row>
    <row r="594" spans="1:11" x14ac:dyDescent="0.2">
      <c r="A594">
        <v>798</v>
      </c>
      <c r="B594">
        <v>290</v>
      </c>
      <c r="C594">
        <v>6</v>
      </c>
      <c r="D594" t="s">
        <v>7776</v>
      </c>
      <c r="E594">
        <v>576073704</v>
      </c>
      <c r="F594" t="s">
        <v>6059</v>
      </c>
      <c r="G594" t="s">
        <v>6058</v>
      </c>
      <c r="H594">
        <v>242</v>
      </c>
      <c r="I594">
        <v>70</v>
      </c>
      <c r="J594">
        <v>58</v>
      </c>
      <c r="K594" s="594" t="str" cm="1">
        <f t="array" ref="K594">myRGB(H594,I594,J594)</f>
        <v/>
      </c>
    </row>
    <row r="595" spans="1:11" x14ac:dyDescent="0.2">
      <c r="A595">
        <v>800</v>
      </c>
      <c r="B595">
        <v>290</v>
      </c>
      <c r="C595">
        <v>6</v>
      </c>
      <c r="D595" t="s">
        <v>7778</v>
      </c>
      <c r="E595">
        <v>470</v>
      </c>
      <c r="F595" t="s">
        <v>6063</v>
      </c>
      <c r="G595" t="s">
        <v>6062</v>
      </c>
      <c r="H595">
        <v>241</v>
      </c>
      <c r="I595">
        <v>71</v>
      </c>
      <c r="J595">
        <v>59</v>
      </c>
      <c r="K595" s="626" t="str" cm="1">
        <f t="array" ref="K595">myRGB(H595,I595,J595)</f>
        <v/>
      </c>
    </row>
    <row r="596" spans="1:11" x14ac:dyDescent="0.2">
      <c r="A596">
        <v>797</v>
      </c>
      <c r="B596">
        <v>290</v>
      </c>
      <c r="C596">
        <v>6</v>
      </c>
      <c r="D596" t="s">
        <v>7775</v>
      </c>
      <c r="E596">
        <v>364</v>
      </c>
      <c r="F596" t="s">
        <v>6057</v>
      </c>
      <c r="G596" t="s">
        <v>6056</v>
      </c>
      <c r="H596">
        <v>241</v>
      </c>
      <c r="I596">
        <v>72</v>
      </c>
      <c r="J596">
        <v>58</v>
      </c>
      <c r="K596" s="432" t="str" cm="1">
        <f t="array" ref="K596">myRGB(H596,I596,J596)</f>
        <v/>
      </c>
    </row>
    <row r="597" spans="1:11" x14ac:dyDescent="0.2">
      <c r="A597">
        <v>796</v>
      </c>
      <c r="B597">
        <v>290</v>
      </c>
      <c r="C597">
        <v>6</v>
      </c>
      <c r="D597" t="s">
        <v>7774</v>
      </c>
      <c r="E597">
        <v>356</v>
      </c>
      <c r="F597" t="s">
        <v>6055</v>
      </c>
      <c r="G597" t="s">
        <v>6054</v>
      </c>
      <c r="H597">
        <v>242</v>
      </c>
      <c r="I597">
        <v>71</v>
      </c>
      <c r="J597">
        <v>58</v>
      </c>
      <c r="K597" s="700" t="str" cm="1">
        <f t="array" ref="K597">myRGB(H597,I597,J597)</f>
        <v/>
      </c>
    </row>
    <row r="598" spans="1:11" x14ac:dyDescent="0.2">
      <c r="A598">
        <v>795</v>
      </c>
      <c r="B598">
        <v>290</v>
      </c>
      <c r="C598">
        <v>6</v>
      </c>
      <c r="D598" t="s">
        <v>7773</v>
      </c>
      <c r="E598">
        <v>226</v>
      </c>
      <c r="F598" t="s">
        <v>6053</v>
      </c>
      <c r="G598" t="s">
        <v>6052</v>
      </c>
      <c r="H598">
        <v>242</v>
      </c>
      <c r="I598">
        <v>71</v>
      </c>
      <c r="J598">
        <v>59</v>
      </c>
      <c r="K598" s="760" t="str" cm="1">
        <f t="array" ref="K598">myRGB(H598,I598,J598)</f>
        <v/>
      </c>
    </row>
    <row r="599" spans="1:11" x14ac:dyDescent="0.2">
      <c r="A599">
        <v>794</v>
      </c>
      <c r="B599">
        <v>290</v>
      </c>
      <c r="C599">
        <v>6</v>
      </c>
      <c r="D599" t="s">
        <v>7772</v>
      </c>
      <c r="E599">
        <v>194</v>
      </c>
      <c r="F599" t="s">
        <v>6051</v>
      </c>
      <c r="G599" t="s">
        <v>6050</v>
      </c>
      <c r="H599">
        <v>242</v>
      </c>
      <c r="I599">
        <v>72</v>
      </c>
      <c r="J599">
        <v>58</v>
      </c>
      <c r="K599" s="840" t="str" cm="1">
        <f t="array" ref="K599">myRGB(H599,I599,J599)</f>
        <v/>
      </c>
    </row>
    <row r="600" spans="1:11" x14ac:dyDescent="0.2">
      <c r="A600">
        <v>799</v>
      </c>
      <c r="B600">
        <v>290</v>
      </c>
      <c r="C600">
        <v>6</v>
      </c>
      <c r="D600" t="s">
        <v>7777</v>
      </c>
      <c r="E600">
        <v>173</v>
      </c>
      <c r="F600" t="s">
        <v>6061</v>
      </c>
      <c r="G600" t="s">
        <v>6060</v>
      </c>
      <c r="H600">
        <v>242</v>
      </c>
      <c r="I600">
        <v>72</v>
      </c>
      <c r="J600">
        <v>59</v>
      </c>
      <c r="K600" s="433" t="str" cm="1">
        <f t="array" ref="K600">myRGB(H600,I600,J600)</f>
        <v/>
      </c>
    </row>
    <row r="601" spans="1:11" x14ac:dyDescent="0.2">
      <c r="A601">
        <v>793</v>
      </c>
      <c r="B601">
        <v>1097</v>
      </c>
      <c r="C601">
        <v>5</v>
      </c>
      <c r="D601" t="s">
        <v>7771</v>
      </c>
      <c r="E601">
        <v>290</v>
      </c>
      <c r="F601" t="s">
        <v>6049</v>
      </c>
      <c r="G601" t="s">
        <v>6048</v>
      </c>
      <c r="H601">
        <v>241</v>
      </c>
      <c r="I601">
        <v>72</v>
      </c>
      <c r="J601">
        <v>59</v>
      </c>
      <c r="K601" s="528" t="str" cm="1">
        <f t="array" ref="K601">myRGB(H601,I601,J601)</f>
        <v/>
      </c>
    </row>
    <row r="602" spans="1:11" x14ac:dyDescent="0.2">
      <c r="A602">
        <v>717</v>
      </c>
      <c r="B602">
        <v>157</v>
      </c>
      <c r="C602">
        <v>6</v>
      </c>
      <c r="D602" t="s">
        <v>7728</v>
      </c>
      <c r="E602">
        <v>390</v>
      </c>
      <c r="F602" t="s">
        <v>5897</v>
      </c>
      <c r="G602" t="s">
        <v>5896</v>
      </c>
      <c r="H602">
        <v>254</v>
      </c>
      <c r="I602">
        <v>91</v>
      </c>
      <c r="J602">
        <v>80</v>
      </c>
      <c r="K602" s="595" t="str" cm="1">
        <f t="array" ref="K602">myRGB(H602,I602,J602)</f>
        <v/>
      </c>
    </row>
    <row r="603" spans="1:11" x14ac:dyDescent="0.2">
      <c r="A603">
        <v>720</v>
      </c>
      <c r="B603">
        <v>157</v>
      </c>
      <c r="C603">
        <v>6</v>
      </c>
      <c r="D603" t="s">
        <v>7730</v>
      </c>
      <c r="E603">
        <v>38</v>
      </c>
      <c r="F603" t="s">
        <v>5903</v>
      </c>
      <c r="G603" t="s">
        <v>5902</v>
      </c>
      <c r="H603">
        <v>255</v>
      </c>
      <c r="I603">
        <v>93</v>
      </c>
      <c r="J603">
        <v>79</v>
      </c>
      <c r="K603" s="567" t="str" cm="1">
        <f t="array" ref="K603">myRGB(H603,I603,J603)</f>
        <v/>
      </c>
    </row>
    <row r="604" spans="1:11" x14ac:dyDescent="0.2">
      <c r="A604">
        <v>718</v>
      </c>
      <c r="B604">
        <v>157</v>
      </c>
      <c r="C604">
        <v>6</v>
      </c>
      <c r="D604" t="s">
        <v>7729</v>
      </c>
      <c r="E604">
        <v>332</v>
      </c>
      <c r="F604" t="s">
        <v>5899</v>
      </c>
      <c r="G604" t="s">
        <v>5898</v>
      </c>
      <c r="H604">
        <v>254</v>
      </c>
      <c r="I604">
        <v>93</v>
      </c>
      <c r="J604">
        <v>78</v>
      </c>
      <c r="K604" s="434" t="str" cm="1">
        <f t="array" ref="K604">myRGB(H604,I604,J604)</f>
        <v/>
      </c>
    </row>
    <row r="605" spans="1:11" x14ac:dyDescent="0.2">
      <c r="A605">
        <v>731</v>
      </c>
      <c r="B605">
        <v>157</v>
      </c>
      <c r="C605">
        <v>6</v>
      </c>
      <c r="D605" t="s">
        <v>7731</v>
      </c>
      <c r="E605">
        <v>30</v>
      </c>
      <c r="F605" t="s">
        <v>5925</v>
      </c>
      <c r="G605" t="s">
        <v>5924</v>
      </c>
      <c r="H605">
        <v>255</v>
      </c>
      <c r="I605">
        <v>93</v>
      </c>
      <c r="J605">
        <v>80</v>
      </c>
      <c r="K605" s="701" t="str" cm="1">
        <f t="array" ref="K605">myRGB(H605,I605,J605)</f>
        <v/>
      </c>
    </row>
    <row r="606" spans="1:11" x14ac:dyDescent="0.2">
      <c r="A606">
        <v>733</v>
      </c>
      <c r="B606">
        <v>157</v>
      </c>
      <c r="C606">
        <v>6</v>
      </c>
      <c r="D606" t="s">
        <v>7733</v>
      </c>
      <c r="E606">
        <v>223</v>
      </c>
      <c r="F606" t="s">
        <v>5929</v>
      </c>
      <c r="G606" t="s">
        <v>5928</v>
      </c>
      <c r="H606">
        <v>255</v>
      </c>
      <c r="I606">
        <v>91</v>
      </c>
      <c r="J606">
        <v>79</v>
      </c>
      <c r="K606" s="761" t="str" cm="1">
        <f t="array" ref="K606">myRGB(H606,I606,J606)</f>
        <v/>
      </c>
    </row>
    <row r="607" spans="1:11" x14ac:dyDescent="0.2">
      <c r="A607">
        <v>732</v>
      </c>
      <c r="B607">
        <v>157</v>
      </c>
      <c r="C607">
        <v>6</v>
      </c>
      <c r="D607" t="s">
        <v>7732</v>
      </c>
      <c r="E607">
        <v>118</v>
      </c>
      <c r="F607" t="s">
        <v>5927</v>
      </c>
      <c r="G607" t="s">
        <v>5926</v>
      </c>
      <c r="H607">
        <v>253</v>
      </c>
      <c r="I607">
        <v>93</v>
      </c>
      <c r="J607">
        <v>80</v>
      </c>
      <c r="K607" s="794" t="str" cm="1">
        <f t="array" ref="K607">myRGB(H607,I607,J607)</f>
        <v/>
      </c>
    </row>
    <row r="608" spans="1:11" x14ac:dyDescent="0.2">
      <c r="A608">
        <v>716</v>
      </c>
      <c r="B608">
        <v>1097</v>
      </c>
      <c r="C608">
        <v>5</v>
      </c>
      <c r="D608" t="s">
        <v>7727</v>
      </c>
      <c r="E608">
        <v>157</v>
      </c>
      <c r="F608" t="s">
        <v>5895</v>
      </c>
      <c r="G608" t="s">
        <v>5894</v>
      </c>
      <c r="H608">
        <v>255</v>
      </c>
      <c r="I608">
        <v>92</v>
      </c>
      <c r="J608">
        <v>78</v>
      </c>
      <c r="K608" s="435" t="str" cm="1">
        <f t="array" ref="K608">myRGB(H608,I608,J608)</f>
        <v/>
      </c>
    </row>
    <row r="609" spans="1:11" x14ac:dyDescent="0.2">
      <c r="A609">
        <v>746</v>
      </c>
      <c r="B609">
        <v>141</v>
      </c>
      <c r="C609">
        <v>6</v>
      </c>
      <c r="D609" t="s">
        <v>7742</v>
      </c>
      <c r="E609">
        <v>914</v>
      </c>
      <c r="F609" t="s">
        <v>5955</v>
      </c>
      <c r="G609" t="s">
        <v>5954</v>
      </c>
      <c r="H609">
        <v>254</v>
      </c>
      <c r="I609">
        <v>83</v>
      </c>
      <c r="J609">
        <v>70</v>
      </c>
      <c r="K609" s="529" t="str" cm="1">
        <f t="array" ref="K609">myRGB(H609,I609,J609)</f>
        <v/>
      </c>
    </row>
    <row r="610" spans="1:11" x14ac:dyDescent="0.2">
      <c r="A610">
        <v>739</v>
      </c>
      <c r="B610">
        <v>141</v>
      </c>
      <c r="C610">
        <v>6</v>
      </c>
      <c r="D610" t="s">
        <v>7738</v>
      </c>
      <c r="E610">
        <v>830</v>
      </c>
      <c r="F610" t="s">
        <v>5941</v>
      </c>
      <c r="G610" t="s">
        <v>5940</v>
      </c>
      <c r="H610">
        <v>254</v>
      </c>
      <c r="I610">
        <v>84</v>
      </c>
      <c r="J610">
        <v>69</v>
      </c>
      <c r="K610" s="596" t="str" cm="1">
        <f t="array" ref="K610">myRGB(H610,I610,J610)</f>
        <v/>
      </c>
    </row>
    <row r="611" spans="1:11" x14ac:dyDescent="0.2">
      <c r="A611">
        <v>745</v>
      </c>
      <c r="B611">
        <v>141</v>
      </c>
      <c r="C611">
        <v>6</v>
      </c>
      <c r="D611" t="s">
        <v>7741</v>
      </c>
      <c r="E611">
        <v>763</v>
      </c>
      <c r="F611" t="s">
        <v>5953</v>
      </c>
      <c r="G611" t="s">
        <v>5952</v>
      </c>
      <c r="H611">
        <v>253</v>
      </c>
      <c r="I611">
        <v>84</v>
      </c>
      <c r="J611">
        <v>71</v>
      </c>
      <c r="K611" s="677" t="str" cm="1">
        <f t="array" ref="K611">myRGB(H611,I611,J611)</f>
        <v/>
      </c>
    </row>
    <row r="612" spans="1:11" x14ac:dyDescent="0.2">
      <c r="A612">
        <v>735</v>
      </c>
      <c r="B612">
        <v>141</v>
      </c>
      <c r="C612">
        <v>6</v>
      </c>
      <c r="D612" t="s">
        <v>7735</v>
      </c>
      <c r="E612">
        <v>72</v>
      </c>
      <c r="F612" t="s">
        <v>5933</v>
      </c>
      <c r="G612" t="s">
        <v>5932</v>
      </c>
      <c r="H612">
        <v>255</v>
      </c>
      <c r="I612">
        <v>85</v>
      </c>
      <c r="J612">
        <v>71</v>
      </c>
      <c r="K612" s="702" t="str" cm="1">
        <f t="array" ref="K612">myRGB(H612,I612,J612)</f>
        <v/>
      </c>
    </row>
    <row r="613" spans="1:11" x14ac:dyDescent="0.2">
      <c r="A613">
        <v>755</v>
      </c>
      <c r="B613">
        <v>141</v>
      </c>
      <c r="C613">
        <v>6</v>
      </c>
      <c r="D613" t="s">
        <v>7750</v>
      </c>
      <c r="E613">
        <v>689</v>
      </c>
      <c r="F613" t="s">
        <v>5973</v>
      </c>
      <c r="G613" t="s">
        <v>5972</v>
      </c>
      <c r="H613">
        <v>254</v>
      </c>
      <c r="I613">
        <v>85</v>
      </c>
      <c r="J613">
        <v>70</v>
      </c>
      <c r="K613" s="762" t="str" cm="1">
        <f t="array" ref="K613">myRGB(H613,I613,J613)</f>
        <v/>
      </c>
    </row>
    <row r="614" spans="1:11" x14ac:dyDescent="0.2">
      <c r="A614">
        <v>754</v>
      </c>
      <c r="B614">
        <v>141</v>
      </c>
      <c r="C614">
        <v>6</v>
      </c>
      <c r="D614" t="s">
        <v>7749</v>
      </c>
      <c r="E614">
        <v>576073699</v>
      </c>
      <c r="F614" t="s">
        <v>5971</v>
      </c>
      <c r="G614" t="s">
        <v>5970</v>
      </c>
      <c r="H614">
        <v>253</v>
      </c>
      <c r="I614">
        <v>85</v>
      </c>
      <c r="J614">
        <v>69</v>
      </c>
      <c r="K614" s="807" t="str" cm="1">
        <f t="array" ref="K614">myRGB(H614,I614,J614)</f>
        <v/>
      </c>
    </row>
    <row r="615" spans="1:11" x14ac:dyDescent="0.2">
      <c r="A615">
        <v>744</v>
      </c>
      <c r="B615">
        <v>141</v>
      </c>
      <c r="C615">
        <v>6</v>
      </c>
      <c r="D615" t="s">
        <v>7740</v>
      </c>
      <c r="E615">
        <v>523</v>
      </c>
      <c r="F615" t="s">
        <v>5951</v>
      </c>
      <c r="G615" t="s">
        <v>5950</v>
      </c>
      <c r="H615">
        <v>255</v>
      </c>
      <c r="I615">
        <v>83</v>
      </c>
      <c r="J615">
        <v>70</v>
      </c>
      <c r="K615" s="530" t="str" cm="1">
        <f t="array" ref="K615">myRGB(H615,I615,J615)</f>
        <v/>
      </c>
    </row>
    <row r="616" spans="1:11" x14ac:dyDescent="0.2">
      <c r="A616">
        <v>743</v>
      </c>
      <c r="B616">
        <v>141</v>
      </c>
      <c r="C616">
        <v>6</v>
      </c>
      <c r="D616" t="s">
        <v>7739</v>
      </c>
      <c r="E616">
        <v>452</v>
      </c>
      <c r="F616" t="s">
        <v>5949</v>
      </c>
      <c r="G616" t="s">
        <v>5948</v>
      </c>
      <c r="H616">
        <v>255</v>
      </c>
      <c r="I616">
        <v>84</v>
      </c>
      <c r="J616">
        <v>69</v>
      </c>
      <c r="K616" s="597" t="str" cm="1">
        <f t="array" ref="K616">myRGB(H616,I616,J616)</f>
        <v/>
      </c>
    </row>
    <row r="617" spans="1:11" x14ac:dyDescent="0.2">
      <c r="A617">
        <v>751</v>
      </c>
      <c r="B617">
        <v>141</v>
      </c>
      <c r="C617">
        <v>6</v>
      </c>
      <c r="D617" t="s">
        <v>7746</v>
      </c>
      <c r="E617">
        <v>347</v>
      </c>
      <c r="F617" t="s">
        <v>5965</v>
      </c>
      <c r="G617" t="s">
        <v>5964</v>
      </c>
      <c r="H617">
        <v>253</v>
      </c>
      <c r="I617">
        <v>85</v>
      </c>
      <c r="J617">
        <v>71</v>
      </c>
      <c r="K617" s="643" t="str" cm="1">
        <f t="array" ref="K617">myRGB(H617,I617,J617)</f>
        <v/>
      </c>
    </row>
    <row r="618" spans="1:11" x14ac:dyDescent="0.2">
      <c r="A618">
        <v>753</v>
      </c>
      <c r="B618">
        <v>141</v>
      </c>
      <c r="C618">
        <v>6</v>
      </c>
      <c r="D618" t="s">
        <v>7748</v>
      </c>
      <c r="E618">
        <v>338</v>
      </c>
      <c r="F618" t="s">
        <v>5969</v>
      </c>
      <c r="G618" t="s">
        <v>5968</v>
      </c>
      <c r="H618">
        <v>255</v>
      </c>
      <c r="I618">
        <v>83</v>
      </c>
      <c r="J618">
        <v>71</v>
      </c>
      <c r="K618" s="627" t="str" cm="1">
        <f t="array" ref="K618">myRGB(H618,I618,J618)</f>
        <v/>
      </c>
    </row>
    <row r="619" spans="1:11" x14ac:dyDescent="0.2">
      <c r="A619">
        <v>752</v>
      </c>
      <c r="B619">
        <v>141</v>
      </c>
      <c r="C619">
        <v>6</v>
      </c>
      <c r="D619" t="s">
        <v>7747</v>
      </c>
      <c r="E619">
        <v>286</v>
      </c>
      <c r="F619" t="s">
        <v>5967</v>
      </c>
      <c r="G619" t="s">
        <v>5966</v>
      </c>
      <c r="H619">
        <v>255</v>
      </c>
      <c r="I619">
        <v>85</v>
      </c>
      <c r="J619">
        <v>69</v>
      </c>
      <c r="K619" s="763" t="str" cm="1">
        <f t="array" ref="K619">myRGB(H619,I619,J619)</f>
        <v/>
      </c>
    </row>
    <row r="620" spans="1:11" x14ac:dyDescent="0.2">
      <c r="A620">
        <v>738</v>
      </c>
      <c r="B620">
        <v>141</v>
      </c>
      <c r="C620">
        <v>6</v>
      </c>
      <c r="D620" t="s">
        <v>7737</v>
      </c>
      <c r="E620">
        <v>272</v>
      </c>
      <c r="F620" t="s">
        <v>5939</v>
      </c>
      <c r="G620" t="s">
        <v>5938</v>
      </c>
      <c r="H620">
        <v>254</v>
      </c>
      <c r="I620">
        <v>84</v>
      </c>
      <c r="J620">
        <v>70</v>
      </c>
      <c r="K620" s="808" t="str" cm="1">
        <f t="array" ref="K620">myRGB(H620,I620,J620)</f>
        <v/>
      </c>
    </row>
    <row r="621" spans="1:11" x14ac:dyDescent="0.2">
      <c r="A621">
        <v>737</v>
      </c>
      <c r="B621">
        <v>141</v>
      </c>
      <c r="C621">
        <v>6</v>
      </c>
      <c r="D621" t="s">
        <v>7736</v>
      </c>
      <c r="E621">
        <v>263</v>
      </c>
      <c r="F621" t="s">
        <v>5937</v>
      </c>
      <c r="G621" t="s">
        <v>5936</v>
      </c>
      <c r="H621">
        <v>254</v>
      </c>
      <c r="I621">
        <v>84</v>
      </c>
      <c r="J621">
        <v>71</v>
      </c>
      <c r="K621" s="841" t="str" cm="1">
        <f t="array" ref="K621">myRGB(H621,I621,J621)</f>
        <v/>
      </c>
    </row>
    <row r="622" spans="1:11" x14ac:dyDescent="0.2">
      <c r="A622">
        <v>750</v>
      </c>
      <c r="B622">
        <v>141</v>
      </c>
      <c r="C622">
        <v>6</v>
      </c>
      <c r="D622" t="s">
        <v>7745</v>
      </c>
      <c r="E622">
        <v>133</v>
      </c>
      <c r="F622" t="s">
        <v>5963</v>
      </c>
      <c r="G622" t="s">
        <v>5962</v>
      </c>
      <c r="H622">
        <v>254</v>
      </c>
      <c r="I622">
        <v>85</v>
      </c>
      <c r="J622">
        <v>71</v>
      </c>
      <c r="K622" s="531" t="str" cm="1">
        <f t="array" ref="K622">myRGB(H622,I622,J622)</f>
        <v/>
      </c>
    </row>
    <row r="623" spans="1:11" x14ac:dyDescent="0.2">
      <c r="A623">
        <v>749</v>
      </c>
      <c r="B623">
        <v>141</v>
      </c>
      <c r="C623">
        <v>6</v>
      </c>
      <c r="D623" t="s">
        <v>7744</v>
      </c>
      <c r="E623">
        <v>126</v>
      </c>
      <c r="F623" t="s">
        <v>5961</v>
      </c>
      <c r="G623" t="s">
        <v>5960</v>
      </c>
      <c r="H623">
        <v>255</v>
      </c>
      <c r="I623">
        <v>84</v>
      </c>
      <c r="J623">
        <v>71</v>
      </c>
      <c r="K623" s="644" t="str" cm="1">
        <f t="array" ref="K623">myRGB(H623,I623,J623)</f>
        <v/>
      </c>
    </row>
    <row r="624" spans="1:11" x14ac:dyDescent="0.2">
      <c r="A624">
        <v>747</v>
      </c>
      <c r="B624">
        <v>141</v>
      </c>
      <c r="C624">
        <v>6</v>
      </c>
      <c r="D624" t="s">
        <v>7743</v>
      </c>
      <c r="E624">
        <v>1109</v>
      </c>
      <c r="F624" t="s">
        <v>5957</v>
      </c>
      <c r="G624" t="s">
        <v>5956</v>
      </c>
      <c r="H624">
        <v>253</v>
      </c>
      <c r="I624">
        <v>84</v>
      </c>
      <c r="J624">
        <v>70</v>
      </c>
      <c r="K624" s="568" t="str" cm="1">
        <f t="array" ref="K624">myRGB(H624,I624,J624)</f>
        <v/>
      </c>
    </row>
    <row r="625" spans="1:11" x14ac:dyDescent="0.2">
      <c r="A625">
        <v>734</v>
      </c>
      <c r="B625">
        <v>1097</v>
      </c>
      <c r="C625">
        <v>5</v>
      </c>
      <c r="D625" t="s">
        <v>7734</v>
      </c>
      <c r="E625">
        <v>141</v>
      </c>
      <c r="F625" t="s">
        <v>5931</v>
      </c>
      <c r="G625" t="s">
        <v>5930</v>
      </c>
      <c r="H625">
        <v>255</v>
      </c>
      <c r="I625">
        <v>84</v>
      </c>
      <c r="J625">
        <v>70</v>
      </c>
      <c r="K625" s="703" t="str" cm="1">
        <f t="array" ref="K625">myRGB(H625,I625,J625)</f>
        <v/>
      </c>
    </row>
    <row r="626" spans="1:11" x14ac:dyDescent="0.2">
      <c r="A626">
        <v>805</v>
      </c>
      <c r="B626">
        <v>1097</v>
      </c>
      <c r="C626">
        <v>5</v>
      </c>
      <c r="D626" t="s">
        <v>8086</v>
      </c>
      <c r="E626">
        <v>1140</v>
      </c>
      <c r="F626" t="s">
        <v>6073</v>
      </c>
      <c r="G626" t="s">
        <v>6072</v>
      </c>
      <c r="H626">
        <v>241</v>
      </c>
      <c r="I626">
        <v>71</v>
      </c>
      <c r="J626">
        <v>58</v>
      </c>
      <c r="K626" s="764" t="str" cm="1">
        <f t="array" ref="K626">myRGB(H626,I626,J626)</f>
        <v/>
      </c>
    </row>
    <row r="627" spans="1:11" x14ac:dyDescent="0.2">
      <c r="A627">
        <v>715</v>
      </c>
      <c r="B627">
        <v>1129</v>
      </c>
      <c r="C627">
        <v>4</v>
      </c>
      <c r="D627" t="s">
        <v>7726</v>
      </c>
      <c r="E627">
        <v>1097</v>
      </c>
      <c r="F627" t="s">
        <v>5893</v>
      </c>
      <c r="G627" t="s">
        <v>5892</v>
      </c>
      <c r="H627">
        <v>230</v>
      </c>
      <c r="I627">
        <v>68</v>
      </c>
      <c r="J627">
        <v>56</v>
      </c>
      <c r="K627" s="795" t="str" cm="1">
        <f t="array" ref="K627">myRGB(H627,I627,J627)</f>
        <v/>
      </c>
    </row>
    <row r="628" spans="1:11" x14ac:dyDescent="0.2">
      <c r="A628">
        <v>640</v>
      </c>
      <c r="B628">
        <v>343</v>
      </c>
      <c r="C628">
        <v>3</v>
      </c>
      <c r="D628" t="s">
        <v>7659</v>
      </c>
      <c r="E628">
        <v>1129</v>
      </c>
      <c r="F628" t="s">
        <v>5743</v>
      </c>
      <c r="G628" t="s">
        <v>5742</v>
      </c>
      <c r="H628">
        <v>255</v>
      </c>
      <c r="I628">
        <v>112</v>
      </c>
      <c r="J628">
        <v>127</v>
      </c>
      <c r="K628" s="532" t="str" cm="1">
        <f t="array" ref="K628">myRGB(H628,I628,J628)</f>
        <v/>
      </c>
    </row>
    <row r="629" spans="1:11" x14ac:dyDescent="0.2">
      <c r="A629">
        <v>912</v>
      </c>
      <c r="B629">
        <v>987</v>
      </c>
      <c r="C629">
        <v>6</v>
      </c>
      <c r="D629" t="s">
        <v>7866</v>
      </c>
      <c r="E629">
        <v>931</v>
      </c>
      <c r="F629" t="s">
        <v>6286</v>
      </c>
      <c r="G629" t="s">
        <v>6285</v>
      </c>
      <c r="H629">
        <v>255</v>
      </c>
      <c r="I629">
        <v>184</v>
      </c>
      <c r="J629">
        <v>133</v>
      </c>
      <c r="K629" s="598" t="str" cm="1">
        <f t="array" ref="K629">myRGB(H629,I629,J629)</f>
        <v/>
      </c>
    </row>
    <row r="630" spans="1:11" x14ac:dyDescent="0.2">
      <c r="A630">
        <v>911</v>
      </c>
      <c r="B630">
        <v>987</v>
      </c>
      <c r="C630">
        <v>6</v>
      </c>
      <c r="D630" t="s">
        <v>7865</v>
      </c>
      <c r="E630">
        <v>898</v>
      </c>
      <c r="F630" t="s">
        <v>6284</v>
      </c>
      <c r="G630" t="s">
        <v>6283</v>
      </c>
      <c r="H630">
        <v>255</v>
      </c>
      <c r="I630">
        <v>186</v>
      </c>
      <c r="J630">
        <v>132</v>
      </c>
      <c r="K630" s="645" t="str" cm="1">
        <f t="array" ref="K630">myRGB(H630,I630,J630)</f>
        <v/>
      </c>
    </row>
    <row r="631" spans="1:11" x14ac:dyDescent="0.2">
      <c r="A631">
        <v>908</v>
      </c>
      <c r="B631">
        <v>987</v>
      </c>
      <c r="C631">
        <v>6</v>
      </c>
      <c r="D631" t="s">
        <v>7863</v>
      </c>
      <c r="E631">
        <v>880</v>
      </c>
      <c r="F631" t="s">
        <v>6278</v>
      </c>
      <c r="G631" t="s">
        <v>6277</v>
      </c>
      <c r="H631">
        <v>254</v>
      </c>
      <c r="I631">
        <v>185</v>
      </c>
      <c r="J631">
        <v>133</v>
      </c>
      <c r="K631" s="704" t="str" cm="1">
        <f t="array" ref="K631">myRGB(H631,I631,J631)</f>
        <v/>
      </c>
    </row>
    <row r="632" spans="1:11" x14ac:dyDescent="0.2">
      <c r="A632">
        <v>919</v>
      </c>
      <c r="B632">
        <v>987</v>
      </c>
      <c r="C632">
        <v>6</v>
      </c>
      <c r="D632" t="s">
        <v>7871</v>
      </c>
      <c r="E632">
        <v>621</v>
      </c>
      <c r="F632" t="s">
        <v>6300</v>
      </c>
      <c r="G632" t="s">
        <v>6299</v>
      </c>
      <c r="H632">
        <v>254</v>
      </c>
      <c r="I632">
        <v>185</v>
      </c>
      <c r="J632">
        <v>134</v>
      </c>
      <c r="K632" s="765" t="str" cm="1">
        <f t="array" ref="K632">myRGB(H632,I632,J632)</f>
        <v/>
      </c>
    </row>
    <row r="633" spans="1:11" x14ac:dyDescent="0.2">
      <c r="A633">
        <v>910</v>
      </c>
      <c r="B633">
        <v>987</v>
      </c>
      <c r="C633">
        <v>6</v>
      </c>
      <c r="D633" t="s">
        <v>7864</v>
      </c>
      <c r="E633">
        <v>599626927</v>
      </c>
      <c r="F633" t="s">
        <v>6282</v>
      </c>
      <c r="G633" t="s">
        <v>6281</v>
      </c>
      <c r="H633">
        <v>255</v>
      </c>
      <c r="I633">
        <v>185</v>
      </c>
      <c r="J633">
        <v>132</v>
      </c>
      <c r="K633" s="809" t="str" cm="1">
        <f t="array" ref="K633">myRGB(H633,I633,J633)</f>
        <v/>
      </c>
    </row>
    <row r="634" spans="1:11" x14ac:dyDescent="0.2">
      <c r="A634">
        <v>918</v>
      </c>
      <c r="B634">
        <v>987</v>
      </c>
      <c r="C634">
        <v>6</v>
      </c>
      <c r="D634" t="s">
        <v>7870</v>
      </c>
      <c r="E634">
        <v>574</v>
      </c>
      <c r="F634" t="s">
        <v>6298</v>
      </c>
      <c r="G634" t="s">
        <v>6297</v>
      </c>
      <c r="H634">
        <v>254</v>
      </c>
      <c r="I634">
        <v>186</v>
      </c>
      <c r="J634">
        <v>133</v>
      </c>
      <c r="K634" s="735" t="str" cm="1">
        <f t="array" ref="K634">myRGB(H634,I634,J634)</f>
        <v/>
      </c>
    </row>
    <row r="635" spans="1:11" x14ac:dyDescent="0.2">
      <c r="A635">
        <v>923</v>
      </c>
      <c r="B635">
        <v>987</v>
      </c>
      <c r="C635">
        <v>6</v>
      </c>
      <c r="D635" t="s">
        <v>7875</v>
      </c>
      <c r="E635">
        <v>549009227</v>
      </c>
      <c r="F635" t="s">
        <v>6308</v>
      </c>
      <c r="G635" t="s">
        <v>6307</v>
      </c>
      <c r="H635">
        <v>254</v>
      </c>
      <c r="I635">
        <v>185</v>
      </c>
      <c r="J635">
        <v>132</v>
      </c>
      <c r="K635" s="599" t="str" cm="1">
        <f t="array" ref="K635">myRGB(H635,I635,J635)</f>
        <v/>
      </c>
    </row>
    <row r="636" spans="1:11" x14ac:dyDescent="0.2">
      <c r="A636">
        <v>922</v>
      </c>
      <c r="B636">
        <v>987</v>
      </c>
      <c r="C636">
        <v>6</v>
      </c>
      <c r="D636" t="s">
        <v>7874</v>
      </c>
      <c r="E636">
        <v>549009223</v>
      </c>
      <c r="F636" t="s">
        <v>6306</v>
      </c>
      <c r="G636" t="s">
        <v>6305</v>
      </c>
      <c r="H636">
        <v>253</v>
      </c>
      <c r="I636">
        <v>185</v>
      </c>
      <c r="J636">
        <v>134</v>
      </c>
      <c r="K636" s="646" t="str" cm="1">
        <f t="array" ref="K636">myRGB(H636,I636,J636)</f>
        <v/>
      </c>
    </row>
    <row r="637" spans="1:11" x14ac:dyDescent="0.2">
      <c r="A637">
        <v>921</v>
      </c>
      <c r="B637">
        <v>987</v>
      </c>
      <c r="C637">
        <v>6</v>
      </c>
      <c r="D637" t="s">
        <v>7873</v>
      </c>
      <c r="E637">
        <v>549009219</v>
      </c>
      <c r="F637" t="s">
        <v>6304</v>
      </c>
      <c r="G637" t="s">
        <v>6303</v>
      </c>
      <c r="H637">
        <v>253</v>
      </c>
      <c r="I637">
        <v>186</v>
      </c>
      <c r="J637">
        <v>133</v>
      </c>
      <c r="K637" s="628" t="str" cm="1">
        <f t="array" ref="K637">myRGB(H637,I637,J637)</f>
        <v/>
      </c>
    </row>
    <row r="638" spans="1:11" x14ac:dyDescent="0.2">
      <c r="A638">
        <v>920</v>
      </c>
      <c r="B638">
        <v>987</v>
      </c>
      <c r="C638">
        <v>6</v>
      </c>
      <c r="D638" t="s">
        <v>7872</v>
      </c>
      <c r="E638">
        <v>549009215</v>
      </c>
      <c r="F638" t="s">
        <v>6302</v>
      </c>
      <c r="G638" t="s">
        <v>6301</v>
      </c>
      <c r="H638">
        <v>254</v>
      </c>
      <c r="I638">
        <v>184</v>
      </c>
      <c r="J638">
        <v>134</v>
      </c>
      <c r="K638" s="705" t="str" cm="1">
        <f t="array" ref="K638">myRGB(H638,I638,J638)</f>
        <v/>
      </c>
    </row>
    <row r="639" spans="1:11" x14ac:dyDescent="0.2">
      <c r="A639">
        <v>917</v>
      </c>
      <c r="B639">
        <v>987</v>
      </c>
      <c r="C639">
        <v>6</v>
      </c>
      <c r="D639" t="s">
        <v>7869</v>
      </c>
      <c r="E639">
        <v>534</v>
      </c>
      <c r="F639" t="s">
        <v>6296</v>
      </c>
      <c r="G639" t="s">
        <v>6295</v>
      </c>
      <c r="H639">
        <v>254</v>
      </c>
      <c r="I639">
        <v>186</v>
      </c>
      <c r="J639">
        <v>134</v>
      </c>
      <c r="K639" s="810" t="str" cm="1">
        <f t="array" ref="K639">myRGB(H639,I639,J639)</f>
        <v/>
      </c>
    </row>
    <row r="640" spans="1:11" x14ac:dyDescent="0.2">
      <c r="A640">
        <v>915</v>
      </c>
      <c r="B640">
        <v>987</v>
      </c>
      <c r="C640">
        <v>6</v>
      </c>
      <c r="D640" t="s">
        <v>7868</v>
      </c>
      <c r="E640">
        <v>318</v>
      </c>
      <c r="F640" t="s">
        <v>6292</v>
      </c>
      <c r="G640" t="s">
        <v>6291</v>
      </c>
      <c r="H640">
        <v>255</v>
      </c>
      <c r="I640">
        <v>185</v>
      </c>
      <c r="J640">
        <v>134</v>
      </c>
      <c r="K640" s="842" t="str" cm="1">
        <f t="array" ref="K640">myRGB(H640,I640,J640)</f>
        <v/>
      </c>
    </row>
    <row r="641" spans="1:11" x14ac:dyDescent="0.2">
      <c r="A641">
        <v>907</v>
      </c>
      <c r="B641">
        <v>987</v>
      </c>
      <c r="C641">
        <v>6</v>
      </c>
      <c r="D641" t="s">
        <v>7862</v>
      </c>
      <c r="E641">
        <v>280</v>
      </c>
      <c r="F641" t="s">
        <v>6276</v>
      </c>
      <c r="G641" t="s">
        <v>3985</v>
      </c>
      <c r="H641">
        <v>255</v>
      </c>
      <c r="I641">
        <v>186</v>
      </c>
      <c r="J641">
        <v>134</v>
      </c>
      <c r="K641" s="533" t="str" cm="1">
        <f t="array" ref="K641">myRGB(H641,I641,J641)</f>
        <v/>
      </c>
    </row>
    <row r="642" spans="1:11" x14ac:dyDescent="0.2">
      <c r="A642">
        <v>913</v>
      </c>
      <c r="B642">
        <v>987</v>
      </c>
      <c r="C642">
        <v>6</v>
      </c>
      <c r="D642" t="s">
        <v>7867</v>
      </c>
      <c r="E642">
        <v>1093</v>
      </c>
      <c r="F642" t="s">
        <v>6288</v>
      </c>
      <c r="G642" t="s">
        <v>6287</v>
      </c>
      <c r="H642">
        <v>253</v>
      </c>
      <c r="I642">
        <v>186</v>
      </c>
      <c r="J642">
        <v>134</v>
      </c>
      <c r="K642" s="600" t="str" cm="1">
        <f t="array" ref="K642">myRGB(H642,I642,J642)</f>
        <v/>
      </c>
    </row>
    <row r="643" spans="1:11" x14ac:dyDescent="0.2">
      <c r="A643">
        <v>906</v>
      </c>
      <c r="B643">
        <v>771</v>
      </c>
      <c r="C643">
        <v>5</v>
      </c>
      <c r="D643" t="s">
        <v>7861</v>
      </c>
      <c r="E643">
        <v>987</v>
      </c>
      <c r="F643" t="s">
        <v>6275</v>
      </c>
      <c r="G643" t="s">
        <v>6274</v>
      </c>
      <c r="H643">
        <v>255</v>
      </c>
      <c r="I643">
        <v>184</v>
      </c>
      <c r="J643">
        <v>134</v>
      </c>
      <c r="K643" s="678" t="str" cm="1">
        <f t="array" ref="K643">myRGB(H643,I643,J643)</f>
        <v/>
      </c>
    </row>
    <row r="644" spans="1:11" x14ac:dyDescent="0.2">
      <c r="A644">
        <v>891</v>
      </c>
      <c r="B644">
        <v>867</v>
      </c>
      <c r="C644">
        <v>7</v>
      </c>
      <c r="D644" t="s">
        <v>7856</v>
      </c>
      <c r="E644">
        <v>123</v>
      </c>
      <c r="F644" t="s">
        <v>6245</v>
      </c>
      <c r="G644" t="s">
        <v>6244</v>
      </c>
      <c r="H644">
        <v>254</v>
      </c>
      <c r="I644">
        <v>173</v>
      </c>
      <c r="J644">
        <v>110</v>
      </c>
      <c r="K644" s="706" t="str" cm="1">
        <f t="array" ref="K644">myRGB(H644,I644,J644)</f>
        <v/>
      </c>
    </row>
    <row r="645" spans="1:11" x14ac:dyDescent="0.2">
      <c r="A645">
        <v>890</v>
      </c>
      <c r="B645">
        <v>1132</v>
      </c>
      <c r="C645">
        <v>6</v>
      </c>
      <c r="D645" t="s">
        <v>7855</v>
      </c>
      <c r="E645">
        <v>867</v>
      </c>
      <c r="F645" t="s">
        <v>6243</v>
      </c>
      <c r="G645" t="s">
        <v>6242</v>
      </c>
      <c r="H645">
        <v>255</v>
      </c>
      <c r="I645">
        <v>173</v>
      </c>
      <c r="J645">
        <v>109</v>
      </c>
      <c r="K645" s="766" t="str" cm="1">
        <f t="array" ref="K645">myRGB(H645,I645,J645)</f>
        <v/>
      </c>
    </row>
    <row r="646" spans="1:11" x14ac:dyDescent="0.2">
      <c r="A646">
        <v>889</v>
      </c>
      <c r="B646">
        <v>1132</v>
      </c>
      <c r="C646">
        <v>6</v>
      </c>
      <c r="D646" t="s">
        <v>7854</v>
      </c>
      <c r="E646">
        <v>7</v>
      </c>
      <c r="F646" t="s">
        <v>6241</v>
      </c>
      <c r="G646" t="s">
        <v>6240</v>
      </c>
      <c r="H646">
        <v>255</v>
      </c>
      <c r="I646">
        <v>174</v>
      </c>
      <c r="J646">
        <v>111</v>
      </c>
      <c r="K646" s="811" t="str" cm="1">
        <f t="array" ref="K646">myRGB(H646,I646,J646)</f>
        <v/>
      </c>
    </row>
    <row r="647" spans="1:11" x14ac:dyDescent="0.2">
      <c r="A647">
        <v>885</v>
      </c>
      <c r="B647">
        <v>1132</v>
      </c>
      <c r="C647">
        <v>6</v>
      </c>
      <c r="D647" t="s">
        <v>7853</v>
      </c>
      <c r="E647">
        <v>612</v>
      </c>
      <c r="F647" t="s">
        <v>6233</v>
      </c>
      <c r="G647" t="s">
        <v>6232</v>
      </c>
      <c r="H647">
        <v>255</v>
      </c>
      <c r="I647">
        <v>172</v>
      </c>
      <c r="J647">
        <v>111</v>
      </c>
      <c r="K647" s="534" t="str" cm="1">
        <f t="array" ref="K647">myRGB(H647,I647,J647)</f>
        <v/>
      </c>
    </row>
    <row r="648" spans="1:11" x14ac:dyDescent="0.2">
      <c r="A648">
        <v>903</v>
      </c>
      <c r="B648">
        <v>398</v>
      </c>
      <c r="C648">
        <v>7</v>
      </c>
      <c r="D648" t="s">
        <v>7858</v>
      </c>
      <c r="E648">
        <v>122</v>
      </c>
      <c r="F648" t="s">
        <v>6269</v>
      </c>
      <c r="G648" t="s">
        <v>6268</v>
      </c>
      <c r="H648">
        <v>254</v>
      </c>
      <c r="I648">
        <v>173</v>
      </c>
      <c r="J648">
        <v>111</v>
      </c>
      <c r="K648" s="601" t="str" cm="1">
        <f t="array" ref="K648">myRGB(H648,I648,J648)</f>
        <v/>
      </c>
    </row>
    <row r="649" spans="1:11" x14ac:dyDescent="0.2">
      <c r="A649">
        <v>905</v>
      </c>
      <c r="B649">
        <v>398</v>
      </c>
      <c r="C649">
        <v>7</v>
      </c>
      <c r="D649" t="s">
        <v>7860</v>
      </c>
      <c r="E649">
        <v>114</v>
      </c>
      <c r="F649" t="s">
        <v>6273</v>
      </c>
      <c r="G649" t="s">
        <v>6272</v>
      </c>
      <c r="H649">
        <v>254</v>
      </c>
      <c r="I649">
        <v>174</v>
      </c>
      <c r="J649">
        <v>110</v>
      </c>
      <c r="K649" s="647" t="str" cm="1">
        <f t="array" ref="K649">myRGB(H649,I649,J649)</f>
        <v/>
      </c>
    </row>
    <row r="650" spans="1:11" x14ac:dyDescent="0.2">
      <c r="A650">
        <v>904</v>
      </c>
      <c r="B650">
        <v>398</v>
      </c>
      <c r="C650">
        <v>7</v>
      </c>
      <c r="D650" t="s">
        <v>7859</v>
      </c>
      <c r="E650">
        <v>105</v>
      </c>
      <c r="F650" t="s">
        <v>6271</v>
      </c>
      <c r="G650" t="s">
        <v>6270</v>
      </c>
      <c r="H650">
        <v>255</v>
      </c>
      <c r="I650">
        <v>173</v>
      </c>
      <c r="J650">
        <v>110</v>
      </c>
      <c r="K650" s="569" t="str" cm="1">
        <f t="array" ref="K650">myRGB(H650,I650,J650)</f>
        <v/>
      </c>
    </row>
    <row r="651" spans="1:11" x14ac:dyDescent="0.2">
      <c r="A651">
        <v>902</v>
      </c>
      <c r="B651">
        <v>1132</v>
      </c>
      <c r="C651">
        <v>6</v>
      </c>
      <c r="D651" t="s">
        <v>7857</v>
      </c>
      <c r="E651">
        <v>398</v>
      </c>
      <c r="F651" t="s">
        <v>6267</v>
      </c>
      <c r="G651" t="s">
        <v>6266</v>
      </c>
      <c r="H651">
        <v>255</v>
      </c>
      <c r="I651">
        <v>174</v>
      </c>
      <c r="J651">
        <v>109</v>
      </c>
      <c r="K651" s="767" t="str" cm="1">
        <f t="array" ref="K651">myRGB(H651,I651,J651)</f>
        <v/>
      </c>
    </row>
    <row r="652" spans="1:11" x14ac:dyDescent="0.2">
      <c r="A652">
        <v>884</v>
      </c>
      <c r="B652">
        <v>771</v>
      </c>
      <c r="C652">
        <v>5</v>
      </c>
      <c r="D652" t="s">
        <v>7852</v>
      </c>
      <c r="E652">
        <v>1132</v>
      </c>
      <c r="F652" t="s">
        <v>6231</v>
      </c>
      <c r="G652" t="s">
        <v>6230</v>
      </c>
      <c r="H652">
        <v>255</v>
      </c>
      <c r="I652">
        <v>172</v>
      </c>
      <c r="J652">
        <v>109</v>
      </c>
      <c r="K652" s="812" t="str" cm="1">
        <f t="array" ref="K652">myRGB(H652,I652,J652)</f>
        <v/>
      </c>
    </row>
    <row r="653" spans="1:11" x14ac:dyDescent="0.2">
      <c r="A653">
        <v>925</v>
      </c>
      <c r="B653">
        <v>1117</v>
      </c>
      <c r="C653">
        <v>6</v>
      </c>
      <c r="D653" t="s">
        <v>7877</v>
      </c>
      <c r="E653">
        <v>679</v>
      </c>
      <c r="F653" t="s">
        <v>6312</v>
      </c>
      <c r="G653" t="s">
        <v>6311</v>
      </c>
      <c r="H653">
        <v>255</v>
      </c>
      <c r="I653">
        <v>195</v>
      </c>
      <c r="J653">
        <v>147</v>
      </c>
      <c r="K653" s="736" t="str" cm="1">
        <f t="array" ref="K653">myRGB(H653,I653,J653)</f>
        <v/>
      </c>
    </row>
    <row r="654" spans="1:11" x14ac:dyDescent="0.2">
      <c r="A654">
        <v>930</v>
      </c>
      <c r="B654">
        <v>1117</v>
      </c>
      <c r="C654">
        <v>6</v>
      </c>
      <c r="D654" t="s">
        <v>7880</v>
      </c>
      <c r="E654">
        <v>604</v>
      </c>
      <c r="F654" t="s">
        <v>6322</v>
      </c>
      <c r="G654" t="s">
        <v>6321</v>
      </c>
      <c r="H654">
        <v>254</v>
      </c>
      <c r="I654">
        <v>194</v>
      </c>
      <c r="J654">
        <v>148</v>
      </c>
      <c r="K654" s="535" t="str" cm="1">
        <f t="array" ref="K654">myRGB(H654,I654,J654)</f>
        <v/>
      </c>
    </row>
    <row r="655" spans="1:11" x14ac:dyDescent="0.2">
      <c r="A655">
        <v>934</v>
      </c>
      <c r="B655">
        <v>1117</v>
      </c>
      <c r="C655">
        <v>6</v>
      </c>
      <c r="D655" t="s">
        <v>7884</v>
      </c>
      <c r="E655">
        <v>358</v>
      </c>
      <c r="F655" t="s">
        <v>6330</v>
      </c>
      <c r="G655" t="s">
        <v>6329</v>
      </c>
      <c r="H655">
        <v>254</v>
      </c>
      <c r="I655">
        <v>194</v>
      </c>
      <c r="J655">
        <v>149</v>
      </c>
      <c r="K655" s="648" t="str" cm="1">
        <f t="array" ref="K655">myRGB(H655,I655,J655)</f>
        <v/>
      </c>
    </row>
    <row r="656" spans="1:11" x14ac:dyDescent="0.2">
      <c r="A656">
        <v>933</v>
      </c>
      <c r="B656">
        <v>1117</v>
      </c>
      <c r="C656">
        <v>6</v>
      </c>
      <c r="D656" t="s">
        <v>7883</v>
      </c>
      <c r="E656">
        <v>350</v>
      </c>
      <c r="F656" t="s">
        <v>6328</v>
      </c>
      <c r="G656" t="s">
        <v>6327</v>
      </c>
      <c r="H656">
        <v>254</v>
      </c>
      <c r="I656">
        <v>195</v>
      </c>
      <c r="J656">
        <v>148</v>
      </c>
      <c r="K656" s="629" t="str" cm="1">
        <f t="array" ref="K656">myRGB(H656,I656,J656)</f>
        <v/>
      </c>
    </row>
    <row r="657" spans="1:11" x14ac:dyDescent="0.2">
      <c r="A657">
        <v>932</v>
      </c>
      <c r="B657">
        <v>1117</v>
      </c>
      <c r="C657">
        <v>6</v>
      </c>
      <c r="D657" t="s">
        <v>7882</v>
      </c>
      <c r="E657">
        <v>238</v>
      </c>
      <c r="F657" t="s">
        <v>6326</v>
      </c>
      <c r="G657" t="s">
        <v>6325</v>
      </c>
      <c r="H657">
        <v>255</v>
      </c>
      <c r="I657">
        <v>194</v>
      </c>
      <c r="J657">
        <v>148</v>
      </c>
      <c r="K657" s="707" t="str" cm="1">
        <f t="array" ref="K657">myRGB(H657,I657,J657)</f>
        <v/>
      </c>
    </row>
    <row r="658" spans="1:11" x14ac:dyDescent="0.2">
      <c r="A658">
        <v>929</v>
      </c>
      <c r="B658">
        <v>1117</v>
      </c>
      <c r="C658">
        <v>6</v>
      </c>
      <c r="D658" t="s">
        <v>7879</v>
      </c>
      <c r="E658">
        <v>162</v>
      </c>
      <c r="F658" t="s">
        <v>6320</v>
      </c>
      <c r="G658" t="s">
        <v>6319</v>
      </c>
      <c r="H658">
        <v>254</v>
      </c>
      <c r="I658">
        <v>195</v>
      </c>
      <c r="J658">
        <v>149</v>
      </c>
      <c r="K658" s="768" t="str" cm="1">
        <f t="array" ref="K658">myRGB(H658,I658,J658)</f>
        <v/>
      </c>
    </row>
    <row r="659" spans="1:11" x14ac:dyDescent="0.2">
      <c r="A659">
        <v>928</v>
      </c>
      <c r="B659">
        <v>1117</v>
      </c>
      <c r="C659">
        <v>6</v>
      </c>
      <c r="D659" t="s">
        <v>7878</v>
      </c>
      <c r="E659">
        <v>147</v>
      </c>
      <c r="F659" t="s">
        <v>6318</v>
      </c>
      <c r="G659" t="s">
        <v>6317</v>
      </c>
      <c r="H659">
        <v>253</v>
      </c>
      <c r="I659">
        <v>195</v>
      </c>
      <c r="J659">
        <v>149</v>
      </c>
      <c r="K659" s="796" t="str" cm="1">
        <f t="array" ref="K659">myRGB(H659,I659,J659)</f>
        <v/>
      </c>
    </row>
    <row r="660" spans="1:11" x14ac:dyDescent="0.2">
      <c r="A660">
        <v>931</v>
      </c>
      <c r="B660">
        <v>1117</v>
      </c>
      <c r="C660">
        <v>6</v>
      </c>
      <c r="D660" t="s">
        <v>7881</v>
      </c>
      <c r="E660">
        <v>146</v>
      </c>
      <c r="F660" t="s">
        <v>6324</v>
      </c>
      <c r="G660" t="s">
        <v>6323</v>
      </c>
      <c r="H660">
        <v>255</v>
      </c>
      <c r="I660">
        <v>194</v>
      </c>
      <c r="J660">
        <v>149</v>
      </c>
      <c r="K660" s="536" t="str" cm="1">
        <f t="array" ref="K660">myRGB(H660,I660,J660)</f>
        <v/>
      </c>
    </row>
    <row r="661" spans="1:11" x14ac:dyDescent="0.2">
      <c r="A661">
        <v>924</v>
      </c>
      <c r="B661">
        <v>771</v>
      </c>
      <c r="C661">
        <v>5</v>
      </c>
      <c r="D661" t="s">
        <v>7876</v>
      </c>
      <c r="E661">
        <v>1117</v>
      </c>
      <c r="F661" t="s">
        <v>6310</v>
      </c>
      <c r="G661" t="s">
        <v>6309</v>
      </c>
      <c r="H661">
        <v>255</v>
      </c>
      <c r="I661">
        <v>193</v>
      </c>
      <c r="J661">
        <v>149</v>
      </c>
      <c r="K661" s="602" t="str" cm="1">
        <f t="array" ref="K661">myRGB(H661,I661,J661)</f>
        <v/>
      </c>
    </row>
    <row r="662" spans="1:11" x14ac:dyDescent="0.2">
      <c r="A662">
        <v>883</v>
      </c>
      <c r="B662">
        <v>1065</v>
      </c>
      <c r="C662">
        <v>4</v>
      </c>
      <c r="D662" t="s">
        <v>7851</v>
      </c>
      <c r="E662">
        <v>771</v>
      </c>
      <c r="F662" t="s">
        <v>6229</v>
      </c>
      <c r="G662" t="s">
        <v>6228</v>
      </c>
      <c r="H662">
        <v>255</v>
      </c>
      <c r="I662">
        <v>155</v>
      </c>
      <c r="J662">
        <v>136</v>
      </c>
      <c r="K662" s="649" t="str" cm="1">
        <f t="array" ref="K662">myRGB(H662,I662,J662)</f>
        <v/>
      </c>
    </row>
    <row r="663" spans="1:11" x14ac:dyDescent="0.2">
      <c r="A663">
        <v>946</v>
      </c>
      <c r="B663">
        <v>386</v>
      </c>
      <c r="C663">
        <v>6</v>
      </c>
      <c r="D663" t="s">
        <v>7894</v>
      </c>
      <c r="E663">
        <v>903</v>
      </c>
      <c r="F663" t="s">
        <v>6354</v>
      </c>
      <c r="G663" t="s">
        <v>6353</v>
      </c>
      <c r="H663">
        <v>255</v>
      </c>
      <c r="I663">
        <v>162</v>
      </c>
      <c r="J663">
        <v>210</v>
      </c>
      <c r="K663" s="708" t="str" cm="1">
        <f t="array" ref="K663">myRGB(H663,I663,J663)</f>
        <v/>
      </c>
    </row>
    <row r="664" spans="1:11" x14ac:dyDescent="0.2">
      <c r="A664">
        <v>944</v>
      </c>
      <c r="B664">
        <v>720</v>
      </c>
      <c r="C664">
        <v>7</v>
      </c>
      <c r="D664" t="s">
        <v>7892</v>
      </c>
      <c r="E664">
        <v>711</v>
      </c>
      <c r="F664" t="s">
        <v>6350</v>
      </c>
      <c r="G664" t="s">
        <v>6349</v>
      </c>
      <c r="H664">
        <v>253</v>
      </c>
      <c r="I664">
        <v>165</v>
      </c>
      <c r="J664">
        <v>208</v>
      </c>
      <c r="K664" s="769" t="str" cm="1">
        <f t="array" ref="K664">myRGB(H664,I664,J664)</f>
        <v/>
      </c>
    </row>
    <row r="665" spans="1:11" x14ac:dyDescent="0.2">
      <c r="A665">
        <v>945</v>
      </c>
      <c r="B665">
        <v>720</v>
      </c>
      <c r="C665">
        <v>7</v>
      </c>
      <c r="D665" t="s">
        <v>7893</v>
      </c>
      <c r="E665">
        <v>1039</v>
      </c>
      <c r="F665" t="s">
        <v>6352</v>
      </c>
      <c r="G665" t="s">
        <v>6351</v>
      </c>
      <c r="H665">
        <v>254</v>
      </c>
      <c r="I665">
        <v>163</v>
      </c>
      <c r="J665">
        <v>208</v>
      </c>
      <c r="K665" s="813" t="str" cm="1">
        <f t="array" ref="K665">myRGB(H665,I665,J665)</f>
        <v/>
      </c>
    </row>
    <row r="666" spans="1:11" x14ac:dyDescent="0.2">
      <c r="A666">
        <v>943</v>
      </c>
      <c r="B666">
        <v>386</v>
      </c>
      <c r="C666">
        <v>6</v>
      </c>
      <c r="D666" t="s">
        <v>7891</v>
      </c>
      <c r="E666">
        <v>720</v>
      </c>
      <c r="F666" t="s">
        <v>6348</v>
      </c>
      <c r="G666" t="s">
        <v>6347</v>
      </c>
      <c r="H666">
        <v>253</v>
      </c>
      <c r="I666">
        <v>163</v>
      </c>
      <c r="J666">
        <v>210</v>
      </c>
      <c r="K666" s="737" t="str" cm="1">
        <f t="array" ref="K666">myRGB(H666,I666,J666)</f>
        <v/>
      </c>
    </row>
    <row r="667" spans="1:11" x14ac:dyDescent="0.2">
      <c r="A667">
        <v>948</v>
      </c>
      <c r="B667">
        <v>386</v>
      </c>
      <c r="C667">
        <v>6</v>
      </c>
      <c r="D667" t="s">
        <v>7896</v>
      </c>
      <c r="E667">
        <v>651</v>
      </c>
      <c r="F667" t="s">
        <v>6358</v>
      </c>
      <c r="G667" t="s">
        <v>6357</v>
      </c>
      <c r="H667">
        <v>253</v>
      </c>
      <c r="I667">
        <v>165</v>
      </c>
      <c r="J667">
        <v>209</v>
      </c>
      <c r="K667" s="603" t="str" cm="1">
        <f t="array" ref="K667">myRGB(H667,I667,J667)</f>
        <v/>
      </c>
    </row>
    <row r="668" spans="1:11" x14ac:dyDescent="0.2">
      <c r="A668">
        <v>947</v>
      </c>
      <c r="B668">
        <v>386</v>
      </c>
      <c r="C668">
        <v>6</v>
      </c>
      <c r="D668" t="s">
        <v>7895</v>
      </c>
      <c r="E668">
        <v>642</v>
      </c>
      <c r="F668" t="s">
        <v>6356</v>
      </c>
      <c r="G668" t="s">
        <v>6355</v>
      </c>
      <c r="H668">
        <v>254</v>
      </c>
      <c r="I668">
        <v>163</v>
      </c>
      <c r="J668">
        <v>210</v>
      </c>
      <c r="K668" s="650" t="str" cm="1">
        <f t="array" ref="K668">myRGB(H668,I668,J668)</f>
        <v/>
      </c>
    </row>
    <row r="669" spans="1:11" x14ac:dyDescent="0.2">
      <c r="A669">
        <v>941</v>
      </c>
      <c r="B669">
        <v>607</v>
      </c>
      <c r="C669">
        <v>7</v>
      </c>
      <c r="D669" t="s">
        <v>7889</v>
      </c>
      <c r="E669">
        <v>96</v>
      </c>
      <c r="F669" t="s">
        <v>6344</v>
      </c>
      <c r="G669" t="s">
        <v>6343</v>
      </c>
      <c r="H669">
        <v>254</v>
      </c>
      <c r="I669">
        <v>165</v>
      </c>
      <c r="J669">
        <v>209</v>
      </c>
      <c r="K669" s="709" t="str" cm="1">
        <f t="array" ref="K669">myRGB(H669,I669,J669)</f>
        <v/>
      </c>
    </row>
    <row r="670" spans="1:11" x14ac:dyDescent="0.2">
      <c r="A670">
        <v>942</v>
      </c>
      <c r="B670">
        <v>607</v>
      </c>
      <c r="C670">
        <v>7</v>
      </c>
      <c r="D670" t="s">
        <v>7890</v>
      </c>
      <c r="E670">
        <v>101</v>
      </c>
      <c r="F670" t="s">
        <v>6346</v>
      </c>
      <c r="G670" t="s">
        <v>6345</v>
      </c>
      <c r="H670">
        <v>254</v>
      </c>
      <c r="I670">
        <v>164</v>
      </c>
      <c r="J670">
        <v>210</v>
      </c>
      <c r="K670" s="770" t="str" cm="1">
        <f t="array" ref="K670">myRGB(H670,I670,J670)</f>
        <v/>
      </c>
    </row>
    <row r="671" spans="1:11" x14ac:dyDescent="0.2">
      <c r="A671">
        <v>938</v>
      </c>
      <c r="B671">
        <v>386</v>
      </c>
      <c r="C671">
        <v>6</v>
      </c>
      <c r="D671" t="s">
        <v>7888</v>
      </c>
      <c r="E671">
        <v>607</v>
      </c>
      <c r="F671" t="s">
        <v>6338</v>
      </c>
      <c r="G671" t="s">
        <v>6337</v>
      </c>
      <c r="H671">
        <v>254</v>
      </c>
      <c r="I671">
        <v>165</v>
      </c>
      <c r="J671">
        <v>208</v>
      </c>
      <c r="K671" s="843" t="str" cm="1">
        <f t="array" ref="K671">myRGB(H671,I671,J671)</f>
        <v/>
      </c>
    </row>
    <row r="672" spans="1:11" x14ac:dyDescent="0.2">
      <c r="A672">
        <v>962</v>
      </c>
      <c r="B672">
        <v>386</v>
      </c>
      <c r="C672">
        <v>6</v>
      </c>
      <c r="D672" t="s">
        <v>7900</v>
      </c>
      <c r="E672">
        <v>589508451</v>
      </c>
      <c r="F672" t="s">
        <v>6386</v>
      </c>
      <c r="G672" t="s">
        <v>6385</v>
      </c>
      <c r="H672">
        <v>253</v>
      </c>
      <c r="I672">
        <v>163</v>
      </c>
      <c r="J672">
        <v>209</v>
      </c>
      <c r="K672" s="537" t="str" cm="1">
        <f t="array" ref="K672">myRGB(H672,I672,J672)</f>
        <v/>
      </c>
    </row>
    <row r="673" spans="1:11" x14ac:dyDescent="0.2">
      <c r="A673">
        <v>956</v>
      </c>
      <c r="B673">
        <v>386</v>
      </c>
      <c r="C673">
        <v>6</v>
      </c>
      <c r="D673" t="s">
        <v>7899</v>
      </c>
      <c r="E673">
        <v>445</v>
      </c>
      <c r="F673" t="s">
        <v>6374</v>
      </c>
      <c r="G673" t="s">
        <v>6373</v>
      </c>
      <c r="H673">
        <v>255</v>
      </c>
      <c r="I673">
        <v>164</v>
      </c>
      <c r="J673">
        <v>208</v>
      </c>
      <c r="K673" s="651" t="str" cm="1">
        <f t="array" ref="K673">myRGB(H673,I673,J673)</f>
        <v/>
      </c>
    </row>
    <row r="674" spans="1:11" x14ac:dyDescent="0.2">
      <c r="A674">
        <v>955</v>
      </c>
      <c r="B674">
        <v>386</v>
      </c>
      <c r="C674">
        <v>6</v>
      </c>
      <c r="D674" t="s">
        <v>7898</v>
      </c>
      <c r="E674">
        <v>437</v>
      </c>
      <c r="F674" t="s">
        <v>6372</v>
      </c>
      <c r="G674" t="s">
        <v>6371</v>
      </c>
      <c r="H674">
        <v>253</v>
      </c>
      <c r="I674">
        <v>165</v>
      </c>
      <c r="J674">
        <v>210</v>
      </c>
      <c r="K674" s="679" t="str" cm="1">
        <f t="array" ref="K674">myRGB(H674,I674,J674)</f>
        <v/>
      </c>
    </row>
    <row r="675" spans="1:11" x14ac:dyDescent="0.2">
      <c r="A675">
        <v>954</v>
      </c>
      <c r="B675">
        <v>386</v>
      </c>
      <c r="C675">
        <v>6</v>
      </c>
      <c r="D675" t="s">
        <v>7897</v>
      </c>
      <c r="E675">
        <v>429</v>
      </c>
      <c r="F675" t="s">
        <v>6370</v>
      </c>
      <c r="G675" t="s">
        <v>6369</v>
      </c>
      <c r="H675">
        <v>253</v>
      </c>
      <c r="I675">
        <v>164</v>
      </c>
      <c r="J675">
        <v>208</v>
      </c>
      <c r="K675" s="771" t="str" cm="1">
        <f t="array" ref="K675">myRGB(H675,I675,J675)</f>
        <v/>
      </c>
    </row>
    <row r="676" spans="1:11" x14ac:dyDescent="0.2">
      <c r="A676">
        <v>937</v>
      </c>
      <c r="B676">
        <v>386</v>
      </c>
      <c r="C676">
        <v>6</v>
      </c>
      <c r="D676" t="s">
        <v>7887</v>
      </c>
      <c r="E676">
        <v>207</v>
      </c>
      <c r="F676" t="s">
        <v>6336</v>
      </c>
      <c r="G676" t="s">
        <v>6335</v>
      </c>
      <c r="H676">
        <v>255</v>
      </c>
      <c r="I676">
        <v>165</v>
      </c>
      <c r="J676">
        <v>208</v>
      </c>
      <c r="K676" s="814" t="str" cm="1">
        <f t="array" ref="K676">myRGB(H676,I676,J676)</f>
        <v/>
      </c>
    </row>
    <row r="677" spans="1:11" x14ac:dyDescent="0.2">
      <c r="A677">
        <v>936</v>
      </c>
      <c r="B677">
        <v>354</v>
      </c>
      <c r="C677">
        <v>5</v>
      </c>
      <c r="D677" t="s">
        <v>7886</v>
      </c>
      <c r="E677">
        <v>386</v>
      </c>
      <c r="F677" t="s">
        <v>6334</v>
      </c>
      <c r="G677" t="s">
        <v>6333</v>
      </c>
      <c r="H677">
        <v>255</v>
      </c>
      <c r="I677">
        <v>163</v>
      </c>
      <c r="J677">
        <v>210</v>
      </c>
      <c r="K677" s="538" t="str" cm="1">
        <f t="array" ref="K677">myRGB(H677,I677,J677)</f>
        <v/>
      </c>
    </row>
    <row r="678" spans="1:11" x14ac:dyDescent="0.2">
      <c r="A678">
        <v>1012</v>
      </c>
      <c r="B678">
        <v>379</v>
      </c>
      <c r="C678">
        <v>6</v>
      </c>
      <c r="D678" t="s">
        <v>7941</v>
      </c>
      <c r="E678">
        <v>230</v>
      </c>
      <c r="F678" t="s">
        <v>6486</v>
      </c>
      <c r="G678" t="s">
        <v>6485</v>
      </c>
      <c r="H678">
        <v>255</v>
      </c>
      <c r="I678">
        <v>198</v>
      </c>
      <c r="J678">
        <v>226</v>
      </c>
      <c r="K678" s="604" t="str" cm="1">
        <f t="array" ref="K678">myRGB(H678,I678,J678)</f>
        <v/>
      </c>
    </row>
    <row r="679" spans="1:11" x14ac:dyDescent="0.2">
      <c r="A679">
        <v>1013</v>
      </c>
      <c r="B679">
        <v>379</v>
      </c>
      <c r="C679">
        <v>6</v>
      </c>
      <c r="D679" t="s">
        <v>7942</v>
      </c>
      <c r="E679">
        <v>222</v>
      </c>
      <c r="F679" t="s">
        <v>6488</v>
      </c>
      <c r="G679" t="s">
        <v>6487</v>
      </c>
      <c r="H679">
        <v>254</v>
      </c>
      <c r="I679">
        <v>198</v>
      </c>
      <c r="J679">
        <v>226</v>
      </c>
      <c r="K679" s="570" t="str" cm="1">
        <f t="array" ref="K679">myRGB(H679,I679,J679)</f>
        <v/>
      </c>
    </row>
    <row r="680" spans="1:11" x14ac:dyDescent="0.2">
      <c r="A680">
        <v>1011</v>
      </c>
      <c r="B680">
        <v>379</v>
      </c>
      <c r="C680">
        <v>6</v>
      </c>
      <c r="D680" t="s">
        <v>7940</v>
      </c>
      <c r="E680">
        <v>206</v>
      </c>
      <c r="F680" t="s">
        <v>6484</v>
      </c>
      <c r="G680" t="s">
        <v>6483</v>
      </c>
      <c r="H680">
        <v>255</v>
      </c>
      <c r="I680">
        <v>197</v>
      </c>
      <c r="J680">
        <v>226</v>
      </c>
      <c r="K680" s="710" t="str" cm="1">
        <f t="array" ref="K680">myRGB(H680,I680,J680)</f>
        <v/>
      </c>
    </row>
    <row r="681" spans="1:11" x14ac:dyDescent="0.2">
      <c r="A681">
        <v>1010</v>
      </c>
      <c r="B681">
        <v>354</v>
      </c>
      <c r="C681">
        <v>5</v>
      </c>
      <c r="D681" t="s">
        <v>7939</v>
      </c>
      <c r="E681">
        <v>379</v>
      </c>
      <c r="F681" t="s">
        <v>6482</v>
      </c>
      <c r="G681" t="s">
        <v>6481</v>
      </c>
      <c r="H681">
        <v>255</v>
      </c>
      <c r="I681">
        <v>198</v>
      </c>
      <c r="J681">
        <v>225</v>
      </c>
      <c r="K681" s="815" t="str" cm="1">
        <f t="array" ref="K681">myRGB(H681,I681,J681)</f>
        <v/>
      </c>
    </row>
    <row r="682" spans="1:11" x14ac:dyDescent="0.2">
      <c r="A682">
        <v>992</v>
      </c>
      <c r="B682">
        <v>938</v>
      </c>
      <c r="C682">
        <v>7</v>
      </c>
      <c r="D682" t="s">
        <v>7926</v>
      </c>
      <c r="E682">
        <v>978</v>
      </c>
      <c r="F682" t="s">
        <v>6446</v>
      </c>
      <c r="G682" t="s">
        <v>6445</v>
      </c>
      <c r="H682">
        <v>252</v>
      </c>
      <c r="I682">
        <v>178</v>
      </c>
      <c r="J682">
        <v>217</v>
      </c>
      <c r="K682" s="738" t="str" cm="1">
        <f t="array" ref="K682">myRGB(H682,I682,J682)</f>
        <v/>
      </c>
    </row>
    <row r="683" spans="1:11" x14ac:dyDescent="0.2">
      <c r="A683">
        <v>991</v>
      </c>
      <c r="B683">
        <v>938</v>
      </c>
      <c r="C683">
        <v>7</v>
      </c>
      <c r="D683" t="s">
        <v>7925</v>
      </c>
      <c r="E683">
        <v>970</v>
      </c>
      <c r="F683" t="s">
        <v>6444</v>
      </c>
      <c r="G683" t="s">
        <v>6443</v>
      </c>
      <c r="H683">
        <v>252</v>
      </c>
      <c r="I683">
        <v>179</v>
      </c>
      <c r="J683">
        <v>216</v>
      </c>
      <c r="K683" s="605" t="str" cm="1">
        <f t="array" ref="K683">myRGB(H683,I683,J683)</f>
        <v/>
      </c>
    </row>
    <row r="684" spans="1:11" x14ac:dyDescent="0.2">
      <c r="A684">
        <v>990</v>
      </c>
      <c r="B684">
        <v>370</v>
      </c>
      <c r="C684">
        <v>6</v>
      </c>
      <c r="D684" t="s">
        <v>7924</v>
      </c>
      <c r="E684">
        <v>938</v>
      </c>
      <c r="F684" t="s">
        <v>6442</v>
      </c>
      <c r="G684" t="s">
        <v>6441</v>
      </c>
      <c r="H684">
        <v>255</v>
      </c>
      <c r="I684">
        <v>176</v>
      </c>
      <c r="J684">
        <v>216</v>
      </c>
      <c r="K684" s="652" t="str" cm="1">
        <f t="array" ref="K684">myRGB(H684,I684,J684)</f>
        <v/>
      </c>
    </row>
    <row r="685" spans="1:11" x14ac:dyDescent="0.2">
      <c r="A685">
        <v>989</v>
      </c>
      <c r="B685">
        <v>370</v>
      </c>
      <c r="C685">
        <v>6</v>
      </c>
      <c r="D685" t="s">
        <v>7923</v>
      </c>
      <c r="E685">
        <v>859</v>
      </c>
      <c r="F685" t="s">
        <v>6440</v>
      </c>
      <c r="G685" t="s">
        <v>6439</v>
      </c>
      <c r="H685">
        <v>255</v>
      </c>
      <c r="I685">
        <v>178</v>
      </c>
      <c r="J685">
        <v>214</v>
      </c>
      <c r="K685" s="711" t="str" cm="1">
        <f t="array" ref="K685">myRGB(H685,I685,J685)</f>
        <v/>
      </c>
    </row>
    <row r="686" spans="1:11" x14ac:dyDescent="0.2">
      <c r="A686">
        <v>988</v>
      </c>
      <c r="B686">
        <v>370</v>
      </c>
      <c r="C686">
        <v>6</v>
      </c>
      <c r="D686" t="s">
        <v>7922</v>
      </c>
      <c r="E686">
        <v>852</v>
      </c>
      <c r="F686" t="s">
        <v>6438</v>
      </c>
      <c r="G686" t="s">
        <v>6437</v>
      </c>
      <c r="H686">
        <v>252</v>
      </c>
      <c r="I686">
        <v>179</v>
      </c>
      <c r="J686">
        <v>217</v>
      </c>
      <c r="K686" s="772" t="str" cm="1">
        <f t="array" ref="K686">myRGB(H686,I686,J686)</f>
        <v/>
      </c>
    </row>
    <row r="687" spans="1:11" x14ac:dyDescent="0.2">
      <c r="A687">
        <v>973</v>
      </c>
      <c r="B687">
        <v>370</v>
      </c>
      <c r="C687">
        <v>6</v>
      </c>
      <c r="D687" t="s">
        <v>7908</v>
      </c>
      <c r="E687">
        <v>839</v>
      </c>
      <c r="F687" t="s">
        <v>6408</v>
      </c>
      <c r="G687" t="s">
        <v>6407</v>
      </c>
      <c r="H687">
        <v>253</v>
      </c>
      <c r="I687">
        <v>177</v>
      </c>
      <c r="J687">
        <v>216</v>
      </c>
      <c r="K687" s="797" t="str" cm="1">
        <f t="array" ref="K687">myRGB(H687,I687,J687)</f>
        <v/>
      </c>
    </row>
    <row r="688" spans="1:11" x14ac:dyDescent="0.2">
      <c r="A688">
        <v>977</v>
      </c>
      <c r="B688">
        <v>370</v>
      </c>
      <c r="C688">
        <v>6</v>
      </c>
      <c r="D688" t="s">
        <v>7911</v>
      </c>
      <c r="E688">
        <v>83</v>
      </c>
      <c r="F688" t="s">
        <v>6416</v>
      </c>
      <c r="G688" t="s">
        <v>6415</v>
      </c>
      <c r="H688">
        <v>255</v>
      </c>
      <c r="I688">
        <v>179</v>
      </c>
      <c r="J688">
        <v>216</v>
      </c>
      <c r="K688" s="539" t="str" cm="1">
        <f t="array" ref="K688">myRGB(H688,I688,J688)</f>
        <v/>
      </c>
    </row>
    <row r="689" spans="1:11" x14ac:dyDescent="0.2">
      <c r="A689">
        <v>1008</v>
      </c>
      <c r="B689">
        <v>370</v>
      </c>
      <c r="C689">
        <v>6</v>
      </c>
      <c r="D689" t="s">
        <v>7938</v>
      </c>
      <c r="E689">
        <v>781</v>
      </c>
      <c r="F689" t="s">
        <v>6478</v>
      </c>
      <c r="G689" t="s">
        <v>6477</v>
      </c>
      <c r="H689">
        <v>253</v>
      </c>
      <c r="I689">
        <v>178</v>
      </c>
      <c r="J689">
        <v>215</v>
      </c>
      <c r="K689" s="653" t="str" cm="1">
        <f t="array" ref="K689">myRGB(H689,I689,J689)</f>
        <v/>
      </c>
    </row>
    <row r="690" spans="1:11" x14ac:dyDescent="0.2">
      <c r="A690">
        <v>1007</v>
      </c>
      <c r="B690">
        <v>370</v>
      </c>
      <c r="C690">
        <v>6</v>
      </c>
      <c r="D690" t="s">
        <v>7937</v>
      </c>
      <c r="E690">
        <v>773</v>
      </c>
      <c r="F690" t="s">
        <v>6476</v>
      </c>
      <c r="G690" t="s">
        <v>6475</v>
      </c>
      <c r="H690">
        <v>254</v>
      </c>
      <c r="I690">
        <v>177</v>
      </c>
      <c r="J690">
        <v>215</v>
      </c>
      <c r="K690" s="630" t="str" cm="1">
        <f t="array" ref="K690">myRGB(H690,I690,J690)</f>
        <v/>
      </c>
    </row>
    <row r="691" spans="1:11" x14ac:dyDescent="0.2">
      <c r="A691">
        <v>1006</v>
      </c>
      <c r="B691">
        <v>370</v>
      </c>
      <c r="C691">
        <v>6</v>
      </c>
      <c r="D691" t="s">
        <v>7936</v>
      </c>
      <c r="E691">
        <v>765</v>
      </c>
      <c r="F691" t="s">
        <v>6474</v>
      </c>
      <c r="G691" t="s">
        <v>6473</v>
      </c>
      <c r="H691">
        <v>255</v>
      </c>
      <c r="I691">
        <v>176</v>
      </c>
      <c r="J691">
        <v>217</v>
      </c>
      <c r="K691" s="773" t="str" cm="1">
        <f t="array" ref="K691">myRGB(H691,I691,J691)</f>
        <v/>
      </c>
    </row>
    <row r="692" spans="1:11" x14ac:dyDescent="0.2">
      <c r="A692">
        <v>1004</v>
      </c>
      <c r="B692">
        <v>701</v>
      </c>
      <c r="C692">
        <v>7</v>
      </c>
      <c r="D692" t="s">
        <v>7934</v>
      </c>
      <c r="E692">
        <v>225</v>
      </c>
      <c r="F692" t="s">
        <v>6470</v>
      </c>
      <c r="G692" t="s">
        <v>6469</v>
      </c>
      <c r="H692">
        <v>254</v>
      </c>
      <c r="I692">
        <v>177</v>
      </c>
      <c r="J692">
        <v>217</v>
      </c>
      <c r="K692" s="816" t="str" cm="1">
        <f t="array" ref="K692">myRGB(H692,I692,J692)</f>
        <v/>
      </c>
    </row>
    <row r="693" spans="1:11" x14ac:dyDescent="0.2">
      <c r="A693">
        <v>1005</v>
      </c>
      <c r="B693">
        <v>701</v>
      </c>
      <c r="C693">
        <v>7</v>
      </c>
      <c r="D693" t="s">
        <v>7935</v>
      </c>
      <c r="E693">
        <v>217</v>
      </c>
      <c r="F693" t="s">
        <v>6472</v>
      </c>
      <c r="G693" t="s">
        <v>6471</v>
      </c>
      <c r="H693">
        <v>253</v>
      </c>
      <c r="I693">
        <v>179</v>
      </c>
      <c r="J693">
        <v>214</v>
      </c>
      <c r="K693" s="540" t="str" cm="1">
        <f t="array" ref="K693">myRGB(H693,I693,J693)</f>
        <v/>
      </c>
    </row>
    <row r="694" spans="1:11" x14ac:dyDescent="0.2">
      <c r="A694">
        <v>1002</v>
      </c>
      <c r="B694">
        <v>701</v>
      </c>
      <c r="C694">
        <v>7</v>
      </c>
      <c r="D694" t="s">
        <v>7932</v>
      </c>
      <c r="E694">
        <v>209</v>
      </c>
      <c r="F694" t="s">
        <v>6466</v>
      </c>
      <c r="G694" t="s">
        <v>6465</v>
      </c>
      <c r="H694">
        <v>254</v>
      </c>
      <c r="I694">
        <v>179</v>
      </c>
      <c r="J694">
        <v>215</v>
      </c>
      <c r="K694" s="606" t="str" cm="1">
        <f t="array" ref="K694">myRGB(H694,I694,J694)</f>
        <v/>
      </c>
    </row>
    <row r="695" spans="1:11" x14ac:dyDescent="0.2">
      <c r="A695">
        <v>1003</v>
      </c>
      <c r="B695">
        <v>701</v>
      </c>
      <c r="C695">
        <v>7</v>
      </c>
      <c r="D695" t="s">
        <v>7933</v>
      </c>
      <c r="E695">
        <v>202</v>
      </c>
      <c r="F695" t="s">
        <v>6468</v>
      </c>
      <c r="G695" t="s">
        <v>6467</v>
      </c>
      <c r="H695">
        <v>255</v>
      </c>
      <c r="I695">
        <v>176</v>
      </c>
      <c r="J695">
        <v>215</v>
      </c>
      <c r="K695" s="571" t="str" cm="1">
        <f t="array" ref="K695">myRGB(H695,I695,J695)</f>
        <v/>
      </c>
    </row>
    <row r="696" spans="1:11" x14ac:dyDescent="0.2">
      <c r="A696">
        <v>1001</v>
      </c>
      <c r="B696">
        <v>370</v>
      </c>
      <c r="C696">
        <v>6</v>
      </c>
      <c r="D696" t="s">
        <v>7931</v>
      </c>
      <c r="E696">
        <v>701</v>
      </c>
      <c r="F696" t="s">
        <v>6464</v>
      </c>
      <c r="G696" t="s">
        <v>6463</v>
      </c>
      <c r="H696">
        <v>252</v>
      </c>
      <c r="I696">
        <v>177</v>
      </c>
      <c r="J696">
        <v>217</v>
      </c>
      <c r="K696" s="712" t="str" cm="1">
        <f t="array" ref="K696">myRGB(H696,I696,J696)</f>
        <v/>
      </c>
    </row>
    <row r="697" spans="1:11" x14ac:dyDescent="0.2">
      <c r="A697">
        <v>967</v>
      </c>
      <c r="B697">
        <v>370</v>
      </c>
      <c r="C697">
        <v>6</v>
      </c>
      <c r="D697" t="s">
        <v>7903</v>
      </c>
      <c r="E697">
        <v>661</v>
      </c>
      <c r="F697" t="s">
        <v>6396</v>
      </c>
      <c r="G697" t="s">
        <v>6395</v>
      </c>
      <c r="H697">
        <v>255</v>
      </c>
      <c r="I697">
        <v>179</v>
      </c>
      <c r="J697">
        <v>214</v>
      </c>
      <c r="K697" s="817" t="str" cm="1">
        <f t="array" ref="K697">myRGB(H697,I697,J697)</f>
        <v/>
      </c>
    </row>
    <row r="698" spans="1:11" x14ac:dyDescent="0.2">
      <c r="A698">
        <v>965</v>
      </c>
      <c r="B698">
        <v>370</v>
      </c>
      <c r="C698">
        <v>6</v>
      </c>
      <c r="D698" t="s">
        <v>7902</v>
      </c>
      <c r="E698">
        <v>653</v>
      </c>
      <c r="F698" t="s">
        <v>6392</v>
      </c>
      <c r="G698" t="s">
        <v>6391</v>
      </c>
      <c r="H698">
        <v>253</v>
      </c>
      <c r="I698">
        <v>177</v>
      </c>
      <c r="J698">
        <v>217</v>
      </c>
      <c r="K698" s="739" t="str" cm="1">
        <f t="array" ref="K698">myRGB(H698,I698,J698)</f>
        <v/>
      </c>
    </row>
    <row r="699" spans="1:11" x14ac:dyDescent="0.2">
      <c r="A699">
        <v>968</v>
      </c>
      <c r="B699">
        <v>370</v>
      </c>
      <c r="C699">
        <v>6</v>
      </c>
      <c r="D699" t="s">
        <v>7904</v>
      </c>
      <c r="E699">
        <v>576</v>
      </c>
      <c r="F699" t="s">
        <v>6398</v>
      </c>
      <c r="G699" t="s">
        <v>6397</v>
      </c>
      <c r="H699">
        <v>253</v>
      </c>
      <c r="I699">
        <v>176</v>
      </c>
      <c r="J699">
        <v>217</v>
      </c>
      <c r="K699" s="607" t="str" cm="1">
        <f t="array" ref="K699">myRGB(H699,I699,J699)</f>
        <v/>
      </c>
    </row>
    <row r="700" spans="1:11" x14ac:dyDescent="0.2">
      <c r="A700">
        <v>987</v>
      </c>
      <c r="B700">
        <v>395</v>
      </c>
      <c r="C700">
        <v>7</v>
      </c>
      <c r="D700" t="s">
        <v>7921</v>
      </c>
      <c r="E700">
        <v>1107</v>
      </c>
      <c r="F700" t="s">
        <v>6436</v>
      </c>
      <c r="G700" t="s">
        <v>6435</v>
      </c>
      <c r="H700">
        <v>255</v>
      </c>
      <c r="I700">
        <v>177</v>
      </c>
      <c r="J700">
        <v>214</v>
      </c>
      <c r="K700" s="654" t="str" cm="1">
        <f t="array" ref="K700">myRGB(H700,I700,J700)</f>
        <v/>
      </c>
    </row>
    <row r="701" spans="1:11" x14ac:dyDescent="0.2">
      <c r="A701">
        <v>986</v>
      </c>
      <c r="B701">
        <v>395</v>
      </c>
      <c r="C701">
        <v>7</v>
      </c>
      <c r="D701" t="s">
        <v>7920</v>
      </c>
      <c r="E701">
        <v>1098</v>
      </c>
      <c r="F701" t="s">
        <v>6434</v>
      </c>
      <c r="G701" t="s">
        <v>6433</v>
      </c>
      <c r="H701">
        <v>253</v>
      </c>
      <c r="I701">
        <v>177</v>
      </c>
      <c r="J701">
        <v>215</v>
      </c>
      <c r="K701" s="713" t="str" cm="1">
        <f t="array" ref="K701">myRGB(H701,I701,J701)</f>
        <v/>
      </c>
    </row>
    <row r="702" spans="1:11" x14ac:dyDescent="0.2">
      <c r="A702">
        <v>985</v>
      </c>
      <c r="B702">
        <v>370</v>
      </c>
      <c r="C702">
        <v>6</v>
      </c>
      <c r="D702" t="s">
        <v>7919</v>
      </c>
      <c r="E702">
        <v>395</v>
      </c>
      <c r="F702" t="s">
        <v>6432</v>
      </c>
      <c r="G702" t="s">
        <v>6431</v>
      </c>
      <c r="H702">
        <v>253</v>
      </c>
      <c r="I702">
        <v>178</v>
      </c>
      <c r="J702">
        <v>216</v>
      </c>
      <c r="K702" s="774" t="str" cm="1">
        <f t="array" ref="K702">myRGB(H702,I702,J702)</f>
        <v/>
      </c>
    </row>
    <row r="703" spans="1:11" x14ac:dyDescent="0.2">
      <c r="A703">
        <v>976</v>
      </c>
      <c r="B703">
        <v>370</v>
      </c>
      <c r="C703">
        <v>6</v>
      </c>
      <c r="D703" t="s">
        <v>7910</v>
      </c>
      <c r="E703">
        <v>372</v>
      </c>
      <c r="F703" t="s">
        <v>6414</v>
      </c>
      <c r="G703" t="s">
        <v>6413</v>
      </c>
      <c r="H703">
        <v>254</v>
      </c>
      <c r="I703">
        <v>177</v>
      </c>
      <c r="J703">
        <v>216</v>
      </c>
      <c r="K703" s="844" t="str" cm="1">
        <f t="array" ref="K703">myRGB(H703,I703,J703)</f>
        <v/>
      </c>
    </row>
    <row r="704" spans="1:11" x14ac:dyDescent="0.2">
      <c r="A704">
        <v>984</v>
      </c>
      <c r="B704">
        <v>370</v>
      </c>
      <c r="C704">
        <v>6</v>
      </c>
      <c r="D704" t="s">
        <v>7918</v>
      </c>
      <c r="E704">
        <v>307</v>
      </c>
      <c r="F704" t="s">
        <v>6430</v>
      </c>
      <c r="G704" t="s">
        <v>6429</v>
      </c>
      <c r="H704">
        <v>253</v>
      </c>
      <c r="I704">
        <v>178</v>
      </c>
      <c r="J704">
        <v>217</v>
      </c>
      <c r="K704" s="541" t="str" cm="1">
        <f t="array" ref="K704">myRGB(H704,I704,J704)</f>
        <v/>
      </c>
    </row>
    <row r="705" spans="1:11" x14ac:dyDescent="0.2">
      <c r="A705">
        <v>983</v>
      </c>
      <c r="B705">
        <v>235</v>
      </c>
      <c r="C705">
        <v>7</v>
      </c>
      <c r="D705" t="s">
        <v>7917</v>
      </c>
      <c r="E705">
        <v>963</v>
      </c>
      <c r="F705" t="s">
        <v>6428</v>
      </c>
      <c r="G705" t="s">
        <v>6427</v>
      </c>
      <c r="H705">
        <v>254</v>
      </c>
      <c r="I705">
        <v>176</v>
      </c>
      <c r="J705">
        <v>217</v>
      </c>
      <c r="K705" s="655" t="str" cm="1">
        <f t="array" ref="K705">myRGB(H705,I705,J705)</f>
        <v/>
      </c>
    </row>
    <row r="706" spans="1:11" x14ac:dyDescent="0.2">
      <c r="A706">
        <v>982</v>
      </c>
      <c r="B706">
        <v>235</v>
      </c>
      <c r="C706">
        <v>7</v>
      </c>
      <c r="D706" t="s">
        <v>7916</v>
      </c>
      <c r="E706">
        <v>955</v>
      </c>
      <c r="F706" t="s">
        <v>6426</v>
      </c>
      <c r="G706" t="s">
        <v>6425</v>
      </c>
      <c r="H706">
        <v>252</v>
      </c>
      <c r="I706">
        <v>179</v>
      </c>
      <c r="J706">
        <v>215</v>
      </c>
      <c r="K706" s="680" t="str" cm="1">
        <f t="array" ref="K706">myRGB(H706,I706,J706)</f>
        <v/>
      </c>
    </row>
    <row r="707" spans="1:11" x14ac:dyDescent="0.2">
      <c r="A707">
        <v>981</v>
      </c>
      <c r="B707">
        <v>370</v>
      </c>
      <c r="C707">
        <v>6</v>
      </c>
      <c r="D707" t="s">
        <v>7915</v>
      </c>
      <c r="E707">
        <v>235</v>
      </c>
      <c r="F707" t="s">
        <v>6424</v>
      </c>
      <c r="G707" t="s">
        <v>6423</v>
      </c>
      <c r="H707">
        <v>253</v>
      </c>
      <c r="I707">
        <v>179</v>
      </c>
      <c r="J707">
        <v>216</v>
      </c>
      <c r="K707" s="775" t="str" cm="1">
        <f t="array" ref="K707">myRGB(H707,I707,J707)</f>
        <v/>
      </c>
    </row>
    <row r="708" spans="1:11" x14ac:dyDescent="0.2">
      <c r="A708">
        <v>980</v>
      </c>
      <c r="B708">
        <v>370</v>
      </c>
      <c r="C708">
        <v>6</v>
      </c>
      <c r="D708" t="s">
        <v>7914</v>
      </c>
      <c r="E708">
        <v>203</v>
      </c>
      <c r="F708" t="s">
        <v>6422</v>
      </c>
      <c r="G708" t="s">
        <v>6421</v>
      </c>
      <c r="H708">
        <v>255</v>
      </c>
      <c r="I708">
        <v>177</v>
      </c>
      <c r="J708">
        <v>216</v>
      </c>
      <c r="K708" s="818" t="str" cm="1">
        <f t="array" ref="K708">myRGB(H708,I708,J708)</f>
        <v/>
      </c>
    </row>
    <row r="709" spans="1:11" x14ac:dyDescent="0.2">
      <c r="A709">
        <v>995</v>
      </c>
      <c r="B709">
        <v>154</v>
      </c>
      <c r="C709">
        <v>7</v>
      </c>
      <c r="D709" t="s">
        <v>7928</v>
      </c>
      <c r="E709">
        <v>177</v>
      </c>
      <c r="F709" t="s">
        <v>6452</v>
      </c>
      <c r="G709" t="s">
        <v>6451</v>
      </c>
      <c r="H709">
        <v>255</v>
      </c>
      <c r="I709">
        <v>177</v>
      </c>
      <c r="J709">
        <v>217</v>
      </c>
      <c r="K709" s="542" t="str" cm="1">
        <f t="array" ref="K709">myRGB(H709,I709,J709)</f>
        <v/>
      </c>
    </row>
    <row r="710" spans="1:11" x14ac:dyDescent="0.2">
      <c r="A710">
        <v>996</v>
      </c>
      <c r="B710">
        <v>154</v>
      </c>
      <c r="C710">
        <v>7</v>
      </c>
      <c r="D710" t="s">
        <v>7929</v>
      </c>
      <c r="E710">
        <v>169</v>
      </c>
      <c r="F710" t="s">
        <v>6454</v>
      </c>
      <c r="G710" t="s">
        <v>6453</v>
      </c>
      <c r="H710">
        <v>255</v>
      </c>
      <c r="I710">
        <v>179</v>
      </c>
      <c r="J710">
        <v>215</v>
      </c>
      <c r="K710" s="608" t="str" cm="1">
        <f t="array" ref="K710">myRGB(H710,I710,J710)</f>
        <v/>
      </c>
    </row>
    <row r="711" spans="1:11" x14ac:dyDescent="0.2">
      <c r="A711">
        <v>993</v>
      </c>
      <c r="B711">
        <v>370</v>
      </c>
      <c r="C711">
        <v>6</v>
      </c>
      <c r="D711" t="s">
        <v>7927</v>
      </c>
      <c r="E711">
        <v>154</v>
      </c>
      <c r="F711" t="s">
        <v>6448</v>
      </c>
      <c r="G711" t="s">
        <v>6447</v>
      </c>
      <c r="H711">
        <v>254</v>
      </c>
      <c r="I711">
        <v>178</v>
      </c>
      <c r="J711">
        <v>217</v>
      </c>
      <c r="K711" s="631" t="str" cm="1">
        <f t="array" ref="K711">myRGB(H711,I711,J711)</f>
        <v/>
      </c>
    </row>
    <row r="712" spans="1:11" x14ac:dyDescent="0.2">
      <c r="A712">
        <v>978</v>
      </c>
      <c r="B712">
        <v>370</v>
      </c>
      <c r="C712">
        <v>6</v>
      </c>
      <c r="D712" t="s">
        <v>7912</v>
      </c>
      <c r="E712">
        <v>136</v>
      </c>
      <c r="F712" t="s">
        <v>6418</v>
      </c>
      <c r="G712" t="s">
        <v>6417</v>
      </c>
      <c r="H712">
        <v>255</v>
      </c>
      <c r="I712">
        <v>178</v>
      </c>
      <c r="J712">
        <v>216</v>
      </c>
      <c r="K712" s="714" t="str" cm="1">
        <f t="array" ref="K712">myRGB(H712,I712,J712)</f>
        <v/>
      </c>
    </row>
    <row r="713" spans="1:11" x14ac:dyDescent="0.2">
      <c r="A713">
        <v>971</v>
      </c>
      <c r="B713">
        <v>135</v>
      </c>
      <c r="C713">
        <v>7</v>
      </c>
      <c r="D713" t="s">
        <v>7906</v>
      </c>
      <c r="E713">
        <v>939</v>
      </c>
      <c r="F713" t="s">
        <v>6404</v>
      </c>
      <c r="G713" t="s">
        <v>6403</v>
      </c>
      <c r="H713">
        <v>254</v>
      </c>
      <c r="I713">
        <v>179</v>
      </c>
      <c r="J713">
        <v>214</v>
      </c>
      <c r="K713" s="819" t="str" cm="1">
        <f t="array" ref="K713">myRGB(H713,I713,J713)</f>
        <v/>
      </c>
    </row>
    <row r="714" spans="1:11" x14ac:dyDescent="0.2">
      <c r="A714">
        <v>972</v>
      </c>
      <c r="B714">
        <v>135</v>
      </c>
      <c r="C714">
        <v>7</v>
      </c>
      <c r="D714" t="s">
        <v>7907</v>
      </c>
      <c r="E714">
        <v>143</v>
      </c>
      <c r="F714" t="s">
        <v>6406</v>
      </c>
      <c r="G714" t="s">
        <v>6405</v>
      </c>
      <c r="H714">
        <v>254</v>
      </c>
      <c r="I714">
        <v>179</v>
      </c>
      <c r="J714">
        <v>216</v>
      </c>
      <c r="K714" s="845" t="str" cm="1">
        <f t="array" ref="K714">myRGB(H714,I714,J714)</f>
        <v/>
      </c>
    </row>
    <row r="715" spans="1:11" x14ac:dyDescent="0.2">
      <c r="A715">
        <v>970</v>
      </c>
      <c r="B715">
        <v>370</v>
      </c>
      <c r="C715">
        <v>6</v>
      </c>
      <c r="D715" t="s">
        <v>7905</v>
      </c>
      <c r="E715">
        <v>135</v>
      </c>
      <c r="F715" t="s">
        <v>6402</v>
      </c>
      <c r="G715" t="s">
        <v>6401</v>
      </c>
      <c r="H715">
        <v>254</v>
      </c>
      <c r="I715">
        <v>179</v>
      </c>
      <c r="J715">
        <v>217</v>
      </c>
      <c r="K715" s="609" t="str" cm="1">
        <f t="array" ref="K715">myRGB(H715,I715,J715)</f>
        <v/>
      </c>
    </row>
    <row r="716" spans="1:11" x14ac:dyDescent="0.2">
      <c r="A716">
        <v>998</v>
      </c>
      <c r="B716">
        <v>370</v>
      </c>
      <c r="C716">
        <v>6</v>
      </c>
      <c r="D716" t="s">
        <v>7930</v>
      </c>
      <c r="E716">
        <v>1069</v>
      </c>
      <c r="F716" t="s">
        <v>6458</v>
      </c>
      <c r="G716" t="s">
        <v>6457</v>
      </c>
      <c r="H716">
        <v>252</v>
      </c>
      <c r="I716">
        <v>178</v>
      </c>
      <c r="J716">
        <v>216</v>
      </c>
      <c r="K716" s="656" t="str" cm="1">
        <f t="array" ref="K716">myRGB(H716,I716,J716)</f>
        <v/>
      </c>
    </row>
    <row r="717" spans="1:11" x14ac:dyDescent="0.2">
      <c r="A717">
        <v>979</v>
      </c>
      <c r="B717">
        <v>370</v>
      </c>
      <c r="C717">
        <v>6</v>
      </c>
      <c r="D717" t="s">
        <v>7913</v>
      </c>
      <c r="E717">
        <v>106</v>
      </c>
      <c r="F717" t="s">
        <v>6420</v>
      </c>
      <c r="G717" t="s">
        <v>6419</v>
      </c>
      <c r="H717">
        <v>255</v>
      </c>
      <c r="I717">
        <v>178</v>
      </c>
      <c r="J717">
        <v>217</v>
      </c>
      <c r="K717" s="715" t="str" cm="1">
        <f t="array" ref="K717">myRGB(H717,I717,J717)</f>
        <v/>
      </c>
    </row>
    <row r="718" spans="1:11" x14ac:dyDescent="0.2">
      <c r="A718">
        <v>975</v>
      </c>
      <c r="B718">
        <v>370</v>
      </c>
      <c r="C718">
        <v>6</v>
      </c>
      <c r="D718" t="s">
        <v>7909</v>
      </c>
      <c r="E718">
        <v>1048</v>
      </c>
      <c r="F718" t="s">
        <v>6412</v>
      </c>
      <c r="G718" t="s">
        <v>6411</v>
      </c>
      <c r="H718">
        <v>254</v>
      </c>
      <c r="I718">
        <v>176</v>
      </c>
      <c r="J718">
        <v>216</v>
      </c>
      <c r="K718" s="776" t="str" cm="1">
        <f t="array" ref="K718">myRGB(H718,I718,J718)</f>
        <v/>
      </c>
    </row>
    <row r="719" spans="1:11" x14ac:dyDescent="0.2">
      <c r="A719">
        <v>964</v>
      </c>
      <c r="B719">
        <v>354</v>
      </c>
      <c r="C719">
        <v>5</v>
      </c>
      <c r="D719" t="s">
        <v>7901</v>
      </c>
      <c r="E719">
        <v>370</v>
      </c>
      <c r="F719" t="s">
        <v>6390</v>
      </c>
      <c r="G719" t="s">
        <v>6389</v>
      </c>
      <c r="H719">
        <v>254</v>
      </c>
      <c r="I719">
        <v>178</v>
      </c>
      <c r="J719">
        <v>215</v>
      </c>
      <c r="K719" s="798" t="str" cm="1">
        <f t="array" ref="K719">myRGB(H719,I719,J719)</f>
        <v/>
      </c>
    </row>
    <row r="720" spans="1:11" x14ac:dyDescent="0.2">
      <c r="A720">
        <v>935</v>
      </c>
      <c r="B720">
        <v>1065</v>
      </c>
      <c r="C720">
        <v>4</v>
      </c>
      <c r="D720" t="s">
        <v>7885</v>
      </c>
      <c r="E720">
        <v>354</v>
      </c>
      <c r="F720" t="s">
        <v>6332</v>
      </c>
      <c r="G720" t="s">
        <v>6331</v>
      </c>
      <c r="H720">
        <v>255</v>
      </c>
      <c r="I720">
        <v>155</v>
      </c>
      <c r="J720">
        <v>205</v>
      </c>
      <c r="K720" s="543" t="str" cm="1">
        <f t="array" ref="K720">myRGB(H720,I720,J720)</f>
        <v/>
      </c>
    </row>
    <row r="721" spans="1:11" x14ac:dyDescent="0.2">
      <c r="A721">
        <v>882</v>
      </c>
      <c r="B721">
        <v>343</v>
      </c>
      <c r="C721">
        <v>3</v>
      </c>
      <c r="D721" t="s">
        <v>7850</v>
      </c>
      <c r="E721">
        <v>1065</v>
      </c>
      <c r="F721" t="s">
        <v>6227</v>
      </c>
      <c r="G721" t="s">
        <v>6226</v>
      </c>
      <c r="H721">
        <v>255</v>
      </c>
      <c r="I721">
        <v>155</v>
      </c>
      <c r="J721">
        <v>135</v>
      </c>
      <c r="K721" s="657" t="str" cm="1">
        <f t="array" ref="K721">myRGB(H721,I721,J721)</f>
        <v/>
      </c>
    </row>
    <row r="722" spans="1:11" x14ac:dyDescent="0.2">
      <c r="A722">
        <v>639</v>
      </c>
      <c r="B722">
        <v>8</v>
      </c>
      <c r="C722">
        <v>2</v>
      </c>
      <c r="D722" t="s">
        <v>7658</v>
      </c>
      <c r="E722">
        <v>343</v>
      </c>
      <c r="F722" t="s">
        <v>5741</v>
      </c>
      <c r="G722" t="s">
        <v>5740</v>
      </c>
      <c r="H722">
        <v>255</v>
      </c>
      <c r="I722">
        <v>112</v>
      </c>
      <c r="J722">
        <v>128</v>
      </c>
      <c r="K722" s="681" t="str" cm="1">
        <f t="array" ref="K722">myRGB(H722,I722,J722)</f>
        <v/>
      </c>
    </row>
    <row r="723" spans="1:11" x14ac:dyDescent="0.2">
      <c r="A723">
        <v>1</v>
      </c>
      <c r="B723">
        <v>997</v>
      </c>
      <c r="C723">
        <v>1</v>
      </c>
      <c r="D723" t="s">
        <v>7247</v>
      </c>
      <c r="E723">
        <v>8</v>
      </c>
      <c r="F723" t="s">
        <v>4592</v>
      </c>
      <c r="G723" t="s">
        <v>4591</v>
      </c>
      <c r="H723">
        <v>191</v>
      </c>
      <c r="I723">
        <v>218</v>
      </c>
      <c r="J723">
        <v>227</v>
      </c>
      <c r="K723" s="777" t="str" cm="1">
        <f t="array" ref="K723">myRGB(H723,I723,J723)</f>
        <v/>
      </c>
    </row>
    <row r="724" spans="1:11" x14ac:dyDescent="0.2">
      <c r="A724">
        <v>1295</v>
      </c>
      <c r="B724">
        <v>81</v>
      </c>
      <c r="C724">
        <v>3</v>
      </c>
      <c r="D724" t="s">
        <v>8079</v>
      </c>
      <c r="E724">
        <v>98</v>
      </c>
      <c r="F724" t="s">
        <v>7051</v>
      </c>
      <c r="G724" t="s">
        <v>7050</v>
      </c>
      <c r="H724">
        <v>170</v>
      </c>
      <c r="I724">
        <v>168</v>
      </c>
      <c r="J724">
        <v>169</v>
      </c>
      <c r="K724" s="820" t="str" cm="1">
        <f t="array" ref="K724">myRGB(H724,I724,J724)</f>
        <v/>
      </c>
    </row>
    <row r="725" spans="1:11" x14ac:dyDescent="0.2">
      <c r="A725">
        <v>1296</v>
      </c>
      <c r="B725">
        <v>81</v>
      </c>
      <c r="C725">
        <v>3</v>
      </c>
      <c r="D725" t="s">
        <v>8080</v>
      </c>
      <c r="E725">
        <v>108</v>
      </c>
      <c r="F725" t="s">
        <v>7053</v>
      </c>
      <c r="G725" t="s">
        <v>7052</v>
      </c>
      <c r="H725">
        <v>169</v>
      </c>
      <c r="I725">
        <v>170</v>
      </c>
      <c r="J725">
        <v>168</v>
      </c>
      <c r="K725" s="544" t="str" cm="1">
        <f t="array" ref="K725">myRGB(H725,I725,J725)</f>
        <v/>
      </c>
    </row>
    <row r="726" spans="1:11" x14ac:dyDescent="0.2">
      <c r="A726">
        <v>1293</v>
      </c>
      <c r="B726">
        <v>73</v>
      </c>
      <c r="C726">
        <v>2</v>
      </c>
      <c r="D726" t="s">
        <v>8078</v>
      </c>
      <c r="E726">
        <v>81</v>
      </c>
      <c r="F726" t="s">
        <v>7047</v>
      </c>
      <c r="G726" t="s">
        <v>7046</v>
      </c>
      <c r="H726">
        <v>168</v>
      </c>
      <c r="I726">
        <v>170</v>
      </c>
      <c r="J726">
        <v>170</v>
      </c>
      <c r="K726" s="610" t="str" cm="1">
        <f t="array" ref="K726">myRGB(H726,I726,J726)</f>
        <v/>
      </c>
    </row>
    <row r="727" spans="1:11" x14ac:dyDescent="0.2">
      <c r="A727">
        <v>1303</v>
      </c>
      <c r="B727">
        <v>73</v>
      </c>
      <c r="C727">
        <v>2</v>
      </c>
      <c r="D727" t="s">
        <v>8085</v>
      </c>
      <c r="E727">
        <v>164</v>
      </c>
      <c r="F727" t="s">
        <v>7238</v>
      </c>
      <c r="G727" t="s">
        <v>7066</v>
      </c>
      <c r="H727">
        <v>167</v>
      </c>
      <c r="I727">
        <v>170</v>
      </c>
      <c r="J727">
        <v>169</v>
      </c>
      <c r="K727" s="572" t="str" cm="1">
        <f t="array" ref="K727">myRGB(H727,I727,J727)</f>
        <v/>
      </c>
    </row>
    <row r="728" spans="1:11" x14ac:dyDescent="0.2">
      <c r="A728">
        <v>1302</v>
      </c>
      <c r="B728">
        <v>145</v>
      </c>
      <c r="C728">
        <v>3</v>
      </c>
      <c r="D728" t="s">
        <v>8084</v>
      </c>
      <c r="E728">
        <v>153</v>
      </c>
      <c r="F728" t="s">
        <v>7065</v>
      </c>
      <c r="G728" t="s">
        <v>7064</v>
      </c>
      <c r="H728">
        <v>169</v>
      </c>
      <c r="I728">
        <v>170</v>
      </c>
      <c r="J728">
        <v>167</v>
      </c>
      <c r="K728" s="716" t="str" cm="1">
        <f t="array" ref="K728">myRGB(H728,I728,J728)</f>
        <v/>
      </c>
    </row>
    <row r="729" spans="1:11" x14ac:dyDescent="0.2">
      <c r="A729">
        <v>1301</v>
      </c>
      <c r="B729">
        <v>73</v>
      </c>
      <c r="C729">
        <v>2</v>
      </c>
      <c r="D729" t="s">
        <v>8083</v>
      </c>
      <c r="E729">
        <v>145</v>
      </c>
      <c r="F729" t="s">
        <v>7063</v>
      </c>
      <c r="G729" t="s">
        <v>7062</v>
      </c>
      <c r="H729">
        <v>170</v>
      </c>
      <c r="I729">
        <v>169</v>
      </c>
      <c r="J729">
        <v>167</v>
      </c>
      <c r="K729" s="821" t="str" cm="1">
        <f t="array" ref="K729">myRGB(H729,I729,J729)</f>
        <v/>
      </c>
    </row>
    <row r="730" spans="1:11" x14ac:dyDescent="0.2">
      <c r="A730">
        <v>1300</v>
      </c>
      <c r="B730">
        <v>73</v>
      </c>
      <c r="C730">
        <v>2</v>
      </c>
      <c r="D730" t="s">
        <v>8082</v>
      </c>
      <c r="E730">
        <v>140</v>
      </c>
      <c r="F730" t="s">
        <v>7061</v>
      </c>
      <c r="G730" t="s">
        <v>7060</v>
      </c>
      <c r="H730">
        <v>169</v>
      </c>
      <c r="I730">
        <v>169</v>
      </c>
      <c r="J730">
        <v>168</v>
      </c>
      <c r="K730" s="799" t="str" cm="1">
        <f t="array" ref="K730">myRGB(H730,I730,J730)</f>
        <v/>
      </c>
    </row>
    <row r="731" spans="1:11" x14ac:dyDescent="0.2">
      <c r="A731">
        <v>1299</v>
      </c>
      <c r="B731">
        <v>73</v>
      </c>
      <c r="C731">
        <v>2</v>
      </c>
      <c r="D731" t="s">
        <v>8081</v>
      </c>
      <c r="E731">
        <v>129</v>
      </c>
      <c r="F731" t="s">
        <v>7059</v>
      </c>
      <c r="G731" t="s">
        <v>7058</v>
      </c>
      <c r="H731">
        <v>168</v>
      </c>
      <c r="I731">
        <v>169</v>
      </c>
      <c r="J731">
        <v>170</v>
      </c>
      <c r="K731" s="611" t="str" cm="1">
        <f t="array" ref="K731">myRGB(H731,I731,J731)</f>
        <v/>
      </c>
    </row>
    <row r="732" spans="1:11" x14ac:dyDescent="0.2">
      <c r="A732">
        <v>1292</v>
      </c>
      <c r="B732">
        <v>997</v>
      </c>
      <c r="C732">
        <v>1</v>
      </c>
      <c r="D732" t="s">
        <v>8077</v>
      </c>
      <c r="E732">
        <v>73</v>
      </c>
      <c r="F732" t="s">
        <v>7045</v>
      </c>
      <c r="G732" t="s">
        <v>7044</v>
      </c>
      <c r="H732">
        <v>170</v>
      </c>
      <c r="I732">
        <v>168</v>
      </c>
      <c r="J732">
        <v>170</v>
      </c>
      <c r="K732" s="658" t="str" cm="1">
        <f t="array" ref="K732">myRGB(H732,I732,J732)</f>
        <v/>
      </c>
    </row>
    <row r="733" spans="1:11" x14ac:dyDescent="0.2">
      <c r="A733">
        <v>1262</v>
      </c>
      <c r="B733">
        <v>824</v>
      </c>
      <c r="C733">
        <v>4</v>
      </c>
      <c r="D733" t="s">
        <v>8066</v>
      </c>
      <c r="E733">
        <v>54</v>
      </c>
      <c r="F733" t="s">
        <v>6985</v>
      </c>
      <c r="G733" t="s">
        <v>6984</v>
      </c>
      <c r="H733">
        <v>203</v>
      </c>
      <c r="I733">
        <v>204</v>
      </c>
      <c r="J733">
        <v>203</v>
      </c>
      <c r="K733" s="717" t="str" cm="1">
        <f t="array" ref="K733">myRGB(H733,I733,J733)</f>
        <v/>
      </c>
    </row>
    <row r="734" spans="1:11" x14ac:dyDescent="0.2">
      <c r="A734">
        <v>1278</v>
      </c>
      <c r="B734">
        <v>46</v>
      </c>
      <c r="C734">
        <v>5</v>
      </c>
      <c r="D734" t="s">
        <v>8069</v>
      </c>
      <c r="E734">
        <v>753</v>
      </c>
      <c r="F734" t="s">
        <v>7017</v>
      </c>
      <c r="G734" t="s">
        <v>7016</v>
      </c>
      <c r="H734">
        <v>200</v>
      </c>
      <c r="I734">
        <v>203</v>
      </c>
      <c r="J734">
        <v>202</v>
      </c>
      <c r="K734" s="778" t="str" cm="1">
        <f t="array" ref="K734">myRGB(H734,I734,J734)</f>
        <v/>
      </c>
    </row>
    <row r="735" spans="1:11" x14ac:dyDescent="0.2">
      <c r="A735">
        <v>1279</v>
      </c>
      <c r="B735">
        <v>46</v>
      </c>
      <c r="C735">
        <v>5</v>
      </c>
      <c r="D735" t="s">
        <v>8070</v>
      </c>
      <c r="E735">
        <v>690</v>
      </c>
      <c r="F735" t="s">
        <v>7019</v>
      </c>
      <c r="G735" t="s">
        <v>7018</v>
      </c>
      <c r="H735">
        <v>199</v>
      </c>
      <c r="I735">
        <v>201</v>
      </c>
      <c r="J735">
        <v>204</v>
      </c>
      <c r="K735" s="740" t="str" cm="1">
        <f t="array" ref="K735">myRGB(H735,I735,J735)</f>
        <v/>
      </c>
    </row>
    <row r="736" spans="1:11" x14ac:dyDescent="0.2">
      <c r="A736">
        <v>1280</v>
      </c>
      <c r="B736">
        <v>46</v>
      </c>
      <c r="C736">
        <v>5</v>
      </c>
      <c r="D736" t="s">
        <v>8071</v>
      </c>
      <c r="E736">
        <v>681</v>
      </c>
      <c r="F736" t="s">
        <v>7021</v>
      </c>
      <c r="G736" t="s">
        <v>7020</v>
      </c>
      <c r="H736">
        <v>200</v>
      </c>
      <c r="I736">
        <v>200</v>
      </c>
      <c r="J736">
        <v>200</v>
      </c>
      <c r="K736" s="545" t="str" cm="1">
        <f t="array" ref="K736">myRGB(H736,I736,J736)</f>
        <v/>
      </c>
    </row>
    <row r="737" spans="1:11" x14ac:dyDescent="0.2">
      <c r="A737">
        <v>1281</v>
      </c>
      <c r="B737">
        <v>46</v>
      </c>
      <c r="C737">
        <v>5</v>
      </c>
      <c r="D737" t="s">
        <v>8072</v>
      </c>
      <c r="E737">
        <v>673</v>
      </c>
      <c r="F737" t="s">
        <v>7023</v>
      </c>
      <c r="G737" t="s">
        <v>7022</v>
      </c>
      <c r="H737">
        <v>204</v>
      </c>
      <c r="I737">
        <v>202</v>
      </c>
      <c r="J737">
        <v>200</v>
      </c>
      <c r="K737" s="659" t="str" cm="1">
        <f t="array" ref="K737">myRGB(H737,I737,J737)</f>
        <v/>
      </c>
    </row>
    <row r="738" spans="1:11" x14ac:dyDescent="0.2">
      <c r="A738">
        <v>1277</v>
      </c>
      <c r="B738">
        <v>824</v>
      </c>
      <c r="C738">
        <v>4</v>
      </c>
      <c r="D738" t="s">
        <v>8068</v>
      </c>
      <c r="E738">
        <v>46</v>
      </c>
      <c r="F738" t="s">
        <v>7015</v>
      </c>
      <c r="G738" t="s">
        <v>7014</v>
      </c>
      <c r="H738">
        <v>204</v>
      </c>
      <c r="I738">
        <v>203</v>
      </c>
      <c r="J738">
        <v>203</v>
      </c>
      <c r="K738" s="573" t="str" cm="1">
        <f t="array" ref="K738">myRGB(H738,I738,J738)</f>
        <v/>
      </c>
    </row>
    <row r="739" spans="1:11" x14ac:dyDescent="0.2">
      <c r="A739">
        <v>1265</v>
      </c>
      <c r="B739">
        <v>824</v>
      </c>
      <c r="C739">
        <v>4</v>
      </c>
      <c r="D739" t="s">
        <v>8067</v>
      </c>
      <c r="E739">
        <v>349</v>
      </c>
      <c r="F739" t="s">
        <v>6991</v>
      </c>
      <c r="G739" t="s">
        <v>6990</v>
      </c>
      <c r="H739">
        <v>204</v>
      </c>
      <c r="I739">
        <v>202</v>
      </c>
      <c r="J739">
        <v>201</v>
      </c>
      <c r="K739" s="779" t="str" cm="1">
        <f t="array" ref="K739">myRGB(H739,I739,J739)</f>
        <v/>
      </c>
    </row>
    <row r="740" spans="1:11" x14ac:dyDescent="0.2">
      <c r="A740">
        <v>1285</v>
      </c>
      <c r="B740">
        <v>1083</v>
      </c>
      <c r="C740">
        <v>5</v>
      </c>
      <c r="D740" t="s">
        <v>8074</v>
      </c>
      <c r="E740">
        <v>802</v>
      </c>
      <c r="F740" t="s">
        <v>7031</v>
      </c>
      <c r="G740" t="s">
        <v>7030</v>
      </c>
      <c r="H740">
        <v>204</v>
      </c>
      <c r="I740">
        <v>201</v>
      </c>
      <c r="J740">
        <v>200</v>
      </c>
      <c r="K740" s="822" t="str" cm="1">
        <f t="array" ref="K740">myRGB(H740,I740,J740)</f>
        <v/>
      </c>
    </row>
    <row r="741" spans="1:11" x14ac:dyDescent="0.2">
      <c r="A741">
        <v>1287</v>
      </c>
      <c r="B741">
        <v>1083</v>
      </c>
      <c r="C741">
        <v>5</v>
      </c>
      <c r="D741" t="s">
        <v>8076</v>
      </c>
      <c r="E741">
        <v>611</v>
      </c>
      <c r="F741" t="s">
        <v>7035</v>
      </c>
      <c r="G741" t="s">
        <v>7034</v>
      </c>
      <c r="H741">
        <v>200</v>
      </c>
      <c r="I741">
        <v>204</v>
      </c>
      <c r="J741">
        <v>199</v>
      </c>
      <c r="K741" s="546" t="str" cm="1">
        <f t="array" ref="K741">myRGB(H741,I741,J741)</f>
        <v/>
      </c>
    </row>
    <row r="742" spans="1:11" x14ac:dyDescent="0.2">
      <c r="A742">
        <v>1286</v>
      </c>
      <c r="B742">
        <v>1083</v>
      </c>
      <c r="C742">
        <v>5</v>
      </c>
      <c r="D742" t="s">
        <v>8075</v>
      </c>
      <c r="E742">
        <v>595</v>
      </c>
      <c r="F742" t="s">
        <v>7033</v>
      </c>
      <c r="G742" t="s">
        <v>7032</v>
      </c>
      <c r="H742">
        <v>199</v>
      </c>
      <c r="I742">
        <v>202</v>
      </c>
      <c r="J742">
        <v>201</v>
      </c>
      <c r="K742" s="612" t="str" cm="1">
        <f t="array" ref="K742">myRGB(H742,I742,J742)</f>
        <v/>
      </c>
    </row>
    <row r="743" spans="1:11" x14ac:dyDescent="0.2">
      <c r="A743">
        <v>1284</v>
      </c>
      <c r="B743">
        <v>824</v>
      </c>
      <c r="C743">
        <v>4</v>
      </c>
      <c r="D743" t="s">
        <v>8073</v>
      </c>
      <c r="E743">
        <v>1083</v>
      </c>
      <c r="F743" t="s">
        <v>7029</v>
      </c>
      <c r="G743" t="s">
        <v>7028</v>
      </c>
      <c r="H743">
        <v>200</v>
      </c>
      <c r="I743">
        <v>199</v>
      </c>
      <c r="J743">
        <v>203</v>
      </c>
      <c r="K743" s="632" t="str" cm="1">
        <f t="array" ref="K743">myRGB(H743,I743,J743)</f>
        <v/>
      </c>
    </row>
    <row r="744" spans="1:11" x14ac:dyDescent="0.2">
      <c r="A744">
        <v>1261</v>
      </c>
      <c r="B744">
        <v>991</v>
      </c>
      <c r="C744">
        <v>3</v>
      </c>
      <c r="D744" t="s">
        <v>8065</v>
      </c>
      <c r="E744">
        <v>824</v>
      </c>
      <c r="F744" t="s">
        <v>6983</v>
      </c>
      <c r="G744" t="s">
        <v>6982</v>
      </c>
      <c r="H744">
        <v>200</v>
      </c>
      <c r="I744">
        <v>204</v>
      </c>
      <c r="J744">
        <v>201</v>
      </c>
      <c r="K744" s="718" t="str" cm="1">
        <f t="array" ref="K744">myRGB(H744,I744,J744)</f>
        <v/>
      </c>
    </row>
    <row r="745" spans="1:11" x14ac:dyDescent="0.2">
      <c r="A745">
        <v>1243</v>
      </c>
      <c r="B745">
        <v>768</v>
      </c>
      <c r="C745">
        <v>4</v>
      </c>
      <c r="D745" t="s">
        <v>8053</v>
      </c>
      <c r="E745">
        <v>940</v>
      </c>
      <c r="F745" t="s">
        <v>6947</v>
      </c>
      <c r="G745" t="s">
        <v>6946</v>
      </c>
      <c r="H745">
        <v>202</v>
      </c>
      <c r="I745">
        <v>204</v>
      </c>
      <c r="J745">
        <v>199</v>
      </c>
      <c r="K745" s="823" t="str" cm="1">
        <f t="array" ref="K745">myRGB(H745,I745,J745)</f>
        <v/>
      </c>
    </row>
    <row r="746" spans="1:11" x14ac:dyDescent="0.2">
      <c r="A746">
        <v>1242</v>
      </c>
      <c r="B746">
        <v>768</v>
      </c>
      <c r="C746">
        <v>4</v>
      </c>
      <c r="D746" t="s">
        <v>8052</v>
      </c>
      <c r="E746">
        <v>908</v>
      </c>
      <c r="F746" t="s">
        <v>6945</v>
      </c>
      <c r="G746" t="s">
        <v>6944</v>
      </c>
      <c r="H746">
        <v>201</v>
      </c>
      <c r="I746">
        <v>201</v>
      </c>
      <c r="J746">
        <v>201</v>
      </c>
      <c r="K746" s="846" t="str" cm="1">
        <f t="array" ref="K746">myRGB(H746,I746,J746)</f>
        <v/>
      </c>
    </row>
    <row r="747" spans="1:11" x14ac:dyDescent="0.2">
      <c r="A747">
        <v>1240</v>
      </c>
      <c r="B747">
        <v>768</v>
      </c>
      <c r="C747">
        <v>4</v>
      </c>
      <c r="D747" t="s">
        <v>8051</v>
      </c>
      <c r="E747">
        <v>884</v>
      </c>
      <c r="F747" t="s">
        <v>6941</v>
      </c>
      <c r="G747" t="s">
        <v>6940</v>
      </c>
      <c r="H747">
        <v>200</v>
      </c>
      <c r="I747">
        <v>201</v>
      </c>
      <c r="J747">
        <v>203</v>
      </c>
      <c r="K747" s="613" t="str" cm="1">
        <f t="array" ref="K747">myRGB(H747,I747,J747)</f>
        <v/>
      </c>
    </row>
    <row r="748" spans="1:11" x14ac:dyDescent="0.2">
      <c r="A748">
        <v>1260</v>
      </c>
      <c r="B748">
        <v>301</v>
      </c>
      <c r="C748">
        <v>5</v>
      </c>
      <c r="D748" t="s">
        <v>8090</v>
      </c>
      <c r="E748">
        <v>301</v>
      </c>
      <c r="F748" t="s">
        <v>6981</v>
      </c>
      <c r="G748" t="s">
        <v>6980</v>
      </c>
      <c r="H748">
        <v>199</v>
      </c>
      <c r="I748">
        <v>202</v>
      </c>
      <c r="J748">
        <v>200</v>
      </c>
      <c r="K748" s="660" t="str" cm="1">
        <f t="array" ref="K748">myRGB(H748,I748,J748)</f>
        <v/>
      </c>
    </row>
    <row r="749" spans="1:11" x14ac:dyDescent="0.2">
      <c r="A749">
        <v>1259</v>
      </c>
      <c r="B749">
        <v>768</v>
      </c>
      <c r="C749">
        <v>4</v>
      </c>
      <c r="D749" t="s">
        <v>8064</v>
      </c>
      <c r="E749">
        <v>301</v>
      </c>
      <c r="F749" t="s">
        <v>6979</v>
      </c>
      <c r="G749" t="s">
        <v>6978</v>
      </c>
      <c r="H749">
        <v>200</v>
      </c>
      <c r="I749">
        <v>203</v>
      </c>
      <c r="J749">
        <v>199</v>
      </c>
      <c r="K749" s="719" t="str" cm="1">
        <f t="array" ref="K749">myRGB(H749,I749,J749)</f>
        <v/>
      </c>
    </row>
    <row r="750" spans="1:11" x14ac:dyDescent="0.2">
      <c r="A750">
        <v>1252</v>
      </c>
      <c r="B750">
        <v>737</v>
      </c>
      <c r="C750">
        <v>6</v>
      </c>
      <c r="D750" t="s">
        <v>8060</v>
      </c>
      <c r="E750">
        <v>436</v>
      </c>
      <c r="F750" t="s">
        <v>6965</v>
      </c>
      <c r="G750" t="s">
        <v>6964</v>
      </c>
      <c r="H750">
        <v>199</v>
      </c>
      <c r="I750">
        <v>200</v>
      </c>
      <c r="J750">
        <v>202</v>
      </c>
      <c r="K750" s="780" t="str" cm="1">
        <f t="array" ref="K750">myRGB(H750,I750,J750)</f>
        <v/>
      </c>
    </row>
    <row r="751" spans="1:11" x14ac:dyDescent="0.2">
      <c r="A751">
        <v>1251</v>
      </c>
      <c r="B751">
        <v>737</v>
      </c>
      <c r="C751">
        <v>6</v>
      </c>
      <c r="D751" t="s">
        <v>8059</v>
      </c>
      <c r="E751">
        <v>428</v>
      </c>
      <c r="F751" t="s">
        <v>6963</v>
      </c>
      <c r="G751" t="s">
        <v>6962</v>
      </c>
      <c r="H751">
        <v>204</v>
      </c>
      <c r="I751">
        <v>200</v>
      </c>
      <c r="J751">
        <v>204</v>
      </c>
      <c r="K751" s="741" t="str" cm="1">
        <f t="array" ref="K751">myRGB(H751,I751,J751)</f>
        <v/>
      </c>
    </row>
    <row r="752" spans="1:11" x14ac:dyDescent="0.2">
      <c r="A752">
        <v>1250</v>
      </c>
      <c r="B752">
        <v>1099</v>
      </c>
      <c r="C752">
        <v>5</v>
      </c>
      <c r="D752" t="s">
        <v>8058</v>
      </c>
      <c r="E752">
        <v>737</v>
      </c>
      <c r="F752" t="s">
        <v>6961</v>
      </c>
      <c r="G752" t="s">
        <v>6960</v>
      </c>
      <c r="H752">
        <v>200</v>
      </c>
      <c r="I752">
        <v>200</v>
      </c>
      <c r="J752">
        <v>201</v>
      </c>
      <c r="K752" s="547" t="str" cm="1">
        <f t="array" ref="K752">myRGB(H752,I752,J752)</f>
        <v/>
      </c>
    </row>
    <row r="753" spans="1:11" x14ac:dyDescent="0.2">
      <c r="A753">
        <v>1255</v>
      </c>
      <c r="B753">
        <v>618</v>
      </c>
      <c r="C753">
        <v>6</v>
      </c>
      <c r="D753" t="s">
        <v>8063</v>
      </c>
      <c r="E753">
        <v>449</v>
      </c>
      <c r="F753" t="s">
        <v>6971</v>
      </c>
      <c r="G753" t="s">
        <v>6970</v>
      </c>
      <c r="H753">
        <v>200</v>
      </c>
      <c r="I753">
        <v>201</v>
      </c>
      <c r="J753">
        <v>201</v>
      </c>
      <c r="K753" s="661" t="str" cm="1">
        <f t="array" ref="K753">myRGB(H753,I753,J753)</f>
        <v/>
      </c>
    </row>
    <row r="754" spans="1:11" x14ac:dyDescent="0.2">
      <c r="A754">
        <v>1254</v>
      </c>
      <c r="B754">
        <v>618</v>
      </c>
      <c r="C754">
        <v>6</v>
      </c>
      <c r="D754" t="s">
        <v>8062</v>
      </c>
      <c r="E754">
        <v>443</v>
      </c>
      <c r="F754" t="s">
        <v>6969</v>
      </c>
      <c r="G754" t="s">
        <v>6968</v>
      </c>
      <c r="H754">
        <v>201</v>
      </c>
      <c r="I754">
        <v>204</v>
      </c>
      <c r="J754">
        <v>201</v>
      </c>
      <c r="K754" s="682" t="str" cm="1">
        <f t="array" ref="K754">myRGB(H754,I754,J754)</f>
        <v/>
      </c>
    </row>
    <row r="755" spans="1:11" x14ac:dyDescent="0.2">
      <c r="A755">
        <v>1253</v>
      </c>
      <c r="B755">
        <v>1099</v>
      </c>
      <c r="C755">
        <v>5</v>
      </c>
      <c r="D755" t="s">
        <v>8061</v>
      </c>
      <c r="E755">
        <v>618</v>
      </c>
      <c r="F755" t="s">
        <v>6967</v>
      </c>
      <c r="G755" t="s">
        <v>6966</v>
      </c>
      <c r="H755">
        <v>201</v>
      </c>
      <c r="I755">
        <v>201</v>
      </c>
      <c r="J755">
        <v>204</v>
      </c>
      <c r="K755" s="781" t="str" cm="1">
        <f t="array" ref="K755">myRGB(H755,I755,J755)</f>
        <v/>
      </c>
    </row>
    <row r="756" spans="1:11" x14ac:dyDescent="0.2">
      <c r="A756">
        <v>1247</v>
      </c>
      <c r="B756">
        <v>1099</v>
      </c>
      <c r="C756">
        <v>5</v>
      </c>
      <c r="D756" t="s">
        <v>8057</v>
      </c>
      <c r="E756">
        <v>603</v>
      </c>
      <c r="F756" t="s">
        <v>6955</v>
      </c>
      <c r="G756" t="s">
        <v>6954</v>
      </c>
      <c r="H756">
        <v>203</v>
      </c>
      <c r="I756">
        <v>200</v>
      </c>
      <c r="J756">
        <v>203</v>
      </c>
      <c r="K756" s="824" t="str" cm="1">
        <f t="array" ref="K756">myRGB(H756,I756,J756)</f>
        <v/>
      </c>
    </row>
    <row r="757" spans="1:11" x14ac:dyDescent="0.2">
      <c r="A757">
        <v>1246</v>
      </c>
      <c r="B757">
        <v>1099</v>
      </c>
      <c r="C757">
        <v>5</v>
      </c>
      <c r="D757" t="s">
        <v>8056</v>
      </c>
      <c r="E757">
        <v>530</v>
      </c>
      <c r="F757" t="s">
        <v>6953</v>
      </c>
      <c r="G757" t="s">
        <v>6952</v>
      </c>
      <c r="H757">
        <v>203</v>
      </c>
      <c r="I757">
        <v>200</v>
      </c>
      <c r="J757">
        <v>204</v>
      </c>
      <c r="K757" s="548" t="str" cm="1">
        <f t="array" ref="K757">myRGB(H757,I757,J757)</f>
        <v/>
      </c>
    </row>
    <row r="758" spans="1:11" x14ac:dyDescent="0.2">
      <c r="A758">
        <v>1245</v>
      </c>
      <c r="B758">
        <v>1099</v>
      </c>
      <c r="C758">
        <v>5</v>
      </c>
      <c r="D758" t="s">
        <v>8055</v>
      </c>
      <c r="E758">
        <v>466</v>
      </c>
      <c r="F758" t="s">
        <v>6951</v>
      </c>
      <c r="G758" t="s">
        <v>6950</v>
      </c>
      <c r="H758">
        <v>199</v>
      </c>
      <c r="I758">
        <v>200</v>
      </c>
      <c r="J758">
        <v>204</v>
      </c>
      <c r="K758" s="614" t="str" cm="1">
        <f t="array" ref="K758">myRGB(H758,I758,J758)</f>
        <v/>
      </c>
    </row>
    <row r="759" spans="1:11" x14ac:dyDescent="0.2">
      <c r="A759">
        <v>1244</v>
      </c>
      <c r="B759">
        <v>768</v>
      </c>
      <c r="C759">
        <v>4</v>
      </c>
      <c r="D759" t="s">
        <v>8054</v>
      </c>
      <c r="E759">
        <v>1099</v>
      </c>
      <c r="F759" t="s">
        <v>6949</v>
      </c>
      <c r="G759" t="s">
        <v>6948</v>
      </c>
      <c r="H759">
        <v>204</v>
      </c>
      <c r="I759">
        <v>201</v>
      </c>
      <c r="J759">
        <v>199</v>
      </c>
      <c r="K759" s="633" t="str" cm="1">
        <f t="array" ref="K759">myRGB(H759,I759,J759)</f>
        <v/>
      </c>
    </row>
    <row r="760" spans="1:11" x14ac:dyDescent="0.2">
      <c r="A760">
        <v>1239</v>
      </c>
      <c r="B760">
        <v>991</v>
      </c>
      <c r="C760">
        <v>3</v>
      </c>
      <c r="D760" t="s">
        <v>8050</v>
      </c>
      <c r="E760">
        <v>768</v>
      </c>
      <c r="F760" t="s">
        <v>6939</v>
      </c>
      <c r="G760" t="s">
        <v>6938</v>
      </c>
      <c r="H760">
        <v>201</v>
      </c>
      <c r="I760">
        <v>203</v>
      </c>
      <c r="J760">
        <v>199</v>
      </c>
      <c r="K760" s="720" t="str" cm="1">
        <f t="array" ref="K760">myRGB(H760,I760,J760)</f>
        <v/>
      </c>
    </row>
    <row r="761" spans="1:11" x14ac:dyDescent="0.2">
      <c r="A761">
        <v>1238</v>
      </c>
      <c r="B761">
        <v>1009</v>
      </c>
      <c r="C761">
        <v>2</v>
      </c>
      <c r="D761" t="s">
        <v>8049</v>
      </c>
      <c r="E761">
        <v>991</v>
      </c>
      <c r="F761" t="s">
        <v>6937</v>
      </c>
      <c r="G761" t="s">
        <v>6936</v>
      </c>
      <c r="H761">
        <v>203</v>
      </c>
      <c r="I761">
        <v>202</v>
      </c>
      <c r="J761">
        <v>199</v>
      </c>
      <c r="K761" s="825" t="str" cm="1">
        <f t="array" ref="K761">myRGB(H761,I761,J761)</f>
        <v/>
      </c>
    </row>
    <row r="762" spans="1:11" x14ac:dyDescent="0.2">
      <c r="A762">
        <v>1217</v>
      </c>
      <c r="B762">
        <v>896</v>
      </c>
      <c r="C762">
        <v>4</v>
      </c>
      <c r="D762" t="s">
        <v>8039</v>
      </c>
      <c r="E762">
        <v>484682524</v>
      </c>
      <c r="F762" t="s">
        <v>6895</v>
      </c>
      <c r="G762" t="s">
        <v>6894</v>
      </c>
      <c r="H762">
        <v>204</v>
      </c>
      <c r="I762">
        <v>200</v>
      </c>
      <c r="J762">
        <v>202</v>
      </c>
      <c r="K762" s="800" t="str" cm="1">
        <f t="array" ref="K762">myRGB(H762,I762,J762)</f>
        <v/>
      </c>
    </row>
    <row r="763" spans="1:11" x14ac:dyDescent="0.2">
      <c r="A763">
        <v>1216</v>
      </c>
      <c r="B763">
        <v>896</v>
      </c>
      <c r="C763">
        <v>4</v>
      </c>
      <c r="D763" t="s">
        <v>8038</v>
      </c>
      <c r="E763">
        <v>484682520</v>
      </c>
      <c r="F763" t="s">
        <v>6893</v>
      </c>
      <c r="G763" t="s">
        <v>6892</v>
      </c>
      <c r="H763">
        <v>203</v>
      </c>
      <c r="I763">
        <v>201</v>
      </c>
      <c r="J763">
        <v>199</v>
      </c>
      <c r="K763" s="615" t="str" cm="1">
        <f t="array" ref="K763">myRGB(H763,I763,J763)</f>
        <v/>
      </c>
    </row>
    <row r="764" spans="1:11" x14ac:dyDescent="0.2">
      <c r="A764">
        <v>1212</v>
      </c>
      <c r="B764">
        <v>896</v>
      </c>
      <c r="C764">
        <v>4</v>
      </c>
      <c r="D764" t="s">
        <v>8037</v>
      </c>
      <c r="E764">
        <v>1092</v>
      </c>
      <c r="F764" t="s">
        <v>6885</v>
      </c>
      <c r="G764" t="s">
        <v>6884</v>
      </c>
      <c r="H764">
        <v>199</v>
      </c>
      <c r="I764">
        <v>202</v>
      </c>
      <c r="J764">
        <v>202</v>
      </c>
      <c r="K764" s="662" t="str" cm="1">
        <f t="array" ref="K764">myRGB(H764,I764,J764)</f>
        <v/>
      </c>
    </row>
    <row r="765" spans="1:11" x14ac:dyDescent="0.2">
      <c r="A765">
        <v>1211</v>
      </c>
      <c r="B765">
        <v>983</v>
      </c>
      <c r="C765">
        <v>3</v>
      </c>
      <c r="D765" t="s">
        <v>8036</v>
      </c>
      <c r="E765">
        <v>896</v>
      </c>
      <c r="F765" t="s">
        <v>6883</v>
      </c>
      <c r="G765" t="s">
        <v>6882</v>
      </c>
      <c r="H765">
        <v>199</v>
      </c>
      <c r="I765">
        <v>203</v>
      </c>
      <c r="J765">
        <v>204</v>
      </c>
      <c r="K765" s="721" t="str" cm="1">
        <f t="array" ref="K765">myRGB(H765,I765,J765)</f>
        <v/>
      </c>
    </row>
    <row r="766" spans="1:11" x14ac:dyDescent="0.2">
      <c r="A766">
        <v>1202</v>
      </c>
      <c r="B766">
        <v>784</v>
      </c>
      <c r="C766">
        <v>4</v>
      </c>
      <c r="D766" t="s">
        <v>8033</v>
      </c>
      <c r="E766">
        <v>924</v>
      </c>
      <c r="F766" t="s">
        <v>6865</v>
      </c>
      <c r="G766" t="s">
        <v>6864</v>
      </c>
      <c r="H766">
        <v>204</v>
      </c>
      <c r="I766">
        <v>202</v>
      </c>
      <c r="J766">
        <v>199</v>
      </c>
      <c r="K766" s="782" t="str" cm="1">
        <f t="array" ref="K766">myRGB(H766,I766,J766)</f>
        <v/>
      </c>
    </row>
    <row r="767" spans="1:11" x14ac:dyDescent="0.2">
      <c r="A767">
        <v>1201</v>
      </c>
      <c r="B767">
        <v>784</v>
      </c>
      <c r="C767">
        <v>4</v>
      </c>
      <c r="D767" t="s">
        <v>8032</v>
      </c>
      <c r="E767">
        <v>6</v>
      </c>
      <c r="F767" t="s">
        <v>6863</v>
      </c>
      <c r="G767" t="s">
        <v>6862</v>
      </c>
      <c r="H767">
        <v>204</v>
      </c>
      <c r="I767">
        <v>204</v>
      </c>
      <c r="J767">
        <v>204</v>
      </c>
      <c r="K767" s="847" t="str" cm="1">
        <f t="array" ref="K767">myRGB(H767,I767,J767)</f>
        <v/>
      </c>
    </row>
    <row r="768" spans="1:11" x14ac:dyDescent="0.2">
      <c r="A768">
        <v>1208</v>
      </c>
      <c r="B768">
        <v>784</v>
      </c>
      <c r="C768">
        <v>4</v>
      </c>
      <c r="D768" t="s">
        <v>8035</v>
      </c>
      <c r="E768">
        <v>198</v>
      </c>
      <c r="F768" t="s">
        <v>6877</v>
      </c>
      <c r="G768" t="s">
        <v>6876</v>
      </c>
      <c r="H768">
        <v>201</v>
      </c>
      <c r="I768">
        <v>199</v>
      </c>
      <c r="J768">
        <v>204</v>
      </c>
      <c r="K768" s="549" t="str" cm="1">
        <f t="array" ref="K768">myRGB(H768,I768,J768)</f>
        <v/>
      </c>
    </row>
    <row r="769" spans="1:11" x14ac:dyDescent="0.2">
      <c r="A769">
        <v>1207</v>
      </c>
      <c r="B769">
        <v>784</v>
      </c>
      <c r="C769">
        <v>4</v>
      </c>
      <c r="D769" t="s">
        <v>8034</v>
      </c>
      <c r="E769">
        <v>190</v>
      </c>
      <c r="F769" t="s">
        <v>6875</v>
      </c>
      <c r="G769" t="s">
        <v>6874</v>
      </c>
      <c r="H769">
        <v>199</v>
      </c>
      <c r="I769">
        <v>201</v>
      </c>
      <c r="J769">
        <v>201</v>
      </c>
      <c r="K769" s="663" t="str" cm="1">
        <f t="array" ref="K769">myRGB(H769,I769,J769)</f>
        <v/>
      </c>
    </row>
    <row r="770" spans="1:11" x14ac:dyDescent="0.2">
      <c r="A770">
        <v>1200</v>
      </c>
      <c r="B770">
        <v>983</v>
      </c>
      <c r="C770">
        <v>3</v>
      </c>
      <c r="D770" t="s">
        <v>8031</v>
      </c>
      <c r="E770">
        <v>784</v>
      </c>
      <c r="F770" t="s">
        <v>6861</v>
      </c>
      <c r="G770" t="s">
        <v>6860</v>
      </c>
      <c r="H770">
        <v>200</v>
      </c>
      <c r="I770">
        <v>199</v>
      </c>
      <c r="J770">
        <v>204</v>
      </c>
      <c r="K770" s="574" t="str" cm="1">
        <f t="array" ref="K770">myRGB(H770,I770,J770)</f>
        <v/>
      </c>
    </row>
    <row r="771" spans="1:11" x14ac:dyDescent="0.2">
      <c r="A771">
        <v>1199</v>
      </c>
      <c r="B771">
        <v>776</v>
      </c>
      <c r="C771">
        <v>4</v>
      </c>
      <c r="D771" t="s">
        <v>8030</v>
      </c>
      <c r="E771">
        <v>986</v>
      </c>
      <c r="F771" t="s">
        <v>6859</v>
      </c>
      <c r="G771" t="s">
        <v>6858</v>
      </c>
      <c r="H771">
        <v>199</v>
      </c>
      <c r="I771">
        <v>202</v>
      </c>
      <c r="J771">
        <v>204</v>
      </c>
      <c r="K771" s="783" t="str" cm="1">
        <f t="array" ref="K771">myRGB(H771,I771,J771)</f>
        <v/>
      </c>
    </row>
    <row r="772" spans="1:11" x14ac:dyDescent="0.2">
      <c r="A772">
        <v>1196</v>
      </c>
      <c r="B772">
        <v>776</v>
      </c>
      <c r="C772">
        <v>4</v>
      </c>
      <c r="D772" t="s">
        <v>8028</v>
      </c>
      <c r="E772">
        <v>971</v>
      </c>
      <c r="F772" t="s">
        <v>6853</v>
      </c>
      <c r="G772" t="s">
        <v>6852</v>
      </c>
      <c r="H772">
        <v>200</v>
      </c>
      <c r="I772">
        <v>201</v>
      </c>
      <c r="J772">
        <v>202</v>
      </c>
      <c r="K772" s="826" t="str" cm="1">
        <f t="array" ref="K772">myRGB(H772,I772,J772)</f>
        <v/>
      </c>
    </row>
    <row r="773" spans="1:11" x14ac:dyDescent="0.2">
      <c r="A773">
        <v>1194</v>
      </c>
      <c r="B773">
        <v>776</v>
      </c>
      <c r="C773">
        <v>4</v>
      </c>
      <c r="D773" t="s">
        <v>8026</v>
      </c>
      <c r="E773">
        <v>964</v>
      </c>
      <c r="F773" t="s">
        <v>6849</v>
      </c>
      <c r="G773" t="s">
        <v>6848</v>
      </c>
      <c r="H773">
        <v>201</v>
      </c>
      <c r="I773">
        <v>200</v>
      </c>
      <c r="J773">
        <v>202</v>
      </c>
      <c r="K773" s="550" t="str" cm="1">
        <f t="array" ref="K773">myRGB(H773,I773,J773)</f>
        <v/>
      </c>
    </row>
    <row r="774" spans="1:11" x14ac:dyDescent="0.2">
      <c r="A774">
        <v>1193</v>
      </c>
      <c r="B774">
        <v>956</v>
      </c>
      <c r="C774">
        <v>5</v>
      </c>
      <c r="D774" t="s">
        <v>8025</v>
      </c>
      <c r="E774">
        <v>579</v>
      </c>
      <c r="F774" t="s">
        <v>6847</v>
      </c>
      <c r="G774" t="s">
        <v>6846</v>
      </c>
      <c r="H774">
        <v>200</v>
      </c>
      <c r="I774">
        <v>203</v>
      </c>
      <c r="J774">
        <v>204</v>
      </c>
      <c r="K774" s="616" t="str" cm="1">
        <f t="array" ref="K774">myRGB(H774,I774,J774)</f>
        <v/>
      </c>
    </row>
    <row r="775" spans="1:11" x14ac:dyDescent="0.2">
      <c r="A775">
        <v>1192</v>
      </c>
      <c r="B775">
        <v>776</v>
      </c>
      <c r="C775">
        <v>4</v>
      </c>
      <c r="D775" t="s">
        <v>8024</v>
      </c>
      <c r="E775">
        <v>956</v>
      </c>
      <c r="F775" t="s">
        <v>6845</v>
      </c>
      <c r="G775" t="s">
        <v>6844</v>
      </c>
      <c r="H775">
        <v>202</v>
      </c>
      <c r="I775">
        <v>199</v>
      </c>
      <c r="J775">
        <v>204</v>
      </c>
      <c r="K775" s="683" t="str" cm="1">
        <f t="array" ref="K775">myRGB(H775,I775,J775)</f>
        <v/>
      </c>
    </row>
    <row r="776" spans="1:11" x14ac:dyDescent="0.2">
      <c r="A776">
        <v>1198</v>
      </c>
      <c r="B776">
        <v>776</v>
      </c>
      <c r="C776">
        <v>4</v>
      </c>
      <c r="D776" t="s">
        <v>8029</v>
      </c>
      <c r="E776">
        <v>484682516</v>
      </c>
      <c r="F776" t="s">
        <v>6857</v>
      </c>
      <c r="G776" t="s">
        <v>6856</v>
      </c>
      <c r="H776">
        <v>201</v>
      </c>
      <c r="I776">
        <v>199</v>
      </c>
      <c r="J776">
        <v>201</v>
      </c>
      <c r="K776" s="722" t="str" cm="1">
        <f t="array" ref="K776">myRGB(H776,I776,J776)</f>
        <v/>
      </c>
    </row>
    <row r="777" spans="1:11" x14ac:dyDescent="0.2">
      <c r="A777">
        <v>1195</v>
      </c>
      <c r="B777">
        <v>776</v>
      </c>
      <c r="C777">
        <v>4</v>
      </c>
      <c r="D777" t="s">
        <v>8027</v>
      </c>
      <c r="E777">
        <v>1108</v>
      </c>
      <c r="F777" t="s">
        <v>6851</v>
      </c>
      <c r="G777" t="s">
        <v>6850</v>
      </c>
      <c r="H777">
        <v>204</v>
      </c>
      <c r="I777">
        <v>199</v>
      </c>
      <c r="J777">
        <v>201</v>
      </c>
      <c r="K777" s="827" t="str" cm="1">
        <f t="array" ref="K777">myRGB(H777,I777,J777)</f>
        <v/>
      </c>
    </row>
    <row r="778" spans="1:11" x14ac:dyDescent="0.2">
      <c r="A778">
        <v>1191</v>
      </c>
      <c r="B778">
        <v>983</v>
      </c>
      <c r="C778">
        <v>3</v>
      </c>
      <c r="D778" t="s">
        <v>8023</v>
      </c>
      <c r="E778">
        <v>776</v>
      </c>
      <c r="F778" t="s">
        <v>6843</v>
      </c>
      <c r="G778" t="s">
        <v>6842</v>
      </c>
      <c r="H778">
        <v>199</v>
      </c>
      <c r="I778">
        <v>201</v>
      </c>
      <c r="J778">
        <v>202</v>
      </c>
      <c r="K778" s="551" t="str" cm="1">
        <f t="array" ref="K778">myRGB(H778,I778,J778)</f>
        <v/>
      </c>
    </row>
    <row r="779" spans="1:11" x14ac:dyDescent="0.2">
      <c r="A779">
        <v>1190</v>
      </c>
      <c r="B779">
        <v>1009</v>
      </c>
      <c r="C779">
        <v>2</v>
      </c>
      <c r="D779" t="s">
        <v>8022</v>
      </c>
      <c r="E779">
        <v>983</v>
      </c>
      <c r="F779" t="s">
        <v>6841</v>
      </c>
      <c r="G779" t="s">
        <v>6840</v>
      </c>
      <c r="H779">
        <v>199</v>
      </c>
      <c r="I779">
        <v>204</v>
      </c>
      <c r="J779">
        <v>202</v>
      </c>
      <c r="K779" s="664" t="str" cm="1">
        <f t="array" ref="K779">myRGB(H779,I779,J779)</f>
        <v/>
      </c>
    </row>
    <row r="780" spans="1:11" x14ac:dyDescent="0.2">
      <c r="A780">
        <v>1104</v>
      </c>
      <c r="B780">
        <v>967</v>
      </c>
      <c r="C780">
        <v>3</v>
      </c>
      <c r="D780" t="s">
        <v>7973</v>
      </c>
      <c r="E780">
        <v>949</v>
      </c>
      <c r="F780" t="s">
        <v>6669</v>
      </c>
      <c r="G780" t="s">
        <v>6668</v>
      </c>
      <c r="H780">
        <v>202</v>
      </c>
      <c r="I780">
        <v>200</v>
      </c>
      <c r="J780">
        <v>201</v>
      </c>
      <c r="K780" s="634" t="str" cm="1">
        <f t="array" ref="K780">myRGB(H780,I780,J780)</f>
        <v/>
      </c>
    </row>
    <row r="781" spans="1:11" x14ac:dyDescent="0.2">
      <c r="A781">
        <v>1137</v>
      </c>
      <c r="B781">
        <v>948</v>
      </c>
      <c r="C781">
        <v>5</v>
      </c>
      <c r="D781" t="s">
        <v>7998</v>
      </c>
      <c r="E781">
        <v>841</v>
      </c>
      <c r="F781" t="s">
        <v>6735</v>
      </c>
      <c r="G781" t="s">
        <v>6734</v>
      </c>
      <c r="H781">
        <v>204</v>
      </c>
      <c r="I781">
        <v>199</v>
      </c>
      <c r="J781">
        <v>203</v>
      </c>
      <c r="K781" s="784" t="str" cm="1">
        <f t="array" ref="K781">myRGB(H781,I781,J781)</f>
        <v/>
      </c>
    </row>
    <row r="782" spans="1:11" x14ac:dyDescent="0.2">
      <c r="A782">
        <v>1140</v>
      </c>
      <c r="B782">
        <v>948</v>
      </c>
      <c r="C782">
        <v>5</v>
      </c>
      <c r="D782" t="s">
        <v>8000</v>
      </c>
      <c r="E782">
        <v>658</v>
      </c>
      <c r="F782" t="s">
        <v>6741</v>
      </c>
      <c r="G782" t="s">
        <v>6740</v>
      </c>
      <c r="H782">
        <v>201</v>
      </c>
      <c r="I782">
        <v>201</v>
      </c>
      <c r="J782">
        <v>203</v>
      </c>
      <c r="K782" s="742" t="str" cm="1">
        <f t="array" ref="K782">myRGB(H782,I782,J782)</f>
        <v/>
      </c>
    </row>
    <row r="783" spans="1:11" x14ac:dyDescent="0.2">
      <c r="A783">
        <v>1141</v>
      </c>
      <c r="B783">
        <v>948</v>
      </c>
      <c r="C783">
        <v>5</v>
      </c>
      <c r="D783" t="s">
        <v>8001</v>
      </c>
      <c r="E783">
        <v>633</v>
      </c>
      <c r="F783" t="s">
        <v>6743</v>
      </c>
      <c r="G783" t="s">
        <v>6742</v>
      </c>
      <c r="H783">
        <v>203</v>
      </c>
      <c r="I783">
        <v>201</v>
      </c>
      <c r="J783">
        <v>201</v>
      </c>
      <c r="K783" s="617" t="str" cm="1">
        <f t="array" ref="K783">myRGB(H783,I783,J783)</f>
        <v/>
      </c>
    </row>
    <row r="784" spans="1:11" x14ac:dyDescent="0.2">
      <c r="A784">
        <v>1139</v>
      </c>
      <c r="B784">
        <v>948</v>
      </c>
      <c r="C784">
        <v>5</v>
      </c>
      <c r="D784" t="s">
        <v>7999</v>
      </c>
      <c r="E784">
        <v>506</v>
      </c>
      <c r="F784" t="s">
        <v>6739</v>
      </c>
      <c r="G784" t="s">
        <v>6738</v>
      </c>
      <c r="H784">
        <v>204</v>
      </c>
      <c r="I784">
        <v>203</v>
      </c>
      <c r="J784">
        <v>200</v>
      </c>
      <c r="K784" s="665" t="str" cm="1">
        <f t="array" ref="K784">myRGB(H784,I784,J784)</f>
        <v/>
      </c>
    </row>
    <row r="785" spans="1:11" x14ac:dyDescent="0.2">
      <c r="A785">
        <v>1142</v>
      </c>
      <c r="B785">
        <v>948</v>
      </c>
      <c r="C785">
        <v>5</v>
      </c>
      <c r="D785" t="s">
        <v>8002</v>
      </c>
      <c r="E785">
        <v>482</v>
      </c>
      <c r="F785" t="s">
        <v>6745</v>
      </c>
      <c r="G785" t="s">
        <v>6744</v>
      </c>
      <c r="H785">
        <v>201</v>
      </c>
      <c r="I785">
        <v>200</v>
      </c>
      <c r="J785">
        <v>200</v>
      </c>
      <c r="K785" s="723" t="str" cm="1">
        <f t="array" ref="K785">myRGB(H785,I785,J785)</f>
        <v/>
      </c>
    </row>
    <row r="786" spans="1:11" x14ac:dyDescent="0.2">
      <c r="A786">
        <v>1136</v>
      </c>
      <c r="B786">
        <v>933</v>
      </c>
      <c r="C786">
        <v>4</v>
      </c>
      <c r="D786" t="s">
        <v>7997</v>
      </c>
      <c r="E786">
        <v>948</v>
      </c>
      <c r="F786" t="s">
        <v>6733</v>
      </c>
      <c r="G786" t="s">
        <v>6732</v>
      </c>
      <c r="H786">
        <v>202</v>
      </c>
      <c r="I786">
        <v>201</v>
      </c>
      <c r="J786">
        <v>200</v>
      </c>
      <c r="K786" s="828" t="str" cm="1">
        <f t="array" ref="K786">myRGB(H786,I786,J786)</f>
        <v/>
      </c>
    </row>
    <row r="787" spans="1:11" x14ac:dyDescent="0.2">
      <c r="A787">
        <v>1135</v>
      </c>
      <c r="B787">
        <v>933</v>
      </c>
      <c r="C787">
        <v>4</v>
      </c>
      <c r="D787" t="s">
        <v>7996</v>
      </c>
      <c r="E787">
        <v>413</v>
      </c>
      <c r="F787" t="s">
        <v>6731</v>
      </c>
      <c r="G787" t="s">
        <v>6730</v>
      </c>
      <c r="H787">
        <v>201</v>
      </c>
      <c r="I787">
        <v>202</v>
      </c>
      <c r="J787">
        <v>203</v>
      </c>
      <c r="K787" s="552" t="str" cm="1">
        <f t="array" ref="K787">myRGB(H787,I787,J787)</f>
        <v/>
      </c>
    </row>
    <row r="788" spans="1:11" x14ac:dyDescent="0.2">
      <c r="A788">
        <v>1133</v>
      </c>
      <c r="B788">
        <v>967</v>
      </c>
      <c r="C788">
        <v>3</v>
      </c>
      <c r="D788" t="s">
        <v>7995</v>
      </c>
      <c r="E788">
        <v>933</v>
      </c>
      <c r="F788" t="s">
        <v>6727</v>
      </c>
      <c r="G788" t="s">
        <v>6726</v>
      </c>
      <c r="H788">
        <v>201</v>
      </c>
      <c r="I788">
        <v>199</v>
      </c>
      <c r="J788">
        <v>202</v>
      </c>
      <c r="K788" s="557" t="str" cm="1">
        <f t="array" ref="K788">myRGB(H788,I788,J788)</f>
        <v/>
      </c>
    </row>
    <row r="789" spans="1:11" x14ac:dyDescent="0.2">
      <c r="A789">
        <v>1145</v>
      </c>
      <c r="B789">
        <v>917</v>
      </c>
      <c r="C789">
        <v>4</v>
      </c>
      <c r="D789" t="s">
        <v>8004</v>
      </c>
      <c r="E789">
        <v>237</v>
      </c>
      <c r="F789" t="s">
        <v>6751</v>
      </c>
      <c r="G789" t="s">
        <v>6750</v>
      </c>
      <c r="H789">
        <v>200</v>
      </c>
      <c r="I789">
        <v>202</v>
      </c>
      <c r="J789">
        <v>199</v>
      </c>
      <c r="K789" s="684" t="str" cm="1">
        <f t="array" ref="K789">myRGB(H789,I789,J789)</f>
        <v/>
      </c>
    </row>
    <row r="790" spans="1:11" x14ac:dyDescent="0.2">
      <c r="A790">
        <v>1144</v>
      </c>
      <c r="B790">
        <v>967</v>
      </c>
      <c r="C790">
        <v>3</v>
      </c>
      <c r="D790" t="s">
        <v>8003</v>
      </c>
      <c r="E790">
        <v>917</v>
      </c>
      <c r="F790" t="s">
        <v>6749</v>
      </c>
      <c r="G790" t="s">
        <v>6748</v>
      </c>
      <c r="H790">
        <v>199</v>
      </c>
      <c r="I790">
        <v>201</v>
      </c>
      <c r="J790">
        <v>203</v>
      </c>
      <c r="K790" s="785" t="str" cm="1">
        <f t="array" ref="K790">myRGB(H790,I790,J790)</f>
        <v/>
      </c>
    </row>
    <row r="791" spans="1:11" x14ac:dyDescent="0.2">
      <c r="A791">
        <v>1122</v>
      </c>
      <c r="B791">
        <v>967</v>
      </c>
      <c r="C791">
        <v>3</v>
      </c>
      <c r="D791" t="s">
        <v>7988</v>
      </c>
      <c r="E791">
        <v>911</v>
      </c>
      <c r="F791" t="s">
        <v>6705</v>
      </c>
      <c r="G791" t="s">
        <v>6704</v>
      </c>
      <c r="H791">
        <v>200</v>
      </c>
      <c r="I791">
        <v>201</v>
      </c>
      <c r="J791">
        <v>200</v>
      </c>
      <c r="K791" s="848" t="str" cm="1">
        <f t="array" ref="K791">myRGB(H791,I791,J791)</f>
        <v/>
      </c>
    </row>
    <row r="792" spans="1:11" x14ac:dyDescent="0.2">
      <c r="A792">
        <v>1126</v>
      </c>
      <c r="B792">
        <v>901</v>
      </c>
      <c r="C792">
        <v>4</v>
      </c>
      <c r="D792" t="s">
        <v>7990</v>
      </c>
      <c r="E792">
        <v>93</v>
      </c>
      <c r="F792" t="s">
        <v>6713</v>
      </c>
      <c r="G792" t="s">
        <v>6712</v>
      </c>
      <c r="H792">
        <v>204</v>
      </c>
      <c r="I792">
        <v>203</v>
      </c>
      <c r="J792">
        <v>202</v>
      </c>
      <c r="K792" s="553" t="str" cm="1">
        <f t="array" ref="K792">myRGB(H792,I792,J792)</f>
        <v/>
      </c>
    </row>
    <row r="793" spans="1:11" x14ac:dyDescent="0.2">
      <c r="A793">
        <v>1129</v>
      </c>
      <c r="B793">
        <v>229</v>
      </c>
      <c r="C793">
        <v>5</v>
      </c>
      <c r="D793" t="s">
        <v>7992</v>
      </c>
      <c r="E793">
        <v>794</v>
      </c>
      <c r="F793" t="s">
        <v>6719</v>
      </c>
      <c r="G793" t="s">
        <v>6718</v>
      </c>
      <c r="H793">
        <v>200</v>
      </c>
      <c r="I793">
        <v>202</v>
      </c>
      <c r="J793">
        <v>202</v>
      </c>
      <c r="K793" s="666" t="str" cm="1">
        <f t="array" ref="K793">myRGB(H793,I793,J793)</f>
        <v/>
      </c>
    </row>
    <row r="794" spans="1:11" x14ac:dyDescent="0.2">
      <c r="A794">
        <v>1127</v>
      </c>
      <c r="B794">
        <v>901</v>
      </c>
      <c r="C794">
        <v>4</v>
      </c>
      <c r="D794" t="s">
        <v>7991</v>
      </c>
      <c r="E794">
        <v>229</v>
      </c>
      <c r="F794" t="s">
        <v>6715</v>
      </c>
      <c r="G794" t="s">
        <v>6714</v>
      </c>
      <c r="H794">
        <v>202</v>
      </c>
      <c r="I794">
        <v>202</v>
      </c>
      <c r="J794">
        <v>203</v>
      </c>
      <c r="K794" s="724" t="str" cm="1">
        <f t="array" ref="K794">myRGB(H794,I794,J794)</f>
        <v/>
      </c>
    </row>
    <row r="795" spans="1:11" x14ac:dyDescent="0.2">
      <c r="A795">
        <v>1125</v>
      </c>
      <c r="B795">
        <v>967</v>
      </c>
      <c r="C795">
        <v>3</v>
      </c>
      <c r="D795" t="s">
        <v>7989</v>
      </c>
      <c r="E795">
        <v>901</v>
      </c>
      <c r="F795" t="s">
        <v>6711</v>
      </c>
      <c r="G795" t="s">
        <v>6710</v>
      </c>
      <c r="H795">
        <v>203</v>
      </c>
      <c r="I795">
        <v>199</v>
      </c>
      <c r="J795">
        <v>203</v>
      </c>
      <c r="K795" s="829" t="str" cm="1">
        <f t="array" ref="K795">myRGB(H795,I795,J795)</f>
        <v/>
      </c>
    </row>
    <row r="796" spans="1:11" x14ac:dyDescent="0.2">
      <c r="A796">
        <v>1114</v>
      </c>
      <c r="B796">
        <v>848</v>
      </c>
      <c r="C796">
        <v>4</v>
      </c>
      <c r="D796" t="s">
        <v>7981</v>
      </c>
      <c r="E796">
        <v>916</v>
      </c>
      <c r="F796" t="s">
        <v>6689</v>
      </c>
      <c r="G796" t="s">
        <v>6688</v>
      </c>
      <c r="H796">
        <v>199</v>
      </c>
      <c r="I796">
        <v>203</v>
      </c>
      <c r="J796">
        <v>203</v>
      </c>
      <c r="K796" s="801" t="str" cm="1">
        <f t="array" ref="K796">myRGB(H796,I796,J796)</f>
        <v/>
      </c>
    </row>
    <row r="797" spans="1:11" x14ac:dyDescent="0.2">
      <c r="A797">
        <v>1115</v>
      </c>
      <c r="B797">
        <v>848</v>
      </c>
      <c r="C797">
        <v>4</v>
      </c>
      <c r="D797" t="s">
        <v>7982</v>
      </c>
      <c r="E797">
        <v>336</v>
      </c>
      <c r="F797" t="s">
        <v>6691</v>
      </c>
      <c r="G797" t="s">
        <v>6690</v>
      </c>
      <c r="H797">
        <v>201</v>
      </c>
      <c r="I797">
        <v>203</v>
      </c>
      <c r="J797">
        <v>203</v>
      </c>
      <c r="K797" s="618" t="str" cm="1">
        <f t="array" ref="K797">myRGB(H797,I797,J797)</f>
        <v/>
      </c>
    </row>
    <row r="798" spans="1:11" x14ac:dyDescent="0.2">
      <c r="A798">
        <v>1117</v>
      </c>
      <c r="B798">
        <v>848</v>
      </c>
      <c r="C798">
        <v>4</v>
      </c>
      <c r="D798" t="s">
        <v>7984</v>
      </c>
      <c r="E798">
        <v>125</v>
      </c>
      <c r="F798" t="s">
        <v>6695</v>
      </c>
      <c r="G798" t="s">
        <v>6694</v>
      </c>
      <c r="H798">
        <v>202</v>
      </c>
      <c r="I798">
        <v>204</v>
      </c>
      <c r="J798">
        <v>203</v>
      </c>
      <c r="K798" s="575" t="str" cm="1">
        <f t="array" ref="K798">myRGB(H798,I798,J798)</f>
        <v/>
      </c>
    </row>
    <row r="799" spans="1:11" x14ac:dyDescent="0.2">
      <c r="A799">
        <v>1116</v>
      </c>
      <c r="B799">
        <v>848</v>
      </c>
      <c r="C799">
        <v>4</v>
      </c>
      <c r="D799" t="s">
        <v>7983</v>
      </c>
      <c r="E799">
        <v>117</v>
      </c>
      <c r="F799" t="s">
        <v>6693</v>
      </c>
      <c r="G799" t="s">
        <v>6692</v>
      </c>
      <c r="H799">
        <v>203</v>
      </c>
      <c r="I799">
        <v>202</v>
      </c>
      <c r="J799">
        <v>204</v>
      </c>
      <c r="K799" s="786" t="str" cm="1">
        <f t="array" ref="K799">myRGB(H799,I799,J799)</f>
        <v/>
      </c>
    </row>
    <row r="800" spans="1:11" x14ac:dyDescent="0.2">
      <c r="A800">
        <v>1112</v>
      </c>
      <c r="B800">
        <v>967</v>
      </c>
      <c r="C800">
        <v>3</v>
      </c>
      <c r="D800" t="s">
        <v>7980</v>
      </c>
      <c r="E800">
        <v>848</v>
      </c>
      <c r="F800" t="s">
        <v>6685</v>
      </c>
      <c r="G800" t="s">
        <v>6684</v>
      </c>
      <c r="H800">
        <v>203</v>
      </c>
      <c r="I800">
        <v>204</v>
      </c>
      <c r="J800">
        <v>199</v>
      </c>
      <c r="K800" s="830" t="str" cm="1">
        <f t="array" ref="K800">myRGB(H800,I800,J800)</f>
        <v/>
      </c>
    </row>
    <row r="801" spans="1:11" x14ac:dyDescent="0.2">
      <c r="A801">
        <v>1111</v>
      </c>
      <c r="B801">
        <v>840</v>
      </c>
      <c r="C801">
        <v>4</v>
      </c>
      <c r="D801" t="s">
        <v>7979</v>
      </c>
      <c r="E801">
        <v>900</v>
      </c>
      <c r="F801" t="s">
        <v>6683</v>
      </c>
      <c r="G801" t="s">
        <v>6682</v>
      </c>
      <c r="H801">
        <v>203</v>
      </c>
      <c r="I801">
        <v>203</v>
      </c>
      <c r="J801">
        <v>199</v>
      </c>
      <c r="K801" s="554" t="str" cm="1">
        <f t="array" ref="K801">myRGB(H801,I801,J801)</f>
        <v/>
      </c>
    </row>
    <row r="802" spans="1:11" x14ac:dyDescent="0.2">
      <c r="A802">
        <v>1108</v>
      </c>
      <c r="B802">
        <v>21</v>
      </c>
      <c r="C802">
        <v>5</v>
      </c>
      <c r="D802" t="s">
        <v>7977</v>
      </c>
      <c r="E802">
        <v>665</v>
      </c>
      <c r="F802" t="s">
        <v>6677</v>
      </c>
      <c r="G802" t="s">
        <v>6676</v>
      </c>
      <c r="H802">
        <v>202</v>
      </c>
      <c r="I802">
        <v>200</v>
      </c>
      <c r="J802">
        <v>199</v>
      </c>
      <c r="K802" s="667" t="str" cm="1">
        <f t="array" ref="K802">myRGB(H802,I802,J802)</f>
        <v/>
      </c>
    </row>
    <row r="803" spans="1:11" x14ac:dyDescent="0.2">
      <c r="A803">
        <v>1109</v>
      </c>
      <c r="B803">
        <v>21</v>
      </c>
      <c r="C803">
        <v>5</v>
      </c>
      <c r="D803" t="s">
        <v>7978</v>
      </c>
      <c r="E803">
        <v>538</v>
      </c>
      <c r="F803" t="s">
        <v>6679</v>
      </c>
      <c r="G803" t="s">
        <v>6678</v>
      </c>
      <c r="H803">
        <v>202</v>
      </c>
      <c r="I803">
        <v>202</v>
      </c>
      <c r="J803">
        <v>201</v>
      </c>
      <c r="K803" s="725" t="str" cm="1">
        <f t="array" ref="K803">myRGB(H803,I803,J803)</f>
        <v/>
      </c>
    </row>
    <row r="804" spans="1:11" x14ac:dyDescent="0.2">
      <c r="A804">
        <v>1107</v>
      </c>
      <c r="B804">
        <v>840</v>
      </c>
      <c r="C804">
        <v>4</v>
      </c>
      <c r="D804" t="s">
        <v>7976</v>
      </c>
      <c r="E804">
        <v>21</v>
      </c>
      <c r="F804" t="s">
        <v>6675</v>
      </c>
      <c r="G804" t="s">
        <v>6674</v>
      </c>
      <c r="H804">
        <v>204</v>
      </c>
      <c r="I804">
        <v>204</v>
      </c>
      <c r="J804">
        <v>203</v>
      </c>
      <c r="K804" s="787" t="str" cm="1">
        <f t="array" ref="K804">myRGB(H804,I804,J804)</f>
        <v/>
      </c>
    </row>
    <row r="805" spans="1:11" x14ac:dyDescent="0.2">
      <c r="A805">
        <v>1106</v>
      </c>
      <c r="B805">
        <v>840</v>
      </c>
      <c r="C805">
        <v>4</v>
      </c>
      <c r="D805" t="s">
        <v>7975</v>
      </c>
      <c r="E805">
        <v>1016</v>
      </c>
      <c r="F805" t="s">
        <v>6673</v>
      </c>
      <c r="G805" t="s">
        <v>6672</v>
      </c>
      <c r="H805">
        <v>199</v>
      </c>
      <c r="I805">
        <v>203</v>
      </c>
      <c r="J805">
        <v>202</v>
      </c>
      <c r="K805" s="743" t="str" cm="1">
        <f t="array" ref="K805">myRGB(H805,I805,J805)</f>
        <v/>
      </c>
    </row>
    <row r="806" spans="1:11" x14ac:dyDescent="0.2">
      <c r="A806">
        <v>1105</v>
      </c>
      <c r="B806">
        <v>967</v>
      </c>
      <c r="C806">
        <v>3</v>
      </c>
      <c r="D806" t="s">
        <v>7974</v>
      </c>
      <c r="E806">
        <v>840</v>
      </c>
      <c r="F806" t="s">
        <v>6671</v>
      </c>
      <c r="G806" t="s">
        <v>6670</v>
      </c>
      <c r="H806">
        <v>204</v>
      </c>
      <c r="I806">
        <v>203</v>
      </c>
      <c r="J806">
        <v>199</v>
      </c>
      <c r="K806" s="558" t="str" cm="1">
        <f t="array" ref="K806">myRGB(H806,I806,J806)</f>
        <v/>
      </c>
    </row>
    <row r="807" spans="1:11" x14ac:dyDescent="0.2">
      <c r="A807">
        <v>1120</v>
      </c>
      <c r="B807">
        <v>832</v>
      </c>
      <c r="C807">
        <v>4</v>
      </c>
      <c r="D807" t="s">
        <v>7986</v>
      </c>
      <c r="E807">
        <v>62</v>
      </c>
      <c r="F807" t="s">
        <v>6701</v>
      </c>
      <c r="G807" t="s">
        <v>6700</v>
      </c>
      <c r="H807">
        <v>203</v>
      </c>
      <c r="I807">
        <v>203</v>
      </c>
      <c r="J807">
        <v>204</v>
      </c>
      <c r="K807" s="685" t="str" cm="1">
        <f t="array" ref="K807">myRGB(H807,I807,J807)</f>
        <v/>
      </c>
    </row>
    <row r="808" spans="1:11" x14ac:dyDescent="0.2">
      <c r="A808">
        <v>1121</v>
      </c>
      <c r="B808">
        <v>832</v>
      </c>
      <c r="C808">
        <v>4</v>
      </c>
      <c r="D808" t="s">
        <v>7987</v>
      </c>
      <c r="E808">
        <v>158</v>
      </c>
      <c r="F808" t="s">
        <v>6703</v>
      </c>
      <c r="G808" t="s">
        <v>6702</v>
      </c>
      <c r="H808">
        <v>204</v>
      </c>
      <c r="I808">
        <v>202</v>
      </c>
      <c r="J808">
        <v>202</v>
      </c>
      <c r="K808" s="726" t="str" cm="1">
        <f t="array" ref="K808">myRGB(H808,I808,J808)</f>
        <v/>
      </c>
    </row>
    <row r="809" spans="1:11" x14ac:dyDescent="0.2">
      <c r="A809">
        <v>1119</v>
      </c>
      <c r="B809">
        <v>967</v>
      </c>
      <c r="C809">
        <v>3</v>
      </c>
      <c r="D809" t="s">
        <v>7985</v>
      </c>
      <c r="E809">
        <v>832</v>
      </c>
      <c r="F809" t="s">
        <v>6699</v>
      </c>
      <c r="G809" t="s">
        <v>6698</v>
      </c>
      <c r="H809">
        <v>199</v>
      </c>
      <c r="I809">
        <v>204</v>
      </c>
      <c r="J809">
        <v>204</v>
      </c>
      <c r="K809" s="831" t="str" cm="1">
        <f t="array" ref="K809">myRGB(H809,I809,J809)</f>
        <v/>
      </c>
    </row>
    <row r="810" spans="1:11" x14ac:dyDescent="0.2">
      <c r="A810">
        <v>1132</v>
      </c>
      <c r="B810">
        <v>798</v>
      </c>
      <c r="C810">
        <v>4</v>
      </c>
      <c r="D810" t="s">
        <v>7994</v>
      </c>
      <c r="E810">
        <v>1116</v>
      </c>
      <c r="F810" t="s">
        <v>6725</v>
      </c>
      <c r="G810" t="s">
        <v>6724</v>
      </c>
      <c r="H810">
        <v>201</v>
      </c>
      <c r="I810">
        <v>204</v>
      </c>
      <c r="J810">
        <v>199</v>
      </c>
      <c r="K810" s="555" t="str" cm="1">
        <f t="array" ref="K810">myRGB(H810,I810,J810)</f>
        <v/>
      </c>
    </row>
    <row r="811" spans="1:11" x14ac:dyDescent="0.2">
      <c r="A811">
        <v>1130</v>
      </c>
      <c r="B811">
        <v>967</v>
      </c>
      <c r="C811">
        <v>3</v>
      </c>
      <c r="D811" t="s">
        <v>7993</v>
      </c>
      <c r="E811">
        <v>798</v>
      </c>
      <c r="F811" t="s">
        <v>6721</v>
      </c>
      <c r="G811" t="s">
        <v>6720</v>
      </c>
      <c r="H811">
        <v>204</v>
      </c>
      <c r="I811">
        <v>204</v>
      </c>
      <c r="J811">
        <v>199</v>
      </c>
      <c r="K811" s="668" t="str" cm="1">
        <f t="array" ref="K811">myRGB(H811,I811,J811)</f>
        <v/>
      </c>
    </row>
    <row r="812" spans="1:11" x14ac:dyDescent="0.2">
      <c r="A812">
        <v>1159</v>
      </c>
      <c r="B812">
        <v>932</v>
      </c>
      <c r="C812">
        <v>5</v>
      </c>
      <c r="D812" t="s">
        <v>8009</v>
      </c>
      <c r="E812">
        <v>697</v>
      </c>
      <c r="F812" t="s">
        <v>6779</v>
      </c>
      <c r="G812" t="s">
        <v>6778</v>
      </c>
      <c r="H812">
        <v>202</v>
      </c>
      <c r="I812">
        <v>204</v>
      </c>
      <c r="J812">
        <v>200</v>
      </c>
      <c r="K812" s="635" t="str" cm="1">
        <f t="array" ref="K812">myRGB(H812,I812,J812)</f>
        <v/>
      </c>
    </row>
    <row r="813" spans="1:11" x14ac:dyDescent="0.2">
      <c r="A813">
        <v>1156</v>
      </c>
      <c r="B813">
        <v>514</v>
      </c>
      <c r="C813">
        <v>6</v>
      </c>
      <c r="D813" t="s">
        <v>8008</v>
      </c>
      <c r="E813">
        <v>380</v>
      </c>
      <c r="F813" t="s">
        <v>6773</v>
      </c>
      <c r="G813" t="s">
        <v>6772</v>
      </c>
      <c r="H813">
        <v>202</v>
      </c>
      <c r="I813">
        <v>201</v>
      </c>
      <c r="J813">
        <v>204</v>
      </c>
      <c r="K813" s="788" t="str" cm="1">
        <f t="array" ref="K813">myRGB(H813,I813,J813)</f>
        <v/>
      </c>
    </row>
    <row r="814" spans="1:11" x14ac:dyDescent="0.2">
      <c r="A814">
        <v>1155</v>
      </c>
      <c r="B814">
        <v>932</v>
      </c>
      <c r="C814">
        <v>5</v>
      </c>
      <c r="D814" t="s">
        <v>8007</v>
      </c>
      <c r="E814">
        <v>514</v>
      </c>
      <c r="F814" t="s">
        <v>6771</v>
      </c>
      <c r="G814" t="s">
        <v>6770</v>
      </c>
      <c r="H814">
        <v>204</v>
      </c>
      <c r="I814">
        <v>200</v>
      </c>
      <c r="J814">
        <v>203</v>
      </c>
      <c r="K814" s="849" t="str" cm="1">
        <f t="array" ref="K814">myRGB(H814,I814,J814)</f>
        <v/>
      </c>
    </row>
    <row r="815" spans="1:11" x14ac:dyDescent="0.2">
      <c r="A815">
        <v>1150</v>
      </c>
      <c r="B815">
        <v>792</v>
      </c>
      <c r="C815">
        <v>4</v>
      </c>
      <c r="D815" t="s">
        <v>8006</v>
      </c>
      <c r="E815">
        <v>932</v>
      </c>
      <c r="F815" t="s">
        <v>6761</v>
      </c>
      <c r="G815" t="s">
        <v>6760</v>
      </c>
      <c r="H815">
        <v>204</v>
      </c>
      <c r="I815">
        <v>199</v>
      </c>
      <c r="J815">
        <v>202</v>
      </c>
      <c r="K815" s="559" t="str" cm="1">
        <f t="array" ref="K815">myRGB(H815,I815,J815)</f>
        <v/>
      </c>
    </row>
    <row r="816" spans="1:11" x14ac:dyDescent="0.2">
      <c r="A816">
        <v>1149</v>
      </c>
      <c r="B816">
        <v>967</v>
      </c>
      <c r="C816">
        <v>3</v>
      </c>
      <c r="D816" t="s">
        <v>8005</v>
      </c>
      <c r="E816">
        <v>792</v>
      </c>
      <c r="F816" t="s">
        <v>6759</v>
      </c>
      <c r="G816" t="s">
        <v>6758</v>
      </c>
      <c r="H816">
        <v>202</v>
      </c>
      <c r="I816">
        <v>200</v>
      </c>
      <c r="J816">
        <v>202</v>
      </c>
      <c r="K816" s="622" t="str" cm="1">
        <f t="array" ref="K816">myRGB(H816,I816,J816)</f>
        <v/>
      </c>
    </row>
    <row r="817" spans="1:11" x14ac:dyDescent="0.2">
      <c r="A817">
        <v>1102</v>
      </c>
      <c r="B817">
        <v>1009</v>
      </c>
      <c r="C817">
        <v>2</v>
      </c>
      <c r="D817" t="s">
        <v>7972</v>
      </c>
      <c r="E817">
        <v>967</v>
      </c>
      <c r="F817" t="s">
        <v>6665</v>
      </c>
      <c r="G817" t="s">
        <v>6664</v>
      </c>
      <c r="H817">
        <v>200</v>
      </c>
      <c r="I817">
        <v>202</v>
      </c>
      <c r="J817">
        <v>201</v>
      </c>
      <c r="K817" s="727" t="str" cm="1">
        <f t="array" ref="K817">myRGB(H817,I817,J817)</f>
        <v/>
      </c>
    </row>
    <row r="818" spans="1:11" x14ac:dyDescent="0.2">
      <c r="A818">
        <v>1179</v>
      </c>
      <c r="B818">
        <v>752</v>
      </c>
      <c r="C818">
        <v>4</v>
      </c>
      <c r="D818" t="s">
        <v>8017</v>
      </c>
      <c r="E818">
        <v>78</v>
      </c>
      <c r="F818" t="s">
        <v>6819</v>
      </c>
      <c r="G818" t="s">
        <v>6818</v>
      </c>
      <c r="H818">
        <v>204</v>
      </c>
      <c r="I818">
        <v>204</v>
      </c>
      <c r="J818">
        <v>202</v>
      </c>
      <c r="K818" s="832" t="str" cm="1">
        <f t="array" ref="K818">myRGB(H818,I818,J818)</f>
        <v/>
      </c>
    </row>
    <row r="819" spans="1:11" x14ac:dyDescent="0.2">
      <c r="A819">
        <v>1178</v>
      </c>
      <c r="B819">
        <v>326</v>
      </c>
      <c r="C819">
        <v>5</v>
      </c>
      <c r="D819" t="s">
        <v>8016</v>
      </c>
      <c r="E819">
        <v>866</v>
      </c>
      <c r="F819" t="s">
        <v>6817</v>
      </c>
      <c r="G819" t="s">
        <v>6816</v>
      </c>
      <c r="H819">
        <v>203</v>
      </c>
      <c r="I819">
        <v>199</v>
      </c>
      <c r="J819">
        <v>204</v>
      </c>
      <c r="K819" s="556" t="str" cm="1">
        <f t="array" ref="K819">myRGB(H819,I819,J819)</f>
        <v/>
      </c>
    </row>
    <row r="820" spans="1:11" x14ac:dyDescent="0.2">
      <c r="A820">
        <v>1177</v>
      </c>
      <c r="B820">
        <v>326</v>
      </c>
      <c r="C820">
        <v>5</v>
      </c>
      <c r="D820" t="s">
        <v>8015</v>
      </c>
      <c r="E820">
        <v>850</v>
      </c>
      <c r="F820" t="s">
        <v>6815</v>
      </c>
      <c r="G820" t="s">
        <v>6814</v>
      </c>
      <c r="H820">
        <v>203</v>
      </c>
      <c r="I820">
        <v>201</v>
      </c>
      <c r="J820">
        <v>200</v>
      </c>
      <c r="K820" s="619" t="str" cm="1">
        <f t="array" ref="K820">myRGB(H820,I820,J820)</f>
        <v/>
      </c>
    </row>
    <row r="821" spans="1:11" x14ac:dyDescent="0.2">
      <c r="A821">
        <v>1175</v>
      </c>
      <c r="B821">
        <v>326</v>
      </c>
      <c r="C821">
        <v>5</v>
      </c>
      <c r="D821" t="s">
        <v>8014</v>
      </c>
      <c r="E821">
        <v>812</v>
      </c>
      <c r="F821" t="s">
        <v>6811</v>
      </c>
      <c r="G821" t="s">
        <v>6810</v>
      </c>
      <c r="H821">
        <v>204</v>
      </c>
      <c r="I821">
        <v>199</v>
      </c>
      <c r="J821">
        <v>204</v>
      </c>
      <c r="K821" s="576" t="str" cm="1">
        <f t="array" ref="K821">myRGB(H821,I821,J821)</f>
        <v/>
      </c>
    </row>
    <row r="822" spans="1:11" x14ac:dyDescent="0.2">
      <c r="A822">
        <v>1174</v>
      </c>
      <c r="B822">
        <v>752</v>
      </c>
      <c r="C822">
        <v>4</v>
      </c>
      <c r="D822" t="s">
        <v>8013</v>
      </c>
      <c r="E822">
        <v>326</v>
      </c>
      <c r="F822" t="s">
        <v>6809</v>
      </c>
      <c r="G822" t="s">
        <v>6808</v>
      </c>
      <c r="H822">
        <v>203</v>
      </c>
      <c r="I822">
        <v>201</v>
      </c>
      <c r="J822">
        <v>203</v>
      </c>
      <c r="K822" s="789" t="str" cm="1">
        <f t="array" ref="K822">myRGB(H822,I822,J822)</f>
        <v/>
      </c>
    </row>
    <row r="823" spans="1:11" x14ac:dyDescent="0.2">
      <c r="A823">
        <v>1181</v>
      </c>
      <c r="B823">
        <v>1123</v>
      </c>
      <c r="C823">
        <v>5</v>
      </c>
      <c r="D823" t="s">
        <v>8019</v>
      </c>
      <c r="E823">
        <v>553</v>
      </c>
      <c r="F823" t="s">
        <v>6823</v>
      </c>
      <c r="G823" t="s">
        <v>6822</v>
      </c>
      <c r="H823">
        <v>201</v>
      </c>
      <c r="I823">
        <v>202</v>
      </c>
      <c r="J823">
        <v>202</v>
      </c>
      <c r="K823" s="637" t="str" cm="1">
        <f t="array" ref="K823">myRGB(H823,I823,J823)</f>
        <v/>
      </c>
    </row>
    <row r="824" spans="1:11" x14ac:dyDescent="0.2">
      <c r="A824">
        <v>1180</v>
      </c>
      <c r="B824">
        <v>752</v>
      </c>
      <c r="C824">
        <v>4</v>
      </c>
      <c r="D824" t="s">
        <v>8018</v>
      </c>
      <c r="E824">
        <v>1123</v>
      </c>
      <c r="F824" t="s">
        <v>6821</v>
      </c>
      <c r="G824" t="s">
        <v>6820</v>
      </c>
      <c r="H824">
        <v>201</v>
      </c>
      <c r="I824">
        <v>201</v>
      </c>
      <c r="J824">
        <v>200</v>
      </c>
      <c r="K824" s="560" t="str" cm="1">
        <f t="array" ref="K824">myRGB(H824,I824,J824)</f>
        <v/>
      </c>
    </row>
    <row r="825" spans="1:11" x14ac:dyDescent="0.2">
      <c r="A825">
        <v>1173</v>
      </c>
      <c r="B825">
        <v>960</v>
      </c>
      <c r="C825">
        <v>3</v>
      </c>
      <c r="D825" t="s">
        <v>8012</v>
      </c>
      <c r="E825">
        <v>752</v>
      </c>
      <c r="F825" t="s">
        <v>6807</v>
      </c>
      <c r="G825" t="s">
        <v>6806</v>
      </c>
      <c r="H825">
        <v>202</v>
      </c>
      <c r="I825">
        <v>200</v>
      </c>
      <c r="J825">
        <v>203</v>
      </c>
      <c r="K825" s="686" t="str" cm="1">
        <f t="array" ref="K825">myRGB(H825,I825,J825)</f>
        <v/>
      </c>
    </row>
    <row r="826" spans="1:11" x14ac:dyDescent="0.2">
      <c r="A826">
        <v>1172</v>
      </c>
      <c r="B826">
        <v>960</v>
      </c>
      <c r="C826">
        <v>3</v>
      </c>
      <c r="D826" t="s">
        <v>8011</v>
      </c>
      <c r="E826">
        <v>744</v>
      </c>
      <c r="F826" t="s">
        <v>6805</v>
      </c>
      <c r="G826" t="s">
        <v>6804</v>
      </c>
      <c r="H826">
        <v>203</v>
      </c>
      <c r="I826">
        <v>200</v>
      </c>
      <c r="J826">
        <v>202</v>
      </c>
      <c r="K826" s="728" t="str" cm="1">
        <f t="array" ref="K826">myRGB(H826,I826,J826)</f>
        <v/>
      </c>
    </row>
    <row r="827" spans="1:11" x14ac:dyDescent="0.2">
      <c r="A827">
        <v>1188</v>
      </c>
      <c r="B827">
        <v>960</v>
      </c>
      <c r="C827">
        <v>3</v>
      </c>
      <c r="D827" t="s">
        <v>8020</v>
      </c>
      <c r="E827">
        <v>728</v>
      </c>
      <c r="F827" t="s">
        <v>6837</v>
      </c>
      <c r="G827" t="s">
        <v>6836</v>
      </c>
      <c r="H827">
        <v>203</v>
      </c>
      <c r="I827">
        <v>201</v>
      </c>
      <c r="J827">
        <v>204</v>
      </c>
      <c r="K827" s="802" t="str" cm="1">
        <f t="array" ref="K827">myRGB(H827,I827,J827)</f>
        <v/>
      </c>
    </row>
    <row r="828" spans="1:11" x14ac:dyDescent="0.2">
      <c r="A828">
        <v>1171</v>
      </c>
      <c r="B828">
        <v>1009</v>
      </c>
      <c r="C828">
        <v>2</v>
      </c>
      <c r="D828" t="s">
        <v>8010</v>
      </c>
      <c r="E828">
        <v>960</v>
      </c>
      <c r="F828" t="s">
        <v>6803</v>
      </c>
      <c r="G828" t="s">
        <v>6802</v>
      </c>
      <c r="H828">
        <v>201</v>
      </c>
      <c r="I828">
        <v>202</v>
      </c>
      <c r="J828">
        <v>200</v>
      </c>
      <c r="K828" s="620" t="str" cm="1">
        <f t="array" ref="K828">myRGB(H828,I828,J828)</f>
        <v/>
      </c>
    </row>
    <row r="829" spans="1:11" x14ac:dyDescent="0.2">
      <c r="A829">
        <v>1189</v>
      </c>
      <c r="B829">
        <v>1009</v>
      </c>
      <c r="C829">
        <v>2</v>
      </c>
      <c r="D829" t="s">
        <v>8021</v>
      </c>
      <c r="E829">
        <v>484682512</v>
      </c>
      <c r="F829" t="s">
        <v>6839</v>
      </c>
      <c r="G829" t="s">
        <v>6838</v>
      </c>
      <c r="H829">
        <v>201</v>
      </c>
      <c r="I829">
        <v>201</v>
      </c>
      <c r="J829">
        <v>202</v>
      </c>
      <c r="K829" s="577" t="str" cm="1">
        <f t="array" ref="K829">myRGB(H829,I829,J829)</f>
        <v/>
      </c>
    </row>
    <row r="830" spans="1:11" x14ac:dyDescent="0.2">
      <c r="A830">
        <v>1228</v>
      </c>
      <c r="B830">
        <v>877</v>
      </c>
      <c r="C830">
        <v>4</v>
      </c>
      <c r="D830" t="s">
        <v>8045</v>
      </c>
      <c r="E830">
        <v>1060</v>
      </c>
      <c r="F830" t="s">
        <v>6917</v>
      </c>
      <c r="G830" t="s">
        <v>6916</v>
      </c>
      <c r="H830">
        <v>202</v>
      </c>
      <c r="I830">
        <v>202</v>
      </c>
      <c r="J830">
        <v>199</v>
      </c>
      <c r="K830" s="790" t="str" cm="1">
        <f t="array" ref="K830">myRGB(H830,I830,J830)</f>
        <v/>
      </c>
    </row>
    <row r="831" spans="1:11" x14ac:dyDescent="0.2">
      <c r="A831">
        <v>1227</v>
      </c>
      <c r="B831">
        <v>877</v>
      </c>
      <c r="C831">
        <v>4</v>
      </c>
      <c r="D831" t="s">
        <v>8044</v>
      </c>
      <c r="E831">
        <v>1051</v>
      </c>
      <c r="F831" t="s">
        <v>6915</v>
      </c>
      <c r="G831" t="s">
        <v>6914</v>
      </c>
      <c r="H831">
        <v>203</v>
      </c>
      <c r="I831">
        <v>200</v>
      </c>
      <c r="J831">
        <v>200</v>
      </c>
      <c r="K831" s="578" t="str" cm="1">
        <f t="array" ref="K831">myRGB(H831,I831,J831)</f>
        <v/>
      </c>
    </row>
    <row r="832" spans="1:11" x14ac:dyDescent="0.2">
      <c r="A832">
        <v>1229</v>
      </c>
      <c r="B832">
        <v>877</v>
      </c>
      <c r="C832">
        <v>4</v>
      </c>
      <c r="D832" t="s">
        <v>8046</v>
      </c>
      <c r="E832">
        <v>1043</v>
      </c>
      <c r="F832" t="s">
        <v>6919</v>
      </c>
      <c r="G832" t="s">
        <v>6918</v>
      </c>
      <c r="H832">
        <v>200</v>
      </c>
      <c r="I832">
        <v>200</v>
      </c>
      <c r="J832">
        <v>204</v>
      </c>
      <c r="K832" s="561" t="str" cm="1">
        <f t="array" ref="K832">myRGB(H832,I832,J832)</f>
        <v/>
      </c>
    </row>
    <row r="833" spans="1:11" x14ac:dyDescent="0.2">
      <c r="A833">
        <v>1226</v>
      </c>
      <c r="B833">
        <v>1000</v>
      </c>
      <c r="C833">
        <v>3</v>
      </c>
      <c r="D833" t="s">
        <v>8043</v>
      </c>
      <c r="E833">
        <v>877</v>
      </c>
      <c r="F833" t="s">
        <v>6913</v>
      </c>
      <c r="G833" t="s">
        <v>6912</v>
      </c>
      <c r="H833">
        <v>200</v>
      </c>
      <c r="I833">
        <v>203</v>
      </c>
      <c r="J833">
        <v>201</v>
      </c>
      <c r="K833" s="636" t="str" cm="1">
        <f t="array" ref="K833">myRGB(H833,I833,J833)</f>
        <v/>
      </c>
    </row>
    <row r="834" spans="1:11" x14ac:dyDescent="0.2">
      <c r="A834">
        <v>1231</v>
      </c>
      <c r="B834">
        <v>863</v>
      </c>
      <c r="C834">
        <v>4</v>
      </c>
      <c r="D834" t="s">
        <v>8048</v>
      </c>
      <c r="E834">
        <v>397</v>
      </c>
      <c r="F834" t="s">
        <v>6923</v>
      </c>
      <c r="G834" t="s">
        <v>6922</v>
      </c>
      <c r="H834">
        <v>202</v>
      </c>
      <c r="I834">
        <v>203</v>
      </c>
      <c r="J834">
        <v>201</v>
      </c>
      <c r="K834" s="729" t="str" cm="1">
        <f t="array" ref="K834">myRGB(H834,I834,J834)</f>
        <v/>
      </c>
    </row>
    <row r="835" spans="1:11" x14ac:dyDescent="0.2">
      <c r="A835">
        <v>1230</v>
      </c>
      <c r="B835">
        <v>1000</v>
      </c>
      <c r="C835">
        <v>3</v>
      </c>
      <c r="D835" t="s">
        <v>8047</v>
      </c>
      <c r="E835">
        <v>863</v>
      </c>
      <c r="F835" t="s">
        <v>6921</v>
      </c>
      <c r="G835" t="s">
        <v>6920</v>
      </c>
      <c r="H835">
        <v>200</v>
      </c>
      <c r="I835">
        <v>200</v>
      </c>
      <c r="J835">
        <v>203</v>
      </c>
      <c r="K835" s="688" t="str" cm="1">
        <f t="array" ref="K835">myRGB(H835,I835,J835)</f>
        <v/>
      </c>
    </row>
    <row r="836" spans="1:11" x14ac:dyDescent="0.2">
      <c r="A836">
        <v>1221</v>
      </c>
      <c r="B836">
        <v>760</v>
      </c>
      <c r="C836">
        <v>4</v>
      </c>
      <c r="D836" t="s">
        <v>8042</v>
      </c>
      <c r="E836">
        <v>102</v>
      </c>
      <c r="F836" t="s">
        <v>6903</v>
      </c>
      <c r="G836" t="s">
        <v>6902</v>
      </c>
      <c r="H836">
        <v>204</v>
      </c>
      <c r="I836">
        <v>202</v>
      </c>
      <c r="J836">
        <v>203</v>
      </c>
      <c r="K836" s="621" t="str" cm="1">
        <f t="array" ref="K836">myRGB(H836,I836,J836)</f>
        <v/>
      </c>
    </row>
    <row r="837" spans="1:11" x14ac:dyDescent="0.2">
      <c r="A837">
        <v>1219</v>
      </c>
      <c r="B837">
        <v>1000</v>
      </c>
      <c r="C837">
        <v>3</v>
      </c>
      <c r="D837" t="s">
        <v>8041</v>
      </c>
      <c r="E837">
        <v>760</v>
      </c>
      <c r="F837" t="s">
        <v>6899</v>
      </c>
      <c r="G837" t="s">
        <v>6898</v>
      </c>
      <c r="H837">
        <v>200</v>
      </c>
      <c r="I837">
        <v>202</v>
      </c>
      <c r="J837">
        <v>203</v>
      </c>
      <c r="K837" s="687" t="str" cm="1">
        <f t="array" ref="K837">myRGB(H837,I837,J837)</f>
        <v/>
      </c>
    </row>
    <row r="838" spans="1:11" x14ac:dyDescent="0.2">
      <c r="A838">
        <v>1218</v>
      </c>
      <c r="B838">
        <v>1009</v>
      </c>
      <c r="C838">
        <v>2</v>
      </c>
      <c r="D838" t="s">
        <v>8040</v>
      </c>
      <c r="E838">
        <v>1000</v>
      </c>
      <c r="F838" t="s">
        <v>6897</v>
      </c>
      <c r="G838" t="s">
        <v>6896</v>
      </c>
      <c r="H838">
        <v>202</v>
      </c>
      <c r="I838">
        <v>203</v>
      </c>
      <c r="J838">
        <v>199</v>
      </c>
      <c r="K838" s="730" t="str" cm="1">
        <f t="array" ref="K838">myRGB(H838,I838,J838)</f>
        <v/>
      </c>
    </row>
    <row r="839" spans="1:11" x14ac:dyDescent="0.2">
      <c r="A839">
        <v>1101</v>
      </c>
      <c r="B839">
        <v>997</v>
      </c>
      <c r="C839">
        <v>1</v>
      </c>
      <c r="D839" t="s">
        <v>7971</v>
      </c>
      <c r="E839">
        <v>1009</v>
      </c>
      <c r="F839" t="s">
        <v>6663</v>
      </c>
      <c r="G839" t="s">
        <v>6663</v>
      </c>
      <c r="H839">
        <v>202</v>
      </c>
      <c r="I839">
        <v>199</v>
      </c>
      <c r="J839">
        <v>203</v>
      </c>
      <c r="K839" s="744" t="str" cm="1">
        <f t="array" ref="K839">myRGB(H839,I839,J839)</f>
        <v/>
      </c>
    </row>
    <row r="840" spans="1:11" x14ac:dyDescent="0.2">
      <c r="A840">
        <v>0</v>
      </c>
      <c r="B840">
        <v>0</v>
      </c>
      <c r="C840">
        <v>0</v>
      </c>
      <c r="D840" t="s">
        <v>7246</v>
      </c>
      <c r="E840">
        <v>997</v>
      </c>
      <c r="F840" t="s">
        <v>4590</v>
      </c>
      <c r="G840" t="s">
        <v>4590</v>
      </c>
      <c r="H840">
        <v>0</v>
      </c>
      <c r="I840">
        <v>0</v>
      </c>
      <c r="J840">
        <v>0</v>
      </c>
      <c r="K840" s="562" t="str" cm="1">
        <f t="array" ref="K840">myRGB(H840,I840,J840)</f>
        <v/>
      </c>
    </row>
  </sheetData>
  <sortState xmlns:xlrd2="http://schemas.microsoft.com/office/spreadsheetml/2017/richdata2" ref="A2:J840">
    <sortCondition descending="1" ref="D2:D84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9EE36-5D92-AA4D-8232-EE900612F91E}">
  <sheetPr codeName="Sheet6"/>
  <dimension ref="A1:E598"/>
  <sheetViews>
    <sheetView workbookViewId="0">
      <selection activeCell="F2" sqref="F2"/>
    </sheetView>
  </sheetViews>
  <sheetFormatPr baseColWidth="10" defaultRowHeight="16" x14ac:dyDescent="0.2"/>
  <sheetData>
    <row r="1" spans="1:5" x14ac:dyDescent="0.2">
      <c r="A1" t="s">
        <v>3988</v>
      </c>
      <c r="B1" t="s">
        <v>3983</v>
      </c>
      <c r="C1" t="s">
        <v>3984</v>
      </c>
      <c r="D1" t="s">
        <v>3985</v>
      </c>
      <c r="E1" t="s">
        <v>3989</v>
      </c>
    </row>
    <row r="2" spans="1:5" x14ac:dyDescent="0.2">
      <c r="A2">
        <v>1</v>
      </c>
      <c r="B2" s="2">
        <v>1</v>
      </c>
      <c r="C2" s="2">
        <v>0.29803921568627451</v>
      </c>
      <c r="D2" s="2">
        <v>0.24313725490196078</v>
      </c>
      <c r="E2" t="s">
        <v>3990</v>
      </c>
    </row>
    <row r="3" spans="1:5" x14ac:dyDescent="0.2">
      <c r="A3">
        <v>2</v>
      </c>
      <c r="B3" s="2">
        <v>9.4117647058823528E-2</v>
      </c>
      <c r="C3" s="2">
        <v>0.50196078431372548</v>
      </c>
      <c r="D3" s="2">
        <v>0.39215686274509803</v>
      </c>
      <c r="E3" t="s">
        <v>3991</v>
      </c>
    </row>
    <row r="4" spans="1:5" x14ac:dyDescent="0.2">
      <c r="A4">
        <v>6</v>
      </c>
      <c r="B4" s="2">
        <v>0.8</v>
      </c>
      <c r="C4" s="2">
        <v>0.8</v>
      </c>
      <c r="D4" s="2">
        <v>0.8</v>
      </c>
      <c r="E4" t="s">
        <v>3992</v>
      </c>
    </row>
    <row r="5" spans="1:5" x14ac:dyDescent="0.2">
      <c r="A5">
        <v>7</v>
      </c>
      <c r="B5" s="2">
        <v>1</v>
      </c>
      <c r="C5" s="2">
        <v>0.68235294117647061</v>
      </c>
      <c r="D5" s="2">
        <v>0.43529411764705883</v>
      </c>
      <c r="E5" t="s">
        <v>3993</v>
      </c>
    </row>
    <row r="6" spans="1:5" x14ac:dyDescent="0.2">
      <c r="A6">
        <v>9</v>
      </c>
      <c r="B6" s="2">
        <v>9.4117647058823528E-2</v>
      </c>
      <c r="C6" s="2">
        <v>0.50196078431372548</v>
      </c>
      <c r="D6" s="2">
        <v>0.38823529411764707</v>
      </c>
      <c r="E6" t="s">
        <v>3994</v>
      </c>
    </row>
    <row r="7" spans="1:5" x14ac:dyDescent="0.2">
      <c r="A7">
        <v>10</v>
      </c>
      <c r="B7" s="2">
        <v>1</v>
      </c>
      <c r="C7" s="2">
        <v>0.56470588235294117</v>
      </c>
      <c r="D7" s="2">
        <v>1</v>
      </c>
      <c r="E7" t="s">
        <v>3995</v>
      </c>
    </row>
    <row r="8" spans="1:5" x14ac:dyDescent="0.2">
      <c r="A8">
        <v>12</v>
      </c>
      <c r="B8" s="2">
        <v>1</v>
      </c>
      <c r="C8" s="2">
        <v>0.65098039215686276</v>
      </c>
      <c r="D8" s="2">
        <v>1</v>
      </c>
      <c r="E8" t="s">
        <v>3996</v>
      </c>
    </row>
    <row r="9" spans="1:5" x14ac:dyDescent="0.2">
      <c r="A9">
        <v>15</v>
      </c>
      <c r="B9" s="2">
        <v>1</v>
      </c>
      <c r="C9" s="2">
        <v>0.56470588235294117</v>
      </c>
      <c r="D9" s="2">
        <v>0.62352941176470589</v>
      </c>
      <c r="E9" t="s">
        <v>3997</v>
      </c>
    </row>
    <row r="10" spans="1:5" x14ac:dyDescent="0.2">
      <c r="A10">
        <v>17</v>
      </c>
      <c r="B10" s="2">
        <v>1</v>
      </c>
      <c r="C10" s="2">
        <v>0.56470588235294117</v>
      </c>
      <c r="D10" s="2">
        <v>0.99607843137254903</v>
      </c>
      <c r="E10" t="s">
        <v>3998</v>
      </c>
    </row>
    <row r="11" spans="1:5" x14ac:dyDescent="0.2">
      <c r="A11">
        <v>19</v>
      </c>
      <c r="B11" s="2">
        <v>0.49411764705882355</v>
      </c>
      <c r="C11" s="2">
        <v>0.81568627450980391</v>
      </c>
      <c r="D11" s="2">
        <v>0.29411764705882354</v>
      </c>
      <c r="E11" t="s">
        <v>3999</v>
      </c>
    </row>
    <row r="12" spans="1:5" x14ac:dyDescent="0.2">
      <c r="A12">
        <v>20</v>
      </c>
      <c r="B12" s="2">
        <v>0.19607843137254902</v>
      </c>
      <c r="C12" s="2">
        <v>0.72156862745098038</v>
      </c>
      <c r="D12" s="2">
        <v>0.14509803921568629</v>
      </c>
      <c r="E12" t="s">
        <v>4000</v>
      </c>
    </row>
    <row r="13" spans="1:5" x14ac:dyDescent="0.2">
      <c r="A13">
        <v>22</v>
      </c>
      <c r="B13" s="2">
        <v>0</v>
      </c>
      <c r="C13" s="2">
        <v>0.62352941176470589</v>
      </c>
      <c r="D13" s="2">
        <v>0.67450980392156867</v>
      </c>
      <c r="E13" t="s">
        <v>4001</v>
      </c>
    </row>
    <row r="14" spans="1:5" x14ac:dyDescent="0.2">
      <c r="A14">
        <v>23</v>
      </c>
      <c r="B14" s="2">
        <v>0.50196078431372548</v>
      </c>
      <c r="C14" s="2">
        <v>0.75294117647058822</v>
      </c>
      <c r="D14" s="2">
        <v>0.88627450980392153</v>
      </c>
      <c r="E14" t="s">
        <v>4002</v>
      </c>
    </row>
    <row r="15" spans="1:5" x14ac:dyDescent="0.2">
      <c r="A15">
        <v>26</v>
      </c>
      <c r="B15" s="2">
        <v>1</v>
      </c>
      <c r="C15" s="2">
        <v>0.5607843137254902</v>
      </c>
      <c r="D15" s="2">
        <v>1</v>
      </c>
      <c r="E15" t="s">
        <v>4003</v>
      </c>
    </row>
    <row r="16" spans="1:5" x14ac:dyDescent="0.2">
      <c r="A16">
        <v>27</v>
      </c>
      <c r="B16" s="2">
        <v>1</v>
      </c>
      <c r="C16" s="2">
        <v>0.56470588235294117</v>
      </c>
      <c r="D16" s="2">
        <v>0.61960784313725492</v>
      </c>
      <c r="E16" t="s">
        <v>4004</v>
      </c>
    </row>
    <row r="17" spans="1:5" x14ac:dyDescent="0.2">
      <c r="A17">
        <v>28</v>
      </c>
      <c r="B17" s="2">
        <v>0.19607843137254902</v>
      </c>
      <c r="C17" s="2">
        <v>0.72156862745098038</v>
      </c>
      <c r="D17" s="2">
        <v>0.14117647058823529</v>
      </c>
      <c r="E17" t="s">
        <v>4005</v>
      </c>
    </row>
    <row r="18" spans="1:5" x14ac:dyDescent="0.2">
      <c r="A18">
        <v>30</v>
      </c>
      <c r="B18" s="2">
        <v>1</v>
      </c>
      <c r="C18" s="2">
        <v>0.36470588235294116</v>
      </c>
      <c r="D18" s="2">
        <v>0.31372549019607843</v>
      </c>
      <c r="E18" t="s">
        <v>4006</v>
      </c>
    </row>
    <row r="19" spans="1:5" x14ac:dyDescent="0.2">
      <c r="A19">
        <v>33</v>
      </c>
      <c r="B19" s="2">
        <v>3.1372549019607843E-2</v>
      </c>
      <c r="C19" s="2">
        <v>0.52156862745098043</v>
      </c>
      <c r="D19" s="2">
        <v>0.5490196078431373</v>
      </c>
      <c r="E19" t="s">
        <v>4007</v>
      </c>
    </row>
    <row r="20" spans="1:5" x14ac:dyDescent="0.2">
      <c r="A20">
        <v>35</v>
      </c>
      <c r="B20" s="2">
        <v>0.99607843137254903</v>
      </c>
      <c r="C20" s="2">
        <v>0.56470588235294117</v>
      </c>
      <c r="D20" s="2">
        <v>1</v>
      </c>
      <c r="E20" t="s">
        <v>4008</v>
      </c>
    </row>
    <row r="21" spans="1:5" x14ac:dyDescent="0.2">
      <c r="A21">
        <v>36</v>
      </c>
      <c r="B21" s="2">
        <v>0</v>
      </c>
      <c r="C21" s="2">
        <v>0.61176470588235299</v>
      </c>
      <c r="D21" s="2">
        <v>0.45882352941176469</v>
      </c>
      <c r="E21" t="s">
        <v>4009</v>
      </c>
    </row>
    <row r="22" spans="1:5" x14ac:dyDescent="0.2">
      <c r="A22">
        <v>38</v>
      </c>
      <c r="B22" s="2">
        <v>1</v>
      </c>
      <c r="C22" s="2">
        <v>0.36470588235294116</v>
      </c>
      <c r="D22" s="2">
        <v>0.30980392156862746</v>
      </c>
      <c r="E22" t="s">
        <v>4010</v>
      </c>
    </row>
    <row r="23" spans="1:5" x14ac:dyDescent="0.2">
      <c r="A23">
        <v>41</v>
      </c>
      <c r="B23" s="2">
        <v>3.1372549019607843E-2</v>
      </c>
      <c r="C23" s="2">
        <v>0.52156862745098043</v>
      </c>
      <c r="D23" s="2">
        <v>0.54509803921568623</v>
      </c>
      <c r="E23" t="s">
        <v>4011</v>
      </c>
    </row>
    <row r="24" spans="1:5" x14ac:dyDescent="0.2">
      <c r="A24">
        <v>42</v>
      </c>
      <c r="B24" s="2">
        <v>1</v>
      </c>
      <c r="C24" s="2">
        <v>0.5607843137254902</v>
      </c>
      <c r="D24" s="2">
        <v>0.99607843137254903</v>
      </c>
      <c r="E24" t="s">
        <v>4012</v>
      </c>
    </row>
    <row r="25" spans="1:5" x14ac:dyDescent="0.2">
      <c r="A25">
        <v>50</v>
      </c>
      <c r="B25" s="2">
        <v>0.99607843137254903</v>
      </c>
      <c r="C25" s="2">
        <v>0.56470588235294117</v>
      </c>
      <c r="D25" s="2">
        <v>0.99607843137254903</v>
      </c>
      <c r="E25" t="s">
        <v>4013</v>
      </c>
    </row>
    <row r="26" spans="1:5" x14ac:dyDescent="0.2">
      <c r="A26">
        <v>52</v>
      </c>
      <c r="B26" s="2">
        <v>0.19607843137254902</v>
      </c>
      <c r="C26" s="2">
        <v>0.71764705882352942</v>
      </c>
      <c r="D26" s="2">
        <v>0.14509803921568629</v>
      </c>
      <c r="E26" t="s">
        <v>4014</v>
      </c>
    </row>
    <row r="27" spans="1:5" x14ac:dyDescent="0.2">
      <c r="A27">
        <v>54</v>
      </c>
      <c r="B27" s="2">
        <v>0.79607843137254897</v>
      </c>
      <c r="C27" s="2">
        <v>0.8</v>
      </c>
      <c r="D27" s="2">
        <v>0.79607843137254897</v>
      </c>
      <c r="E27" t="s">
        <v>4015</v>
      </c>
    </row>
    <row r="28" spans="1:5" x14ac:dyDescent="0.2">
      <c r="A28">
        <v>56</v>
      </c>
      <c r="B28" s="2">
        <v>0.50196078431372548</v>
      </c>
      <c r="C28" s="2">
        <v>0.80392156862745101</v>
      </c>
      <c r="D28" s="2">
        <v>0.97254901960784312</v>
      </c>
      <c r="E28" t="s">
        <v>4016</v>
      </c>
    </row>
    <row r="29" spans="1:5" x14ac:dyDescent="0.2">
      <c r="A29">
        <v>58</v>
      </c>
      <c r="B29" s="2">
        <v>0.99607843137254903</v>
      </c>
      <c r="C29" s="2">
        <v>0.5607843137254902</v>
      </c>
      <c r="D29" s="2">
        <v>1</v>
      </c>
      <c r="E29" t="s">
        <v>4017</v>
      </c>
    </row>
    <row r="30" spans="1:5" x14ac:dyDescent="0.2">
      <c r="A30">
        <v>59</v>
      </c>
      <c r="B30" s="2">
        <v>0.99607843137254903</v>
      </c>
      <c r="C30" s="2">
        <v>0.56470588235294117</v>
      </c>
      <c r="D30" s="2">
        <v>0.62352941176470589</v>
      </c>
      <c r="E30" t="s">
        <v>4018</v>
      </c>
    </row>
    <row r="31" spans="1:5" x14ac:dyDescent="0.2">
      <c r="A31">
        <v>62</v>
      </c>
      <c r="B31" s="2">
        <v>0.79607843137254897</v>
      </c>
      <c r="C31" s="2">
        <v>0.79607843137254897</v>
      </c>
      <c r="D31" s="2">
        <v>0.8</v>
      </c>
      <c r="E31" t="s">
        <v>4019</v>
      </c>
    </row>
    <row r="32" spans="1:5" x14ac:dyDescent="0.2">
      <c r="A32">
        <v>63</v>
      </c>
      <c r="B32" s="2">
        <v>1</v>
      </c>
      <c r="C32" s="2">
        <v>0.29803921568627451</v>
      </c>
      <c r="D32" s="2">
        <v>0.23921568627450981</v>
      </c>
      <c r="E32" t="s">
        <v>4020</v>
      </c>
    </row>
    <row r="33" spans="1:5" x14ac:dyDescent="0.2">
      <c r="A33">
        <v>64</v>
      </c>
      <c r="B33" s="2">
        <v>1</v>
      </c>
      <c r="C33" s="2">
        <v>0.5607843137254902</v>
      </c>
      <c r="D33" s="2">
        <v>0.61960784313725492</v>
      </c>
      <c r="E33" t="s">
        <v>4021</v>
      </c>
    </row>
    <row r="34" spans="1:5" x14ac:dyDescent="0.2">
      <c r="A34">
        <v>66</v>
      </c>
      <c r="B34" s="2">
        <v>0.99607843137254903</v>
      </c>
      <c r="C34" s="2">
        <v>0.5607843137254902</v>
      </c>
      <c r="D34" s="2">
        <v>0.99607843137254903</v>
      </c>
      <c r="E34" t="s">
        <v>4022</v>
      </c>
    </row>
    <row r="35" spans="1:5" x14ac:dyDescent="0.2">
      <c r="A35">
        <v>67</v>
      </c>
      <c r="B35" s="2">
        <v>1</v>
      </c>
      <c r="C35" s="2">
        <v>0.56470588235294117</v>
      </c>
      <c r="D35" s="2">
        <v>0.99215686274509807</v>
      </c>
      <c r="E35" t="s">
        <v>4023</v>
      </c>
    </row>
    <row r="36" spans="1:5" x14ac:dyDescent="0.2">
      <c r="A36">
        <v>68</v>
      </c>
      <c r="B36" s="2">
        <v>0.14901960784313725</v>
      </c>
      <c r="C36" s="2">
        <v>0.5607843137254902</v>
      </c>
      <c r="D36" s="2">
        <v>0.27058823529411763</v>
      </c>
      <c r="E36" t="s">
        <v>4024</v>
      </c>
    </row>
    <row r="37" spans="1:5" x14ac:dyDescent="0.2">
      <c r="A37">
        <v>72</v>
      </c>
      <c r="B37" s="2">
        <v>1</v>
      </c>
      <c r="C37" s="2">
        <v>0.33333333333333331</v>
      </c>
      <c r="D37" s="2">
        <v>0.27843137254901962</v>
      </c>
      <c r="E37" t="s">
        <v>4025</v>
      </c>
    </row>
    <row r="38" spans="1:5" x14ac:dyDescent="0.2">
      <c r="A38">
        <v>74</v>
      </c>
      <c r="B38" s="2">
        <v>3.1372549019607843E-2</v>
      </c>
      <c r="C38" s="2">
        <v>0.51764705882352946</v>
      </c>
      <c r="D38" s="2">
        <v>0.5490196078431373</v>
      </c>
      <c r="E38" t="s">
        <v>4026</v>
      </c>
    </row>
    <row r="39" spans="1:5" x14ac:dyDescent="0.2">
      <c r="A39">
        <v>75</v>
      </c>
      <c r="B39" s="2">
        <v>1</v>
      </c>
      <c r="C39" s="2">
        <v>0.55686274509803924</v>
      </c>
      <c r="D39" s="2">
        <v>1</v>
      </c>
      <c r="E39" t="s">
        <v>4027</v>
      </c>
    </row>
    <row r="40" spans="1:5" x14ac:dyDescent="0.2">
      <c r="A40">
        <v>78</v>
      </c>
      <c r="B40" s="2">
        <v>0.8</v>
      </c>
      <c r="C40" s="2">
        <v>0.8</v>
      </c>
      <c r="D40" s="2">
        <v>0.792156862745098</v>
      </c>
      <c r="E40" t="s">
        <v>4028</v>
      </c>
    </row>
    <row r="41" spans="1:5" x14ac:dyDescent="0.2">
      <c r="A41">
        <v>81</v>
      </c>
      <c r="B41" s="2">
        <v>0.6588235294117647</v>
      </c>
      <c r="C41" s="2">
        <v>0.66666666666666663</v>
      </c>
      <c r="D41" s="2">
        <v>0.66666666666666663</v>
      </c>
      <c r="E41" t="s">
        <v>4029</v>
      </c>
    </row>
    <row r="42" spans="1:5" x14ac:dyDescent="0.2">
      <c r="A42">
        <v>83</v>
      </c>
      <c r="B42" s="2">
        <v>1</v>
      </c>
      <c r="C42" s="2">
        <v>0.70196078431372544</v>
      </c>
      <c r="D42" s="2">
        <v>0.84705882352941175</v>
      </c>
      <c r="E42" t="s">
        <v>4030</v>
      </c>
    </row>
    <row r="43" spans="1:5" x14ac:dyDescent="0.2">
      <c r="A43">
        <v>84</v>
      </c>
      <c r="B43" s="2">
        <v>0.18431372549019609</v>
      </c>
      <c r="C43" s="2">
        <v>0.6588235294117647</v>
      </c>
      <c r="D43" s="2">
        <v>0.31372549019607843</v>
      </c>
      <c r="E43" t="s">
        <v>4031</v>
      </c>
    </row>
    <row r="44" spans="1:5" x14ac:dyDescent="0.2">
      <c r="A44">
        <v>88</v>
      </c>
      <c r="B44" s="2">
        <v>1</v>
      </c>
      <c r="C44" s="2">
        <v>0.29411764705882354</v>
      </c>
      <c r="D44" s="2">
        <v>0.24313725490196078</v>
      </c>
      <c r="E44" t="s">
        <v>4032</v>
      </c>
    </row>
    <row r="45" spans="1:5" x14ac:dyDescent="0.2">
      <c r="A45">
        <v>91</v>
      </c>
      <c r="B45" s="2">
        <v>1</v>
      </c>
      <c r="C45" s="2">
        <v>0.99215686274509807</v>
      </c>
      <c r="D45" s="2">
        <v>0.73725490196078436</v>
      </c>
      <c r="E45" t="s">
        <v>4033</v>
      </c>
    </row>
    <row r="46" spans="1:5" x14ac:dyDescent="0.2">
      <c r="A46">
        <v>93</v>
      </c>
      <c r="B46" s="2">
        <v>0.8</v>
      </c>
      <c r="C46" s="2">
        <v>0.79607843137254897</v>
      </c>
      <c r="D46" s="2">
        <v>0.792156862745098</v>
      </c>
      <c r="E46" t="s">
        <v>4034</v>
      </c>
    </row>
    <row r="47" spans="1:5" x14ac:dyDescent="0.2">
      <c r="A47">
        <v>96</v>
      </c>
      <c r="B47" s="2">
        <v>0.99607843137254903</v>
      </c>
      <c r="C47" s="2">
        <v>0.6470588235294118</v>
      </c>
      <c r="D47" s="2">
        <v>0.81960784313725488</v>
      </c>
      <c r="E47" t="s">
        <v>4035</v>
      </c>
    </row>
    <row r="48" spans="1:5" x14ac:dyDescent="0.2">
      <c r="A48">
        <v>97</v>
      </c>
      <c r="B48" s="2">
        <v>8.2352941176470587E-2</v>
      </c>
      <c r="C48" s="2">
        <v>0.69019607843137254</v>
      </c>
      <c r="D48" s="2">
        <v>0.70196078431372544</v>
      </c>
      <c r="E48" t="s">
        <v>4036</v>
      </c>
    </row>
    <row r="49" spans="1:5" x14ac:dyDescent="0.2">
      <c r="A49">
        <v>98</v>
      </c>
      <c r="B49" s="2">
        <v>0.66666666666666663</v>
      </c>
      <c r="C49" s="2">
        <v>0.6588235294117647</v>
      </c>
      <c r="D49" s="2">
        <v>0.66274509803921566</v>
      </c>
      <c r="E49" t="s">
        <v>4037</v>
      </c>
    </row>
    <row r="50" spans="1:5" x14ac:dyDescent="0.2">
      <c r="A50">
        <v>100</v>
      </c>
      <c r="B50" s="2">
        <v>1</v>
      </c>
      <c r="C50" s="2">
        <v>0.65098039215686276</v>
      </c>
      <c r="D50" s="2">
        <v>0.99607843137254903</v>
      </c>
      <c r="E50" t="s">
        <v>4038</v>
      </c>
    </row>
    <row r="51" spans="1:5" x14ac:dyDescent="0.2">
      <c r="A51">
        <v>101</v>
      </c>
      <c r="B51" s="2">
        <v>0.99607843137254903</v>
      </c>
      <c r="C51" s="2">
        <v>0.64313725490196083</v>
      </c>
      <c r="D51" s="2">
        <v>0.82352941176470584</v>
      </c>
      <c r="E51" t="s">
        <v>4039</v>
      </c>
    </row>
    <row r="52" spans="1:5" x14ac:dyDescent="0.2">
      <c r="A52">
        <v>102</v>
      </c>
      <c r="B52" s="2">
        <v>0.8</v>
      </c>
      <c r="C52" s="2">
        <v>0.792156862745098</v>
      </c>
      <c r="D52" s="2">
        <v>0.79607843137254897</v>
      </c>
      <c r="E52" t="s">
        <v>4040</v>
      </c>
    </row>
    <row r="53" spans="1:5" x14ac:dyDescent="0.2">
      <c r="A53">
        <v>105</v>
      </c>
      <c r="B53" s="2">
        <v>1</v>
      </c>
      <c r="C53" s="2">
        <v>0.67843137254901964</v>
      </c>
      <c r="D53" s="2">
        <v>0.43137254901960786</v>
      </c>
      <c r="E53" t="s">
        <v>4041</v>
      </c>
    </row>
    <row r="54" spans="1:5" x14ac:dyDescent="0.2">
      <c r="A54">
        <v>106</v>
      </c>
      <c r="B54" s="2">
        <v>1</v>
      </c>
      <c r="C54" s="2">
        <v>0.69803921568627447</v>
      </c>
      <c r="D54" s="2">
        <v>0.85098039215686272</v>
      </c>
      <c r="E54" t="s">
        <v>4042</v>
      </c>
    </row>
    <row r="55" spans="1:5" x14ac:dyDescent="0.2">
      <c r="A55">
        <v>108</v>
      </c>
      <c r="B55" s="2">
        <v>0.66274509803921566</v>
      </c>
      <c r="C55" s="2">
        <v>0.66666666666666663</v>
      </c>
      <c r="D55" s="2">
        <v>0.6588235294117647</v>
      </c>
      <c r="E55" t="s">
        <v>4043</v>
      </c>
    </row>
    <row r="56" spans="1:5" x14ac:dyDescent="0.2">
      <c r="A56">
        <v>113</v>
      </c>
      <c r="B56" s="2">
        <v>9.4117647058823528E-2</v>
      </c>
      <c r="C56" s="2">
        <v>0.49803921568627452</v>
      </c>
      <c r="D56" s="2">
        <v>0.39215686274509803</v>
      </c>
      <c r="E56" t="s">
        <v>4044</v>
      </c>
    </row>
    <row r="57" spans="1:5" x14ac:dyDescent="0.2">
      <c r="A57">
        <v>114</v>
      </c>
      <c r="B57" s="2">
        <v>0.99607843137254903</v>
      </c>
      <c r="C57" s="2">
        <v>0.68235294117647061</v>
      </c>
      <c r="D57" s="2">
        <v>0.43137254901960786</v>
      </c>
      <c r="E57" t="s">
        <v>4045</v>
      </c>
    </row>
    <row r="58" spans="1:5" x14ac:dyDescent="0.2">
      <c r="A58">
        <v>115</v>
      </c>
      <c r="B58" s="2">
        <v>0.99215686274509807</v>
      </c>
      <c r="C58" s="2">
        <v>0.56470588235294117</v>
      </c>
      <c r="D58" s="2">
        <v>1</v>
      </c>
      <c r="E58" t="s">
        <v>4046</v>
      </c>
    </row>
    <row r="59" spans="1:5" x14ac:dyDescent="0.2">
      <c r="A59">
        <v>117</v>
      </c>
      <c r="B59" s="2">
        <v>0.79607843137254897</v>
      </c>
      <c r="C59" s="2">
        <v>0.792156862745098</v>
      </c>
      <c r="D59" s="2">
        <v>0.8</v>
      </c>
      <c r="E59" t="s">
        <v>4047</v>
      </c>
    </row>
    <row r="60" spans="1:5" x14ac:dyDescent="0.2">
      <c r="A60">
        <v>118</v>
      </c>
      <c r="B60" s="2">
        <v>0.99215686274509807</v>
      </c>
      <c r="C60" s="2">
        <v>0.36470588235294116</v>
      </c>
      <c r="D60" s="2">
        <v>0.31372549019607843</v>
      </c>
      <c r="E60" t="s">
        <v>4048</v>
      </c>
    </row>
    <row r="61" spans="1:5" x14ac:dyDescent="0.2">
      <c r="A61">
        <v>120</v>
      </c>
      <c r="B61" s="2">
        <v>0.12941176470588237</v>
      </c>
      <c r="C61" s="2">
        <v>0.59215686274509804</v>
      </c>
      <c r="D61" s="2">
        <v>0.396078431372549</v>
      </c>
      <c r="E61" t="s">
        <v>4049</v>
      </c>
    </row>
    <row r="62" spans="1:5" x14ac:dyDescent="0.2">
      <c r="A62">
        <v>121</v>
      </c>
      <c r="B62" s="2">
        <v>3.5294117647058823E-2</v>
      </c>
      <c r="C62" s="2">
        <v>0.52156862745098043</v>
      </c>
      <c r="D62" s="2">
        <v>0.5490196078431373</v>
      </c>
      <c r="E62" t="s">
        <v>4050</v>
      </c>
    </row>
    <row r="63" spans="1:5" x14ac:dyDescent="0.2">
      <c r="A63">
        <v>122</v>
      </c>
      <c r="B63" s="2">
        <v>0.99607843137254903</v>
      </c>
      <c r="C63" s="2">
        <v>0.67843137254901964</v>
      </c>
      <c r="D63" s="2">
        <v>0.43529411764705883</v>
      </c>
      <c r="E63" t="s">
        <v>4051</v>
      </c>
    </row>
    <row r="64" spans="1:5" x14ac:dyDescent="0.2">
      <c r="A64">
        <v>123</v>
      </c>
      <c r="B64" s="2">
        <v>0.99607843137254903</v>
      </c>
      <c r="C64" s="2">
        <v>0.67843137254901964</v>
      </c>
      <c r="D64" s="2">
        <v>0.43137254901960786</v>
      </c>
      <c r="E64" t="s">
        <v>4052</v>
      </c>
    </row>
    <row r="65" spans="1:5" x14ac:dyDescent="0.2">
      <c r="A65">
        <v>125</v>
      </c>
      <c r="B65" s="2">
        <v>0.792156862745098</v>
      </c>
      <c r="C65" s="2">
        <v>0.8</v>
      </c>
      <c r="D65" s="2">
        <v>0.79607843137254897</v>
      </c>
      <c r="E65" t="s">
        <v>4053</v>
      </c>
    </row>
    <row r="66" spans="1:5" x14ac:dyDescent="0.2">
      <c r="A66">
        <v>126</v>
      </c>
      <c r="B66" s="2">
        <v>1</v>
      </c>
      <c r="C66" s="2">
        <v>0.32941176470588235</v>
      </c>
      <c r="D66" s="2">
        <v>0.27843137254901962</v>
      </c>
      <c r="E66" t="s">
        <v>4054</v>
      </c>
    </row>
    <row r="67" spans="1:5" x14ac:dyDescent="0.2">
      <c r="A67">
        <v>128</v>
      </c>
      <c r="B67" s="2">
        <v>1</v>
      </c>
      <c r="C67" s="2">
        <v>0.5607843137254902</v>
      </c>
      <c r="D67" s="2">
        <v>0.99215686274509807</v>
      </c>
      <c r="E67" t="s">
        <v>4055</v>
      </c>
    </row>
    <row r="68" spans="1:5" x14ac:dyDescent="0.2">
      <c r="A68">
        <v>129</v>
      </c>
      <c r="B68" s="2">
        <v>0.6588235294117647</v>
      </c>
      <c r="C68" s="2">
        <v>0.66274509803921566</v>
      </c>
      <c r="D68" s="2">
        <v>0.66666666666666663</v>
      </c>
      <c r="E68" t="s">
        <v>4056</v>
      </c>
    </row>
    <row r="69" spans="1:5" x14ac:dyDescent="0.2">
      <c r="A69">
        <v>131</v>
      </c>
      <c r="B69" s="2">
        <v>0.56470588235294117</v>
      </c>
      <c r="C69" s="2">
        <v>0.92156862745098034</v>
      </c>
      <c r="D69" s="2">
        <v>0.55294117647058827</v>
      </c>
      <c r="E69" t="s">
        <v>4057</v>
      </c>
    </row>
    <row r="70" spans="1:5" x14ac:dyDescent="0.2">
      <c r="A70">
        <v>132</v>
      </c>
      <c r="B70" s="2">
        <v>0.18431372549019609</v>
      </c>
      <c r="C70" s="2">
        <v>0.6588235294117647</v>
      </c>
      <c r="D70" s="2">
        <v>0.30980392156862746</v>
      </c>
      <c r="E70" t="s">
        <v>4058</v>
      </c>
    </row>
    <row r="71" spans="1:5" x14ac:dyDescent="0.2">
      <c r="A71">
        <v>133</v>
      </c>
      <c r="B71" s="2">
        <v>0.99607843137254903</v>
      </c>
      <c r="C71" s="2">
        <v>0.33333333333333331</v>
      </c>
      <c r="D71" s="2">
        <v>0.27843137254901962</v>
      </c>
      <c r="E71" t="s">
        <v>4059</v>
      </c>
    </row>
    <row r="72" spans="1:5" x14ac:dyDescent="0.2">
      <c r="A72">
        <v>136</v>
      </c>
      <c r="B72" s="2">
        <v>1</v>
      </c>
      <c r="C72" s="2">
        <v>0.69803921568627447</v>
      </c>
      <c r="D72" s="2">
        <v>0.84705882352941175</v>
      </c>
      <c r="E72" t="s">
        <v>4060</v>
      </c>
    </row>
    <row r="73" spans="1:5" x14ac:dyDescent="0.2">
      <c r="A73">
        <v>139</v>
      </c>
      <c r="B73" s="2">
        <v>0.19215686274509805</v>
      </c>
      <c r="C73" s="2">
        <v>0.72156862745098038</v>
      </c>
      <c r="D73" s="2">
        <v>0.14117647058823529</v>
      </c>
      <c r="E73" t="s">
        <v>4061</v>
      </c>
    </row>
    <row r="74" spans="1:5" x14ac:dyDescent="0.2">
      <c r="A74">
        <v>140</v>
      </c>
      <c r="B74" s="2">
        <v>0.66274509803921566</v>
      </c>
      <c r="C74" s="2">
        <v>0.66274509803921566</v>
      </c>
      <c r="D74" s="2">
        <v>0.6588235294117647</v>
      </c>
      <c r="E74" t="s">
        <v>4062</v>
      </c>
    </row>
    <row r="75" spans="1:5" x14ac:dyDescent="0.2">
      <c r="A75">
        <v>143</v>
      </c>
      <c r="B75" s="2">
        <v>0.99607843137254903</v>
      </c>
      <c r="C75" s="2">
        <v>0.70196078431372544</v>
      </c>
      <c r="D75" s="2">
        <v>0.84705882352941175</v>
      </c>
      <c r="E75" t="s">
        <v>4063</v>
      </c>
    </row>
    <row r="76" spans="1:5" x14ac:dyDescent="0.2">
      <c r="A76">
        <v>145</v>
      </c>
      <c r="B76" s="2">
        <v>0.66666666666666663</v>
      </c>
      <c r="C76" s="2">
        <v>0.66274509803921566</v>
      </c>
      <c r="D76" s="2">
        <v>0.65490196078431373</v>
      </c>
      <c r="E76" t="s">
        <v>4064</v>
      </c>
    </row>
    <row r="77" spans="1:5" x14ac:dyDescent="0.2">
      <c r="A77">
        <v>146</v>
      </c>
      <c r="B77" s="2">
        <v>1</v>
      </c>
      <c r="C77" s="2">
        <v>0.76078431372549016</v>
      </c>
      <c r="D77" s="2">
        <v>0.58431372549019611</v>
      </c>
      <c r="E77" t="s">
        <v>4065</v>
      </c>
    </row>
    <row r="78" spans="1:5" x14ac:dyDescent="0.2">
      <c r="A78">
        <v>147</v>
      </c>
      <c r="B78" s="2">
        <v>0.99215686274509807</v>
      </c>
      <c r="C78" s="2">
        <v>0.76470588235294112</v>
      </c>
      <c r="D78" s="2">
        <v>0.58431372549019611</v>
      </c>
      <c r="E78" t="s">
        <v>4066</v>
      </c>
    </row>
    <row r="79" spans="1:5" x14ac:dyDescent="0.2">
      <c r="A79">
        <v>148</v>
      </c>
      <c r="B79" s="2">
        <v>0</v>
      </c>
      <c r="C79" s="2">
        <v>0.61176470588235299</v>
      </c>
      <c r="D79" s="2">
        <v>0.45490196078431372</v>
      </c>
      <c r="E79" t="s">
        <v>4067</v>
      </c>
    </row>
    <row r="80" spans="1:5" x14ac:dyDescent="0.2">
      <c r="A80">
        <v>149</v>
      </c>
      <c r="B80" s="2">
        <v>0.99607843137254903</v>
      </c>
      <c r="C80" s="2">
        <v>0.5607843137254902</v>
      </c>
      <c r="D80" s="2">
        <v>0.61960784313725492</v>
      </c>
      <c r="E80" t="s">
        <v>4068</v>
      </c>
    </row>
    <row r="81" spans="1:5" x14ac:dyDescent="0.2">
      <c r="A81">
        <v>153</v>
      </c>
      <c r="B81" s="2">
        <v>0.66274509803921566</v>
      </c>
      <c r="C81" s="2">
        <v>0.66666666666666663</v>
      </c>
      <c r="D81" s="2">
        <v>0.65490196078431373</v>
      </c>
      <c r="E81" t="s">
        <v>4069</v>
      </c>
    </row>
    <row r="82" spans="1:5" x14ac:dyDescent="0.2">
      <c r="A82">
        <v>155</v>
      </c>
      <c r="B82" s="2">
        <v>1</v>
      </c>
      <c r="C82" s="2">
        <v>0.56470588235294117</v>
      </c>
      <c r="D82" s="2">
        <v>0.61568627450980395</v>
      </c>
      <c r="E82" t="s">
        <v>4070</v>
      </c>
    </row>
    <row r="83" spans="1:5" x14ac:dyDescent="0.2">
      <c r="A83">
        <v>156</v>
      </c>
      <c r="B83" s="2">
        <v>3.9215686274509803E-3</v>
      </c>
      <c r="C83" s="2">
        <v>0.57647058823529407</v>
      </c>
      <c r="D83" s="2">
        <v>0.6</v>
      </c>
      <c r="E83" t="s">
        <v>4071</v>
      </c>
    </row>
    <row r="84" spans="1:5" x14ac:dyDescent="0.2">
      <c r="A84">
        <v>158</v>
      </c>
      <c r="B84" s="2">
        <v>0.8</v>
      </c>
      <c r="C84" s="2">
        <v>0.792156862745098</v>
      </c>
      <c r="D84" s="2">
        <v>0.792156862745098</v>
      </c>
      <c r="E84" t="s">
        <v>4072</v>
      </c>
    </row>
    <row r="85" spans="1:5" x14ac:dyDescent="0.2">
      <c r="A85">
        <v>159</v>
      </c>
      <c r="B85" s="2">
        <v>0.32941176470588235</v>
      </c>
      <c r="C85" s="2">
        <v>0.74901960784313726</v>
      </c>
      <c r="D85" s="2">
        <v>0.58039215686274515</v>
      </c>
      <c r="E85" t="s">
        <v>4073</v>
      </c>
    </row>
    <row r="86" spans="1:5" x14ac:dyDescent="0.2">
      <c r="A86">
        <v>162</v>
      </c>
      <c r="B86" s="2">
        <v>0.99607843137254903</v>
      </c>
      <c r="C86" s="2">
        <v>0.76470588235294112</v>
      </c>
      <c r="D86" s="2">
        <v>0.58431372549019611</v>
      </c>
      <c r="E86" t="s">
        <v>4074</v>
      </c>
    </row>
    <row r="87" spans="1:5" x14ac:dyDescent="0.2">
      <c r="A87">
        <v>163</v>
      </c>
      <c r="B87" s="2">
        <v>0.12549019607843137</v>
      </c>
      <c r="C87" s="2">
        <v>0.59607843137254901</v>
      </c>
      <c r="D87" s="2">
        <v>0.396078431372549</v>
      </c>
      <c r="E87" t="s">
        <v>4075</v>
      </c>
    </row>
    <row r="88" spans="1:5" x14ac:dyDescent="0.2">
      <c r="A88">
        <v>164</v>
      </c>
      <c r="B88" s="2">
        <v>0.65490196078431373</v>
      </c>
      <c r="C88" s="2">
        <v>0.66666666666666663</v>
      </c>
      <c r="D88" s="2">
        <v>0.66274509803921566</v>
      </c>
      <c r="E88" t="s">
        <v>4076</v>
      </c>
    </row>
    <row r="89" spans="1:5" x14ac:dyDescent="0.2">
      <c r="A89">
        <v>169</v>
      </c>
      <c r="B89" s="2">
        <v>1</v>
      </c>
      <c r="C89" s="2">
        <v>0.70196078431372544</v>
      </c>
      <c r="D89" s="2">
        <v>0.84313725490196079</v>
      </c>
      <c r="E89" t="s">
        <v>4077</v>
      </c>
    </row>
    <row r="90" spans="1:5" x14ac:dyDescent="0.2">
      <c r="A90">
        <v>171</v>
      </c>
      <c r="B90" s="2">
        <v>0.18431372549019609</v>
      </c>
      <c r="C90" s="2">
        <v>0.65490196078431373</v>
      </c>
      <c r="D90" s="2">
        <v>0.31372549019607843</v>
      </c>
      <c r="E90" t="s">
        <v>4078</v>
      </c>
    </row>
    <row r="91" spans="1:5" x14ac:dyDescent="0.2">
      <c r="A91">
        <v>173</v>
      </c>
      <c r="B91" s="2">
        <v>0.94901960784313721</v>
      </c>
      <c r="C91" s="2">
        <v>0.28235294117647058</v>
      </c>
      <c r="D91" s="2">
        <v>0.23137254901960785</v>
      </c>
      <c r="E91" t="s">
        <v>4079</v>
      </c>
    </row>
    <row r="92" spans="1:5" x14ac:dyDescent="0.2">
      <c r="A92">
        <v>177</v>
      </c>
      <c r="B92" s="2">
        <v>1</v>
      </c>
      <c r="C92" s="2">
        <v>0.69411764705882351</v>
      </c>
      <c r="D92" s="2">
        <v>0.85098039215686272</v>
      </c>
      <c r="E92" t="s">
        <v>4080</v>
      </c>
    </row>
    <row r="93" spans="1:5" x14ac:dyDescent="0.2">
      <c r="A93">
        <v>178</v>
      </c>
      <c r="B93" s="2">
        <v>1</v>
      </c>
      <c r="C93" s="2">
        <v>0.55686274509803924</v>
      </c>
      <c r="D93" s="2">
        <v>0.62352941176470589</v>
      </c>
      <c r="E93" t="s">
        <v>4081</v>
      </c>
    </row>
    <row r="94" spans="1:5" x14ac:dyDescent="0.2">
      <c r="A94">
        <v>180</v>
      </c>
      <c r="B94" s="2">
        <v>0</v>
      </c>
      <c r="C94" s="2">
        <v>0.60784313725490191</v>
      </c>
      <c r="D94" s="2">
        <v>0.45882352941176469</v>
      </c>
      <c r="E94" t="s">
        <v>4082</v>
      </c>
    </row>
    <row r="95" spans="1:5" x14ac:dyDescent="0.2">
      <c r="A95">
        <v>181</v>
      </c>
      <c r="B95" s="2">
        <v>0.99215686274509807</v>
      </c>
      <c r="C95" s="2">
        <v>0.56470588235294117</v>
      </c>
      <c r="D95" s="2">
        <v>0.62352941176470589</v>
      </c>
      <c r="E95" t="s">
        <v>4083</v>
      </c>
    </row>
    <row r="96" spans="1:5" x14ac:dyDescent="0.2">
      <c r="A96">
        <v>184</v>
      </c>
      <c r="B96" s="2">
        <v>0.14901960784313725</v>
      </c>
      <c r="C96" s="2">
        <v>0.5607843137254902</v>
      </c>
      <c r="D96" s="2">
        <v>0.26666666666666666</v>
      </c>
      <c r="E96" t="s">
        <v>4084</v>
      </c>
    </row>
    <row r="97" spans="1:5" x14ac:dyDescent="0.2">
      <c r="A97">
        <v>186</v>
      </c>
      <c r="B97" s="2">
        <v>1</v>
      </c>
      <c r="C97" s="2">
        <v>0.5607843137254902</v>
      </c>
      <c r="D97" s="2">
        <v>0.61568627450980395</v>
      </c>
      <c r="E97" t="s">
        <v>4085</v>
      </c>
    </row>
    <row r="98" spans="1:5" x14ac:dyDescent="0.2">
      <c r="A98">
        <v>187</v>
      </c>
      <c r="B98" s="2">
        <v>3.9215686274509803E-3</v>
      </c>
      <c r="C98" s="2">
        <v>0.61176470588235299</v>
      </c>
      <c r="D98" s="2">
        <v>0.45882352941176469</v>
      </c>
      <c r="E98" t="s">
        <v>4086</v>
      </c>
    </row>
    <row r="99" spans="1:5" x14ac:dyDescent="0.2">
      <c r="A99">
        <v>188</v>
      </c>
      <c r="B99" s="2">
        <v>0.61568627450980395</v>
      </c>
      <c r="C99" s="2">
        <v>0.94117647058823528</v>
      </c>
      <c r="D99" s="2">
        <v>0.81960784313725488</v>
      </c>
      <c r="E99" t="s">
        <v>4087</v>
      </c>
    </row>
    <row r="100" spans="1:5" x14ac:dyDescent="0.2">
      <c r="A100">
        <v>189</v>
      </c>
      <c r="B100" s="2">
        <v>1</v>
      </c>
      <c r="C100" s="2">
        <v>0.55686274509803924</v>
      </c>
      <c r="D100" s="2">
        <v>0.61960784313725492</v>
      </c>
      <c r="E100" t="s">
        <v>4088</v>
      </c>
    </row>
    <row r="101" spans="1:5" x14ac:dyDescent="0.2">
      <c r="A101">
        <v>190</v>
      </c>
      <c r="B101" s="2">
        <v>0.7803921568627451</v>
      </c>
      <c r="C101" s="2">
        <v>0.78823529411764703</v>
      </c>
      <c r="D101" s="2">
        <v>0.78823529411764703</v>
      </c>
      <c r="E101" t="s">
        <v>4089</v>
      </c>
    </row>
    <row r="102" spans="1:5" x14ac:dyDescent="0.2">
      <c r="A102">
        <v>194</v>
      </c>
      <c r="B102" s="2">
        <v>0.94901960784313721</v>
      </c>
      <c r="C102" s="2">
        <v>0.28235294117647058</v>
      </c>
      <c r="D102" s="2">
        <v>0.22745098039215686</v>
      </c>
      <c r="E102" t="s">
        <v>4090</v>
      </c>
    </row>
    <row r="103" spans="1:5" x14ac:dyDescent="0.2">
      <c r="A103">
        <v>196</v>
      </c>
      <c r="B103" s="2">
        <v>0.58431372549019611</v>
      </c>
      <c r="C103" s="2">
        <v>0.89411764705882357</v>
      </c>
      <c r="D103" s="2">
        <v>0.78431372549019607</v>
      </c>
      <c r="E103" t="s">
        <v>4091</v>
      </c>
    </row>
    <row r="104" spans="1:5" x14ac:dyDescent="0.2">
      <c r="A104">
        <v>197</v>
      </c>
      <c r="B104" s="2">
        <v>0.99607843137254903</v>
      </c>
      <c r="C104" s="2">
        <v>0.65098039215686276</v>
      </c>
      <c r="D104" s="2">
        <v>1</v>
      </c>
      <c r="E104" t="s">
        <v>4092</v>
      </c>
    </row>
    <row r="105" spans="1:5" x14ac:dyDescent="0.2">
      <c r="A105">
        <v>198</v>
      </c>
      <c r="B105" s="2">
        <v>0.78823529411764703</v>
      </c>
      <c r="C105" s="2">
        <v>0.7803921568627451</v>
      </c>
      <c r="D105" s="2">
        <v>0.8</v>
      </c>
      <c r="E105" t="s">
        <v>4093</v>
      </c>
    </row>
    <row r="106" spans="1:5" x14ac:dyDescent="0.2">
      <c r="A106">
        <v>201</v>
      </c>
      <c r="B106" s="2">
        <v>9.4117647058823528E-2</v>
      </c>
      <c r="C106" s="2">
        <v>0.49803921568627452</v>
      </c>
      <c r="D106" s="2">
        <v>0.38823529411764707</v>
      </c>
      <c r="E106" t="s">
        <v>4094</v>
      </c>
    </row>
    <row r="107" spans="1:5" x14ac:dyDescent="0.2">
      <c r="A107">
        <v>202</v>
      </c>
      <c r="B107" s="2">
        <v>1</v>
      </c>
      <c r="C107" s="2">
        <v>0.69019607843137254</v>
      </c>
      <c r="D107" s="2">
        <v>0.84313725490196079</v>
      </c>
      <c r="E107" t="s">
        <v>4095</v>
      </c>
    </row>
    <row r="108" spans="1:5" x14ac:dyDescent="0.2">
      <c r="A108">
        <v>203</v>
      </c>
      <c r="B108" s="2">
        <v>1</v>
      </c>
      <c r="C108" s="2">
        <v>0.69411764705882351</v>
      </c>
      <c r="D108" s="2">
        <v>0.84705882352941175</v>
      </c>
      <c r="E108" t="s">
        <v>4096</v>
      </c>
    </row>
    <row r="109" spans="1:5" x14ac:dyDescent="0.2">
      <c r="A109">
        <v>204</v>
      </c>
      <c r="B109" s="2">
        <v>0.61568627450980395</v>
      </c>
      <c r="C109" s="2">
        <v>0.93725490196078431</v>
      </c>
      <c r="D109" s="2">
        <v>0.82352941176470584</v>
      </c>
      <c r="E109" t="s">
        <v>4097</v>
      </c>
    </row>
    <row r="110" spans="1:5" x14ac:dyDescent="0.2">
      <c r="A110">
        <v>206</v>
      </c>
      <c r="B110" s="2">
        <v>1</v>
      </c>
      <c r="C110" s="2">
        <v>0.77254901960784317</v>
      </c>
      <c r="D110" s="2">
        <v>0.88627450980392153</v>
      </c>
      <c r="E110" t="s">
        <v>4098</v>
      </c>
    </row>
    <row r="111" spans="1:5" x14ac:dyDescent="0.2">
      <c r="A111">
        <v>207</v>
      </c>
      <c r="B111" s="2">
        <v>1</v>
      </c>
      <c r="C111" s="2">
        <v>0.6470588235294118</v>
      </c>
      <c r="D111" s="2">
        <v>0.81568627450980391</v>
      </c>
      <c r="E111" t="s">
        <v>4099</v>
      </c>
    </row>
    <row r="112" spans="1:5" x14ac:dyDescent="0.2">
      <c r="A112">
        <v>209</v>
      </c>
      <c r="B112" s="2">
        <v>0.99607843137254903</v>
      </c>
      <c r="C112" s="2">
        <v>0.70196078431372544</v>
      </c>
      <c r="D112" s="2">
        <v>0.84313725490196079</v>
      </c>
      <c r="E112" t="s">
        <v>4100</v>
      </c>
    </row>
    <row r="113" spans="1:5" x14ac:dyDescent="0.2">
      <c r="A113">
        <v>210</v>
      </c>
      <c r="B113" s="2">
        <v>1</v>
      </c>
      <c r="C113" s="2">
        <v>0.29411764705882354</v>
      </c>
      <c r="D113" s="2">
        <v>0.23921568627450981</v>
      </c>
      <c r="E113" t="s">
        <v>4101</v>
      </c>
    </row>
    <row r="114" spans="1:5" x14ac:dyDescent="0.2">
      <c r="A114">
        <v>211</v>
      </c>
      <c r="B114" s="2">
        <v>0.25098039215686274</v>
      </c>
      <c r="C114" s="2">
        <v>0.6470588235294118</v>
      </c>
      <c r="D114" s="2">
        <v>0.396078431372549</v>
      </c>
      <c r="E114" t="s">
        <v>4102</v>
      </c>
    </row>
    <row r="115" spans="1:5" x14ac:dyDescent="0.2">
      <c r="A115">
        <v>214</v>
      </c>
      <c r="B115" s="2">
        <v>0.99607843137254903</v>
      </c>
      <c r="C115" s="2">
        <v>0.56470588235294117</v>
      </c>
      <c r="D115" s="2">
        <v>0.99215686274509807</v>
      </c>
      <c r="E115" t="s">
        <v>4103</v>
      </c>
    </row>
    <row r="116" spans="1:5" x14ac:dyDescent="0.2">
      <c r="A116">
        <v>215</v>
      </c>
      <c r="B116" s="2">
        <v>0.99607843137254903</v>
      </c>
      <c r="C116" s="2">
        <v>0.55686274509803924</v>
      </c>
      <c r="D116" s="2">
        <v>1</v>
      </c>
      <c r="E116" t="s">
        <v>4104</v>
      </c>
    </row>
    <row r="117" spans="1:5" x14ac:dyDescent="0.2">
      <c r="A117">
        <v>217</v>
      </c>
      <c r="B117" s="2">
        <v>0.99215686274509807</v>
      </c>
      <c r="C117" s="2">
        <v>0.70196078431372544</v>
      </c>
      <c r="D117" s="2">
        <v>0.83921568627450982</v>
      </c>
      <c r="E117" t="s">
        <v>4105</v>
      </c>
    </row>
    <row r="118" spans="1:5" x14ac:dyDescent="0.2">
      <c r="A118">
        <v>218</v>
      </c>
      <c r="B118" s="2">
        <v>0.99607843137254903</v>
      </c>
      <c r="C118" s="2">
        <v>0.56470588235294117</v>
      </c>
      <c r="D118" s="2">
        <v>0.61568627450980395</v>
      </c>
      <c r="E118" t="s">
        <v>4106</v>
      </c>
    </row>
    <row r="119" spans="1:5" x14ac:dyDescent="0.2">
      <c r="A119">
        <v>222</v>
      </c>
      <c r="B119" s="2">
        <v>0.99607843137254903</v>
      </c>
      <c r="C119" s="2">
        <v>0.77647058823529413</v>
      </c>
      <c r="D119" s="2">
        <v>0.88627450980392153</v>
      </c>
      <c r="E119" t="s">
        <v>4107</v>
      </c>
    </row>
    <row r="120" spans="1:5" x14ac:dyDescent="0.2">
      <c r="A120">
        <v>223</v>
      </c>
      <c r="B120" s="2">
        <v>1</v>
      </c>
      <c r="C120" s="2">
        <v>0.35686274509803922</v>
      </c>
      <c r="D120" s="2">
        <v>0.30980392156862746</v>
      </c>
      <c r="E120" t="s">
        <v>4108</v>
      </c>
    </row>
    <row r="121" spans="1:5" x14ac:dyDescent="0.2">
      <c r="A121">
        <v>225</v>
      </c>
      <c r="B121" s="2">
        <v>0.99607843137254903</v>
      </c>
      <c r="C121" s="2">
        <v>0.69411764705882351</v>
      </c>
      <c r="D121" s="2">
        <v>0.85098039215686272</v>
      </c>
      <c r="E121" t="s">
        <v>4109</v>
      </c>
    </row>
    <row r="122" spans="1:5" x14ac:dyDescent="0.2">
      <c r="A122">
        <v>226</v>
      </c>
      <c r="B122" s="2">
        <v>0.94901960784313721</v>
      </c>
      <c r="C122" s="2">
        <v>0.27843137254901962</v>
      </c>
      <c r="D122" s="2">
        <v>0.23137254901960785</v>
      </c>
      <c r="E122" t="s">
        <v>4110</v>
      </c>
    </row>
    <row r="123" spans="1:5" x14ac:dyDescent="0.2">
      <c r="A123">
        <v>229</v>
      </c>
      <c r="B123" s="2">
        <v>0.792156862745098</v>
      </c>
      <c r="C123" s="2">
        <v>0.792156862745098</v>
      </c>
      <c r="D123" s="2">
        <v>0.79607843137254897</v>
      </c>
      <c r="E123" t="s">
        <v>4111</v>
      </c>
    </row>
    <row r="124" spans="1:5" x14ac:dyDescent="0.2">
      <c r="A124">
        <v>230</v>
      </c>
      <c r="B124" s="2">
        <v>1</v>
      </c>
      <c r="C124" s="2">
        <v>0.77647058823529413</v>
      </c>
      <c r="D124" s="2">
        <v>0.88627450980392153</v>
      </c>
      <c r="E124" t="s">
        <v>4112</v>
      </c>
    </row>
    <row r="125" spans="1:5" x14ac:dyDescent="0.2">
      <c r="A125">
        <v>231</v>
      </c>
      <c r="B125" s="2">
        <v>0.99215686274509807</v>
      </c>
      <c r="C125" s="2">
        <v>0.56470588235294117</v>
      </c>
      <c r="D125" s="2">
        <v>0.99607843137254903</v>
      </c>
      <c r="E125" t="s">
        <v>4113</v>
      </c>
    </row>
    <row r="126" spans="1:5" x14ac:dyDescent="0.2">
      <c r="A126">
        <v>233</v>
      </c>
      <c r="B126" s="2">
        <v>3.1372549019607843E-2</v>
      </c>
      <c r="C126" s="2">
        <v>0.51764705882352946</v>
      </c>
      <c r="D126" s="2">
        <v>0.54509803921568623</v>
      </c>
      <c r="E126" t="s">
        <v>4114</v>
      </c>
    </row>
    <row r="127" spans="1:5" x14ac:dyDescent="0.2">
      <c r="A127">
        <v>234</v>
      </c>
      <c r="B127" s="2">
        <v>8.2352941176470587E-2</v>
      </c>
      <c r="C127" s="2">
        <v>0.69019607843137254</v>
      </c>
      <c r="D127" s="2">
        <v>0.69803921568627447</v>
      </c>
      <c r="E127" t="s">
        <v>4115</v>
      </c>
    </row>
    <row r="128" spans="1:5" x14ac:dyDescent="0.2">
      <c r="A128">
        <v>237</v>
      </c>
      <c r="B128" s="2">
        <v>0.78431372549019607</v>
      </c>
      <c r="C128" s="2">
        <v>0.792156862745098</v>
      </c>
      <c r="D128" s="2">
        <v>0.7803921568627451</v>
      </c>
      <c r="E128" t="s">
        <v>4116</v>
      </c>
    </row>
    <row r="129" spans="1:5" x14ac:dyDescent="0.2">
      <c r="A129">
        <v>238</v>
      </c>
      <c r="B129" s="2">
        <v>1</v>
      </c>
      <c r="C129" s="2">
        <v>0.76078431372549016</v>
      </c>
      <c r="D129" s="2">
        <v>0.58039215686274515</v>
      </c>
      <c r="E129" t="s">
        <v>4117</v>
      </c>
    </row>
    <row r="130" spans="1:5" x14ac:dyDescent="0.2">
      <c r="A130">
        <v>243</v>
      </c>
      <c r="B130" s="2">
        <v>3.9215686274509803E-3</v>
      </c>
      <c r="C130" s="2">
        <v>0.57647058823529407</v>
      </c>
      <c r="D130" s="2">
        <v>0.59607843137254901</v>
      </c>
      <c r="E130" t="s">
        <v>4118</v>
      </c>
    </row>
    <row r="131" spans="1:5" x14ac:dyDescent="0.2">
      <c r="A131">
        <v>246</v>
      </c>
      <c r="B131" s="2">
        <v>0.99215686274509807</v>
      </c>
      <c r="C131" s="2">
        <v>0.5607843137254902</v>
      </c>
      <c r="D131" s="2">
        <v>1</v>
      </c>
      <c r="E131" t="s">
        <v>4119</v>
      </c>
    </row>
    <row r="132" spans="1:5" x14ac:dyDescent="0.2">
      <c r="A132">
        <v>249</v>
      </c>
      <c r="B132" s="2">
        <v>7.8431372549019607E-3</v>
      </c>
      <c r="C132" s="2">
        <v>0.57647058823529407</v>
      </c>
      <c r="D132" s="2">
        <v>0.6</v>
      </c>
      <c r="E132" t="s">
        <v>4120</v>
      </c>
    </row>
    <row r="133" spans="1:5" x14ac:dyDescent="0.2">
      <c r="A133">
        <v>250</v>
      </c>
      <c r="B133" s="2">
        <v>0.56470588235294117</v>
      </c>
      <c r="C133" s="2">
        <v>0.79607843137254897</v>
      </c>
      <c r="D133" s="2">
        <v>0.92549019607843142</v>
      </c>
      <c r="E133" t="s">
        <v>4121</v>
      </c>
    </row>
    <row r="134" spans="1:5" x14ac:dyDescent="0.2">
      <c r="A134">
        <v>251</v>
      </c>
      <c r="B134" s="2">
        <v>3.9215686274509803E-3</v>
      </c>
      <c r="C134" s="2">
        <v>0.5725490196078431</v>
      </c>
      <c r="D134" s="2">
        <v>0.59607843137254901</v>
      </c>
      <c r="E134" t="s">
        <v>4122</v>
      </c>
    </row>
    <row r="135" spans="1:5" x14ac:dyDescent="0.2">
      <c r="A135">
        <v>252</v>
      </c>
      <c r="B135" s="2">
        <v>7.8431372549019607E-3</v>
      </c>
      <c r="C135" s="2">
        <v>0.57647058823529407</v>
      </c>
      <c r="D135" s="2">
        <v>0.59607843137254901</v>
      </c>
      <c r="E135" t="s">
        <v>4123</v>
      </c>
    </row>
    <row r="136" spans="1:5" x14ac:dyDescent="0.2">
      <c r="A136">
        <v>255</v>
      </c>
      <c r="B136" s="2">
        <v>0.99215686274509807</v>
      </c>
      <c r="C136" s="2">
        <v>0.56470588235294117</v>
      </c>
      <c r="D136" s="2">
        <v>0.61960784313725492</v>
      </c>
      <c r="E136" t="s">
        <v>4124</v>
      </c>
    </row>
    <row r="137" spans="1:5" x14ac:dyDescent="0.2">
      <c r="A137">
        <v>257</v>
      </c>
      <c r="B137" s="2">
        <v>3.5294117647058823E-2</v>
      </c>
      <c r="C137" s="2">
        <v>0.52156862745098043</v>
      </c>
      <c r="D137" s="2">
        <v>0.54509803921568623</v>
      </c>
      <c r="E137" t="s">
        <v>4125</v>
      </c>
    </row>
    <row r="138" spans="1:5" x14ac:dyDescent="0.2">
      <c r="A138">
        <v>258</v>
      </c>
      <c r="B138" s="2">
        <v>0.56470588235294117</v>
      </c>
      <c r="C138" s="2">
        <v>0.792156862745098</v>
      </c>
      <c r="D138" s="2">
        <v>0.92941176470588238</v>
      </c>
      <c r="E138" t="s">
        <v>4126</v>
      </c>
    </row>
    <row r="139" spans="1:5" x14ac:dyDescent="0.2">
      <c r="A139">
        <v>260</v>
      </c>
      <c r="B139" s="2">
        <v>0.58431372549019611</v>
      </c>
      <c r="C139" s="2">
        <v>0.89411764705882357</v>
      </c>
      <c r="D139" s="2">
        <v>0.7803921568627451</v>
      </c>
      <c r="E139" t="s">
        <v>4127</v>
      </c>
    </row>
    <row r="140" spans="1:5" x14ac:dyDescent="0.2">
      <c r="A140">
        <v>262</v>
      </c>
      <c r="B140" s="2">
        <v>0.99215686274509807</v>
      </c>
      <c r="C140" s="2">
        <v>0.5607843137254902</v>
      </c>
      <c r="D140" s="2">
        <v>0.62352941176470589</v>
      </c>
      <c r="E140" t="s">
        <v>4128</v>
      </c>
    </row>
    <row r="141" spans="1:5" x14ac:dyDescent="0.2">
      <c r="A141">
        <v>263</v>
      </c>
      <c r="B141" s="2">
        <v>0.99607843137254903</v>
      </c>
      <c r="C141" s="2">
        <v>0.32941176470588235</v>
      </c>
      <c r="D141" s="2">
        <v>0.27843137254901962</v>
      </c>
      <c r="E141" t="s">
        <v>4129</v>
      </c>
    </row>
    <row r="142" spans="1:5" x14ac:dyDescent="0.2">
      <c r="A142">
        <v>266</v>
      </c>
      <c r="B142" s="2">
        <v>0.5607843137254902</v>
      </c>
      <c r="C142" s="2">
        <v>0.79607843137254897</v>
      </c>
      <c r="D142" s="2">
        <v>0.92941176470588238</v>
      </c>
      <c r="E142" t="s">
        <v>4130</v>
      </c>
    </row>
    <row r="143" spans="1:5" x14ac:dyDescent="0.2">
      <c r="A143">
        <v>268</v>
      </c>
      <c r="B143" s="2">
        <v>0.58431372549019611</v>
      </c>
      <c r="C143" s="2">
        <v>0.8901960784313725</v>
      </c>
      <c r="D143" s="2">
        <v>0.78431372549019607</v>
      </c>
      <c r="E143" t="s">
        <v>4131</v>
      </c>
    </row>
    <row r="144" spans="1:5" x14ac:dyDescent="0.2">
      <c r="A144">
        <v>269</v>
      </c>
      <c r="B144" s="2">
        <v>3.5294117647058823E-2</v>
      </c>
      <c r="C144" s="2">
        <v>0.51764705882352946</v>
      </c>
      <c r="D144" s="2">
        <v>0.5490196078431373</v>
      </c>
      <c r="E144" t="s">
        <v>4132</v>
      </c>
    </row>
    <row r="145" spans="1:5" x14ac:dyDescent="0.2">
      <c r="A145">
        <v>271</v>
      </c>
      <c r="B145" s="2">
        <v>1</v>
      </c>
      <c r="C145" s="2">
        <v>0.47843137254901963</v>
      </c>
      <c r="D145" s="2">
        <v>0.99607843137254903</v>
      </c>
      <c r="E145" t="s">
        <v>4133</v>
      </c>
    </row>
    <row r="146" spans="1:5" x14ac:dyDescent="0.2">
      <c r="A146">
        <v>272</v>
      </c>
      <c r="B146" s="2">
        <v>0.99607843137254903</v>
      </c>
      <c r="C146" s="2">
        <v>0.32941176470588235</v>
      </c>
      <c r="D146" s="2">
        <v>0.27450980392156865</v>
      </c>
      <c r="E146" t="s">
        <v>4134</v>
      </c>
    </row>
    <row r="147" spans="1:5" x14ac:dyDescent="0.2">
      <c r="A147">
        <v>274</v>
      </c>
      <c r="B147" s="2">
        <v>0.10196078431372549</v>
      </c>
      <c r="C147" s="2">
        <v>0.65098039215686276</v>
      </c>
      <c r="D147" s="2">
        <v>0.59215686274509804</v>
      </c>
      <c r="E147" t="s">
        <v>4135</v>
      </c>
    </row>
    <row r="148" spans="1:5" x14ac:dyDescent="0.2">
      <c r="A148">
        <v>279</v>
      </c>
      <c r="B148" s="2">
        <v>0.10196078431372549</v>
      </c>
      <c r="C148" s="2">
        <v>0.6470588235294118</v>
      </c>
      <c r="D148" s="2">
        <v>0.59607843137254901</v>
      </c>
      <c r="E148" t="s">
        <v>4136</v>
      </c>
    </row>
    <row r="149" spans="1:5" x14ac:dyDescent="0.2">
      <c r="A149">
        <v>280</v>
      </c>
      <c r="B149" s="2">
        <v>1</v>
      </c>
      <c r="C149" s="2">
        <v>0.72941176470588232</v>
      </c>
      <c r="D149" s="2">
        <v>0.52549019607843139</v>
      </c>
      <c r="E149" t="s">
        <v>4137</v>
      </c>
    </row>
    <row r="150" spans="1:5" x14ac:dyDescent="0.2">
      <c r="A150">
        <v>281</v>
      </c>
      <c r="B150" s="2">
        <v>3.5294117647058823E-2</v>
      </c>
      <c r="C150" s="2">
        <v>0.51764705882352946</v>
      </c>
      <c r="D150" s="2">
        <v>0.54509803921568623</v>
      </c>
      <c r="E150" t="s">
        <v>4138</v>
      </c>
    </row>
    <row r="151" spans="1:5" x14ac:dyDescent="0.2">
      <c r="A151">
        <v>286</v>
      </c>
      <c r="B151" s="2">
        <v>1</v>
      </c>
      <c r="C151" s="2">
        <v>0.33333333333333331</v>
      </c>
      <c r="D151" s="2">
        <v>0.27058823529411763</v>
      </c>
      <c r="E151" t="s">
        <v>4139</v>
      </c>
    </row>
    <row r="152" spans="1:5" x14ac:dyDescent="0.2">
      <c r="A152">
        <v>287</v>
      </c>
      <c r="B152" s="2">
        <v>0.70196078431372544</v>
      </c>
      <c r="C152" s="2">
        <v>0.75294117647058822</v>
      </c>
      <c r="D152" s="2">
        <v>0.87450980392156863</v>
      </c>
      <c r="E152" t="s">
        <v>4140</v>
      </c>
    </row>
    <row r="153" spans="1:5" x14ac:dyDescent="0.2">
      <c r="A153">
        <v>288</v>
      </c>
      <c r="B153" s="2">
        <v>0.14117647058823529</v>
      </c>
      <c r="C153" s="2">
        <v>0.54117647058823526</v>
      </c>
      <c r="D153" s="2">
        <v>0.36470588235294116</v>
      </c>
      <c r="E153" t="s">
        <v>4141</v>
      </c>
    </row>
    <row r="154" spans="1:5" x14ac:dyDescent="0.2">
      <c r="A154">
        <v>289</v>
      </c>
      <c r="B154" s="2">
        <v>8.2352941176470587E-2</v>
      </c>
      <c r="C154" s="2">
        <v>0.68627450980392157</v>
      </c>
      <c r="D154" s="2">
        <v>0.70196078431372544</v>
      </c>
      <c r="E154" t="s">
        <v>4142</v>
      </c>
    </row>
    <row r="155" spans="1:5" x14ac:dyDescent="0.2">
      <c r="A155">
        <v>292</v>
      </c>
      <c r="B155" s="2">
        <v>0.50196078431372548</v>
      </c>
      <c r="C155" s="2">
        <v>0.74901960784313726</v>
      </c>
      <c r="D155" s="2">
        <v>0.88627450980392153</v>
      </c>
      <c r="E155" t="s">
        <v>4143</v>
      </c>
    </row>
    <row r="156" spans="1:5" x14ac:dyDescent="0.2">
      <c r="A156">
        <v>296</v>
      </c>
      <c r="B156" s="2">
        <v>0.24705882352941178</v>
      </c>
      <c r="C156" s="2">
        <v>0.6470588235294118</v>
      </c>
      <c r="D156" s="2">
        <v>0.4</v>
      </c>
      <c r="E156" t="s">
        <v>4144</v>
      </c>
    </row>
    <row r="157" spans="1:5" x14ac:dyDescent="0.2">
      <c r="A157">
        <v>298</v>
      </c>
      <c r="B157" s="2">
        <v>0.63529411764705879</v>
      </c>
      <c r="C157" s="2">
        <v>0.69411764705882351</v>
      </c>
      <c r="D157" s="2">
        <v>0.84705882352941175</v>
      </c>
      <c r="E157" t="s">
        <v>4145</v>
      </c>
    </row>
    <row r="158" spans="1:5" x14ac:dyDescent="0.2">
      <c r="A158">
        <v>301</v>
      </c>
      <c r="B158" s="2">
        <v>0.78431372549019607</v>
      </c>
      <c r="C158" s="2">
        <v>0.79607843137254897</v>
      </c>
      <c r="D158" s="2">
        <v>0.7803921568627451</v>
      </c>
      <c r="E158" t="s">
        <v>4146</v>
      </c>
    </row>
    <row r="159" spans="1:5" x14ac:dyDescent="0.2">
      <c r="A159">
        <v>303</v>
      </c>
      <c r="B159" s="2">
        <v>0.61568627450980395</v>
      </c>
      <c r="C159" s="2">
        <v>0.90588235294117647</v>
      </c>
      <c r="D159" s="2">
        <v>0.60784313725490191</v>
      </c>
      <c r="E159" t="s">
        <v>4147</v>
      </c>
    </row>
    <row r="160" spans="1:5" x14ac:dyDescent="0.2">
      <c r="A160">
        <v>304</v>
      </c>
      <c r="B160" s="2">
        <v>0.18431372549019609</v>
      </c>
      <c r="C160" s="2">
        <v>0.65490196078431373</v>
      </c>
      <c r="D160" s="2">
        <v>0.30980392156862746</v>
      </c>
      <c r="E160" t="s">
        <v>4148</v>
      </c>
    </row>
    <row r="161" spans="1:5" x14ac:dyDescent="0.2">
      <c r="A161">
        <v>305</v>
      </c>
      <c r="B161" s="2">
        <v>3.1372549019607843E-2</v>
      </c>
      <c r="C161" s="2">
        <v>0.52156862745098043</v>
      </c>
      <c r="D161" s="2">
        <v>0.54117647058823526</v>
      </c>
      <c r="E161" t="s">
        <v>4149</v>
      </c>
    </row>
    <row r="162" spans="1:5" x14ac:dyDescent="0.2">
      <c r="A162">
        <v>307</v>
      </c>
      <c r="B162" s="2">
        <v>0.99215686274509807</v>
      </c>
      <c r="C162" s="2">
        <v>0.69803921568627447</v>
      </c>
      <c r="D162" s="2">
        <v>0.85098039215686272</v>
      </c>
      <c r="E162" t="s">
        <v>4150</v>
      </c>
    </row>
    <row r="163" spans="1:5" x14ac:dyDescent="0.2">
      <c r="A163">
        <v>310</v>
      </c>
      <c r="B163" s="2">
        <v>0.5607843137254902</v>
      </c>
      <c r="C163" s="2">
        <v>0.79607843137254897</v>
      </c>
      <c r="D163" s="2">
        <v>0.92549019607843142</v>
      </c>
      <c r="E163" t="s">
        <v>4151</v>
      </c>
    </row>
    <row r="164" spans="1:5" x14ac:dyDescent="0.2">
      <c r="A164">
        <v>311</v>
      </c>
      <c r="B164" s="2">
        <v>0.61568627450980395</v>
      </c>
      <c r="C164" s="2">
        <v>0.90196078431372551</v>
      </c>
      <c r="D164" s="2">
        <v>0.61176470588235299</v>
      </c>
      <c r="E164" t="s">
        <v>4152</v>
      </c>
    </row>
    <row r="165" spans="1:5" x14ac:dyDescent="0.2">
      <c r="A165">
        <v>313</v>
      </c>
      <c r="B165" s="2">
        <v>1</v>
      </c>
      <c r="C165" s="2">
        <v>0.39215686274509803</v>
      </c>
      <c r="D165" s="2">
        <v>1</v>
      </c>
      <c r="E165" t="s">
        <v>4153</v>
      </c>
    </row>
    <row r="166" spans="1:5" x14ac:dyDescent="0.2">
      <c r="A166">
        <v>314</v>
      </c>
      <c r="B166" s="2">
        <v>0.12549019607843137</v>
      </c>
      <c r="C166" s="2">
        <v>0.59215686274509804</v>
      </c>
      <c r="D166" s="2">
        <v>0.4</v>
      </c>
      <c r="E166" t="s">
        <v>4154</v>
      </c>
    </row>
    <row r="167" spans="1:5" x14ac:dyDescent="0.2">
      <c r="A167">
        <v>318</v>
      </c>
      <c r="B167" s="2">
        <v>1</v>
      </c>
      <c r="C167" s="2">
        <v>0.72549019607843135</v>
      </c>
      <c r="D167" s="2">
        <v>0.52549019607843139</v>
      </c>
      <c r="E167" t="s">
        <v>4155</v>
      </c>
    </row>
    <row r="168" spans="1:5" x14ac:dyDescent="0.2">
      <c r="A168">
        <v>320</v>
      </c>
      <c r="B168" s="2">
        <v>0.11764705882352941</v>
      </c>
      <c r="C168" s="2">
        <v>0.61568627450980395</v>
      </c>
      <c r="D168" s="2">
        <v>0.35294117647058826</v>
      </c>
      <c r="E168" t="s">
        <v>4156</v>
      </c>
    </row>
    <row r="169" spans="1:5" x14ac:dyDescent="0.2">
      <c r="A169">
        <v>321</v>
      </c>
      <c r="B169" s="2">
        <v>0.99215686274509807</v>
      </c>
      <c r="C169" s="2">
        <v>0.5607843137254902</v>
      </c>
      <c r="D169" s="2">
        <v>0.61960784313725492</v>
      </c>
      <c r="E169" t="s">
        <v>4157</v>
      </c>
    </row>
    <row r="170" spans="1:5" x14ac:dyDescent="0.2">
      <c r="A170">
        <v>325</v>
      </c>
      <c r="B170" s="2">
        <v>1</v>
      </c>
      <c r="C170" s="2">
        <v>0.55686274509803924</v>
      </c>
      <c r="D170" s="2">
        <v>0.61568627450980395</v>
      </c>
      <c r="E170" t="s">
        <v>4158</v>
      </c>
    </row>
    <row r="171" spans="1:5" x14ac:dyDescent="0.2">
      <c r="A171">
        <v>326</v>
      </c>
      <c r="B171" s="2">
        <v>0.79607843137254897</v>
      </c>
      <c r="C171" s="2">
        <v>0.78823529411764703</v>
      </c>
      <c r="D171" s="2">
        <v>0.79607843137254897</v>
      </c>
      <c r="E171" t="s">
        <v>4159</v>
      </c>
    </row>
    <row r="172" spans="1:5" x14ac:dyDescent="0.2">
      <c r="A172">
        <v>327</v>
      </c>
      <c r="B172" s="2">
        <v>0.51764705882352946</v>
      </c>
      <c r="C172" s="2">
        <v>0.91764705882352937</v>
      </c>
      <c r="D172" s="2">
        <v>0.50196078431372548</v>
      </c>
      <c r="E172" t="s">
        <v>4160</v>
      </c>
    </row>
    <row r="173" spans="1:5" x14ac:dyDescent="0.2">
      <c r="A173">
        <v>328</v>
      </c>
      <c r="B173" s="2">
        <v>0.12549019607843137</v>
      </c>
      <c r="C173" s="2">
        <v>0.59215686274509804</v>
      </c>
      <c r="D173" s="2">
        <v>0.396078431372549</v>
      </c>
      <c r="E173" t="s">
        <v>4161</v>
      </c>
    </row>
    <row r="174" spans="1:5" ht="17" x14ac:dyDescent="0.25">
      <c r="A174">
        <v>329</v>
      </c>
      <c r="B174" s="2">
        <v>9.8039215686274508E-2</v>
      </c>
      <c r="C174" s="2">
        <v>0.49803921568627452</v>
      </c>
      <c r="D174" s="2">
        <v>0.39215686274509803</v>
      </c>
      <c r="E174" s="1" t="s">
        <v>4585</v>
      </c>
    </row>
    <row r="175" spans="1:5" x14ac:dyDescent="0.2">
      <c r="A175">
        <v>330</v>
      </c>
      <c r="B175" s="2">
        <v>0.10588235294117647</v>
      </c>
      <c r="C175" s="2">
        <v>0.65098039215686276</v>
      </c>
      <c r="D175" s="2">
        <v>0.59607843137254901</v>
      </c>
      <c r="E175" t="s">
        <v>4162</v>
      </c>
    </row>
    <row r="176" spans="1:5" x14ac:dyDescent="0.2">
      <c r="A176">
        <v>332</v>
      </c>
      <c r="B176" s="2">
        <v>0.99607843137254903</v>
      </c>
      <c r="C176" s="2">
        <v>0.36470588235294116</v>
      </c>
      <c r="D176" s="2">
        <v>0.30588235294117649</v>
      </c>
      <c r="E176" t="s">
        <v>4163</v>
      </c>
    </row>
    <row r="177" spans="1:5" x14ac:dyDescent="0.2">
      <c r="A177">
        <v>333</v>
      </c>
      <c r="B177" s="2">
        <v>0.5607843137254902</v>
      </c>
      <c r="C177" s="2">
        <v>0.792156862745098</v>
      </c>
      <c r="D177" s="2">
        <v>0.92941176470588238</v>
      </c>
      <c r="E177" t="s">
        <v>4164</v>
      </c>
    </row>
    <row r="178" spans="1:5" x14ac:dyDescent="0.2">
      <c r="A178">
        <v>334</v>
      </c>
      <c r="B178" s="2">
        <v>0.51764705882352946</v>
      </c>
      <c r="C178" s="2">
        <v>0.9137254901960784</v>
      </c>
      <c r="D178" s="2">
        <v>0.50588235294117645</v>
      </c>
      <c r="E178" t="s">
        <v>4165</v>
      </c>
    </row>
    <row r="179" spans="1:5" x14ac:dyDescent="0.2">
      <c r="A179">
        <v>335</v>
      </c>
      <c r="B179" s="2">
        <v>5.4901960784313725E-2</v>
      </c>
      <c r="C179" s="2">
        <v>0.58823529411764708</v>
      </c>
      <c r="D179" s="2">
        <v>0.51764705882352946</v>
      </c>
      <c r="E179" t="s">
        <v>4166</v>
      </c>
    </row>
    <row r="180" spans="1:5" x14ac:dyDescent="0.2">
      <c r="A180">
        <v>336</v>
      </c>
      <c r="B180" s="2">
        <v>0.78823529411764703</v>
      </c>
      <c r="C180" s="2">
        <v>0.79607843137254897</v>
      </c>
      <c r="D180" s="2">
        <v>0.79607843137254897</v>
      </c>
      <c r="E180" t="s">
        <v>4167</v>
      </c>
    </row>
    <row r="181" spans="1:5" x14ac:dyDescent="0.2">
      <c r="A181">
        <v>338</v>
      </c>
      <c r="B181" s="2">
        <v>1</v>
      </c>
      <c r="C181" s="2">
        <v>0.32549019607843138</v>
      </c>
      <c r="D181" s="2">
        <v>0.27843137254901962</v>
      </c>
      <c r="E181" t="s">
        <v>4168</v>
      </c>
    </row>
    <row r="182" spans="1:5" x14ac:dyDescent="0.2">
      <c r="A182">
        <v>342</v>
      </c>
      <c r="B182" s="2">
        <v>0.63529411764705879</v>
      </c>
      <c r="C182" s="2">
        <v>0.69411764705882351</v>
      </c>
      <c r="D182" s="2">
        <v>0.84313725490196079</v>
      </c>
      <c r="E182" t="s">
        <v>4169</v>
      </c>
    </row>
    <row r="183" spans="1:5" x14ac:dyDescent="0.2">
      <c r="A183">
        <v>344</v>
      </c>
      <c r="B183" s="2">
        <v>0.12941176470588237</v>
      </c>
      <c r="C183" s="2">
        <v>0.59607843137254901</v>
      </c>
      <c r="D183" s="2">
        <v>0.39215686274509803</v>
      </c>
      <c r="E183" t="s">
        <v>4170</v>
      </c>
    </row>
    <row r="184" spans="1:5" x14ac:dyDescent="0.2">
      <c r="A184">
        <v>347</v>
      </c>
      <c r="B184" s="2">
        <v>0.99215686274509807</v>
      </c>
      <c r="C184" s="2">
        <v>0.33333333333333331</v>
      </c>
      <c r="D184" s="2">
        <v>0.27843137254901962</v>
      </c>
      <c r="E184" t="s">
        <v>4171</v>
      </c>
    </row>
    <row r="185" spans="1:5" x14ac:dyDescent="0.2">
      <c r="A185">
        <v>349</v>
      </c>
      <c r="B185" s="2">
        <v>0.8</v>
      </c>
      <c r="C185" s="2">
        <v>0.792156862745098</v>
      </c>
      <c r="D185" s="2">
        <v>0.78823529411764703</v>
      </c>
      <c r="E185" t="s">
        <v>4172</v>
      </c>
    </row>
    <row r="186" spans="1:5" x14ac:dyDescent="0.2">
      <c r="A186">
        <v>350</v>
      </c>
      <c r="B186" s="2">
        <v>0.99607843137254903</v>
      </c>
      <c r="C186" s="2">
        <v>0.76470588235294112</v>
      </c>
      <c r="D186" s="2">
        <v>0.58039215686274515</v>
      </c>
      <c r="E186" t="s">
        <v>4173</v>
      </c>
    </row>
    <row r="187" spans="1:5" x14ac:dyDescent="0.2">
      <c r="A187">
        <v>351</v>
      </c>
      <c r="B187" s="2">
        <v>0.70196078431372544</v>
      </c>
      <c r="C187" s="2">
        <v>0.75294117647058822</v>
      </c>
      <c r="D187" s="2">
        <v>0.87058823529411766</v>
      </c>
      <c r="E187" t="s">
        <v>4174</v>
      </c>
    </row>
    <row r="188" spans="1:5" x14ac:dyDescent="0.2">
      <c r="A188">
        <v>354</v>
      </c>
      <c r="B188" s="2">
        <v>1</v>
      </c>
      <c r="C188" s="2">
        <v>0.60784313725490191</v>
      </c>
      <c r="D188" s="2">
        <v>0.80392156862745101</v>
      </c>
      <c r="E188" t="s">
        <v>4175</v>
      </c>
    </row>
    <row r="189" spans="1:5" x14ac:dyDescent="0.2">
      <c r="A189">
        <v>355</v>
      </c>
      <c r="B189" s="2">
        <v>0.12941176470588237</v>
      </c>
      <c r="C189" s="2">
        <v>0.58823529411764708</v>
      </c>
      <c r="D189" s="2">
        <v>0.4</v>
      </c>
      <c r="E189" t="s">
        <v>4176</v>
      </c>
    </row>
    <row r="190" spans="1:5" x14ac:dyDescent="0.2">
      <c r="A190">
        <v>356</v>
      </c>
      <c r="B190" s="2">
        <v>0.94901960784313721</v>
      </c>
      <c r="C190" s="2">
        <v>0.27843137254901962</v>
      </c>
      <c r="D190" s="2">
        <v>0.22745098039215686</v>
      </c>
      <c r="E190" t="s">
        <v>4177</v>
      </c>
    </row>
    <row r="191" spans="1:5" x14ac:dyDescent="0.2">
      <c r="A191">
        <v>358</v>
      </c>
      <c r="B191" s="2">
        <v>0.99607843137254903</v>
      </c>
      <c r="C191" s="2">
        <v>0.76078431372549016</v>
      </c>
      <c r="D191" s="2">
        <v>0.58431372549019611</v>
      </c>
      <c r="E191" t="s">
        <v>4178</v>
      </c>
    </row>
    <row r="192" spans="1:5" x14ac:dyDescent="0.2">
      <c r="A192">
        <v>362</v>
      </c>
      <c r="B192" s="2">
        <v>0.99215686274509807</v>
      </c>
      <c r="C192" s="2">
        <v>0.56470588235294117</v>
      </c>
      <c r="D192" s="2">
        <v>0.61568627450980395</v>
      </c>
      <c r="E192" t="s">
        <v>4179</v>
      </c>
    </row>
    <row r="193" spans="1:5" x14ac:dyDescent="0.2">
      <c r="A193">
        <v>363</v>
      </c>
      <c r="B193" s="2">
        <v>0.1803921568627451</v>
      </c>
      <c r="C193" s="2">
        <v>0.6588235294117647</v>
      </c>
      <c r="D193" s="2">
        <v>0.30980392156862746</v>
      </c>
      <c r="E193" t="s">
        <v>4180</v>
      </c>
    </row>
    <row r="194" spans="1:5" x14ac:dyDescent="0.2">
      <c r="A194">
        <v>364</v>
      </c>
      <c r="B194" s="2">
        <v>0.94509803921568625</v>
      </c>
      <c r="C194" s="2">
        <v>0.28235294117647058</v>
      </c>
      <c r="D194" s="2">
        <v>0.22745098039215686</v>
      </c>
      <c r="E194" t="s">
        <v>4181</v>
      </c>
    </row>
    <row r="195" spans="1:5" x14ac:dyDescent="0.2">
      <c r="A195">
        <v>366</v>
      </c>
      <c r="B195" s="2">
        <v>0.99215686274509807</v>
      </c>
      <c r="C195" s="2">
        <v>0.55686274509803924</v>
      </c>
      <c r="D195" s="2">
        <v>0.62352941176470589</v>
      </c>
      <c r="E195" t="s">
        <v>4182</v>
      </c>
    </row>
    <row r="196" spans="1:5" x14ac:dyDescent="0.2">
      <c r="A196">
        <v>368</v>
      </c>
      <c r="B196" s="2">
        <v>5.4901960784313725E-2</v>
      </c>
      <c r="C196" s="2">
        <v>0.58823529411764708</v>
      </c>
      <c r="D196" s="2">
        <v>0.51372549019607838</v>
      </c>
      <c r="E196" t="s">
        <v>4183</v>
      </c>
    </row>
    <row r="197" spans="1:5" x14ac:dyDescent="0.2">
      <c r="A197">
        <v>372</v>
      </c>
      <c r="B197" s="2">
        <v>0.99607843137254903</v>
      </c>
      <c r="C197" s="2">
        <v>0.69411764705882351</v>
      </c>
      <c r="D197" s="2">
        <v>0.84705882352941175</v>
      </c>
      <c r="E197" t="s">
        <v>4184</v>
      </c>
    </row>
    <row r="198" spans="1:5" x14ac:dyDescent="0.2">
      <c r="A198">
        <v>374</v>
      </c>
      <c r="B198" s="2">
        <v>1</v>
      </c>
      <c r="C198" s="2">
        <v>0.65098039215686276</v>
      </c>
      <c r="D198" s="2">
        <v>0.99215686274509807</v>
      </c>
      <c r="E198" t="s">
        <v>4185</v>
      </c>
    </row>
    <row r="199" spans="1:5" x14ac:dyDescent="0.2">
      <c r="A199">
        <v>377</v>
      </c>
      <c r="B199" s="2">
        <v>3.1372549019607843E-2</v>
      </c>
      <c r="C199" s="2">
        <v>0.51372549019607838</v>
      </c>
      <c r="D199" s="2">
        <v>0.5490196078431373</v>
      </c>
      <c r="E199" t="s">
        <v>4186</v>
      </c>
    </row>
    <row r="200" spans="1:5" x14ac:dyDescent="0.2">
      <c r="A200">
        <v>380</v>
      </c>
      <c r="B200" s="2">
        <v>0.792156862745098</v>
      </c>
      <c r="C200" s="2">
        <v>0.78823529411764703</v>
      </c>
      <c r="D200" s="2">
        <v>0.8</v>
      </c>
      <c r="E200" t="s">
        <v>4187</v>
      </c>
    </row>
    <row r="201" spans="1:5" x14ac:dyDescent="0.2">
      <c r="A201">
        <v>381</v>
      </c>
      <c r="B201" s="2">
        <v>1</v>
      </c>
      <c r="C201" s="2">
        <v>0.55294117647058827</v>
      </c>
      <c r="D201" s="2">
        <v>0.99215686274509807</v>
      </c>
      <c r="E201" t="s">
        <v>4188</v>
      </c>
    </row>
    <row r="202" spans="1:5" x14ac:dyDescent="0.2">
      <c r="A202">
        <v>382</v>
      </c>
      <c r="B202" s="2">
        <v>0.49411764705882355</v>
      </c>
      <c r="C202" s="2">
        <v>0.81176470588235294</v>
      </c>
      <c r="D202" s="2">
        <v>0.29411764705882354</v>
      </c>
      <c r="E202" t="s">
        <v>4189</v>
      </c>
    </row>
    <row r="203" spans="1:5" x14ac:dyDescent="0.2">
      <c r="A203">
        <v>390</v>
      </c>
      <c r="B203" s="2">
        <v>0.99607843137254903</v>
      </c>
      <c r="C203" s="2">
        <v>0.35686274509803922</v>
      </c>
      <c r="D203" s="2">
        <v>0.31372549019607843</v>
      </c>
      <c r="E203" t="s">
        <v>4190</v>
      </c>
    </row>
    <row r="204" spans="1:5" x14ac:dyDescent="0.2">
      <c r="A204">
        <v>393</v>
      </c>
      <c r="B204" s="2">
        <v>3.1372549019607843E-2</v>
      </c>
      <c r="C204" s="2">
        <v>0.51764705882352946</v>
      </c>
      <c r="D204" s="2">
        <v>0.54117647058823526</v>
      </c>
      <c r="E204" t="s">
        <v>4191</v>
      </c>
    </row>
    <row r="205" spans="1:5" x14ac:dyDescent="0.2">
      <c r="A205">
        <v>397</v>
      </c>
      <c r="B205" s="2">
        <v>0.792156862745098</v>
      </c>
      <c r="C205" s="2">
        <v>0.79607843137254897</v>
      </c>
      <c r="D205" s="2">
        <v>0.78823529411764703</v>
      </c>
      <c r="E205" t="s">
        <v>4192</v>
      </c>
    </row>
    <row r="206" spans="1:5" x14ac:dyDescent="0.2">
      <c r="A206">
        <v>401</v>
      </c>
      <c r="B206" s="2">
        <v>3.5294117647058823E-2</v>
      </c>
      <c r="C206" s="2">
        <v>0.52156862745098043</v>
      </c>
      <c r="D206" s="2">
        <v>0.54117647058823526</v>
      </c>
      <c r="E206" t="s">
        <v>4193</v>
      </c>
    </row>
    <row r="207" spans="1:5" x14ac:dyDescent="0.2">
      <c r="A207">
        <v>403</v>
      </c>
      <c r="B207" s="2">
        <v>0.50196078431372548</v>
      </c>
      <c r="C207" s="2">
        <v>0.74901960784313726</v>
      </c>
      <c r="D207" s="2">
        <v>0.88235294117647056</v>
      </c>
      <c r="E207" t="s">
        <v>4194</v>
      </c>
    </row>
    <row r="208" spans="1:5" x14ac:dyDescent="0.2">
      <c r="A208">
        <v>412</v>
      </c>
      <c r="B208" s="2">
        <v>0.13725490196078433</v>
      </c>
      <c r="C208" s="2">
        <v>0.54117647058823526</v>
      </c>
      <c r="D208" s="2">
        <v>0.36862745098039218</v>
      </c>
      <c r="E208" t="s">
        <v>4195</v>
      </c>
    </row>
    <row r="209" spans="1:5" x14ac:dyDescent="0.2">
      <c r="A209">
        <v>413</v>
      </c>
      <c r="B209" s="2">
        <v>0.78823529411764703</v>
      </c>
      <c r="C209" s="2">
        <v>0.792156862745098</v>
      </c>
      <c r="D209" s="2">
        <v>0.79607843137254897</v>
      </c>
      <c r="E209" t="s">
        <v>4196</v>
      </c>
    </row>
    <row r="210" spans="1:5" x14ac:dyDescent="0.2">
      <c r="A210">
        <v>414</v>
      </c>
      <c r="B210" s="2">
        <v>1</v>
      </c>
      <c r="C210" s="2">
        <v>0.49803921568627452</v>
      </c>
      <c r="D210" s="2">
        <v>0.51764705882352946</v>
      </c>
      <c r="E210" t="s">
        <v>4197</v>
      </c>
    </row>
    <row r="211" spans="1:5" x14ac:dyDescent="0.2">
      <c r="A211">
        <v>421</v>
      </c>
      <c r="B211" s="2">
        <v>3.5294117647058823E-2</v>
      </c>
      <c r="C211" s="2">
        <v>0.51764705882352946</v>
      </c>
      <c r="D211" s="2">
        <v>0.54117647058823526</v>
      </c>
      <c r="E211" t="s">
        <v>4198</v>
      </c>
    </row>
    <row r="212" spans="1:5" x14ac:dyDescent="0.2">
      <c r="A212">
        <v>422</v>
      </c>
      <c r="B212" s="2">
        <v>0.99607843137254903</v>
      </c>
      <c r="C212" s="2">
        <v>0.50196078431372548</v>
      </c>
      <c r="D212" s="2">
        <v>0.51764705882352946</v>
      </c>
      <c r="E212" t="s">
        <v>4199</v>
      </c>
    </row>
    <row r="213" spans="1:5" x14ac:dyDescent="0.2">
      <c r="A213">
        <v>423</v>
      </c>
      <c r="B213" s="2">
        <v>0.49019607843137253</v>
      </c>
      <c r="C213" s="2">
        <v>0.81176470588235294</v>
      </c>
      <c r="D213" s="2">
        <v>0.29411764705882354</v>
      </c>
      <c r="E213" t="s">
        <v>4200</v>
      </c>
    </row>
    <row r="214" spans="1:5" x14ac:dyDescent="0.2">
      <c r="A214">
        <v>427</v>
      </c>
      <c r="B214" s="2">
        <v>5.0980392156862744E-2</v>
      </c>
      <c r="C214" s="2">
        <v>0.62352941176470589</v>
      </c>
      <c r="D214" s="2">
        <v>0.56862745098039214</v>
      </c>
      <c r="E214" t="s">
        <v>4201</v>
      </c>
    </row>
    <row r="215" spans="1:5" x14ac:dyDescent="0.2">
      <c r="A215">
        <v>428</v>
      </c>
      <c r="B215" s="2">
        <v>0.8</v>
      </c>
      <c r="C215" s="2">
        <v>0.78431372549019607</v>
      </c>
      <c r="D215" s="2">
        <v>0.8</v>
      </c>
      <c r="E215" t="s">
        <v>4202</v>
      </c>
    </row>
    <row r="216" spans="1:5" x14ac:dyDescent="0.2">
      <c r="A216">
        <v>429</v>
      </c>
      <c r="B216" s="2">
        <v>0.99215686274509807</v>
      </c>
      <c r="C216" s="2">
        <v>0.64313725490196083</v>
      </c>
      <c r="D216" s="2">
        <v>0.81568627450980391</v>
      </c>
      <c r="E216" t="s">
        <v>4203</v>
      </c>
    </row>
    <row r="217" spans="1:5" x14ac:dyDescent="0.2">
      <c r="A217">
        <v>430</v>
      </c>
      <c r="B217" s="2">
        <v>0.10196078431372549</v>
      </c>
      <c r="C217" s="2">
        <v>0.6470588235294118</v>
      </c>
      <c r="D217" s="2">
        <v>0.59215686274509804</v>
      </c>
      <c r="E217" t="s">
        <v>4204</v>
      </c>
    </row>
    <row r="218" spans="1:5" x14ac:dyDescent="0.2">
      <c r="A218">
        <v>433</v>
      </c>
      <c r="B218" s="2">
        <v>3.9215686274509803E-2</v>
      </c>
      <c r="C218" s="2">
        <v>0.51764705882352946</v>
      </c>
      <c r="D218" s="2">
        <v>0.54509803921568623</v>
      </c>
      <c r="E218" t="s">
        <v>4205</v>
      </c>
    </row>
    <row r="219" spans="1:5" x14ac:dyDescent="0.2">
      <c r="A219">
        <v>434</v>
      </c>
      <c r="B219" s="2">
        <v>0.10588235294117647</v>
      </c>
      <c r="C219" s="2">
        <v>0.65098039215686276</v>
      </c>
      <c r="D219" s="2">
        <v>0.59215686274509804</v>
      </c>
      <c r="E219" t="s">
        <v>4206</v>
      </c>
    </row>
    <row r="220" spans="1:5" x14ac:dyDescent="0.2">
      <c r="A220">
        <v>436</v>
      </c>
      <c r="B220" s="2">
        <v>0.7803921568627451</v>
      </c>
      <c r="C220" s="2">
        <v>0.78431372549019607</v>
      </c>
      <c r="D220" s="2">
        <v>0.792156862745098</v>
      </c>
      <c r="E220" t="s">
        <v>4207</v>
      </c>
    </row>
    <row r="221" spans="1:5" x14ac:dyDescent="0.2">
      <c r="A221">
        <v>437</v>
      </c>
      <c r="B221" s="2">
        <v>0.99215686274509807</v>
      </c>
      <c r="C221" s="2">
        <v>0.6470588235294118</v>
      </c>
      <c r="D221" s="2">
        <v>0.82352941176470584</v>
      </c>
      <c r="E221" t="s">
        <v>4208</v>
      </c>
    </row>
    <row r="222" spans="1:5" x14ac:dyDescent="0.2">
      <c r="A222">
        <v>440</v>
      </c>
      <c r="B222" s="2">
        <v>0.14117647058823529</v>
      </c>
      <c r="C222" s="2">
        <v>0.53725490196078429</v>
      </c>
      <c r="D222" s="2">
        <v>0.36470588235294116</v>
      </c>
      <c r="E222" t="s">
        <v>4209</v>
      </c>
    </row>
    <row r="223" spans="1:5" x14ac:dyDescent="0.2">
      <c r="A223">
        <v>441</v>
      </c>
      <c r="B223" s="2">
        <v>3.1372549019607843E-2</v>
      </c>
      <c r="C223" s="2">
        <v>0.51372549019607838</v>
      </c>
      <c r="D223" s="2">
        <v>0.54117647058823526</v>
      </c>
      <c r="E223" t="s">
        <v>4210</v>
      </c>
    </row>
    <row r="224" spans="1:5" x14ac:dyDescent="0.2">
      <c r="A224">
        <v>442</v>
      </c>
      <c r="B224" s="2">
        <v>0.10588235294117647</v>
      </c>
      <c r="C224" s="2">
        <v>0.6470588235294118</v>
      </c>
      <c r="D224" s="2">
        <v>0.59607843137254901</v>
      </c>
      <c r="E224" t="s">
        <v>4211</v>
      </c>
    </row>
    <row r="225" spans="1:5" x14ac:dyDescent="0.2">
      <c r="A225">
        <v>443</v>
      </c>
      <c r="B225" s="2">
        <v>0.78823529411764703</v>
      </c>
      <c r="C225" s="2">
        <v>0.8</v>
      </c>
      <c r="D225" s="2">
        <v>0.78823529411764703</v>
      </c>
      <c r="E225" t="s">
        <v>4212</v>
      </c>
    </row>
    <row r="226" spans="1:5" x14ac:dyDescent="0.2">
      <c r="A226">
        <v>445</v>
      </c>
      <c r="B226" s="2">
        <v>1</v>
      </c>
      <c r="C226" s="2">
        <v>0.64313725490196083</v>
      </c>
      <c r="D226" s="2">
        <v>0.81568627450980391</v>
      </c>
      <c r="E226" t="s">
        <v>4213</v>
      </c>
    </row>
    <row r="227" spans="1:5" x14ac:dyDescent="0.2">
      <c r="A227">
        <v>448</v>
      </c>
      <c r="B227" s="2">
        <v>0.13725490196078433</v>
      </c>
      <c r="C227" s="2">
        <v>0.54117647058823526</v>
      </c>
      <c r="D227" s="2">
        <v>0.36470588235294116</v>
      </c>
      <c r="E227" t="s">
        <v>4214</v>
      </c>
    </row>
    <row r="228" spans="1:5" x14ac:dyDescent="0.2">
      <c r="A228">
        <v>449</v>
      </c>
      <c r="B228" s="2">
        <v>0.78431372549019607</v>
      </c>
      <c r="C228" s="2">
        <v>0.78823529411764703</v>
      </c>
      <c r="D228" s="2">
        <v>0.78823529411764703</v>
      </c>
      <c r="E228" t="s">
        <v>4215</v>
      </c>
    </row>
    <row r="229" spans="1:5" x14ac:dyDescent="0.2">
      <c r="A229">
        <v>450</v>
      </c>
      <c r="B229" s="2">
        <v>9.8039215686274508E-2</v>
      </c>
      <c r="C229" s="2">
        <v>0.49411764705882355</v>
      </c>
      <c r="D229" s="2">
        <v>0.39215686274509803</v>
      </c>
      <c r="E229" t="s">
        <v>4216</v>
      </c>
    </row>
    <row r="230" spans="1:5" x14ac:dyDescent="0.2">
      <c r="A230">
        <v>451</v>
      </c>
      <c r="B230" s="2">
        <v>0.61176470588235299</v>
      </c>
      <c r="C230" s="2">
        <v>0.90588235294117647</v>
      </c>
      <c r="D230" s="2">
        <v>0.61176470588235299</v>
      </c>
      <c r="E230" t="s">
        <v>4217</v>
      </c>
    </row>
    <row r="231" spans="1:5" x14ac:dyDescent="0.2">
      <c r="A231">
        <v>452</v>
      </c>
      <c r="B231" s="2">
        <v>1</v>
      </c>
      <c r="C231" s="2">
        <v>0.32941176470588235</v>
      </c>
      <c r="D231" s="2">
        <v>0.27058823529411763</v>
      </c>
      <c r="E231" t="s">
        <v>4218</v>
      </c>
    </row>
    <row r="232" spans="1:5" x14ac:dyDescent="0.2">
      <c r="A232">
        <v>456</v>
      </c>
      <c r="B232" s="2">
        <v>7.8431372549019607E-3</v>
      </c>
      <c r="C232" s="2">
        <v>0.5725490196078431</v>
      </c>
      <c r="D232" s="2">
        <v>0.59607843137254901</v>
      </c>
      <c r="E232" t="s">
        <v>4219</v>
      </c>
    </row>
    <row r="233" spans="1:5" x14ac:dyDescent="0.2">
      <c r="A233">
        <v>460</v>
      </c>
      <c r="B233" s="2">
        <v>1</v>
      </c>
      <c r="C233" s="2">
        <v>0.47450980392156861</v>
      </c>
      <c r="D233" s="2">
        <v>0.99607843137254903</v>
      </c>
      <c r="E233" t="s">
        <v>4220</v>
      </c>
    </row>
    <row r="234" spans="1:5" x14ac:dyDescent="0.2">
      <c r="A234">
        <v>461</v>
      </c>
      <c r="B234" s="2">
        <v>0.10196078431372549</v>
      </c>
      <c r="C234" s="2">
        <v>0.50196078431372548</v>
      </c>
      <c r="D234" s="2">
        <v>0.38823529411764707</v>
      </c>
      <c r="E234" t="s">
        <v>4221</v>
      </c>
    </row>
    <row r="235" spans="1:5" x14ac:dyDescent="0.2">
      <c r="A235">
        <v>463</v>
      </c>
      <c r="B235" s="2">
        <v>0.49411764705882355</v>
      </c>
      <c r="C235" s="2">
        <v>0.81176470588235294</v>
      </c>
      <c r="D235" s="2">
        <v>0.28627450980392155</v>
      </c>
      <c r="E235" t="s">
        <v>4222</v>
      </c>
    </row>
    <row r="236" spans="1:5" x14ac:dyDescent="0.2">
      <c r="A236">
        <v>466</v>
      </c>
      <c r="B236" s="2">
        <v>0.7803921568627451</v>
      </c>
      <c r="C236" s="2">
        <v>0.78431372549019607</v>
      </c>
      <c r="D236" s="2">
        <v>0.8</v>
      </c>
      <c r="E236" t="s">
        <v>4223</v>
      </c>
    </row>
    <row r="237" spans="1:5" x14ac:dyDescent="0.2">
      <c r="A237">
        <v>469</v>
      </c>
      <c r="B237" s="2">
        <v>3.1372549019607843E-2</v>
      </c>
      <c r="C237" s="2">
        <v>0.52156862745098043</v>
      </c>
      <c r="D237" s="2">
        <v>0.53725490196078429</v>
      </c>
      <c r="E237" t="s">
        <v>4224</v>
      </c>
    </row>
    <row r="238" spans="1:5" x14ac:dyDescent="0.2">
      <c r="A238">
        <v>470</v>
      </c>
      <c r="B238" s="2">
        <v>0.94509803921568625</v>
      </c>
      <c r="C238" s="2">
        <v>0.27843137254901962</v>
      </c>
      <c r="D238" s="2">
        <v>0.23137254901960785</v>
      </c>
      <c r="E238" t="s">
        <v>4225</v>
      </c>
    </row>
    <row r="239" spans="1:5" x14ac:dyDescent="0.2">
      <c r="A239">
        <v>477</v>
      </c>
      <c r="B239" s="2">
        <v>0.59215686274509804</v>
      </c>
      <c r="C239" s="2">
        <v>0.83921568627450982</v>
      </c>
      <c r="D239" s="2">
        <v>0.97647058823529409</v>
      </c>
      <c r="E239" t="s">
        <v>4226</v>
      </c>
    </row>
    <row r="240" spans="1:5" x14ac:dyDescent="0.2">
      <c r="A240">
        <v>478</v>
      </c>
      <c r="B240" s="2">
        <v>0.10196078431372549</v>
      </c>
      <c r="C240" s="2">
        <v>0.49803921568627452</v>
      </c>
      <c r="D240" s="2">
        <v>0.39215686274509803</v>
      </c>
      <c r="E240" t="s">
        <v>4227</v>
      </c>
    </row>
    <row r="241" spans="1:5" x14ac:dyDescent="0.2">
      <c r="A241">
        <v>482</v>
      </c>
      <c r="B241" s="2">
        <v>0.78823529411764703</v>
      </c>
      <c r="C241" s="2">
        <v>0.78431372549019607</v>
      </c>
      <c r="D241" s="2">
        <v>0.78431372549019607</v>
      </c>
      <c r="E241" t="s">
        <v>4228</v>
      </c>
    </row>
    <row r="242" spans="1:5" x14ac:dyDescent="0.2">
      <c r="A242">
        <v>483</v>
      </c>
      <c r="B242" s="2">
        <v>1</v>
      </c>
      <c r="C242" s="2">
        <v>0.55294117647058827</v>
      </c>
      <c r="D242" s="2">
        <v>0.62352941176470589</v>
      </c>
      <c r="E242" t="s">
        <v>4229</v>
      </c>
    </row>
    <row r="243" spans="1:5" x14ac:dyDescent="0.2">
      <c r="A243">
        <v>484</v>
      </c>
      <c r="B243" s="2">
        <v>0.13725490196078433</v>
      </c>
      <c r="C243" s="2">
        <v>0.53725490196078429</v>
      </c>
      <c r="D243" s="2">
        <v>0.36470588235294116</v>
      </c>
      <c r="E243" t="s">
        <v>4230</v>
      </c>
    </row>
    <row r="244" spans="1:5" x14ac:dyDescent="0.2">
      <c r="A244">
        <v>488</v>
      </c>
      <c r="B244" s="2">
        <v>0.14117647058823529</v>
      </c>
      <c r="C244" s="2">
        <v>0.54117647058823526</v>
      </c>
      <c r="D244" s="2">
        <v>0.36078431372549019</v>
      </c>
      <c r="E244" t="s">
        <v>4231</v>
      </c>
    </row>
    <row r="245" spans="1:5" x14ac:dyDescent="0.2">
      <c r="A245">
        <v>501</v>
      </c>
      <c r="B245" s="2">
        <v>3.5294117647058823E-2</v>
      </c>
      <c r="C245" s="2">
        <v>0.50980392156862742</v>
      </c>
      <c r="D245" s="2">
        <v>0.54509803921568623</v>
      </c>
      <c r="E245" t="s">
        <v>4232</v>
      </c>
    </row>
    <row r="246" spans="1:5" x14ac:dyDescent="0.2">
      <c r="A246">
        <v>502</v>
      </c>
      <c r="B246" s="2">
        <v>0.30980392156862746</v>
      </c>
      <c r="C246" s="2">
        <v>0.76078431372549016</v>
      </c>
      <c r="D246" s="2">
        <v>0.26666666666666666</v>
      </c>
      <c r="E246" t="s">
        <v>4233</v>
      </c>
    </row>
    <row r="247" spans="1:5" x14ac:dyDescent="0.2">
      <c r="A247">
        <v>506</v>
      </c>
      <c r="B247" s="2">
        <v>0.8</v>
      </c>
      <c r="C247" s="2">
        <v>0.79607843137254897</v>
      </c>
      <c r="D247" s="2">
        <v>0.78431372549019607</v>
      </c>
      <c r="E247" t="s">
        <v>4234</v>
      </c>
    </row>
    <row r="248" spans="1:5" x14ac:dyDescent="0.2">
      <c r="A248">
        <v>507</v>
      </c>
      <c r="B248" s="2">
        <v>0.60392156862745094</v>
      </c>
      <c r="C248" s="2">
        <v>0.81960784313725488</v>
      </c>
      <c r="D248" s="2">
        <v>0.74117647058823533</v>
      </c>
      <c r="E248" t="s">
        <v>4235</v>
      </c>
    </row>
    <row r="249" spans="1:5" x14ac:dyDescent="0.2">
      <c r="A249">
        <v>510</v>
      </c>
      <c r="B249" s="2">
        <v>9.8039215686274508E-2</v>
      </c>
      <c r="C249" s="2">
        <v>0.49803921568627452</v>
      </c>
      <c r="D249" s="2">
        <v>0.3843137254901961</v>
      </c>
      <c r="E249" t="s">
        <v>4236</v>
      </c>
    </row>
    <row r="250" spans="1:5" x14ac:dyDescent="0.2">
      <c r="A250">
        <v>512</v>
      </c>
      <c r="B250" s="2">
        <v>0.94117647058823528</v>
      </c>
      <c r="C250" s="2">
        <v>0.94117647058823528</v>
      </c>
      <c r="D250" s="2">
        <v>0.50196078431372548</v>
      </c>
      <c r="E250" t="s">
        <v>4237</v>
      </c>
    </row>
    <row r="251" spans="1:5" x14ac:dyDescent="0.2">
      <c r="A251">
        <v>515</v>
      </c>
      <c r="B251" s="2">
        <v>0.99215686274509807</v>
      </c>
      <c r="C251" s="2">
        <v>0.29803921568627451</v>
      </c>
      <c r="D251" s="2">
        <v>0.24313725490196078</v>
      </c>
      <c r="E251" t="s">
        <v>4238</v>
      </c>
    </row>
    <row r="252" spans="1:5" x14ac:dyDescent="0.2">
      <c r="A252">
        <v>520</v>
      </c>
      <c r="B252" s="2">
        <v>3.9215686274509803E-3</v>
      </c>
      <c r="C252" s="2">
        <v>0.57647058823529407</v>
      </c>
      <c r="D252" s="2">
        <v>0.59215686274509804</v>
      </c>
      <c r="E252" t="s">
        <v>4239</v>
      </c>
    </row>
    <row r="253" spans="1:5" x14ac:dyDescent="0.2">
      <c r="A253">
        <v>523</v>
      </c>
      <c r="B253" s="2">
        <v>1</v>
      </c>
      <c r="C253" s="2">
        <v>0.32549019607843138</v>
      </c>
      <c r="D253" s="2">
        <v>0.27450980392156865</v>
      </c>
      <c r="E253" t="s">
        <v>4240</v>
      </c>
    </row>
    <row r="254" spans="1:5" x14ac:dyDescent="0.2">
      <c r="A254">
        <v>525</v>
      </c>
      <c r="B254" s="2">
        <v>1</v>
      </c>
      <c r="C254" s="2">
        <v>0.28627450980392155</v>
      </c>
      <c r="D254" s="2">
        <v>0.23921568627450981</v>
      </c>
      <c r="E254" t="s">
        <v>4241</v>
      </c>
    </row>
    <row r="255" spans="1:5" x14ac:dyDescent="0.2">
      <c r="A255">
        <v>526</v>
      </c>
      <c r="B255" s="2">
        <v>0.19215686274509805</v>
      </c>
      <c r="C255" s="2">
        <v>0.71372549019607845</v>
      </c>
      <c r="D255" s="2">
        <v>0.14509803921568629</v>
      </c>
      <c r="E255" t="s">
        <v>4242</v>
      </c>
    </row>
    <row r="256" spans="1:5" x14ac:dyDescent="0.2">
      <c r="A256">
        <v>527</v>
      </c>
      <c r="B256" s="2">
        <v>1.1764705882352941E-2</v>
      </c>
      <c r="C256" s="2">
        <v>0.57647058823529407</v>
      </c>
      <c r="D256" s="2">
        <v>0.6</v>
      </c>
      <c r="E256" t="s">
        <v>4243</v>
      </c>
    </row>
    <row r="257" spans="1:5" x14ac:dyDescent="0.2">
      <c r="A257">
        <v>530</v>
      </c>
      <c r="B257" s="2">
        <v>0.79607843137254897</v>
      </c>
      <c r="C257" s="2">
        <v>0.78431372549019607</v>
      </c>
      <c r="D257" s="2">
        <v>0.8</v>
      </c>
      <c r="E257" t="s">
        <v>4244</v>
      </c>
    </row>
    <row r="258" spans="1:5" x14ac:dyDescent="0.2">
      <c r="A258">
        <v>531</v>
      </c>
      <c r="B258" s="2">
        <v>1</v>
      </c>
      <c r="C258" s="2">
        <v>0.56470588235294117</v>
      </c>
      <c r="D258" s="2">
        <v>0.9882352941176471</v>
      </c>
      <c r="E258" t="s">
        <v>4245</v>
      </c>
    </row>
    <row r="259" spans="1:5" x14ac:dyDescent="0.2">
      <c r="A259">
        <v>534</v>
      </c>
      <c r="B259" s="2">
        <v>0.99607843137254903</v>
      </c>
      <c r="C259" s="2">
        <v>0.72941176470588232</v>
      </c>
      <c r="D259" s="2">
        <v>0.52549019607843139</v>
      </c>
      <c r="E259" t="s">
        <v>4246</v>
      </c>
    </row>
    <row r="260" spans="1:5" x14ac:dyDescent="0.2">
      <c r="A260">
        <v>538</v>
      </c>
      <c r="B260" s="2">
        <v>0.792156862745098</v>
      </c>
      <c r="C260" s="2">
        <v>0.792156862745098</v>
      </c>
      <c r="D260" s="2">
        <v>0.78823529411764703</v>
      </c>
      <c r="E260" t="s">
        <v>4247</v>
      </c>
    </row>
    <row r="261" spans="1:5" x14ac:dyDescent="0.2">
      <c r="A261">
        <v>540</v>
      </c>
      <c r="B261" s="2">
        <v>5.4901960784313725E-2</v>
      </c>
      <c r="C261" s="2">
        <v>0.58431372549019611</v>
      </c>
      <c r="D261" s="2">
        <v>0.51764705882352946</v>
      </c>
      <c r="E261" t="s">
        <v>4248</v>
      </c>
    </row>
    <row r="262" spans="1:5" x14ac:dyDescent="0.2">
      <c r="A262">
        <v>542</v>
      </c>
      <c r="B262" s="2">
        <v>0.10588235294117647</v>
      </c>
      <c r="C262" s="2">
        <v>0.6470588235294118</v>
      </c>
      <c r="D262" s="2">
        <v>0.59215686274509804</v>
      </c>
      <c r="E262" t="s">
        <v>4249</v>
      </c>
    </row>
    <row r="263" spans="1:5" x14ac:dyDescent="0.2">
      <c r="A263">
        <v>543</v>
      </c>
      <c r="B263" s="2">
        <v>0.18823529411764706</v>
      </c>
      <c r="C263" s="2">
        <v>0.72156862745098038</v>
      </c>
      <c r="D263" s="2">
        <v>0.14117647058823529</v>
      </c>
      <c r="E263" t="s">
        <v>4250</v>
      </c>
    </row>
    <row r="264" spans="1:5" x14ac:dyDescent="0.2">
      <c r="A264">
        <v>544</v>
      </c>
      <c r="B264" s="2">
        <v>0.50196078431372548</v>
      </c>
      <c r="C264" s="2">
        <v>0.74901960784313726</v>
      </c>
      <c r="D264" s="2">
        <v>0.8784313725490196</v>
      </c>
      <c r="E264" t="s">
        <v>4251</v>
      </c>
    </row>
    <row r="265" spans="1:5" x14ac:dyDescent="0.2">
      <c r="A265">
        <v>549</v>
      </c>
      <c r="B265" s="2">
        <v>1</v>
      </c>
      <c r="C265" s="2">
        <v>0.43529411764705883</v>
      </c>
      <c r="D265" s="2">
        <v>0.50196078431372548</v>
      </c>
      <c r="E265" t="s">
        <v>4252</v>
      </c>
    </row>
    <row r="266" spans="1:5" x14ac:dyDescent="0.2">
      <c r="A266">
        <v>551</v>
      </c>
      <c r="B266" s="2">
        <v>0.50196078431372548</v>
      </c>
      <c r="C266" s="2">
        <v>0.74509803921568629</v>
      </c>
      <c r="D266" s="2">
        <v>0.88235294117647056</v>
      </c>
      <c r="E266" t="s">
        <v>4253</v>
      </c>
    </row>
    <row r="267" spans="1:5" x14ac:dyDescent="0.2">
      <c r="A267">
        <v>553</v>
      </c>
      <c r="B267" s="2">
        <v>0.78823529411764703</v>
      </c>
      <c r="C267" s="2">
        <v>0.792156862745098</v>
      </c>
      <c r="D267" s="2">
        <v>0.792156862745098</v>
      </c>
      <c r="E267" t="s">
        <v>4254</v>
      </c>
    </row>
    <row r="268" spans="1:5" x14ac:dyDescent="0.2">
      <c r="A268">
        <v>556</v>
      </c>
      <c r="B268" s="2">
        <v>0.34901960784313724</v>
      </c>
      <c r="C268" s="2">
        <v>0.70196078431372544</v>
      </c>
      <c r="D268" s="2">
        <v>0.3843137254901961</v>
      </c>
      <c r="E268" t="s">
        <v>4255</v>
      </c>
    </row>
    <row r="269" spans="1:5" x14ac:dyDescent="0.2">
      <c r="A269">
        <v>558</v>
      </c>
      <c r="B269" s="2">
        <v>9.8039215686274508E-2</v>
      </c>
      <c r="C269" s="2">
        <v>0.49411764705882355</v>
      </c>
      <c r="D269" s="2">
        <v>0.38823529411764707</v>
      </c>
      <c r="E269" t="s">
        <v>4256</v>
      </c>
    </row>
    <row r="270" spans="1:5" x14ac:dyDescent="0.2">
      <c r="A270">
        <v>559</v>
      </c>
      <c r="B270" s="2">
        <v>0.49803921568627452</v>
      </c>
      <c r="C270" s="2">
        <v>0.75294117647058822</v>
      </c>
      <c r="D270" s="2">
        <v>0.8784313725490196</v>
      </c>
      <c r="E270" t="s">
        <v>4257</v>
      </c>
    </row>
    <row r="271" spans="1:5" x14ac:dyDescent="0.2">
      <c r="A271">
        <v>564</v>
      </c>
      <c r="B271" s="2">
        <v>0.58823529411764708</v>
      </c>
      <c r="C271" s="2">
        <v>0.65490196078431373</v>
      </c>
      <c r="D271" s="2">
        <v>0.82745098039215681</v>
      </c>
      <c r="E271" t="s">
        <v>4258</v>
      </c>
    </row>
    <row r="272" spans="1:5" x14ac:dyDescent="0.2">
      <c r="A272">
        <v>565</v>
      </c>
      <c r="B272" s="2">
        <v>3.1372549019607843E-2</v>
      </c>
      <c r="C272" s="2">
        <v>0.51764705882352946</v>
      </c>
      <c r="D272" s="2">
        <v>0.53725490196078429</v>
      </c>
      <c r="E272" t="s">
        <v>4259</v>
      </c>
    </row>
    <row r="273" spans="1:5" x14ac:dyDescent="0.2">
      <c r="A273">
        <v>566</v>
      </c>
      <c r="B273" s="2">
        <v>0.6588235294117647</v>
      </c>
      <c r="C273" s="2">
        <v>0.92549019607843142</v>
      </c>
      <c r="D273" s="2">
        <v>0.82352941176470584</v>
      </c>
      <c r="E273" t="s">
        <v>4260</v>
      </c>
    </row>
    <row r="274" spans="1:5" x14ac:dyDescent="0.2">
      <c r="A274">
        <v>573</v>
      </c>
      <c r="B274" s="2">
        <v>3.1372549019607843E-2</v>
      </c>
      <c r="C274" s="2">
        <v>0.50980392156862742</v>
      </c>
      <c r="D274" s="2">
        <v>0.54509803921568623</v>
      </c>
      <c r="E274" t="s">
        <v>4261</v>
      </c>
    </row>
    <row r="275" spans="1:5" x14ac:dyDescent="0.2">
      <c r="A275">
        <v>574</v>
      </c>
      <c r="B275" s="2">
        <v>0.99607843137254903</v>
      </c>
      <c r="C275" s="2">
        <v>0.72941176470588232</v>
      </c>
      <c r="D275" s="2">
        <v>0.52156862745098043</v>
      </c>
      <c r="E275" t="s">
        <v>4262</v>
      </c>
    </row>
    <row r="276" spans="1:5" x14ac:dyDescent="0.2">
      <c r="A276">
        <v>575</v>
      </c>
      <c r="B276" s="2">
        <v>0.99215686274509807</v>
      </c>
      <c r="C276" s="2">
        <v>0.5607843137254902</v>
      </c>
      <c r="D276" s="2">
        <v>0.61568627450980395</v>
      </c>
      <c r="E276" t="s">
        <v>4263</v>
      </c>
    </row>
    <row r="277" spans="1:5" x14ac:dyDescent="0.2">
      <c r="A277">
        <v>576</v>
      </c>
      <c r="B277" s="2">
        <v>0.99215686274509807</v>
      </c>
      <c r="C277" s="2">
        <v>0.69019607843137254</v>
      </c>
      <c r="D277" s="2">
        <v>0.85098039215686272</v>
      </c>
      <c r="E277" t="s">
        <v>4264</v>
      </c>
    </row>
    <row r="278" spans="1:5" x14ac:dyDescent="0.2">
      <c r="A278">
        <v>577</v>
      </c>
      <c r="B278" s="2">
        <v>0.10196078431372549</v>
      </c>
      <c r="C278" s="2">
        <v>0.49803921568627452</v>
      </c>
      <c r="D278" s="2">
        <v>0.38823529411764707</v>
      </c>
      <c r="E278" t="s">
        <v>4265</v>
      </c>
    </row>
    <row r="279" spans="1:5" x14ac:dyDescent="0.2">
      <c r="A279">
        <v>579</v>
      </c>
      <c r="B279" s="2">
        <v>0.78431372549019607</v>
      </c>
      <c r="C279" s="2">
        <v>0.79607843137254897</v>
      </c>
      <c r="D279" s="2">
        <v>0.8</v>
      </c>
      <c r="E279" t="s">
        <v>4266</v>
      </c>
    </row>
    <row r="280" spans="1:5" x14ac:dyDescent="0.2">
      <c r="A280">
        <v>580</v>
      </c>
      <c r="B280" s="2">
        <v>0.99607843137254903</v>
      </c>
      <c r="C280" s="2">
        <v>0.47843137254901963</v>
      </c>
      <c r="D280" s="2">
        <v>0.99215686274509807</v>
      </c>
      <c r="E280" t="s">
        <v>4267</v>
      </c>
    </row>
    <row r="281" spans="1:5" x14ac:dyDescent="0.2">
      <c r="A281">
        <v>581</v>
      </c>
      <c r="B281" s="2">
        <v>0.58823529411764708</v>
      </c>
      <c r="C281" s="2">
        <v>0.65490196078431373</v>
      </c>
      <c r="D281" s="2">
        <v>0.82352941176470584</v>
      </c>
      <c r="E281" t="s">
        <v>4268</v>
      </c>
    </row>
    <row r="282" spans="1:5" x14ac:dyDescent="0.2">
      <c r="A282">
        <v>582</v>
      </c>
      <c r="B282" s="2">
        <v>0.14117647058823529</v>
      </c>
      <c r="C282" s="2">
        <v>0.53333333333333333</v>
      </c>
      <c r="D282" s="2">
        <v>0.36470588235294116</v>
      </c>
      <c r="E282" t="s">
        <v>4269</v>
      </c>
    </row>
    <row r="283" spans="1:5" x14ac:dyDescent="0.2">
      <c r="A283">
        <v>583</v>
      </c>
      <c r="B283" s="2">
        <v>0.54117647058823526</v>
      </c>
      <c r="C283" s="2">
        <v>0.85490196078431369</v>
      </c>
      <c r="D283" s="2">
        <v>0.52549019607843139</v>
      </c>
      <c r="E283" t="s">
        <v>4270</v>
      </c>
    </row>
    <row r="284" spans="1:5" x14ac:dyDescent="0.2">
      <c r="A284">
        <v>587</v>
      </c>
      <c r="B284" s="2">
        <v>0.99215686274509807</v>
      </c>
      <c r="C284" s="2">
        <v>0.5607843137254902</v>
      </c>
      <c r="D284" s="2">
        <v>0.99215686274509807</v>
      </c>
      <c r="E284" t="s">
        <v>4271</v>
      </c>
    </row>
    <row r="285" spans="1:5" x14ac:dyDescent="0.2">
      <c r="A285">
        <v>588</v>
      </c>
      <c r="B285" s="2">
        <v>0.25098039215686274</v>
      </c>
      <c r="C285" s="2">
        <v>0.65098039215686276</v>
      </c>
      <c r="D285" s="2">
        <v>0.39215686274509803</v>
      </c>
      <c r="E285" t="s">
        <v>4272</v>
      </c>
    </row>
    <row r="286" spans="1:5" x14ac:dyDescent="0.2">
      <c r="A286">
        <v>590</v>
      </c>
      <c r="B286" s="2">
        <v>0.10196078431372549</v>
      </c>
      <c r="C286" s="2">
        <v>0.64313725490196083</v>
      </c>
      <c r="D286" s="2">
        <v>0.59607843137254901</v>
      </c>
      <c r="E286" t="s">
        <v>4273</v>
      </c>
    </row>
    <row r="287" spans="1:5" x14ac:dyDescent="0.2">
      <c r="A287">
        <v>591</v>
      </c>
      <c r="B287" s="2">
        <v>1</v>
      </c>
      <c r="C287" s="2">
        <v>0.64313725490196083</v>
      </c>
      <c r="D287" s="2">
        <v>1</v>
      </c>
      <c r="E287" t="s">
        <v>4274</v>
      </c>
    </row>
    <row r="288" spans="1:5" x14ac:dyDescent="0.2">
      <c r="A288">
        <v>593</v>
      </c>
      <c r="B288" s="2">
        <v>3.5294117647058823E-2</v>
      </c>
      <c r="C288" s="2">
        <v>0.52156862745098043</v>
      </c>
      <c r="D288" s="2">
        <v>0.53725490196078429</v>
      </c>
      <c r="E288" t="s">
        <v>4275</v>
      </c>
    </row>
    <row r="289" spans="1:5" x14ac:dyDescent="0.2">
      <c r="A289">
        <v>595</v>
      </c>
      <c r="B289" s="2">
        <v>0.7803921568627451</v>
      </c>
      <c r="C289" s="2">
        <v>0.792156862745098</v>
      </c>
      <c r="D289" s="2">
        <v>0.78823529411764703</v>
      </c>
      <c r="E289" t="s">
        <v>4276</v>
      </c>
    </row>
    <row r="290" spans="1:5" x14ac:dyDescent="0.2">
      <c r="A290">
        <v>596</v>
      </c>
      <c r="B290" s="2">
        <v>0.58823529411764708</v>
      </c>
      <c r="C290" s="2">
        <v>0.65098039215686276</v>
      </c>
      <c r="D290" s="2">
        <v>0.82745098039215681</v>
      </c>
      <c r="E290" t="s">
        <v>4277</v>
      </c>
    </row>
    <row r="291" spans="1:5" x14ac:dyDescent="0.2">
      <c r="A291">
        <v>597</v>
      </c>
      <c r="B291" s="2">
        <v>0.38039215686274508</v>
      </c>
      <c r="C291" s="2">
        <v>0.81568627450980391</v>
      </c>
      <c r="D291" s="2">
        <v>0.62352941176470589</v>
      </c>
      <c r="E291" t="s">
        <v>4278</v>
      </c>
    </row>
    <row r="292" spans="1:5" x14ac:dyDescent="0.2">
      <c r="A292">
        <v>598</v>
      </c>
      <c r="B292" s="2">
        <v>3.9215686274509803E-3</v>
      </c>
      <c r="C292" s="2">
        <v>0.56862745098039214</v>
      </c>
      <c r="D292" s="2">
        <v>0.59607843137254901</v>
      </c>
      <c r="E292" t="s">
        <v>4279</v>
      </c>
    </row>
    <row r="293" spans="1:5" x14ac:dyDescent="0.2">
      <c r="A293">
        <v>599</v>
      </c>
      <c r="B293" s="2">
        <v>0.99215686274509807</v>
      </c>
      <c r="C293" s="2">
        <v>0.55686274509803924</v>
      </c>
      <c r="D293" s="2">
        <v>0.61960784313725492</v>
      </c>
      <c r="E293" t="s">
        <v>4280</v>
      </c>
    </row>
    <row r="294" spans="1:5" x14ac:dyDescent="0.2">
      <c r="A294">
        <v>600</v>
      </c>
      <c r="B294" s="2">
        <v>7.8431372549019607E-3</v>
      </c>
      <c r="C294" s="2">
        <v>0.57647058823529407</v>
      </c>
      <c r="D294" s="2">
        <v>0.59215686274509804</v>
      </c>
      <c r="E294" t="s">
        <v>4281</v>
      </c>
    </row>
    <row r="295" spans="1:5" x14ac:dyDescent="0.2">
      <c r="A295">
        <v>601</v>
      </c>
      <c r="B295" s="2">
        <v>3.5294117647058823E-2</v>
      </c>
      <c r="C295" s="2">
        <v>0.50980392156862742</v>
      </c>
      <c r="D295" s="2">
        <v>0.5490196078431373</v>
      </c>
      <c r="E295" t="s">
        <v>4282</v>
      </c>
    </row>
    <row r="296" spans="1:5" x14ac:dyDescent="0.2">
      <c r="A296">
        <v>603</v>
      </c>
      <c r="B296" s="2">
        <v>0.79607843137254897</v>
      </c>
      <c r="C296" s="2">
        <v>0.78431372549019607</v>
      </c>
      <c r="D296" s="2">
        <v>0.79607843137254897</v>
      </c>
      <c r="E296" t="s">
        <v>4283</v>
      </c>
    </row>
    <row r="297" spans="1:5" x14ac:dyDescent="0.2">
      <c r="A297">
        <v>604</v>
      </c>
      <c r="B297" s="2">
        <v>0.99607843137254903</v>
      </c>
      <c r="C297" s="2">
        <v>0.76078431372549016</v>
      </c>
      <c r="D297" s="2">
        <v>0.58039215686274515</v>
      </c>
      <c r="E297" t="s">
        <v>4284</v>
      </c>
    </row>
    <row r="298" spans="1:5" x14ac:dyDescent="0.2">
      <c r="A298">
        <v>605</v>
      </c>
      <c r="B298" s="2">
        <v>0.3843137254901961</v>
      </c>
      <c r="C298" s="2">
        <v>0.81176470588235294</v>
      </c>
      <c r="D298" s="2">
        <v>0.61960784313725492</v>
      </c>
      <c r="E298" t="s">
        <v>4285</v>
      </c>
    </row>
    <row r="299" spans="1:5" x14ac:dyDescent="0.2">
      <c r="A299">
        <v>608</v>
      </c>
      <c r="B299" s="2">
        <v>0.13725490196078433</v>
      </c>
      <c r="C299" s="2">
        <v>0.54117647058823526</v>
      </c>
      <c r="D299" s="2">
        <v>0.36078431372549019</v>
      </c>
      <c r="E299" t="s">
        <v>4286</v>
      </c>
    </row>
    <row r="300" spans="1:5" x14ac:dyDescent="0.2">
      <c r="A300">
        <v>609</v>
      </c>
      <c r="B300" s="2">
        <v>0.99607843137254903</v>
      </c>
      <c r="C300" s="2">
        <v>0.49803921568627452</v>
      </c>
      <c r="D300" s="2">
        <v>0.51372549019607838</v>
      </c>
      <c r="E300" t="s">
        <v>4287</v>
      </c>
    </row>
    <row r="301" spans="1:5" x14ac:dyDescent="0.2">
      <c r="A301">
        <v>610</v>
      </c>
      <c r="B301" s="2">
        <v>0.10196078431372549</v>
      </c>
      <c r="C301" s="2">
        <v>0.6470588235294118</v>
      </c>
      <c r="D301" s="2">
        <v>0.58823529411764708</v>
      </c>
      <c r="E301" t="s">
        <v>4288</v>
      </c>
    </row>
    <row r="302" spans="1:5" x14ac:dyDescent="0.2">
      <c r="A302">
        <v>611</v>
      </c>
      <c r="B302" s="2">
        <v>0.78431372549019607</v>
      </c>
      <c r="C302" s="2">
        <v>0.8</v>
      </c>
      <c r="D302" s="2">
        <v>0.7803921568627451</v>
      </c>
      <c r="E302" t="s">
        <v>4289</v>
      </c>
    </row>
    <row r="303" spans="1:5" x14ac:dyDescent="0.2">
      <c r="A303">
        <v>612</v>
      </c>
      <c r="B303" s="2">
        <v>1</v>
      </c>
      <c r="C303" s="2">
        <v>0.67450980392156867</v>
      </c>
      <c r="D303" s="2">
        <v>0.43529411764705883</v>
      </c>
      <c r="E303" t="s">
        <v>4290</v>
      </c>
    </row>
    <row r="304" spans="1:5" x14ac:dyDescent="0.2">
      <c r="A304">
        <v>613</v>
      </c>
      <c r="B304" s="2">
        <v>4.3137254901960784E-2</v>
      </c>
      <c r="C304" s="2">
        <v>0.52156862745098043</v>
      </c>
      <c r="D304" s="2">
        <v>0.54509803921568623</v>
      </c>
      <c r="E304" t="s">
        <v>4291</v>
      </c>
    </row>
    <row r="305" spans="1:5" x14ac:dyDescent="0.2">
      <c r="A305">
        <v>614</v>
      </c>
      <c r="B305" s="2">
        <v>0.94901960784313721</v>
      </c>
      <c r="C305" s="2">
        <v>0.28235294117647058</v>
      </c>
      <c r="D305" s="2">
        <v>0.22352941176470589</v>
      </c>
      <c r="E305" t="s">
        <v>4292</v>
      </c>
    </row>
    <row r="306" spans="1:5" x14ac:dyDescent="0.2">
      <c r="A306">
        <v>616</v>
      </c>
      <c r="B306" s="2">
        <v>0.9882352941176471</v>
      </c>
      <c r="C306" s="2">
        <v>0.56470588235294117</v>
      </c>
      <c r="D306" s="2">
        <v>1</v>
      </c>
      <c r="E306" t="s">
        <v>4293</v>
      </c>
    </row>
    <row r="307" spans="1:5" x14ac:dyDescent="0.2">
      <c r="A307">
        <v>620</v>
      </c>
      <c r="B307" s="2">
        <v>0.13725490196078433</v>
      </c>
      <c r="C307" s="2">
        <v>0.53333333333333333</v>
      </c>
      <c r="D307" s="2">
        <v>0.36862745098039218</v>
      </c>
      <c r="E307" t="s">
        <v>4294</v>
      </c>
    </row>
    <row r="308" spans="1:5" x14ac:dyDescent="0.2">
      <c r="A308">
        <v>621</v>
      </c>
      <c r="B308" s="2">
        <v>0.99607843137254903</v>
      </c>
      <c r="C308" s="2">
        <v>0.72549019607843135</v>
      </c>
      <c r="D308" s="2">
        <v>0.52549019607843139</v>
      </c>
      <c r="E308" t="s">
        <v>4295</v>
      </c>
    </row>
    <row r="309" spans="1:5" x14ac:dyDescent="0.2">
      <c r="A309">
        <v>622</v>
      </c>
      <c r="B309" s="2">
        <v>0.10196078431372549</v>
      </c>
      <c r="C309" s="2">
        <v>0.64313725490196083</v>
      </c>
      <c r="D309" s="2">
        <v>0.59215686274509804</v>
      </c>
      <c r="E309" t="s">
        <v>4296</v>
      </c>
    </row>
    <row r="310" spans="1:5" x14ac:dyDescent="0.2">
      <c r="A310">
        <v>625</v>
      </c>
      <c r="B310" s="2">
        <v>9.4117647058823528E-2</v>
      </c>
      <c r="C310" s="2">
        <v>0.49411764705882355</v>
      </c>
      <c r="D310" s="2">
        <v>0.3843137254901961</v>
      </c>
      <c r="E310" t="s">
        <v>4297</v>
      </c>
    </row>
    <row r="311" spans="1:5" x14ac:dyDescent="0.2">
      <c r="A311">
        <v>628</v>
      </c>
      <c r="B311" s="2">
        <v>1</v>
      </c>
      <c r="C311" s="2">
        <v>0.5607843137254902</v>
      </c>
      <c r="D311" s="2">
        <v>0.9882352941176471</v>
      </c>
      <c r="E311" t="s">
        <v>4298</v>
      </c>
    </row>
    <row r="312" spans="1:5" x14ac:dyDescent="0.2">
      <c r="A312">
        <v>629</v>
      </c>
      <c r="B312" s="2">
        <v>0.99215686274509807</v>
      </c>
      <c r="C312" s="2">
        <v>0.49411764705882355</v>
      </c>
      <c r="D312" s="2">
        <v>0.51764705882352946</v>
      </c>
      <c r="E312" t="s">
        <v>4299</v>
      </c>
    </row>
    <row r="313" spans="1:5" x14ac:dyDescent="0.2">
      <c r="A313">
        <v>630</v>
      </c>
      <c r="B313" s="2">
        <v>0.13333333333333333</v>
      </c>
      <c r="C313" s="2">
        <v>0.54117647058823526</v>
      </c>
      <c r="D313" s="2">
        <v>0.36470588235294116</v>
      </c>
      <c r="E313" t="s">
        <v>4300</v>
      </c>
    </row>
    <row r="314" spans="1:5" x14ac:dyDescent="0.2">
      <c r="A314">
        <v>632</v>
      </c>
      <c r="B314" s="2">
        <v>0.396078431372549</v>
      </c>
      <c r="C314" s="2">
        <v>0.6588235294117647</v>
      </c>
      <c r="D314" s="2">
        <v>0.23921568627450981</v>
      </c>
      <c r="E314" t="s">
        <v>4301</v>
      </c>
    </row>
    <row r="315" spans="1:5" x14ac:dyDescent="0.2">
      <c r="A315">
        <v>633</v>
      </c>
      <c r="B315" s="2">
        <v>0.79607843137254897</v>
      </c>
      <c r="C315" s="2">
        <v>0.78823529411764703</v>
      </c>
      <c r="D315" s="2">
        <v>0.78823529411764703</v>
      </c>
      <c r="E315" t="s">
        <v>4302</v>
      </c>
    </row>
    <row r="316" spans="1:5" x14ac:dyDescent="0.2">
      <c r="A316">
        <v>634</v>
      </c>
      <c r="B316" s="2">
        <v>1</v>
      </c>
      <c r="C316" s="2">
        <v>0.55294117647058827</v>
      </c>
      <c r="D316" s="2">
        <v>0.99607843137254903</v>
      </c>
      <c r="E316" t="s">
        <v>4303</v>
      </c>
    </row>
    <row r="317" spans="1:5" x14ac:dyDescent="0.2">
      <c r="A317">
        <v>638</v>
      </c>
      <c r="B317" s="2">
        <v>0</v>
      </c>
      <c r="C317" s="2">
        <v>0.60784313725490191</v>
      </c>
      <c r="D317" s="2">
        <v>0.45490196078431372</v>
      </c>
      <c r="E317" t="s">
        <v>4304</v>
      </c>
    </row>
    <row r="318" spans="1:5" x14ac:dyDescent="0.2">
      <c r="A318">
        <v>639</v>
      </c>
      <c r="B318" s="2">
        <v>0.37647058823529411</v>
      </c>
      <c r="C318" s="2">
        <v>0.89803921568627454</v>
      </c>
      <c r="D318" s="2">
        <v>0.71764705882352942</v>
      </c>
      <c r="E318" t="s">
        <v>4305</v>
      </c>
    </row>
    <row r="319" spans="1:5" x14ac:dyDescent="0.2">
      <c r="A319">
        <v>642</v>
      </c>
      <c r="B319" s="2">
        <v>0.99607843137254903</v>
      </c>
      <c r="C319" s="2">
        <v>0.63921568627450975</v>
      </c>
      <c r="D319" s="2">
        <v>0.82352941176470584</v>
      </c>
      <c r="E319" t="s">
        <v>4306</v>
      </c>
    </row>
    <row r="320" spans="1:5" x14ac:dyDescent="0.2">
      <c r="A320">
        <v>643</v>
      </c>
      <c r="B320" s="2">
        <v>7.8431372549019607E-3</v>
      </c>
      <c r="C320" s="2">
        <v>0.56862745098039214</v>
      </c>
      <c r="D320" s="2">
        <v>0.6</v>
      </c>
      <c r="E320" t="s">
        <v>4307</v>
      </c>
    </row>
    <row r="321" spans="1:5" x14ac:dyDescent="0.2">
      <c r="A321">
        <v>648</v>
      </c>
      <c r="B321" s="2">
        <v>0.11764705882352941</v>
      </c>
      <c r="C321" s="2">
        <v>0.61176470588235299</v>
      </c>
      <c r="D321" s="2">
        <v>0.35294117647058826</v>
      </c>
      <c r="E321" t="s">
        <v>4308</v>
      </c>
    </row>
    <row r="322" spans="1:5" x14ac:dyDescent="0.2">
      <c r="A322">
        <v>649</v>
      </c>
      <c r="B322" s="2">
        <v>4.3137254901960784E-2</v>
      </c>
      <c r="C322" s="2">
        <v>0.51764705882352946</v>
      </c>
      <c r="D322" s="2">
        <v>0.5490196078431373</v>
      </c>
      <c r="E322" t="s">
        <v>4309</v>
      </c>
    </row>
    <row r="323" spans="1:5" x14ac:dyDescent="0.2">
      <c r="A323">
        <v>651</v>
      </c>
      <c r="B323" s="2">
        <v>0.99215686274509807</v>
      </c>
      <c r="C323" s="2">
        <v>0.6470588235294118</v>
      </c>
      <c r="D323" s="2">
        <v>0.81960784313725488</v>
      </c>
      <c r="E323" t="s">
        <v>4310</v>
      </c>
    </row>
    <row r="324" spans="1:5" x14ac:dyDescent="0.2">
      <c r="A324">
        <v>653</v>
      </c>
      <c r="B324" s="2">
        <v>0.99215686274509807</v>
      </c>
      <c r="C324" s="2">
        <v>0.69411764705882351</v>
      </c>
      <c r="D324" s="2">
        <v>0.85098039215686272</v>
      </c>
      <c r="E324" t="s">
        <v>4311</v>
      </c>
    </row>
    <row r="325" spans="1:5" x14ac:dyDescent="0.2">
      <c r="A325">
        <v>654</v>
      </c>
      <c r="B325" s="2">
        <v>0.10196078431372549</v>
      </c>
      <c r="C325" s="2">
        <v>0.50196078431372548</v>
      </c>
      <c r="D325" s="2">
        <v>0.3843137254901961</v>
      </c>
      <c r="E325" t="s">
        <v>4312</v>
      </c>
    </row>
    <row r="326" spans="1:5" x14ac:dyDescent="0.2">
      <c r="A326">
        <v>655</v>
      </c>
      <c r="B326" s="2">
        <v>0.37254901960784315</v>
      </c>
      <c r="C326" s="2">
        <v>0.90196078431372551</v>
      </c>
      <c r="D326" s="2">
        <v>0.71764705882352942</v>
      </c>
      <c r="E326" t="s">
        <v>4313</v>
      </c>
    </row>
    <row r="327" spans="1:5" x14ac:dyDescent="0.2">
      <c r="A327">
        <v>656</v>
      </c>
      <c r="B327" s="2">
        <v>0.11764705882352941</v>
      </c>
      <c r="C327" s="2">
        <v>0.61176470588235299</v>
      </c>
      <c r="D327" s="2">
        <v>0.34901960784313724</v>
      </c>
      <c r="E327" t="s">
        <v>4314</v>
      </c>
    </row>
    <row r="328" spans="1:5" x14ac:dyDescent="0.2">
      <c r="A328">
        <v>657</v>
      </c>
      <c r="B328" s="2">
        <v>0.10196078431372549</v>
      </c>
      <c r="C328" s="2">
        <v>0.49411764705882355</v>
      </c>
      <c r="D328" s="2">
        <v>0.39215686274509803</v>
      </c>
      <c r="E328" t="s">
        <v>4315</v>
      </c>
    </row>
    <row r="329" spans="1:5" x14ac:dyDescent="0.2">
      <c r="A329">
        <v>658</v>
      </c>
      <c r="B329" s="2">
        <v>0.78823529411764703</v>
      </c>
      <c r="C329" s="2">
        <v>0.78823529411764703</v>
      </c>
      <c r="D329" s="2">
        <v>0.79607843137254897</v>
      </c>
      <c r="E329" t="s">
        <v>4316</v>
      </c>
    </row>
    <row r="330" spans="1:5" x14ac:dyDescent="0.2">
      <c r="A330">
        <v>661</v>
      </c>
      <c r="B330" s="2">
        <v>1</v>
      </c>
      <c r="C330" s="2">
        <v>0.70196078431372544</v>
      </c>
      <c r="D330" s="2">
        <v>0.83921568627450982</v>
      </c>
      <c r="E330" t="s">
        <v>4317</v>
      </c>
    </row>
    <row r="331" spans="1:5" x14ac:dyDescent="0.2">
      <c r="A331">
        <v>662</v>
      </c>
      <c r="B331" s="2">
        <v>3.9215686274509803E-3</v>
      </c>
      <c r="C331" s="2">
        <v>0.61176470588235299</v>
      </c>
      <c r="D331" s="2">
        <v>0.45490196078431372</v>
      </c>
      <c r="E331" t="s">
        <v>4318</v>
      </c>
    </row>
    <row r="332" spans="1:5" x14ac:dyDescent="0.2">
      <c r="A332">
        <v>663</v>
      </c>
      <c r="B332" s="2">
        <v>0.37647058823529411</v>
      </c>
      <c r="C332" s="2">
        <v>0.90196078431372551</v>
      </c>
      <c r="D332" s="2">
        <v>0.70980392156862748</v>
      </c>
      <c r="E332" t="s">
        <v>4319</v>
      </c>
    </row>
    <row r="333" spans="1:5" x14ac:dyDescent="0.2">
      <c r="A333">
        <v>664</v>
      </c>
      <c r="B333" s="2">
        <v>0.19215686274509805</v>
      </c>
      <c r="C333" s="2">
        <v>0.71764705882352942</v>
      </c>
      <c r="D333" s="2">
        <v>0.13725490196078433</v>
      </c>
      <c r="E333" t="s">
        <v>4320</v>
      </c>
    </row>
    <row r="334" spans="1:5" x14ac:dyDescent="0.2">
      <c r="A334">
        <v>665</v>
      </c>
      <c r="B334" s="2">
        <v>0.792156862745098</v>
      </c>
      <c r="C334" s="2">
        <v>0.78431372549019607</v>
      </c>
      <c r="D334" s="2">
        <v>0.7803921568627451</v>
      </c>
      <c r="E334" t="s">
        <v>4321</v>
      </c>
    </row>
    <row r="335" spans="1:5" x14ac:dyDescent="0.2">
      <c r="A335">
        <v>667</v>
      </c>
      <c r="B335" s="2">
        <v>0.14901960784313725</v>
      </c>
      <c r="C335" s="2">
        <v>0.55686274509803924</v>
      </c>
      <c r="D335" s="2">
        <v>0.27058823529411763</v>
      </c>
      <c r="E335" t="s">
        <v>4322</v>
      </c>
    </row>
    <row r="336" spans="1:5" x14ac:dyDescent="0.2">
      <c r="A336">
        <v>670</v>
      </c>
      <c r="B336" s="2">
        <v>9.4117647058823528E-2</v>
      </c>
      <c r="C336" s="2">
        <v>0.50196078431372548</v>
      </c>
      <c r="D336" s="2">
        <v>0.38039215686274508</v>
      </c>
      <c r="E336" t="s">
        <v>4323</v>
      </c>
    </row>
    <row r="337" spans="1:5" x14ac:dyDescent="0.2">
      <c r="A337">
        <v>671</v>
      </c>
      <c r="B337" s="2">
        <v>0.10588235294117647</v>
      </c>
      <c r="C337" s="2">
        <v>0.65098039215686276</v>
      </c>
      <c r="D337" s="2">
        <v>0.58823529411764708</v>
      </c>
      <c r="E337" t="s">
        <v>4324</v>
      </c>
    </row>
    <row r="338" spans="1:5" x14ac:dyDescent="0.2">
      <c r="A338">
        <v>672</v>
      </c>
      <c r="B338" s="2">
        <v>0.59607843137254901</v>
      </c>
      <c r="C338" s="2">
        <v>0.83529411764705885</v>
      </c>
      <c r="D338" s="2">
        <v>0.97647058823529409</v>
      </c>
      <c r="E338" t="s">
        <v>4325</v>
      </c>
    </row>
    <row r="339" spans="1:5" x14ac:dyDescent="0.2">
      <c r="A339">
        <v>673</v>
      </c>
      <c r="B339" s="2">
        <v>0.8</v>
      </c>
      <c r="C339" s="2">
        <v>0.792156862745098</v>
      </c>
      <c r="D339" s="2">
        <v>0.78431372549019607</v>
      </c>
      <c r="E339" t="s">
        <v>4326</v>
      </c>
    </row>
    <row r="340" spans="1:5" x14ac:dyDescent="0.2">
      <c r="A340">
        <v>675</v>
      </c>
      <c r="B340" s="2">
        <v>0.12156862745098039</v>
      </c>
      <c r="C340" s="2">
        <v>0.59607843137254901</v>
      </c>
      <c r="D340" s="2">
        <v>0.4</v>
      </c>
      <c r="E340" t="s">
        <v>4327</v>
      </c>
    </row>
    <row r="341" spans="1:5" x14ac:dyDescent="0.2">
      <c r="A341">
        <v>678</v>
      </c>
      <c r="B341" s="2">
        <v>1.1764705882352941E-2</v>
      </c>
      <c r="C341" s="2">
        <v>0.57647058823529407</v>
      </c>
      <c r="D341" s="2">
        <v>0.59607843137254901</v>
      </c>
      <c r="E341" t="s">
        <v>4328</v>
      </c>
    </row>
    <row r="342" spans="1:5" x14ac:dyDescent="0.2">
      <c r="A342">
        <v>679</v>
      </c>
      <c r="B342" s="2">
        <v>1</v>
      </c>
      <c r="C342" s="2">
        <v>0.76470588235294112</v>
      </c>
      <c r="D342" s="2">
        <v>0.57647058823529407</v>
      </c>
      <c r="E342" t="s">
        <v>4329</v>
      </c>
    </row>
    <row r="343" spans="1:5" x14ac:dyDescent="0.2">
      <c r="A343">
        <v>680</v>
      </c>
      <c r="B343" s="2">
        <v>0.13333333333333333</v>
      </c>
      <c r="C343" s="2">
        <v>0.53725490196078429</v>
      </c>
      <c r="D343" s="2">
        <v>0.36862745098039218</v>
      </c>
      <c r="E343" t="s">
        <v>4330</v>
      </c>
    </row>
    <row r="344" spans="1:5" x14ac:dyDescent="0.2">
      <c r="A344">
        <v>681</v>
      </c>
      <c r="B344" s="2">
        <v>0.78431372549019607</v>
      </c>
      <c r="C344" s="2">
        <v>0.78431372549019607</v>
      </c>
      <c r="D344" s="2">
        <v>0.78431372549019607</v>
      </c>
      <c r="E344" t="s">
        <v>4331</v>
      </c>
    </row>
    <row r="345" spans="1:5" x14ac:dyDescent="0.2">
      <c r="A345">
        <v>685</v>
      </c>
      <c r="B345" s="2">
        <v>1</v>
      </c>
      <c r="C345" s="2">
        <v>0.49411764705882355</v>
      </c>
      <c r="D345" s="2">
        <v>0.51764705882352946</v>
      </c>
      <c r="E345" t="s">
        <v>4332</v>
      </c>
    </row>
    <row r="346" spans="1:5" x14ac:dyDescent="0.2">
      <c r="A346">
        <v>687</v>
      </c>
      <c r="B346" s="2">
        <v>0.10588235294117647</v>
      </c>
      <c r="C346" s="2">
        <v>0.64313725490196083</v>
      </c>
      <c r="D346" s="2">
        <v>0.59607843137254901</v>
      </c>
      <c r="E346" t="s">
        <v>4333</v>
      </c>
    </row>
    <row r="347" spans="1:5" x14ac:dyDescent="0.2">
      <c r="A347">
        <v>689</v>
      </c>
      <c r="B347" s="2">
        <v>0.99607843137254903</v>
      </c>
      <c r="C347" s="2">
        <v>0.33333333333333331</v>
      </c>
      <c r="D347" s="2">
        <v>0.27450980392156865</v>
      </c>
      <c r="E347" t="s">
        <v>4334</v>
      </c>
    </row>
    <row r="348" spans="1:5" x14ac:dyDescent="0.2">
      <c r="A348">
        <v>690</v>
      </c>
      <c r="B348" s="2">
        <v>0.7803921568627451</v>
      </c>
      <c r="C348" s="2">
        <v>0.78823529411764703</v>
      </c>
      <c r="D348" s="2">
        <v>0.8</v>
      </c>
      <c r="E348" t="s">
        <v>4335</v>
      </c>
    </row>
    <row r="349" spans="1:5" x14ac:dyDescent="0.2">
      <c r="A349">
        <v>692</v>
      </c>
      <c r="B349" s="2">
        <v>5.8823529411764705E-2</v>
      </c>
      <c r="C349" s="2">
        <v>0.58823529411764708</v>
      </c>
      <c r="D349" s="2">
        <v>0.51764705882352946</v>
      </c>
      <c r="E349" t="s">
        <v>4336</v>
      </c>
    </row>
    <row r="350" spans="1:5" x14ac:dyDescent="0.2">
      <c r="A350">
        <v>693</v>
      </c>
      <c r="B350" s="2">
        <v>1</v>
      </c>
      <c r="C350" s="2">
        <v>0.29019607843137257</v>
      </c>
      <c r="D350" s="2">
        <v>0.23921568627450981</v>
      </c>
      <c r="E350" t="s">
        <v>4337</v>
      </c>
    </row>
    <row r="351" spans="1:5" x14ac:dyDescent="0.2">
      <c r="A351">
        <v>694</v>
      </c>
      <c r="B351" s="2">
        <v>0.12941176470588237</v>
      </c>
      <c r="C351" s="2">
        <v>0.59215686274509804</v>
      </c>
      <c r="D351" s="2">
        <v>0.39215686274509803</v>
      </c>
      <c r="E351" t="s">
        <v>4338</v>
      </c>
    </row>
    <row r="352" spans="1:5" x14ac:dyDescent="0.2">
      <c r="A352">
        <v>696</v>
      </c>
      <c r="B352" s="2">
        <v>1.1764705882352941E-2</v>
      </c>
      <c r="C352" s="2">
        <v>0.5725490196078431</v>
      </c>
      <c r="D352" s="2">
        <v>0.6</v>
      </c>
      <c r="E352" t="s">
        <v>4339</v>
      </c>
    </row>
    <row r="353" spans="1:5" x14ac:dyDescent="0.2">
      <c r="A353">
        <v>697</v>
      </c>
      <c r="B353" s="2">
        <v>0.792156862745098</v>
      </c>
      <c r="C353" s="2">
        <v>0.8</v>
      </c>
      <c r="D353" s="2">
        <v>0.78431372549019607</v>
      </c>
      <c r="E353" t="s">
        <v>4340</v>
      </c>
    </row>
    <row r="354" spans="1:5" x14ac:dyDescent="0.2">
      <c r="A354">
        <v>698</v>
      </c>
      <c r="B354" s="2">
        <v>0.6</v>
      </c>
      <c r="C354" s="2">
        <v>0.82352941176470584</v>
      </c>
      <c r="D354" s="2">
        <v>0.74117647058823533</v>
      </c>
      <c r="E354" t="s">
        <v>4341</v>
      </c>
    </row>
    <row r="355" spans="1:5" x14ac:dyDescent="0.2">
      <c r="A355">
        <v>699</v>
      </c>
      <c r="B355" s="2">
        <v>0.12941176470588237</v>
      </c>
      <c r="C355" s="2">
        <v>0.58823529411764708</v>
      </c>
      <c r="D355" s="2">
        <v>0.396078431372549</v>
      </c>
      <c r="E355" t="s">
        <v>4342</v>
      </c>
    </row>
    <row r="356" spans="1:5" x14ac:dyDescent="0.2">
      <c r="A356">
        <v>702</v>
      </c>
      <c r="B356" s="2">
        <v>9.8039215686274508E-2</v>
      </c>
      <c r="C356" s="2">
        <v>0.49411764705882355</v>
      </c>
      <c r="D356" s="2">
        <v>0.3843137254901961</v>
      </c>
      <c r="E356" t="s">
        <v>4343</v>
      </c>
    </row>
    <row r="357" spans="1:5" x14ac:dyDescent="0.2">
      <c r="A357">
        <v>703</v>
      </c>
      <c r="B357" s="2">
        <v>0.54117647058823526</v>
      </c>
      <c r="C357" s="2">
        <v>0.85098039215686272</v>
      </c>
      <c r="D357" s="2">
        <v>0.52941176470588236</v>
      </c>
      <c r="E357" t="s">
        <v>4344</v>
      </c>
    </row>
    <row r="358" spans="1:5" x14ac:dyDescent="0.2">
      <c r="A358">
        <v>704</v>
      </c>
      <c r="B358" s="2">
        <v>0.12549019607843137</v>
      </c>
      <c r="C358" s="2">
        <v>0.59607843137254901</v>
      </c>
      <c r="D358" s="2">
        <v>0.39215686274509803</v>
      </c>
      <c r="E358" t="s">
        <v>4345</v>
      </c>
    </row>
    <row r="359" spans="1:5" x14ac:dyDescent="0.2">
      <c r="A359">
        <v>706</v>
      </c>
      <c r="B359" s="2">
        <v>0.99607843137254903</v>
      </c>
      <c r="C359" s="2">
        <v>0.56470588235294117</v>
      </c>
      <c r="D359" s="2">
        <v>0.9882352941176471</v>
      </c>
      <c r="E359" t="s">
        <v>4346</v>
      </c>
    </row>
    <row r="360" spans="1:5" x14ac:dyDescent="0.2">
      <c r="A360">
        <v>707</v>
      </c>
      <c r="B360" s="2">
        <v>0.34901960784313724</v>
      </c>
      <c r="C360" s="2">
        <v>0.69803921568627447</v>
      </c>
      <c r="D360" s="2">
        <v>0.38823529411764707</v>
      </c>
      <c r="E360" t="s">
        <v>4347</v>
      </c>
    </row>
    <row r="361" spans="1:5" x14ac:dyDescent="0.2">
      <c r="A361">
        <v>711</v>
      </c>
      <c r="B361" s="2">
        <v>0.99215686274509807</v>
      </c>
      <c r="C361" s="2">
        <v>0.6470588235294118</v>
      </c>
      <c r="D361" s="2">
        <v>0.81568627450980391</v>
      </c>
      <c r="E361" t="s">
        <v>4348</v>
      </c>
    </row>
    <row r="362" spans="1:5" x14ac:dyDescent="0.2">
      <c r="A362">
        <v>718</v>
      </c>
      <c r="B362" s="2">
        <v>0.99215686274509807</v>
      </c>
      <c r="C362" s="2">
        <v>0.50196078431372548</v>
      </c>
      <c r="D362" s="2">
        <v>0.51764705882352946</v>
      </c>
      <c r="E362" t="s">
        <v>4349</v>
      </c>
    </row>
    <row r="363" spans="1:5" x14ac:dyDescent="0.2">
      <c r="A363">
        <v>721</v>
      </c>
      <c r="B363" s="2">
        <v>4.3137254901960784E-2</v>
      </c>
      <c r="C363" s="2">
        <v>0.51764705882352946</v>
      </c>
      <c r="D363" s="2">
        <v>0.54509803921568623</v>
      </c>
      <c r="E363" t="s">
        <v>4350</v>
      </c>
    </row>
    <row r="364" spans="1:5" x14ac:dyDescent="0.2">
      <c r="A364">
        <v>725</v>
      </c>
      <c r="B364" s="2">
        <v>1</v>
      </c>
      <c r="C364" s="2">
        <v>0.49803921568627452</v>
      </c>
      <c r="D364" s="2">
        <v>0.50980392156862742</v>
      </c>
      <c r="E364" t="s">
        <v>4351</v>
      </c>
    </row>
    <row r="365" spans="1:5" x14ac:dyDescent="0.2">
      <c r="A365">
        <v>727</v>
      </c>
      <c r="B365" s="2">
        <v>0.18823529411764706</v>
      </c>
      <c r="C365" s="2">
        <v>0.71764705882352942</v>
      </c>
      <c r="D365" s="2">
        <v>0.14117647058823529</v>
      </c>
      <c r="E365" t="s">
        <v>4352</v>
      </c>
    </row>
    <row r="366" spans="1:5" x14ac:dyDescent="0.2">
      <c r="A366">
        <v>728</v>
      </c>
      <c r="B366" s="2">
        <v>0.79607843137254897</v>
      </c>
      <c r="C366" s="2">
        <v>0.78823529411764703</v>
      </c>
      <c r="D366" s="2">
        <v>0.8</v>
      </c>
      <c r="E366" t="s">
        <v>4353</v>
      </c>
    </row>
    <row r="367" spans="1:5" x14ac:dyDescent="0.2">
      <c r="A367">
        <v>729</v>
      </c>
      <c r="B367" s="2">
        <v>8.2352941176470587E-2</v>
      </c>
      <c r="C367" s="2">
        <v>0.68627450980392157</v>
      </c>
      <c r="D367" s="2">
        <v>0.69803921568627447</v>
      </c>
      <c r="E367" t="s">
        <v>4354</v>
      </c>
    </row>
    <row r="368" spans="1:5" x14ac:dyDescent="0.2">
      <c r="A368">
        <v>732</v>
      </c>
      <c r="B368" s="2">
        <v>0.99215686274509807</v>
      </c>
      <c r="C368" s="2">
        <v>0.29411764705882354</v>
      </c>
      <c r="D368" s="2">
        <v>0.24313725490196078</v>
      </c>
      <c r="E368" t="s">
        <v>4355</v>
      </c>
    </row>
    <row r="369" spans="1:5" x14ac:dyDescent="0.2">
      <c r="A369">
        <v>733</v>
      </c>
      <c r="B369" s="2">
        <v>1</v>
      </c>
      <c r="C369" s="2">
        <v>0.49411764705882355</v>
      </c>
      <c r="D369" s="2">
        <v>0.51372549019607838</v>
      </c>
      <c r="E369" t="s">
        <v>4356</v>
      </c>
    </row>
    <row r="370" spans="1:5" x14ac:dyDescent="0.2">
      <c r="A370">
        <v>735</v>
      </c>
      <c r="B370" s="2">
        <v>7.8431372549019607E-3</v>
      </c>
      <c r="C370" s="2">
        <v>0.5725490196078431</v>
      </c>
      <c r="D370" s="2">
        <v>0.59215686274509804</v>
      </c>
      <c r="E370" t="s">
        <v>4357</v>
      </c>
    </row>
    <row r="371" spans="1:5" x14ac:dyDescent="0.2">
      <c r="A371">
        <v>741</v>
      </c>
      <c r="B371" s="2">
        <v>0.99607843137254903</v>
      </c>
      <c r="C371" s="2">
        <v>0.50196078431372548</v>
      </c>
      <c r="D371" s="2">
        <v>0.50980392156862742</v>
      </c>
      <c r="E371" t="s">
        <v>4358</v>
      </c>
    </row>
    <row r="372" spans="1:5" x14ac:dyDescent="0.2">
      <c r="A372">
        <v>743</v>
      </c>
      <c r="B372" s="2">
        <v>0.19607843137254902</v>
      </c>
      <c r="C372" s="2">
        <v>0.71372549019607845</v>
      </c>
      <c r="D372" s="2">
        <v>0.13725490196078433</v>
      </c>
      <c r="E372" t="s">
        <v>4359</v>
      </c>
    </row>
    <row r="373" spans="1:5" x14ac:dyDescent="0.2">
      <c r="A373">
        <v>744</v>
      </c>
      <c r="B373" s="2">
        <v>0.79607843137254897</v>
      </c>
      <c r="C373" s="2">
        <v>0.78431372549019607</v>
      </c>
      <c r="D373" s="2">
        <v>0.792156862745098</v>
      </c>
      <c r="E373" t="s">
        <v>4360</v>
      </c>
    </row>
    <row r="374" spans="1:5" x14ac:dyDescent="0.2">
      <c r="A374">
        <v>749</v>
      </c>
      <c r="B374" s="2">
        <v>0.99607843137254903</v>
      </c>
      <c r="C374" s="2">
        <v>0.55294117647058827</v>
      </c>
      <c r="D374" s="2">
        <v>1</v>
      </c>
      <c r="E374" t="s">
        <v>4361</v>
      </c>
    </row>
    <row r="375" spans="1:5" x14ac:dyDescent="0.2">
      <c r="A375">
        <v>750</v>
      </c>
      <c r="B375" s="2">
        <v>3.9215686274509803E-2</v>
      </c>
      <c r="C375" s="2">
        <v>0.51372549019607838</v>
      </c>
      <c r="D375" s="2">
        <v>0.54117647058823526</v>
      </c>
      <c r="E375" t="s">
        <v>4362</v>
      </c>
    </row>
    <row r="376" spans="1:5" x14ac:dyDescent="0.2">
      <c r="A376">
        <v>753</v>
      </c>
      <c r="B376" s="2">
        <v>0.78431372549019607</v>
      </c>
      <c r="C376" s="2">
        <v>0.79607843137254897</v>
      </c>
      <c r="D376" s="2">
        <v>0.792156862745098</v>
      </c>
      <c r="E376" t="s">
        <v>4363</v>
      </c>
    </row>
    <row r="377" spans="1:5" x14ac:dyDescent="0.2">
      <c r="A377">
        <v>754</v>
      </c>
      <c r="B377" s="2">
        <v>0.49803921568627452</v>
      </c>
      <c r="C377" s="2">
        <v>0.8</v>
      </c>
      <c r="D377" s="2">
        <v>0.96862745098039216</v>
      </c>
      <c r="E377" t="s">
        <v>4364</v>
      </c>
    </row>
    <row r="378" spans="1:5" x14ac:dyDescent="0.2">
      <c r="A378">
        <v>755</v>
      </c>
      <c r="B378" s="2">
        <v>7.8431372549019607E-3</v>
      </c>
      <c r="C378" s="2">
        <v>0.56862745098039214</v>
      </c>
      <c r="D378" s="2">
        <v>0.59607843137254901</v>
      </c>
      <c r="E378" t="s">
        <v>4365</v>
      </c>
    </row>
    <row r="379" spans="1:5" x14ac:dyDescent="0.2">
      <c r="A379">
        <v>757</v>
      </c>
      <c r="B379" s="2">
        <v>0.9882352941176471</v>
      </c>
      <c r="C379" s="2">
        <v>0.56470588235294117</v>
      </c>
      <c r="D379" s="2">
        <v>0.99607843137254903</v>
      </c>
      <c r="E379" t="s">
        <v>4366</v>
      </c>
    </row>
    <row r="380" spans="1:5" x14ac:dyDescent="0.2">
      <c r="A380">
        <v>759</v>
      </c>
      <c r="B380" s="2">
        <v>1.1764705882352941E-2</v>
      </c>
      <c r="C380" s="2">
        <v>0.5725490196078431</v>
      </c>
      <c r="D380" s="2">
        <v>0.59607843137254901</v>
      </c>
      <c r="E380" t="s">
        <v>4367</v>
      </c>
    </row>
    <row r="381" spans="1:5" x14ac:dyDescent="0.2">
      <c r="A381">
        <v>763</v>
      </c>
      <c r="B381" s="2">
        <v>0.99215686274509807</v>
      </c>
      <c r="C381" s="2">
        <v>0.32941176470588235</v>
      </c>
      <c r="D381" s="2">
        <v>0.27843137254901962</v>
      </c>
      <c r="E381" t="s">
        <v>4368</v>
      </c>
    </row>
    <row r="382" spans="1:5" x14ac:dyDescent="0.2">
      <c r="A382">
        <v>765</v>
      </c>
      <c r="B382" s="2">
        <v>1</v>
      </c>
      <c r="C382" s="2">
        <v>0.69019607843137254</v>
      </c>
      <c r="D382" s="2">
        <v>0.85098039215686272</v>
      </c>
      <c r="E382" t="s">
        <v>4369</v>
      </c>
    </row>
    <row r="383" spans="1:5" x14ac:dyDescent="0.2">
      <c r="A383">
        <v>767</v>
      </c>
      <c r="B383" s="2">
        <v>0.12156862745098039</v>
      </c>
      <c r="C383" s="2">
        <v>0.61568627450980395</v>
      </c>
      <c r="D383" s="2">
        <v>0.34509803921568627</v>
      </c>
      <c r="E383" t="s">
        <v>4370</v>
      </c>
    </row>
    <row r="384" spans="1:5" x14ac:dyDescent="0.2">
      <c r="A384">
        <v>771</v>
      </c>
      <c r="B384" s="2">
        <v>1</v>
      </c>
      <c r="C384" s="2">
        <v>0.60784313725490191</v>
      </c>
      <c r="D384" s="2">
        <v>0.53333333333333333</v>
      </c>
      <c r="E384" t="s">
        <v>4371</v>
      </c>
    </row>
    <row r="385" spans="1:5" x14ac:dyDescent="0.2">
      <c r="A385">
        <v>772</v>
      </c>
      <c r="B385" s="2">
        <v>0.24313725490196078</v>
      </c>
      <c r="C385" s="2">
        <v>0.65098039215686276</v>
      </c>
      <c r="D385" s="2">
        <v>0.4</v>
      </c>
      <c r="E385" t="s">
        <v>4372</v>
      </c>
    </row>
    <row r="386" spans="1:5" x14ac:dyDescent="0.2">
      <c r="A386">
        <v>773</v>
      </c>
      <c r="B386" s="2">
        <v>0.99607843137254903</v>
      </c>
      <c r="C386" s="2">
        <v>0.69411764705882351</v>
      </c>
      <c r="D386" s="2">
        <v>0.84313725490196079</v>
      </c>
      <c r="E386" t="s">
        <v>4373</v>
      </c>
    </row>
    <row r="387" spans="1:5" x14ac:dyDescent="0.2">
      <c r="A387">
        <v>774</v>
      </c>
      <c r="B387" s="2">
        <v>0.10980392156862745</v>
      </c>
      <c r="C387" s="2">
        <v>0.65098039215686276</v>
      </c>
      <c r="D387" s="2">
        <v>0.59215686274509804</v>
      </c>
      <c r="E387" t="s">
        <v>4374</v>
      </c>
    </row>
    <row r="388" spans="1:5" x14ac:dyDescent="0.2">
      <c r="A388">
        <v>776</v>
      </c>
      <c r="B388" s="2">
        <v>0.7803921568627451</v>
      </c>
      <c r="C388" s="2">
        <v>0.78823529411764703</v>
      </c>
      <c r="D388" s="2">
        <v>0.792156862745098</v>
      </c>
      <c r="E388" t="s">
        <v>4375</v>
      </c>
    </row>
    <row r="389" spans="1:5" x14ac:dyDescent="0.2">
      <c r="A389">
        <v>778</v>
      </c>
      <c r="B389" s="2">
        <v>3.1372549019607843E-2</v>
      </c>
      <c r="C389" s="2">
        <v>0.51372549019607838</v>
      </c>
      <c r="D389" s="2">
        <v>0.53725490196078429</v>
      </c>
      <c r="E389" t="s">
        <v>4376</v>
      </c>
    </row>
    <row r="390" spans="1:5" x14ac:dyDescent="0.2">
      <c r="A390">
        <v>780</v>
      </c>
      <c r="B390" s="2">
        <v>0.59215686274509804</v>
      </c>
      <c r="C390" s="2">
        <v>0.92549019607843142</v>
      </c>
      <c r="D390" s="2">
        <v>0.57647058823529407</v>
      </c>
      <c r="E390" t="s">
        <v>4377</v>
      </c>
    </row>
    <row r="391" spans="1:5" x14ac:dyDescent="0.2">
      <c r="A391">
        <v>781</v>
      </c>
      <c r="B391" s="2">
        <v>0.99215686274509807</v>
      </c>
      <c r="C391" s="2">
        <v>0.69803921568627447</v>
      </c>
      <c r="D391" s="2">
        <v>0.84313725490196079</v>
      </c>
      <c r="E391" t="s">
        <v>4378</v>
      </c>
    </row>
    <row r="392" spans="1:5" x14ac:dyDescent="0.2">
      <c r="A392">
        <v>783</v>
      </c>
      <c r="B392" s="2">
        <v>0.12549019607843137</v>
      </c>
      <c r="C392" s="2">
        <v>0.58823529411764708</v>
      </c>
      <c r="D392" s="2">
        <v>0.4</v>
      </c>
      <c r="E392" t="s">
        <v>4379</v>
      </c>
    </row>
    <row r="393" spans="1:5" x14ac:dyDescent="0.2">
      <c r="A393">
        <v>784</v>
      </c>
      <c r="B393" s="2">
        <v>0.78431372549019607</v>
      </c>
      <c r="C393" s="2">
        <v>0.7803921568627451</v>
      </c>
      <c r="D393" s="2">
        <v>0.8</v>
      </c>
      <c r="E393" t="s">
        <v>4380</v>
      </c>
    </row>
    <row r="394" spans="1:5" x14ac:dyDescent="0.2">
      <c r="A394">
        <v>786</v>
      </c>
      <c r="B394" s="2">
        <v>8.6274509803921567E-2</v>
      </c>
      <c r="C394" s="2">
        <v>0.69019607843137254</v>
      </c>
      <c r="D394" s="2">
        <v>0.69803921568627447</v>
      </c>
      <c r="E394" t="s">
        <v>4381</v>
      </c>
    </row>
    <row r="395" spans="1:5" x14ac:dyDescent="0.2">
      <c r="A395">
        <v>788</v>
      </c>
      <c r="B395" s="2">
        <v>0.34901960784313724</v>
      </c>
      <c r="C395" s="2">
        <v>0.85098039215686272</v>
      </c>
      <c r="D395" s="2">
        <v>0.66666666666666663</v>
      </c>
      <c r="E395" t="s">
        <v>4382</v>
      </c>
    </row>
    <row r="396" spans="1:5" x14ac:dyDescent="0.2">
      <c r="A396">
        <v>791</v>
      </c>
      <c r="B396" s="2">
        <v>3.9215686274509803E-3</v>
      </c>
      <c r="C396" s="2">
        <v>0.56862745098039214</v>
      </c>
      <c r="D396" s="2">
        <v>0.59215686274509804</v>
      </c>
      <c r="E396" t="s">
        <v>4383</v>
      </c>
    </row>
    <row r="397" spans="1:5" x14ac:dyDescent="0.2">
      <c r="A397">
        <v>794</v>
      </c>
      <c r="B397" s="2">
        <v>0.78431372549019607</v>
      </c>
      <c r="C397" s="2">
        <v>0.792156862745098</v>
      </c>
      <c r="D397" s="2">
        <v>0.792156862745098</v>
      </c>
      <c r="E397" t="s">
        <v>4384</v>
      </c>
    </row>
    <row r="398" spans="1:5" x14ac:dyDescent="0.2">
      <c r="A398">
        <v>795</v>
      </c>
      <c r="B398" s="2">
        <v>0.9882352941176471</v>
      </c>
      <c r="C398" s="2">
        <v>0.5607843137254902</v>
      </c>
      <c r="D398" s="2">
        <v>1</v>
      </c>
      <c r="E398" t="s">
        <v>4385</v>
      </c>
    </row>
    <row r="399" spans="1:5" x14ac:dyDescent="0.2">
      <c r="A399">
        <v>797</v>
      </c>
      <c r="B399" s="2">
        <v>0.94117647058823528</v>
      </c>
      <c r="C399" s="2">
        <v>0.28235294117647058</v>
      </c>
      <c r="D399" s="2">
        <v>0.23137254901960785</v>
      </c>
      <c r="E399" t="s">
        <v>4386</v>
      </c>
    </row>
    <row r="400" spans="1:5" x14ac:dyDescent="0.2">
      <c r="A400">
        <v>798</v>
      </c>
      <c r="B400" s="2">
        <v>0.8</v>
      </c>
      <c r="C400" s="2">
        <v>0.8</v>
      </c>
      <c r="D400" s="2">
        <v>0.7803921568627451</v>
      </c>
      <c r="E400" t="s">
        <v>4387</v>
      </c>
    </row>
    <row r="401" spans="1:5" x14ac:dyDescent="0.2">
      <c r="A401">
        <v>800</v>
      </c>
      <c r="B401" s="2">
        <v>0.12156862745098039</v>
      </c>
      <c r="C401" s="2">
        <v>0.59607843137254901</v>
      </c>
      <c r="D401" s="2">
        <v>0.396078431372549</v>
      </c>
      <c r="E401" t="s">
        <v>4388</v>
      </c>
    </row>
    <row r="402" spans="1:5" x14ac:dyDescent="0.2">
      <c r="A402">
        <v>802</v>
      </c>
      <c r="B402" s="2">
        <v>0.8</v>
      </c>
      <c r="C402" s="2">
        <v>0.78823529411764703</v>
      </c>
      <c r="D402" s="2">
        <v>0.78431372549019607</v>
      </c>
      <c r="E402" t="s">
        <v>4389</v>
      </c>
    </row>
    <row r="403" spans="1:5" x14ac:dyDescent="0.2">
      <c r="A403">
        <v>803</v>
      </c>
      <c r="B403" s="2">
        <v>0.52156862745098043</v>
      </c>
      <c r="C403" s="2">
        <v>0.6</v>
      </c>
      <c r="D403" s="2">
        <v>0.8</v>
      </c>
      <c r="E403" t="s">
        <v>4390</v>
      </c>
    </row>
    <row r="404" spans="1:5" x14ac:dyDescent="0.2">
      <c r="A404">
        <v>804</v>
      </c>
      <c r="B404" s="2">
        <v>0.94901960784313721</v>
      </c>
      <c r="C404" s="2">
        <v>0.27843137254901962</v>
      </c>
      <c r="D404" s="2">
        <v>0.22352941176470589</v>
      </c>
      <c r="E404" t="s">
        <v>4391</v>
      </c>
    </row>
    <row r="405" spans="1:5" x14ac:dyDescent="0.2">
      <c r="A405">
        <v>805</v>
      </c>
      <c r="B405" s="2">
        <v>3.9215686274509803E-2</v>
      </c>
      <c r="C405" s="2">
        <v>0.52156862745098043</v>
      </c>
      <c r="D405" s="2">
        <v>0.53725490196078429</v>
      </c>
      <c r="E405" t="s">
        <v>4392</v>
      </c>
    </row>
    <row r="406" spans="1:5" x14ac:dyDescent="0.2">
      <c r="A406">
        <v>806</v>
      </c>
      <c r="B406" s="2">
        <v>0.10588235294117647</v>
      </c>
      <c r="C406" s="2">
        <v>0.50196078431372548</v>
      </c>
      <c r="D406" s="2">
        <v>0.38823529411764707</v>
      </c>
      <c r="E406" t="s">
        <v>4393</v>
      </c>
    </row>
    <row r="407" spans="1:5" x14ac:dyDescent="0.2">
      <c r="A407">
        <v>810</v>
      </c>
      <c r="B407" s="2">
        <v>0.25098039215686274</v>
      </c>
      <c r="C407" s="2">
        <v>0.6470588235294118</v>
      </c>
      <c r="D407" s="2">
        <v>0.39215686274509803</v>
      </c>
      <c r="E407" t="s">
        <v>4394</v>
      </c>
    </row>
    <row r="408" spans="1:5" x14ac:dyDescent="0.2">
      <c r="A408">
        <v>811</v>
      </c>
      <c r="B408" s="2">
        <v>0.99607843137254903</v>
      </c>
      <c r="C408" s="2">
        <v>0.47843137254901963</v>
      </c>
      <c r="D408" s="2">
        <v>0.99607843137254903</v>
      </c>
      <c r="E408" t="s">
        <v>4395</v>
      </c>
    </row>
    <row r="409" spans="1:5" x14ac:dyDescent="0.2">
      <c r="A409">
        <v>812</v>
      </c>
      <c r="B409" s="2">
        <v>0.8</v>
      </c>
      <c r="C409" s="2">
        <v>0.7803921568627451</v>
      </c>
      <c r="D409" s="2">
        <v>0.8</v>
      </c>
      <c r="E409" t="s">
        <v>4396</v>
      </c>
    </row>
    <row r="410" spans="1:5" x14ac:dyDescent="0.2">
      <c r="A410">
        <v>814</v>
      </c>
      <c r="B410" s="2">
        <v>0.63921568627450975</v>
      </c>
      <c r="C410" s="2">
        <v>0.85490196078431369</v>
      </c>
      <c r="D410" s="2">
        <v>0.63921568627450975</v>
      </c>
      <c r="E410" t="s">
        <v>4397</v>
      </c>
    </row>
    <row r="411" spans="1:5" x14ac:dyDescent="0.2">
      <c r="A411">
        <v>816</v>
      </c>
      <c r="B411" s="2">
        <v>1.1764705882352941E-2</v>
      </c>
      <c r="C411" s="2">
        <v>0.57647058823529407</v>
      </c>
      <c r="D411" s="2">
        <v>0.59215686274509804</v>
      </c>
      <c r="E411" t="s">
        <v>4398</v>
      </c>
    </row>
    <row r="412" spans="1:5" x14ac:dyDescent="0.2">
      <c r="A412">
        <v>819</v>
      </c>
      <c r="B412" s="2">
        <v>0.25098039215686274</v>
      </c>
      <c r="C412" s="2">
        <v>0.64313725490196083</v>
      </c>
      <c r="D412" s="2">
        <v>0.396078431372549</v>
      </c>
      <c r="E412" t="s">
        <v>4399</v>
      </c>
    </row>
    <row r="413" spans="1:5" x14ac:dyDescent="0.2">
      <c r="A413">
        <v>820</v>
      </c>
      <c r="B413" s="2">
        <v>0.99607843137254903</v>
      </c>
      <c r="C413" s="2">
        <v>0.47450980392156861</v>
      </c>
      <c r="D413" s="2">
        <v>1</v>
      </c>
      <c r="E413" t="s">
        <v>4400</v>
      </c>
    </row>
    <row r="414" spans="1:5" x14ac:dyDescent="0.2">
      <c r="A414">
        <v>821</v>
      </c>
      <c r="B414" s="2">
        <v>3.9215686274509803E-2</v>
      </c>
      <c r="C414" s="2">
        <v>0.50980392156862742</v>
      </c>
      <c r="D414" s="2">
        <v>0.5490196078431373</v>
      </c>
      <c r="E414" t="s">
        <v>4401</v>
      </c>
    </row>
    <row r="415" spans="1:5" x14ac:dyDescent="0.2">
      <c r="A415">
        <v>827</v>
      </c>
      <c r="B415" s="2">
        <v>0.34901960784313724</v>
      </c>
      <c r="C415" s="2">
        <v>0.69803921568627447</v>
      </c>
      <c r="D415" s="2">
        <v>0.3843137254901961</v>
      </c>
      <c r="E415" t="s">
        <v>4402</v>
      </c>
    </row>
    <row r="416" spans="1:5" x14ac:dyDescent="0.2">
      <c r="A416">
        <v>828</v>
      </c>
      <c r="B416" s="2">
        <v>0.99607843137254903</v>
      </c>
      <c r="C416" s="2">
        <v>0.47450980392156861</v>
      </c>
      <c r="D416" s="2">
        <v>0.99607843137254903</v>
      </c>
      <c r="E416" t="s">
        <v>4403</v>
      </c>
    </row>
    <row r="417" spans="1:5" x14ac:dyDescent="0.2">
      <c r="A417">
        <v>830</v>
      </c>
      <c r="B417" s="2">
        <v>0.99607843137254903</v>
      </c>
      <c r="C417" s="2">
        <v>0.32941176470588235</v>
      </c>
      <c r="D417" s="2">
        <v>0.27058823529411763</v>
      </c>
      <c r="E417" t="s">
        <v>4404</v>
      </c>
    </row>
    <row r="418" spans="1:5" x14ac:dyDescent="0.2">
      <c r="A418">
        <v>831</v>
      </c>
      <c r="B418" s="2">
        <v>0.12156862745098039</v>
      </c>
      <c r="C418" s="2">
        <v>0.59215686274509804</v>
      </c>
      <c r="D418" s="2">
        <v>0.4</v>
      </c>
      <c r="E418" t="s">
        <v>4405</v>
      </c>
    </row>
    <row r="419" spans="1:5" x14ac:dyDescent="0.2">
      <c r="A419">
        <v>832</v>
      </c>
      <c r="B419" s="2">
        <v>0.7803921568627451</v>
      </c>
      <c r="C419" s="2">
        <v>0.8</v>
      </c>
      <c r="D419" s="2">
        <v>0.8</v>
      </c>
      <c r="E419" t="s">
        <v>4406</v>
      </c>
    </row>
    <row r="420" spans="1:5" x14ac:dyDescent="0.2">
      <c r="A420">
        <v>834</v>
      </c>
      <c r="B420" s="2">
        <v>1</v>
      </c>
      <c r="C420" s="2">
        <v>0.47843137254901963</v>
      </c>
      <c r="D420" s="2">
        <v>0.99215686274509807</v>
      </c>
      <c r="E420" t="s">
        <v>4407</v>
      </c>
    </row>
    <row r="421" spans="1:5" x14ac:dyDescent="0.2">
      <c r="A421">
        <v>836</v>
      </c>
      <c r="B421" s="2">
        <v>5.0980392156862744E-2</v>
      </c>
      <c r="C421" s="2">
        <v>0.62352941176470589</v>
      </c>
      <c r="D421" s="2">
        <v>0.56470588235294117</v>
      </c>
      <c r="E421" t="s">
        <v>4408</v>
      </c>
    </row>
    <row r="422" spans="1:5" x14ac:dyDescent="0.2">
      <c r="A422">
        <v>838</v>
      </c>
      <c r="B422" s="2">
        <v>0.10588235294117647</v>
      </c>
      <c r="C422" s="2">
        <v>0.49803921568627452</v>
      </c>
      <c r="D422" s="2">
        <v>0.39215686274509803</v>
      </c>
      <c r="E422" t="s">
        <v>4409</v>
      </c>
    </row>
    <row r="423" spans="1:5" x14ac:dyDescent="0.2">
      <c r="A423">
        <v>839</v>
      </c>
      <c r="B423" s="2">
        <v>0.99215686274509807</v>
      </c>
      <c r="C423" s="2">
        <v>0.69411764705882351</v>
      </c>
      <c r="D423" s="2">
        <v>0.84705882352941175</v>
      </c>
      <c r="E423" t="s">
        <v>4410</v>
      </c>
    </row>
    <row r="424" spans="1:5" x14ac:dyDescent="0.2">
      <c r="A424">
        <v>841</v>
      </c>
      <c r="B424" s="2">
        <v>0.8</v>
      </c>
      <c r="C424" s="2">
        <v>0.7803921568627451</v>
      </c>
      <c r="D424" s="2">
        <v>0.79607843137254897</v>
      </c>
      <c r="E424" t="s">
        <v>4411</v>
      </c>
    </row>
    <row r="425" spans="1:5" x14ac:dyDescent="0.2">
      <c r="A425">
        <v>842</v>
      </c>
      <c r="B425" s="2">
        <v>1</v>
      </c>
      <c r="C425" s="2">
        <v>0.47058823529411764</v>
      </c>
      <c r="D425" s="2">
        <v>1</v>
      </c>
      <c r="E425" t="s">
        <v>4412</v>
      </c>
    </row>
    <row r="426" spans="1:5" x14ac:dyDescent="0.2">
      <c r="A426">
        <v>843</v>
      </c>
      <c r="B426" s="2">
        <v>0.44705882352941179</v>
      </c>
      <c r="C426" s="2">
        <v>0.83529411764705885</v>
      </c>
      <c r="D426" s="2">
        <v>0.40784313725490196</v>
      </c>
      <c r="E426" t="s">
        <v>4413</v>
      </c>
    </row>
    <row r="427" spans="1:5" x14ac:dyDescent="0.2">
      <c r="A427">
        <v>844</v>
      </c>
      <c r="B427" s="2">
        <v>0.12156862745098039</v>
      </c>
      <c r="C427" s="2">
        <v>0.60784313725490191</v>
      </c>
      <c r="D427" s="2">
        <v>0.35294117647058826</v>
      </c>
      <c r="E427" t="s">
        <v>4414</v>
      </c>
    </row>
    <row r="428" spans="1:5" x14ac:dyDescent="0.2">
      <c r="A428">
        <v>846</v>
      </c>
      <c r="B428" s="2">
        <v>1</v>
      </c>
      <c r="C428" s="2">
        <v>0.99215686274509807</v>
      </c>
      <c r="D428" s="2">
        <v>0.73333333333333328</v>
      </c>
      <c r="E428" t="s">
        <v>4415</v>
      </c>
    </row>
    <row r="429" spans="1:5" x14ac:dyDescent="0.2">
      <c r="A429">
        <v>847</v>
      </c>
      <c r="B429" s="2">
        <v>1.1764705882352941E-2</v>
      </c>
      <c r="C429" s="2">
        <v>0.56862745098039214</v>
      </c>
      <c r="D429" s="2">
        <v>0.6</v>
      </c>
      <c r="E429" t="s">
        <v>4416</v>
      </c>
    </row>
    <row r="430" spans="1:5" x14ac:dyDescent="0.2">
      <c r="A430">
        <v>849</v>
      </c>
      <c r="B430" s="2">
        <v>6.6666666666666666E-2</v>
      </c>
      <c r="C430" s="2">
        <v>0.67843137254901964</v>
      </c>
      <c r="D430" s="2">
        <v>0.50980392156862742</v>
      </c>
      <c r="E430" t="s">
        <v>4417</v>
      </c>
    </row>
    <row r="431" spans="1:5" x14ac:dyDescent="0.2">
      <c r="A431">
        <v>850</v>
      </c>
      <c r="B431" s="2">
        <v>0.79607843137254897</v>
      </c>
      <c r="C431" s="2">
        <v>0.78823529411764703</v>
      </c>
      <c r="D431" s="2">
        <v>0.78431372549019607</v>
      </c>
      <c r="E431" t="s">
        <v>4418</v>
      </c>
    </row>
    <row r="432" spans="1:5" x14ac:dyDescent="0.2">
      <c r="A432">
        <v>851</v>
      </c>
      <c r="B432" s="2">
        <v>0.99215686274509807</v>
      </c>
      <c r="C432" s="2">
        <v>0.47843137254901963</v>
      </c>
      <c r="D432" s="2">
        <v>1</v>
      </c>
      <c r="E432" t="s">
        <v>4419</v>
      </c>
    </row>
    <row r="433" spans="1:5" x14ac:dyDescent="0.2">
      <c r="A433">
        <v>852</v>
      </c>
      <c r="B433" s="2">
        <v>0.9882352941176471</v>
      </c>
      <c r="C433" s="2">
        <v>0.70196078431372544</v>
      </c>
      <c r="D433" s="2">
        <v>0.85098039215686272</v>
      </c>
      <c r="E433" t="s">
        <v>4420</v>
      </c>
    </row>
    <row r="434" spans="1:5" x14ac:dyDescent="0.2">
      <c r="A434">
        <v>854</v>
      </c>
      <c r="B434" s="2">
        <v>9.8039215686274508E-2</v>
      </c>
      <c r="C434" s="2">
        <v>0.49803921568627452</v>
      </c>
      <c r="D434" s="2">
        <v>0.38039215686274508</v>
      </c>
      <c r="E434" t="s">
        <v>4421</v>
      </c>
    </row>
    <row r="435" spans="1:5" x14ac:dyDescent="0.2">
      <c r="A435">
        <v>857</v>
      </c>
      <c r="B435" s="2">
        <v>6.6666666666666666E-2</v>
      </c>
      <c r="C435" s="2">
        <v>0.67450980392156867</v>
      </c>
      <c r="D435" s="2">
        <v>0.51372549019607838</v>
      </c>
      <c r="E435" t="s">
        <v>4422</v>
      </c>
    </row>
    <row r="436" spans="1:5" x14ac:dyDescent="0.2">
      <c r="A436">
        <v>859</v>
      </c>
      <c r="B436" s="2">
        <v>1</v>
      </c>
      <c r="C436" s="2">
        <v>0.69803921568627447</v>
      </c>
      <c r="D436" s="2">
        <v>0.83921568627450982</v>
      </c>
      <c r="E436" t="s">
        <v>4423</v>
      </c>
    </row>
    <row r="437" spans="1:5" x14ac:dyDescent="0.2">
      <c r="A437">
        <v>862</v>
      </c>
      <c r="B437" s="2">
        <v>9.8039215686274508E-2</v>
      </c>
      <c r="C437" s="2">
        <v>0.49019607843137253</v>
      </c>
      <c r="D437" s="2">
        <v>0.38823529411764707</v>
      </c>
      <c r="E437" t="s">
        <v>4424</v>
      </c>
    </row>
    <row r="438" spans="1:5" x14ac:dyDescent="0.2">
      <c r="A438">
        <v>863</v>
      </c>
      <c r="B438" s="2">
        <v>0.78431372549019607</v>
      </c>
      <c r="C438" s="2">
        <v>0.78431372549019607</v>
      </c>
      <c r="D438" s="2">
        <v>0.79607843137254897</v>
      </c>
      <c r="E438" t="s">
        <v>4425</v>
      </c>
    </row>
    <row r="439" spans="1:5" x14ac:dyDescent="0.2">
      <c r="A439">
        <v>866</v>
      </c>
      <c r="B439" s="2">
        <v>0.79607843137254897</v>
      </c>
      <c r="C439" s="2">
        <v>0.7803921568627451</v>
      </c>
      <c r="D439" s="2">
        <v>0.8</v>
      </c>
      <c r="E439" t="s">
        <v>4426</v>
      </c>
    </row>
    <row r="440" spans="1:5" x14ac:dyDescent="0.2">
      <c r="A440">
        <v>867</v>
      </c>
      <c r="B440" s="2">
        <v>1</v>
      </c>
      <c r="C440" s="2">
        <v>0.67843137254901964</v>
      </c>
      <c r="D440" s="2">
        <v>0.42745098039215684</v>
      </c>
      <c r="E440" t="s">
        <v>4427</v>
      </c>
    </row>
    <row r="441" spans="1:5" x14ac:dyDescent="0.2">
      <c r="A441">
        <v>869</v>
      </c>
      <c r="B441" s="2">
        <v>4.3137254901960784E-2</v>
      </c>
      <c r="C441" s="2">
        <v>0.52156862745098043</v>
      </c>
      <c r="D441" s="2">
        <v>0.54117647058823526</v>
      </c>
      <c r="E441" t="s">
        <v>4428</v>
      </c>
    </row>
    <row r="442" spans="1:5" x14ac:dyDescent="0.2">
      <c r="A442">
        <v>872</v>
      </c>
      <c r="B442" s="2">
        <v>0.99215686274509807</v>
      </c>
      <c r="C442" s="2">
        <v>0.65098039215686276</v>
      </c>
      <c r="D442" s="2">
        <v>1</v>
      </c>
      <c r="E442" t="s">
        <v>4429</v>
      </c>
    </row>
    <row r="443" spans="1:5" x14ac:dyDescent="0.2">
      <c r="A443">
        <v>873</v>
      </c>
      <c r="B443" s="2">
        <v>0.10196078431372549</v>
      </c>
      <c r="C443" s="2">
        <v>0.49411764705882355</v>
      </c>
      <c r="D443" s="2">
        <v>0.3843137254901961</v>
      </c>
      <c r="E443" t="s">
        <v>4430</v>
      </c>
    </row>
    <row r="444" spans="1:5" x14ac:dyDescent="0.2">
      <c r="A444">
        <v>874</v>
      </c>
      <c r="B444" s="2">
        <v>1</v>
      </c>
      <c r="C444" s="2">
        <v>0.47450980392156861</v>
      </c>
      <c r="D444" s="2">
        <v>0.99215686274509807</v>
      </c>
      <c r="E444" t="s">
        <v>4431</v>
      </c>
    </row>
    <row r="445" spans="1:5" x14ac:dyDescent="0.2">
      <c r="A445">
        <v>878</v>
      </c>
      <c r="B445" s="2">
        <v>9.4117647058823528E-2</v>
      </c>
      <c r="C445" s="2">
        <v>0.49411764705882355</v>
      </c>
      <c r="D445" s="2">
        <v>0.38039215686274508</v>
      </c>
      <c r="E445" t="s">
        <v>4432</v>
      </c>
    </row>
    <row r="446" spans="1:5" x14ac:dyDescent="0.2">
      <c r="A446">
        <v>880</v>
      </c>
      <c r="B446" s="2">
        <v>0.99607843137254903</v>
      </c>
      <c r="C446" s="2">
        <v>0.72549019607843135</v>
      </c>
      <c r="D446" s="2">
        <v>0.52156862745098043</v>
      </c>
      <c r="E446" t="s">
        <v>4433</v>
      </c>
    </row>
    <row r="447" spans="1:5" x14ac:dyDescent="0.2">
      <c r="A447">
        <v>882</v>
      </c>
      <c r="B447" s="2">
        <v>0.11372549019607843</v>
      </c>
      <c r="C447" s="2">
        <v>0.61568627450980395</v>
      </c>
      <c r="D447" s="2">
        <v>0.35294117647058826</v>
      </c>
      <c r="E447" t="s">
        <v>4434</v>
      </c>
    </row>
    <row r="448" spans="1:5" x14ac:dyDescent="0.2">
      <c r="A448">
        <v>884</v>
      </c>
      <c r="B448" s="2">
        <v>0.78431372549019607</v>
      </c>
      <c r="C448" s="2">
        <v>0.78823529411764703</v>
      </c>
      <c r="D448" s="2">
        <v>0.79607843137254897</v>
      </c>
      <c r="E448" t="s">
        <v>4435</v>
      </c>
    </row>
    <row r="449" spans="1:5" x14ac:dyDescent="0.2">
      <c r="A449">
        <v>888</v>
      </c>
      <c r="B449" s="2">
        <v>5.4901960784313725E-2</v>
      </c>
      <c r="C449" s="2">
        <v>0.58431372549019611</v>
      </c>
      <c r="D449" s="2">
        <v>0.51372549019607838</v>
      </c>
      <c r="E449" t="s">
        <v>4436</v>
      </c>
    </row>
    <row r="450" spans="1:5" x14ac:dyDescent="0.2">
      <c r="A450">
        <v>889</v>
      </c>
      <c r="B450" s="2">
        <v>9.4117647058823528E-2</v>
      </c>
      <c r="C450" s="2">
        <v>0.49019607843137253</v>
      </c>
      <c r="D450" s="2">
        <v>0.3843137254901961</v>
      </c>
      <c r="E450" t="s">
        <v>4437</v>
      </c>
    </row>
    <row r="451" spans="1:5" x14ac:dyDescent="0.2">
      <c r="A451">
        <v>893</v>
      </c>
      <c r="B451" s="2">
        <v>0.10196078431372549</v>
      </c>
      <c r="C451" s="2">
        <v>0.50196078431372548</v>
      </c>
      <c r="D451" s="2">
        <v>0.38039215686274508</v>
      </c>
      <c r="E451" t="s">
        <v>4438</v>
      </c>
    </row>
    <row r="452" spans="1:5" x14ac:dyDescent="0.2">
      <c r="A452">
        <v>897</v>
      </c>
      <c r="B452" s="2">
        <v>7.0588235294117646E-2</v>
      </c>
      <c r="C452" s="2">
        <v>0.67843137254901964</v>
      </c>
      <c r="D452" s="2">
        <v>0.51372549019607838</v>
      </c>
      <c r="E452" t="s">
        <v>4439</v>
      </c>
    </row>
    <row r="453" spans="1:5" x14ac:dyDescent="0.2">
      <c r="A453">
        <v>898</v>
      </c>
      <c r="B453" s="2">
        <v>1</v>
      </c>
      <c r="C453" s="2">
        <v>0.72941176470588232</v>
      </c>
      <c r="D453" s="2">
        <v>0.51764705882352946</v>
      </c>
      <c r="E453" t="s">
        <v>4440</v>
      </c>
    </row>
    <row r="454" spans="1:5" x14ac:dyDescent="0.2">
      <c r="A454">
        <v>900</v>
      </c>
      <c r="B454" s="2">
        <v>0.79607843137254897</v>
      </c>
      <c r="C454" s="2">
        <v>0.79607843137254897</v>
      </c>
      <c r="D454" s="2">
        <v>0.7803921568627451</v>
      </c>
      <c r="E454" t="s">
        <v>4441</v>
      </c>
    </row>
    <row r="455" spans="1:5" x14ac:dyDescent="0.2">
      <c r="A455">
        <v>902</v>
      </c>
      <c r="B455" s="2">
        <v>4.3137254901960784E-2</v>
      </c>
      <c r="C455" s="2">
        <v>0.51372549019607838</v>
      </c>
      <c r="D455" s="2">
        <v>0.5490196078431373</v>
      </c>
      <c r="E455" t="s">
        <v>4442</v>
      </c>
    </row>
    <row r="456" spans="1:5" x14ac:dyDescent="0.2">
      <c r="A456">
        <v>903</v>
      </c>
      <c r="B456" s="2">
        <v>1</v>
      </c>
      <c r="C456" s="2">
        <v>0.63529411764705879</v>
      </c>
      <c r="D456" s="2">
        <v>0.82352941176470584</v>
      </c>
      <c r="E456" t="s">
        <v>4443</v>
      </c>
    </row>
    <row r="457" spans="1:5" x14ac:dyDescent="0.2">
      <c r="A457">
        <v>905</v>
      </c>
      <c r="B457" s="2">
        <v>3.5294117647058823E-2</v>
      </c>
      <c r="C457" s="2">
        <v>0.51372549019607838</v>
      </c>
      <c r="D457" s="2">
        <v>0.53725490196078429</v>
      </c>
      <c r="E457" t="s">
        <v>4444</v>
      </c>
    </row>
    <row r="458" spans="1:5" x14ac:dyDescent="0.2">
      <c r="A458">
        <v>906</v>
      </c>
      <c r="B458" s="2">
        <v>0.10980392156862745</v>
      </c>
      <c r="C458" s="2">
        <v>0.6470588235294118</v>
      </c>
      <c r="D458" s="2">
        <v>0.59215686274509804</v>
      </c>
      <c r="E458" t="s">
        <v>4445</v>
      </c>
    </row>
    <row r="459" spans="1:5" x14ac:dyDescent="0.2">
      <c r="A459">
        <v>907</v>
      </c>
      <c r="B459" s="2">
        <v>0.99607843137254903</v>
      </c>
      <c r="C459" s="2">
        <v>0.55294117647058827</v>
      </c>
      <c r="D459" s="2">
        <v>0.62352941176470589</v>
      </c>
      <c r="E459" t="s">
        <v>4446</v>
      </c>
    </row>
    <row r="460" spans="1:5" x14ac:dyDescent="0.2">
      <c r="A460">
        <v>908</v>
      </c>
      <c r="B460" s="2">
        <v>0.78823529411764703</v>
      </c>
      <c r="C460" s="2">
        <v>0.78823529411764703</v>
      </c>
      <c r="D460" s="2">
        <v>0.78823529411764703</v>
      </c>
      <c r="E460" t="s">
        <v>4447</v>
      </c>
    </row>
    <row r="461" spans="1:5" x14ac:dyDescent="0.2">
      <c r="A461">
        <v>910</v>
      </c>
      <c r="B461" s="2">
        <v>0.13333333333333333</v>
      </c>
      <c r="C461" s="2">
        <v>0.53333333333333333</v>
      </c>
      <c r="D461" s="2">
        <v>0.36862745098039218</v>
      </c>
      <c r="E461" t="s">
        <v>4448</v>
      </c>
    </row>
    <row r="462" spans="1:5" x14ac:dyDescent="0.2">
      <c r="A462">
        <v>911</v>
      </c>
      <c r="B462" s="2">
        <v>0.78431372549019607</v>
      </c>
      <c r="C462" s="2">
        <v>0.78823529411764703</v>
      </c>
      <c r="D462" s="2">
        <v>0.78431372549019607</v>
      </c>
      <c r="E462" t="s">
        <v>4449</v>
      </c>
    </row>
    <row r="463" spans="1:5" x14ac:dyDescent="0.2">
      <c r="A463">
        <v>912</v>
      </c>
      <c r="B463" s="2">
        <v>0.99607843137254903</v>
      </c>
      <c r="C463" s="2">
        <v>0.98039215686274506</v>
      </c>
      <c r="D463" s="2">
        <v>0.56862745098039214</v>
      </c>
      <c r="E463" t="s">
        <v>4450</v>
      </c>
    </row>
    <row r="464" spans="1:5" x14ac:dyDescent="0.2">
      <c r="A464">
        <v>914</v>
      </c>
      <c r="B464" s="2">
        <v>0.99607843137254903</v>
      </c>
      <c r="C464" s="2">
        <v>0.32549019607843138</v>
      </c>
      <c r="D464" s="2">
        <v>0.27450980392156865</v>
      </c>
      <c r="E464" t="s">
        <v>4451</v>
      </c>
    </row>
    <row r="465" spans="1:5" x14ac:dyDescent="0.2">
      <c r="A465">
        <v>916</v>
      </c>
      <c r="B465" s="2">
        <v>0.7803921568627451</v>
      </c>
      <c r="C465" s="2">
        <v>0.79607843137254897</v>
      </c>
      <c r="D465" s="2">
        <v>0.79607843137254897</v>
      </c>
      <c r="E465" t="s">
        <v>4452</v>
      </c>
    </row>
    <row r="466" spans="1:5" x14ac:dyDescent="0.2">
      <c r="A466">
        <v>919</v>
      </c>
      <c r="B466" s="2">
        <v>0.24705882352941178</v>
      </c>
      <c r="C466" s="2">
        <v>0.65098039215686276</v>
      </c>
      <c r="D466" s="2">
        <v>0.39215686274509803</v>
      </c>
      <c r="E466" t="s">
        <v>4453</v>
      </c>
    </row>
    <row r="467" spans="1:5" x14ac:dyDescent="0.2">
      <c r="A467">
        <v>924</v>
      </c>
      <c r="B467" s="2">
        <v>0.8</v>
      </c>
      <c r="C467" s="2">
        <v>0.792156862745098</v>
      </c>
      <c r="D467" s="2">
        <v>0.7803921568627451</v>
      </c>
      <c r="E467" t="s">
        <v>4454</v>
      </c>
    </row>
    <row r="468" spans="1:5" x14ac:dyDescent="0.2">
      <c r="A468">
        <v>927</v>
      </c>
      <c r="B468" s="2">
        <v>0.24705882352941178</v>
      </c>
      <c r="C468" s="2">
        <v>0.64313725490196083</v>
      </c>
      <c r="D468" s="2">
        <v>0.4</v>
      </c>
      <c r="E468" t="s">
        <v>4455</v>
      </c>
    </row>
    <row r="469" spans="1:5" x14ac:dyDescent="0.2">
      <c r="A469">
        <v>929</v>
      </c>
      <c r="B469" s="2">
        <v>0.10588235294117647</v>
      </c>
      <c r="C469" s="2">
        <v>0.49411764705882355</v>
      </c>
      <c r="D469" s="2">
        <v>0.39215686274509803</v>
      </c>
      <c r="E469" t="s">
        <v>4456</v>
      </c>
    </row>
    <row r="470" spans="1:5" x14ac:dyDescent="0.2">
      <c r="A470">
        <v>930</v>
      </c>
      <c r="B470" s="2">
        <v>0.9882352941176471</v>
      </c>
      <c r="C470" s="2">
        <v>0.56470588235294117</v>
      </c>
      <c r="D470" s="2">
        <v>0.61960784313725492</v>
      </c>
      <c r="E470" t="s">
        <v>4457</v>
      </c>
    </row>
    <row r="471" spans="1:5" x14ac:dyDescent="0.2">
      <c r="A471">
        <v>931</v>
      </c>
      <c r="B471" s="2">
        <v>1</v>
      </c>
      <c r="C471" s="2">
        <v>0.72156862745098038</v>
      </c>
      <c r="D471" s="2">
        <v>0.52156862745098043</v>
      </c>
      <c r="E471" t="s">
        <v>4458</v>
      </c>
    </row>
    <row r="472" spans="1:5" x14ac:dyDescent="0.2">
      <c r="A472">
        <v>935</v>
      </c>
      <c r="B472" s="2">
        <v>0.24313725490196078</v>
      </c>
      <c r="C472" s="2">
        <v>0.65098039215686276</v>
      </c>
      <c r="D472" s="2">
        <v>0.396078431372549</v>
      </c>
      <c r="E472" t="s">
        <v>4459</v>
      </c>
    </row>
    <row r="473" spans="1:5" x14ac:dyDescent="0.2">
      <c r="A473">
        <v>936</v>
      </c>
      <c r="B473" s="2">
        <v>0.99607843137254903</v>
      </c>
      <c r="C473" s="2">
        <v>0.98039215686274506</v>
      </c>
      <c r="D473" s="2">
        <v>0.56470588235294117</v>
      </c>
      <c r="E473" t="s">
        <v>4460</v>
      </c>
    </row>
    <row r="474" spans="1:5" x14ac:dyDescent="0.2">
      <c r="A474">
        <v>939</v>
      </c>
      <c r="B474" s="2">
        <v>0.99607843137254903</v>
      </c>
      <c r="C474" s="2">
        <v>0.70196078431372544</v>
      </c>
      <c r="D474" s="2">
        <v>0.83921568627450982</v>
      </c>
      <c r="E474" t="s">
        <v>4461</v>
      </c>
    </row>
    <row r="475" spans="1:5" x14ac:dyDescent="0.2">
      <c r="A475">
        <v>940</v>
      </c>
      <c r="B475" s="2">
        <v>0.792156862745098</v>
      </c>
      <c r="C475" s="2">
        <v>0.8</v>
      </c>
      <c r="D475" s="2">
        <v>0.7803921568627451</v>
      </c>
      <c r="E475" t="s">
        <v>4462</v>
      </c>
    </row>
    <row r="476" spans="1:5" x14ac:dyDescent="0.2">
      <c r="A476">
        <v>943</v>
      </c>
      <c r="B476" s="2">
        <v>0.12156862745098039</v>
      </c>
      <c r="C476" s="2">
        <v>0.61176470588235299</v>
      </c>
      <c r="D476" s="2">
        <v>0.34509803921568627</v>
      </c>
      <c r="E476" t="s">
        <v>4463</v>
      </c>
    </row>
    <row r="477" spans="1:5" x14ac:dyDescent="0.2">
      <c r="A477">
        <v>944</v>
      </c>
      <c r="B477" s="2">
        <v>0.99215686274509807</v>
      </c>
      <c r="C477" s="2">
        <v>0.98431372549019602</v>
      </c>
      <c r="D477" s="2">
        <v>0.56470588235294117</v>
      </c>
      <c r="E477" t="s">
        <v>4464</v>
      </c>
    </row>
    <row r="478" spans="1:5" x14ac:dyDescent="0.2">
      <c r="A478">
        <v>945</v>
      </c>
      <c r="B478" s="2">
        <v>9.8039215686274508E-2</v>
      </c>
      <c r="C478" s="2">
        <v>0.49019607843137253</v>
      </c>
      <c r="D478" s="2">
        <v>0.38039215686274508</v>
      </c>
      <c r="E478" t="s">
        <v>4465</v>
      </c>
    </row>
    <row r="479" spans="1:5" x14ac:dyDescent="0.2">
      <c r="A479">
        <v>946</v>
      </c>
      <c r="B479" s="2">
        <v>0.99215686274509807</v>
      </c>
      <c r="C479" s="2">
        <v>0.29411764705882354</v>
      </c>
      <c r="D479" s="2">
        <v>0.23529411764705882</v>
      </c>
      <c r="E479" t="s">
        <v>4466</v>
      </c>
    </row>
    <row r="480" spans="1:5" x14ac:dyDescent="0.2">
      <c r="A480">
        <v>949</v>
      </c>
      <c r="B480" s="2">
        <v>0.792156862745098</v>
      </c>
      <c r="C480" s="2">
        <v>0.78431372549019607</v>
      </c>
      <c r="D480" s="2">
        <v>0.78823529411764703</v>
      </c>
      <c r="E480" t="s">
        <v>4467</v>
      </c>
    </row>
    <row r="481" spans="1:5" x14ac:dyDescent="0.2">
      <c r="A481">
        <v>950</v>
      </c>
      <c r="B481" s="2">
        <v>0.10588235294117647</v>
      </c>
      <c r="C481" s="2">
        <v>0.49803921568627452</v>
      </c>
      <c r="D481" s="2">
        <v>0.3843137254901961</v>
      </c>
      <c r="E481" t="s">
        <v>4468</v>
      </c>
    </row>
    <row r="482" spans="1:5" x14ac:dyDescent="0.2">
      <c r="A482">
        <v>951</v>
      </c>
      <c r="B482" s="2">
        <v>0.98431372549019602</v>
      </c>
      <c r="C482" s="2">
        <v>0.9882352941176471</v>
      </c>
      <c r="D482" s="2">
        <v>0.56862745098039214</v>
      </c>
      <c r="E482" t="s">
        <v>4469</v>
      </c>
    </row>
    <row r="483" spans="1:5" x14ac:dyDescent="0.2">
      <c r="A483">
        <v>952</v>
      </c>
      <c r="B483" s="2">
        <v>0.62745098039215685</v>
      </c>
      <c r="C483" s="2">
        <v>0.93333333333333335</v>
      </c>
      <c r="D483" s="2">
        <v>0.61176470588235299</v>
      </c>
      <c r="E483" t="s">
        <v>4470</v>
      </c>
    </row>
    <row r="484" spans="1:5" x14ac:dyDescent="0.2">
      <c r="A484">
        <v>954</v>
      </c>
      <c r="B484" s="2">
        <v>3.9215686274509803E-3</v>
      </c>
      <c r="C484" s="2">
        <v>0.57647058823529407</v>
      </c>
      <c r="D484" s="2">
        <v>0.58823529411764708</v>
      </c>
      <c r="E484" t="s">
        <v>4471</v>
      </c>
    </row>
    <row r="485" spans="1:5" x14ac:dyDescent="0.2">
      <c r="A485">
        <v>955</v>
      </c>
      <c r="B485" s="2">
        <v>0.9882352941176471</v>
      </c>
      <c r="C485" s="2">
        <v>0.70196078431372544</v>
      </c>
      <c r="D485" s="2">
        <v>0.84313725490196079</v>
      </c>
      <c r="E485" t="s">
        <v>4472</v>
      </c>
    </row>
    <row r="486" spans="1:5" x14ac:dyDescent="0.2">
      <c r="A486">
        <v>956</v>
      </c>
      <c r="B486" s="2">
        <v>0.792156862745098</v>
      </c>
      <c r="C486" s="2">
        <v>0.7803921568627451</v>
      </c>
      <c r="D486" s="2">
        <v>0.8</v>
      </c>
      <c r="E486" t="s">
        <v>4473</v>
      </c>
    </row>
    <row r="487" spans="1:5" x14ac:dyDescent="0.2">
      <c r="A487">
        <v>957</v>
      </c>
      <c r="B487" s="2">
        <v>1</v>
      </c>
      <c r="C487" s="2">
        <v>0.98039215686274506</v>
      </c>
      <c r="D487" s="2">
        <v>0.5607843137254902</v>
      </c>
      <c r="E487" t="s">
        <v>4474</v>
      </c>
    </row>
    <row r="488" spans="1:5" x14ac:dyDescent="0.2">
      <c r="A488">
        <v>959</v>
      </c>
      <c r="B488" s="2">
        <v>3.9215686274509803E-3</v>
      </c>
      <c r="C488" s="2">
        <v>0.56470588235294117</v>
      </c>
      <c r="D488" s="2">
        <v>0.6</v>
      </c>
      <c r="E488" t="s">
        <v>4475</v>
      </c>
    </row>
    <row r="489" spans="1:5" x14ac:dyDescent="0.2">
      <c r="A489">
        <v>961</v>
      </c>
      <c r="B489" s="2">
        <v>0.41568627450980394</v>
      </c>
      <c r="C489" s="2">
        <v>0.792156862745098</v>
      </c>
      <c r="D489" s="2">
        <v>0.72549019607843135</v>
      </c>
      <c r="E489" t="s">
        <v>4476</v>
      </c>
    </row>
    <row r="490" spans="1:5" x14ac:dyDescent="0.2">
      <c r="A490">
        <v>962</v>
      </c>
      <c r="B490" s="2">
        <v>0.11764705882352941</v>
      </c>
      <c r="C490" s="2">
        <v>0.61568627450980395</v>
      </c>
      <c r="D490" s="2">
        <v>0.34509803921568627</v>
      </c>
      <c r="E490" t="s">
        <v>4477</v>
      </c>
    </row>
    <row r="491" spans="1:5" x14ac:dyDescent="0.2">
      <c r="A491">
        <v>963</v>
      </c>
      <c r="B491" s="2">
        <v>0.99607843137254903</v>
      </c>
      <c r="C491" s="2">
        <v>0.69019607843137254</v>
      </c>
      <c r="D491" s="2">
        <v>0.85098039215686272</v>
      </c>
      <c r="E491" t="s">
        <v>4478</v>
      </c>
    </row>
    <row r="492" spans="1:5" x14ac:dyDescent="0.2">
      <c r="A492">
        <v>964</v>
      </c>
      <c r="B492" s="2">
        <v>0.78823529411764703</v>
      </c>
      <c r="C492" s="2">
        <v>0.78431372549019607</v>
      </c>
      <c r="D492" s="2">
        <v>0.792156862745098</v>
      </c>
      <c r="E492" t="s">
        <v>4479</v>
      </c>
    </row>
    <row r="493" spans="1:5" x14ac:dyDescent="0.2">
      <c r="A493">
        <v>965</v>
      </c>
      <c r="B493" s="2">
        <v>0.10196078431372549</v>
      </c>
      <c r="C493" s="2">
        <v>0.64313725490196083</v>
      </c>
      <c r="D493" s="2">
        <v>0.58823529411764708</v>
      </c>
      <c r="E493" t="s">
        <v>4480</v>
      </c>
    </row>
    <row r="494" spans="1:5" x14ac:dyDescent="0.2">
      <c r="A494">
        <v>966</v>
      </c>
      <c r="B494" s="2">
        <v>0.62745098039215685</v>
      </c>
      <c r="C494" s="2">
        <v>0.92941176470588238</v>
      </c>
      <c r="D494" s="2">
        <v>0.61568627450980395</v>
      </c>
      <c r="E494" t="s">
        <v>4481</v>
      </c>
    </row>
    <row r="495" spans="1:5" x14ac:dyDescent="0.2">
      <c r="A495">
        <v>968</v>
      </c>
      <c r="B495" s="2">
        <v>0.99215686274509807</v>
      </c>
      <c r="C495" s="2">
        <v>0.9882352941176471</v>
      </c>
      <c r="D495" s="2">
        <v>0.5607843137254902</v>
      </c>
      <c r="E495" t="s">
        <v>4482</v>
      </c>
    </row>
    <row r="496" spans="1:5" x14ac:dyDescent="0.2">
      <c r="A496">
        <v>969</v>
      </c>
      <c r="B496" s="2">
        <v>0.14117647058823529</v>
      </c>
      <c r="C496" s="2">
        <v>0.54117647058823526</v>
      </c>
      <c r="D496" s="2">
        <v>0.35686274509803922</v>
      </c>
      <c r="E496" t="s">
        <v>4483</v>
      </c>
    </row>
    <row r="497" spans="1:5" x14ac:dyDescent="0.2">
      <c r="A497">
        <v>970</v>
      </c>
      <c r="B497" s="2">
        <v>0.9882352941176471</v>
      </c>
      <c r="C497" s="2">
        <v>0.70196078431372544</v>
      </c>
      <c r="D497" s="2">
        <v>0.84705882352941175</v>
      </c>
      <c r="E497" t="s">
        <v>4484</v>
      </c>
    </row>
    <row r="498" spans="1:5" x14ac:dyDescent="0.2">
      <c r="A498">
        <v>971</v>
      </c>
      <c r="B498" s="2">
        <v>0.78431372549019607</v>
      </c>
      <c r="C498" s="2">
        <v>0.78823529411764703</v>
      </c>
      <c r="D498" s="2">
        <v>0.792156862745098</v>
      </c>
      <c r="E498" t="s">
        <v>4485</v>
      </c>
    </row>
    <row r="499" spans="1:5" x14ac:dyDescent="0.2">
      <c r="A499">
        <v>973</v>
      </c>
      <c r="B499" s="2">
        <v>3.9215686274509803E-2</v>
      </c>
      <c r="C499" s="2">
        <v>0.51764705882352946</v>
      </c>
      <c r="D499" s="2">
        <v>0.53725490196078429</v>
      </c>
      <c r="E499" t="s">
        <v>4486</v>
      </c>
    </row>
    <row r="500" spans="1:5" x14ac:dyDescent="0.2">
      <c r="A500">
        <v>974</v>
      </c>
      <c r="B500" s="2">
        <v>0.10588235294117647</v>
      </c>
      <c r="C500" s="2">
        <v>0.49411764705882355</v>
      </c>
      <c r="D500" s="2">
        <v>0.38823529411764707</v>
      </c>
      <c r="E500" t="s">
        <v>4487</v>
      </c>
    </row>
    <row r="501" spans="1:5" x14ac:dyDescent="0.2">
      <c r="A501">
        <v>975</v>
      </c>
      <c r="B501" s="2">
        <v>0.99607843137254903</v>
      </c>
      <c r="C501" s="2">
        <v>0.5607843137254902</v>
      </c>
      <c r="D501" s="2">
        <v>0.9882352941176471</v>
      </c>
      <c r="E501" t="s">
        <v>4488</v>
      </c>
    </row>
    <row r="502" spans="1:5" x14ac:dyDescent="0.2">
      <c r="A502">
        <v>976</v>
      </c>
      <c r="B502" s="2">
        <v>0.99215686274509807</v>
      </c>
      <c r="C502" s="2">
        <v>0.98039215686274506</v>
      </c>
      <c r="D502" s="2">
        <v>0.56862745098039214</v>
      </c>
      <c r="E502" t="s">
        <v>4489</v>
      </c>
    </row>
    <row r="503" spans="1:5" x14ac:dyDescent="0.2">
      <c r="A503">
        <v>977</v>
      </c>
      <c r="B503" s="2">
        <v>5.4901960784313725E-2</v>
      </c>
      <c r="C503" s="2">
        <v>0.62352941176470589</v>
      </c>
      <c r="D503" s="2">
        <v>0.56862745098039214</v>
      </c>
      <c r="E503" t="s">
        <v>4490</v>
      </c>
    </row>
    <row r="504" spans="1:5" x14ac:dyDescent="0.2">
      <c r="A504">
        <v>978</v>
      </c>
      <c r="B504" s="2">
        <v>0.9882352941176471</v>
      </c>
      <c r="C504" s="2">
        <v>0.69803921568627447</v>
      </c>
      <c r="D504" s="2">
        <v>0.85098039215686272</v>
      </c>
      <c r="E504" t="s">
        <v>4491</v>
      </c>
    </row>
    <row r="505" spans="1:5" x14ac:dyDescent="0.2">
      <c r="A505">
        <v>980</v>
      </c>
      <c r="B505" s="2">
        <v>0.9882352941176471</v>
      </c>
      <c r="C505" s="2">
        <v>0.29803921568627451</v>
      </c>
      <c r="D505" s="2">
        <v>0.24313725490196078</v>
      </c>
      <c r="E505" t="s">
        <v>4492</v>
      </c>
    </row>
    <row r="506" spans="1:5" x14ac:dyDescent="0.2">
      <c r="A506">
        <v>981</v>
      </c>
      <c r="B506" s="2">
        <v>9.4117647058823528E-2</v>
      </c>
      <c r="C506" s="2">
        <v>0.50196078431372548</v>
      </c>
      <c r="D506" s="2">
        <v>0.37647058823529411</v>
      </c>
      <c r="E506" t="s">
        <v>4493</v>
      </c>
    </row>
    <row r="507" spans="1:5" x14ac:dyDescent="0.2">
      <c r="A507">
        <v>982</v>
      </c>
      <c r="B507" s="2">
        <v>0.49411764705882355</v>
      </c>
      <c r="C507" s="2">
        <v>0.80392156862745101</v>
      </c>
      <c r="D507" s="2">
        <v>0.29019607843137257</v>
      </c>
      <c r="E507" t="s">
        <v>4494</v>
      </c>
    </row>
    <row r="508" spans="1:5" x14ac:dyDescent="0.2">
      <c r="A508">
        <v>984</v>
      </c>
      <c r="B508" s="2">
        <v>1</v>
      </c>
      <c r="C508" s="2">
        <v>0.9882352941176471</v>
      </c>
      <c r="D508" s="2">
        <v>0.55686274509803924</v>
      </c>
      <c r="E508" t="s">
        <v>4495</v>
      </c>
    </row>
    <row r="509" spans="1:5" x14ac:dyDescent="0.2">
      <c r="A509">
        <v>986</v>
      </c>
      <c r="B509" s="2">
        <v>0.7803921568627451</v>
      </c>
      <c r="C509" s="2">
        <v>0.792156862745098</v>
      </c>
      <c r="D509" s="2">
        <v>0.8</v>
      </c>
      <c r="E509" t="s">
        <v>4496</v>
      </c>
    </row>
    <row r="510" spans="1:5" x14ac:dyDescent="0.2">
      <c r="A510">
        <v>988</v>
      </c>
      <c r="B510" s="2">
        <v>5.0980392156862744E-2</v>
      </c>
      <c r="C510" s="2">
        <v>0.61960784313725492</v>
      </c>
      <c r="D510" s="2">
        <v>0.56470588235294117</v>
      </c>
      <c r="E510" t="s">
        <v>4497</v>
      </c>
    </row>
    <row r="511" spans="1:5" x14ac:dyDescent="0.2">
      <c r="A511">
        <v>989</v>
      </c>
      <c r="B511" s="2">
        <v>1</v>
      </c>
      <c r="C511" s="2">
        <v>0.9882352941176471</v>
      </c>
      <c r="D511" s="2">
        <v>0.73725490196078436</v>
      </c>
      <c r="E511" t="s">
        <v>4498</v>
      </c>
    </row>
    <row r="512" spans="1:5" x14ac:dyDescent="0.2">
      <c r="A512">
        <v>990</v>
      </c>
      <c r="B512" s="2">
        <v>7.8431372549019607E-3</v>
      </c>
      <c r="C512" s="2">
        <v>0.56862745098039214</v>
      </c>
      <c r="D512" s="2">
        <v>0.59215686274509804</v>
      </c>
      <c r="E512" t="s">
        <v>4499</v>
      </c>
    </row>
    <row r="513" spans="1:5" x14ac:dyDescent="0.2">
      <c r="A513">
        <v>996</v>
      </c>
      <c r="B513" s="2">
        <v>0.12549019607843137</v>
      </c>
      <c r="C513" s="2">
        <v>0.59215686274509804</v>
      </c>
      <c r="D513" s="2">
        <v>0.39215686274509803</v>
      </c>
      <c r="E513" t="s">
        <v>4500</v>
      </c>
    </row>
    <row r="514" spans="1:5" x14ac:dyDescent="0.2">
      <c r="A514">
        <v>997</v>
      </c>
      <c r="B514" s="2">
        <v>0</v>
      </c>
      <c r="C514" s="2">
        <v>0</v>
      </c>
      <c r="D514" s="2">
        <v>0</v>
      </c>
      <c r="E514" t="s">
        <v>4501</v>
      </c>
    </row>
    <row r="515" spans="1:5" x14ac:dyDescent="0.2">
      <c r="A515">
        <v>998</v>
      </c>
      <c r="B515" s="2">
        <v>0.49411764705882355</v>
      </c>
      <c r="C515" s="2">
        <v>0.80392156862745101</v>
      </c>
      <c r="D515" s="2">
        <v>0.97254901960784312</v>
      </c>
      <c r="E515" t="s">
        <v>4502</v>
      </c>
    </row>
    <row r="516" spans="1:5" x14ac:dyDescent="0.2">
      <c r="A516">
        <v>1004</v>
      </c>
      <c r="B516" s="2">
        <v>1</v>
      </c>
      <c r="C516" s="2">
        <v>0.29411764705882354</v>
      </c>
      <c r="D516" s="2">
        <v>0.23137254901960785</v>
      </c>
      <c r="E516" t="s">
        <v>4503</v>
      </c>
    </row>
    <row r="517" spans="1:5" x14ac:dyDescent="0.2">
      <c r="A517">
        <v>1005</v>
      </c>
      <c r="B517" s="2">
        <v>1.1764705882352941E-2</v>
      </c>
      <c r="C517" s="2">
        <v>0.56862745098039214</v>
      </c>
      <c r="D517" s="2">
        <v>0.59607843137254901</v>
      </c>
      <c r="E517" t="s">
        <v>4504</v>
      </c>
    </row>
    <row r="518" spans="1:5" x14ac:dyDescent="0.2">
      <c r="A518">
        <v>1006</v>
      </c>
      <c r="B518" s="2">
        <v>9.4117647058823528E-2</v>
      </c>
      <c r="C518" s="2">
        <v>0.48627450980392156</v>
      </c>
      <c r="D518" s="2">
        <v>0.39215686274509803</v>
      </c>
      <c r="E518" t="s">
        <v>4505</v>
      </c>
    </row>
    <row r="519" spans="1:5" x14ac:dyDescent="0.2">
      <c r="A519">
        <v>1007</v>
      </c>
      <c r="B519" s="2">
        <v>0.99215686274509807</v>
      </c>
      <c r="C519" s="2">
        <v>0.98431372549019602</v>
      </c>
      <c r="D519" s="2">
        <v>0.5607843137254902</v>
      </c>
      <c r="E519" t="s">
        <v>4506</v>
      </c>
    </row>
    <row r="520" spans="1:5" x14ac:dyDescent="0.2">
      <c r="A520">
        <v>1009</v>
      </c>
      <c r="B520" s="2">
        <v>0.792156862745098</v>
      </c>
      <c r="C520" s="2">
        <v>0.7803921568627451</v>
      </c>
      <c r="D520" s="2">
        <v>0.79607843137254897</v>
      </c>
      <c r="E520" t="s">
        <v>4507</v>
      </c>
    </row>
    <row r="521" spans="1:5" x14ac:dyDescent="0.2">
      <c r="A521">
        <v>1010</v>
      </c>
      <c r="B521" s="2">
        <v>6.6666666666666666E-2</v>
      </c>
      <c r="C521" s="2">
        <v>0.67450980392156867</v>
      </c>
      <c r="D521" s="2">
        <v>0.50980392156862742</v>
      </c>
      <c r="E521" t="s">
        <v>4508</v>
      </c>
    </row>
    <row r="522" spans="1:5" x14ac:dyDescent="0.2">
      <c r="A522">
        <v>1015</v>
      </c>
      <c r="B522" s="2">
        <v>0.24313725490196078</v>
      </c>
      <c r="C522" s="2">
        <v>0.6470588235294118</v>
      </c>
      <c r="D522" s="2">
        <v>0.4</v>
      </c>
      <c r="E522" t="s">
        <v>4509</v>
      </c>
    </row>
    <row r="523" spans="1:5" x14ac:dyDescent="0.2">
      <c r="A523">
        <v>1016</v>
      </c>
      <c r="B523" s="2">
        <v>0.7803921568627451</v>
      </c>
      <c r="C523" s="2">
        <v>0.79607843137254897</v>
      </c>
      <c r="D523" s="2">
        <v>0.792156862745098</v>
      </c>
      <c r="E523" t="s">
        <v>4510</v>
      </c>
    </row>
    <row r="524" spans="1:5" x14ac:dyDescent="0.2">
      <c r="A524">
        <v>1020</v>
      </c>
      <c r="B524" s="2">
        <v>1</v>
      </c>
      <c r="C524" s="2">
        <v>0.55686274509803924</v>
      </c>
      <c r="D524" s="2">
        <v>0.61176470588235299</v>
      </c>
      <c r="E524" t="s">
        <v>4511</v>
      </c>
    </row>
    <row r="525" spans="1:5" x14ac:dyDescent="0.2">
      <c r="A525">
        <v>1021</v>
      </c>
      <c r="B525" s="2">
        <v>0.11372549019607843</v>
      </c>
      <c r="C525" s="2">
        <v>0.61176470588235299</v>
      </c>
      <c r="D525" s="2">
        <v>0.35294117647058826</v>
      </c>
      <c r="E525" t="s">
        <v>4512</v>
      </c>
    </row>
    <row r="526" spans="1:5" x14ac:dyDescent="0.2">
      <c r="A526">
        <v>1022</v>
      </c>
      <c r="B526" s="2">
        <v>0.52156862745098043</v>
      </c>
      <c r="C526" s="2">
        <v>0.59607843137254901</v>
      </c>
      <c r="D526" s="2">
        <v>0.8</v>
      </c>
      <c r="E526" t="s">
        <v>4513</v>
      </c>
    </row>
    <row r="527" spans="1:5" x14ac:dyDescent="0.2">
      <c r="A527">
        <v>1023</v>
      </c>
      <c r="B527" s="2">
        <v>3.9215686274509803E-3</v>
      </c>
      <c r="C527" s="2">
        <v>0.56470588235294117</v>
      </c>
      <c r="D527" s="2">
        <v>0.59607843137254901</v>
      </c>
      <c r="E527" t="s">
        <v>4514</v>
      </c>
    </row>
    <row r="528" spans="1:5" x14ac:dyDescent="0.2">
      <c r="A528">
        <v>1025</v>
      </c>
      <c r="B528" s="2">
        <v>1</v>
      </c>
      <c r="C528" s="2">
        <v>0.98431372549019602</v>
      </c>
      <c r="D528" s="2">
        <v>0.55686274509803924</v>
      </c>
      <c r="E528" t="s">
        <v>4515</v>
      </c>
    </row>
    <row r="529" spans="1:5" x14ac:dyDescent="0.2">
      <c r="A529">
        <v>1026</v>
      </c>
      <c r="B529" s="2">
        <v>0.10980392156862745</v>
      </c>
      <c r="C529" s="2">
        <v>0.50196078431372548</v>
      </c>
      <c r="D529" s="2">
        <v>0.39215686274509803</v>
      </c>
      <c r="E529" t="s">
        <v>4516</v>
      </c>
    </row>
    <row r="530" spans="1:5" x14ac:dyDescent="0.2">
      <c r="A530">
        <v>1029</v>
      </c>
      <c r="B530" s="2">
        <v>1</v>
      </c>
      <c r="C530" s="2">
        <v>0.55294117647058827</v>
      </c>
      <c r="D530" s="2">
        <v>0.61568627450980395</v>
      </c>
      <c r="E530" t="s">
        <v>4517</v>
      </c>
    </row>
    <row r="531" spans="1:5" x14ac:dyDescent="0.2">
      <c r="A531">
        <v>1030</v>
      </c>
      <c r="B531" s="2">
        <v>9.4117647058823528E-2</v>
      </c>
      <c r="C531" s="2">
        <v>0.49803921568627452</v>
      </c>
      <c r="D531" s="2">
        <v>0.37647058823529411</v>
      </c>
      <c r="E531" t="s">
        <v>4518</v>
      </c>
    </row>
    <row r="532" spans="1:5" x14ac:dyDescent="0.2">
      <c r="A532">
        <v>1031</v>
      </c>
      <c r="B532" s="2">
        <v>0.51764705882352946</v>
      </c>
      <c r="C532" s="2">
        <v>0.6</v>
      </c>
      <c r="D532" s="2">
        <v>0.8</v>
      </c>
      <c r="E532" t="s">
        <v>4519</v>
      </c>
    </row>
    <row r="533" spans="1:5" x14ac:dyDescent="0.2">
      <c r="A533">
        <v>1033</v>
      </c>
      <c r="B533" s="2">
        <v>1</v>
      </c>
      <c r="C533" s="2">
        <v>0.97647058823529409</v>
      </c>
      <c r="D533" s="2">
        <v>0.56470588235294117</v>
      </c>
      <c r="E533" t="s">
        <v>4520</v>
      </c>
    </row>
    <row r="534" spans="1:5" x14ac:dyDescent="0.2">
      <c r="A534">
        <v>1035</v>
      </c>
      <c r="B534" s="2">
        <v>9.4117647058823528E-2</v>
      </c>
      <c r="C534" s="2">
        <v>0.48627450980392156</v>
      </c>
      <c r="D534" s="2">
        <v>0.38823529411764707</v>
      </c>
      <c r="E534" t="s">
        <v>4521</v>
      </c>
    </row>
    <row r="535" spans="1:5" x14ac:dyDescent="0.2">
      <c r="A535">
        <v>1037</v>
      </c>
      <c r="B535" s="2">
        <v>0.27843137254901962</v>
      </c>
      <c r="C535" s="2">
        <v>0.78431372549019607</v>
      </c>
      <c r="D535" s="2">
        <v>0.23529411764705882</v>
      </c>
      <c r="E535" t="s">
        <v>4522</v>
      </c>
    </row>
    <row r="536" spans="1:5" x14ac:dyDescent="0.2">
      <c r="A536">
        <v>1038</v>
      </c>
      <c r="B536" s="2">
        <v>9.8039215686274508E-2</v>
      </c>
      <c r="C536" s="2">
        <v>0.50196078431372548</v>
      </c>
      <c r="D536" s="2">
        <v>0.37647058823529411</v>
      </c>
      <c r="E536" t="s">
        <v>4523</v>
      </c>
    </row>
    <row r="537" spans="1:5" x14ac:dyDescent="0.2">
      <c r="A537">
        <v>1039</v>
      </c>
      <c r="B537" s="2">
        <v>0.99607843137254903</v>
      </c>
      <c r="C537" s="2">
        <v>0.63921568627450975</v>
      </c>
      <c r="D537" s="2">
        <v>0.81568627450980391</v>
      </c>
      <c r="E537" t="s">
        <v>4524</v>
      </c>
    </row>
    <row r="538" spans="1:5" x14ac:dyDescent="0.2">
      <c r="A538">
        <v>1041</v>
      </c>
      <c r="B538" s="2">
        <v>1</v>
      </c>
      <c r="C538" s="2">
        <v>0.9882352941176471</v>
      </c>
      <c r="D538" s="2">
        <v>0.55294117647058827</v>
      </c>
      <c r="E538" t="s">
        <v>4525</v>
      </c>
    </row>
    <row r="539" spans="1:5" x14ac:dyDescent="0.2">
      <c r="A539">
        <v>1043</v>
      </c>
      <c r="B539" s="2">
        <v>0.78431372549019607</v>
      </c>
      <c r="C539" s="2">
        <v>0.78431372549019607</v>
      </c>
      <c r="D539" s="2">
        <v>0.8</v>
      </c>
      <c r="E539" t="s">
        <v>4526</v>
      </c>
    </row>
    <row r="540" spans="1:5" x14ac:dyDescent="0.2">
      <c r="A540">
        <v>1044</v>
      </c>
      <c r="B540" s="2">
        <v>0.99215686274509807</v>
      </c>
      <c r="C540" s="2">
        <v>0.49803921568627452</v>
      </c>
      <c r="D540" s="2">
        <v>0.51764705882352946</v>
      </c>
      <c r="E540" t="s">
        <v>4527</v>
      </c>
    </row>
    <row r="541" spans="1:5" x14ac:dyDescent="0.2">
      <c r="A541">
        <v>1045</v>
      </c>
      <c r="B541" s="2">
        <v>5.4901960784313725E-2</v>
      </c>
      <c r="C541" s="2">
        <v>0.62352941176470589</v>
      </c>
      <c r="D541" s="2">
        <v>0.56470588235294117</v>
      </c>
      <c r="E541" t="s">
        <v>4528</v>
      </c>
    </row>
    <row r="542" spans="1:5" x14ac:dyDescent="0.2">
      <c r="A542">
        <v>1046</v>
      </c>
      <c r="B542" s="2">
        <v>3.9215686274509803E-2</v>
      </c>
      <c r="C542" s="2">
        <v>0.50980392156862742</v>
      </c>
      <c r="D542" s="2">
        <v>0.54509803921568623</v>
      </c>
      <c r="E542" t="s">
        <v>4529</v>
      </c>
    </row>
    <row r="543" spans="1:5" x14ac:dyDescent="0.2">
      <c r="A543">
        <v>1047</v>
      </c>
      <c r="B543" s="2">
        <v>9.8039215686274508E-2</v>
      </c>
      <c r="C543" s="2">
        <v>0.48627450980392156</v>
      </c>
      <c r="D543" s="2">
        <v>0.39215686274509803</v>
      </c>
      <c r="E543" t="s">
        <v>4530</v>
      </c>
    </row>
    <row r="544" spans="1:5" x14ac:dyDescent="0.2">
      <c r="A544">
        <v>1048</v>
      </c>
      <c r="B544" s="2">
        <v>0.99607843137254903</v>
      </c>
      <c r="C544" s="2">
        <v>0.69019607843137254</v>
      </c>
      <c r="D544" s="2">
        <v>0.84705882352941175</v>
      </c>
      <c r="E544" t="s">
        <v>4531</v>
      </c>
    </row>
    <row r="545" spans="1:5" x14ac:dyDescent="0.2">
      <c r="A545">
        <v>1049</v>
      </c>
      <c r="B545" s="2">
        <v>0.99607843137254903</v>
      </c>
      <c r="C545" s="2">
        <v>0.97647058823529409</v>
      </c>
      <c r="D545" s="2">
        <v>0.56862745098039214</v>
      </c>
      <c r="E545" t="s">
        <v>4532</v>
      </c>
    </row>
    <row r="546" spans="1:5" x14ac:dyDescent="0.2">
      <c r="A546">
        <v>1052</v>
      </c>
      <c r="B546" s="2">
        <v>1</v>
      </c>
      <c r="C546" s="2">
        <v>0.6470588235294118</v>
      </c>
      <c r="D546" s="2">
        <v>0.99215686274509807</v>
      </c>
      <c r="E546" t="s">
        <v>4533</v>
      </c>
    </row>
    <row r="547" spans="1:5" x14ac:dyDescent="0.2">
      <c r="A547">
        <v>1054</v>
      </c>
      <c r="B547" s="2">
        <v>0.34509803921568627</v>
      </c>
      <c r="C547" s="2">
        <v>0.70196078431372544</v>
      </c>
      <c r="D547" s="2">
        <v>0.3843137254901961</v>
      </c>
      <c r="E547" t="s">
        <v>4534</v>
      </c>
    </row>
    <row r="548" spans="1:5" x14ac:dyDescent="0.2">
      <c r="A548">
        <v>1056</v>
      </c>
      <c r="B548" s="2">
        <v>0.9882352941176471</v>
      </c>
      <c r="C548" s="2">
        <v>0.9882352941176471</v>
      </c>
      <c r="D548" s="2">
        <v>0.56470588235294117</v>
      </c>
      <c r="E548" t="s">
        <v>4535</v>
      </c>
    </row>
    <row r="549" spans="1:5" x14ac:dyDescent="0.2">
      <c r="A549">
        <v>1058</v>
      </c>
      <c r="B549" s="2">
        <v>7.0588235294117646E-2</v>
      </c>
      <c r="C549" s="2">
        <v>0.67843137254901964</v>
      </c>
      <c r="D549" s="2">
        <v>0.50980392156862742</v>
      </c>
      <c r="E549" t="s">
        <v>4536</v>
      </c>
    </row>
    <row r="550" spans="1:5" x14ac:dyDescent="0.2">
      <c r="A550">
        <v>1060</v>
      </c>
      <c r="B550" s="2">
        <v>0.792156862745098</v>
      </c>
      <c r="C550" s="2">
        <v>0.792156862745098</v>
      </c>
      <c r="D550" s="2">
        <v>0.7803921568627451</v>
      </c>
      <c r="E550" t="s">
        <v>4537</v>
      </c>
    </row>
    <row r="551" spans="1:5" x14ac:dyDescent="0.2">
      <c r="A551">
        <v>1061</v>
      </c>
      <c r="B551" s="2">
        <v>0.9882352941176471</v>
      </c>
      <c r="C551" s="2">
        <v>0.5607843137254902</v>
      </c>
      <c r="D551" s="2">
        <v>0.99607843137254903</v>
      </c>
      <c r="E551" t="s">
        <v>4538</v>
      </c>
    </row>
    <row r="552" spans="1:5" x14ac:dyDescent="0.2">
      <c r="A552">
        <v>1062</v>
      </c>
      <c r="B552" s="2">
        <v>0.10196078431372549</v>
      </c>
      <c r="C552" s="2">
        <v>0.49411764705882355</v>
      </c>
      <c r="D552" s="2">
        <v>0.38039215686274508</v>
      </c>
      <c r="E552" t="s">
        <v>4539</v>
      </c>
    </row>
    <row r="553" spans="1:5" x14ac:dyDescent="0.2">
      <c r="A553">
        <v>1064</v>
      </c>
      <c r="B553" s="2">
        <v>0.9882352941176471</v>
      </c>
      <c r="C553" s="2">
        <v>0.98039215686274506</v>
      </c>
      <c r="D553" s="2">
        <v>0.56862745098039214</v>
      </c>
      <c r="E553" t="s">
        <v>4540</v>
      </c>
    </row>
    <row r="554" spans="1:5" x14ac:dyDescent="0.2">
      <c r="A554">
        <v>1066</v>
      </c>
      <c r="B554" s="2">
        <v>4.3137254901960784E-2</v>
      </c>
      <c r="C554" s="2">
        <v>0.51764705882352946</v>
      </c>
      <c r="D554" s="2">
        <v>0.54117647058823526</v>
      </c>
      <c r="E554" t="s">
        <v>4541</v>
      </c>
    </row>
    <row r="555" spans="1:5" x14ac:dyDescent="0.2">
      <c r="A555">
        <v>1069</v>
      </c>
      <c r="B555" s="2">
        <v>0.9882352941176471</v>
      </c>
      <c r="C555" s="2">
        <v>0.69803921568627447</v>
      </c>
      <c r="D555" s="2">
        <v>0.84705882352941175</v>
      </c>
      <c r="E555" t="s">
        <v>4542</v>
      </c>
    </row>
    <row r="556" spans="1:5" x14ac:dyDescent="0.2">
      <c r="A556">
        <v>1070</v>
      </c>
      <c r="B556" s="2">
        <v>0.10196078431372549</v>
      </c>
      <c r="C556" s="2">
        <v>0.49019607843137253</v>
      </c>
      <c r="D556" s="2">
        <v>0.3843137254901961</v>
      </c>
      <c r="E556" t="s">
        <v>4543</v>
      </c>
    </row>
    <row r="557" spans="1:5" x14ac:dyDescent="0.2">
      <c r="A557">
        <v>1072</v>
      </c>
      <c r="B557" s="2">
        <v>0.99607843137254903</v>
      </c>
      <c r="C557" s="2">
        <v>0.49803921568627452</v>
      </c>
      <c r="D557" s="2">
        <v>0.50980392156862742</v>
      </c>
      <c r="E557" t="s">
        <v>4544</v>
      </c>
    </row>
    <row r="558" spans="1:5" x14ac:dyDescent="0.2">
      <c r="A558">
        <v>1074</v>
      </c>
      <c r="B558" s="2">
        <v>4.3137254901960784E-2</v>
      </c>
      <c r="C558" s="2">
        <v>0.51372549019607838</v>
      </c>
      <c r="D558" s="2">
        <v>0.54509803921568623</v>
      </c>
      <c r="E558" t="s">
        <v>4545</v>
      </c>
    </row>
    <row r="559" spans="1:5" x14ac:dyDescent="0.2">
      <c r="A559">
        <v>1077</v>
      </c>
      <c r="B559" s="2">
        <v>0.99215686274509807</v>
      </c>
      <c r="C559" s="2">
        <v>0.56470588235294117</v>
      </c>
      <c r="D559" s="2">
        <v>0.61176470588235299</v>
      </c>
      <c r="E559" t="s">
        <v>4546</v>
      </c>
    </row>
    <row r="560" spans="1:5" x14ac:dyDescent="0.2">
      <c r="A560">
        <v>1079</v>
      </c>
      <c r="B560" s="2">
        <v>0.99607843137254903</v>
      </c>
      <c r="C560" s="2">
        <v>0.49411764705882355</v>
      </c>
      <c r="D560" s="2">
        <v>0.51372549019607838</v>
      </c>
      <c r="E560" t="s">
        <v>4547</v>
      </c>
    </row>
    <row r="561" spans="1:5" x14ac:dyDescent="0.2">
      <c r="A561">
        <v>1081</v>
      </c>
      <c r="B561" s="2">
        <v>0.34509803921568627</v>
      </c>
      <c r="C561" s="2">
        <v>0.69803921568627447</v>
      </c>
      <c r="D561" s="2">
        <v>0.38823529411764707</v>
      </c>
      <c r="E561" t="s">
        <v>4548</v>
      </c>
    </row>
    <row r="562" spans="1:5" x14ac:dyDescent="0.2">
      <c r="A562">
        <v>1084</v>
      </c>
      <c r="B562" s="2">
        <v>0.34901960784313724</v>
      </c>
      <c r="C562" s="2">
        <v>0.72156862745098038</v>
      </c>
      <c r="D562" s="2">
        <v>0.27843137254901962</v>
      </c>
      <c r="E562" t="s">
        <v>4549</v>
      </c>
    </row>
    <row r="563" spans="1:5" x14ac:dyDescent="0.2">
      <c r="A563">
        <v>1085</v>
      </c>
      <c r="B563" s="2">
        <v>0.11764705882352941</v>
      </c>
      <c r="C563" s="2">
        <v>0.61176470588235299</v>
      </c>
      <c r="D563" s="2">
        <v>0.34509803921568627</v>
      </c>
      <c r="E563" t="s">
        <v>4550</v>
      </c>
    </row>
    <row r="564" spans="1:5" x14ac:dyDescent="0.2">
      <c r="A564">
        <v>1086</v>
      </c>
      <c r="B564" s="2">
        <v>0.10588235294117647</v>
      </c>
      <c r="C564" s="2">
        <v>0.49411764705882355</v>
      </c>
      <c r="D564" s="2">
        <v>0.3843137254901961</v>
      </c>
      <c r="E564" t="s">
        <v>4551</v>
      </c>
    </row>
    <row r="565" spans="1:5" x14ac:dyDescent="0.2">
      <c r="A565">
        <v>1088</v>
      </c>
      <c r="B565" s="2">
        <v>0.99215686274509807</v>
      </c>
      <c r="C565" s="2">
        <v>0.49803921568627452</v>
      </c>
      <c r="D565" s="2">
        <v>0.51372549019607838</v>
      </c>
      <c r="E565" t="s">
        <v>4552</v>
      </c>
    </row>
    <row r="566" spans="1:5" x14ac:dyDescent="0.2">
      <c r="A566">
        <v>1089</v>
      </c>
      <c r="B566" s="2">
        <v>0.49019607843137253</v>
      </c>
      <c r="C566" s="2">
        <v>0.80392156862745101</v>
      </c>
      <c r="D566" s="2">
        <v>0.29411764705882354</v>
      </c>
      <c r="E566" t="s">
        <v>4553</v>
      </c>
    </row>
    <row r="567" spans="1:5" x14ac:dyDescent="0.2">
      <c r="A567">
        <v>1090</v>
      </c>
      <c r="B567" s="2">
        <v>0.10980392156862745</v>
      </c>
      <c r="C567" s="2">
        <v>0.50196078431372548</v>
      </c>
      <c r="D567" s="2">
        <v>0.38823529411764707</v>
      </c>
      <c r="E567" t="s">
        <v>4554</v>
      </c>
    </row>
    <row r="568" spans="1:5" x14ac:dyDescent="0.2">
      <c r="A568">
        <v>1091</v>
      </c>
      <c r="B568" s="2">
        <v>0.9882352941176471</v>
      </c>
      <c r="C568" s="2">
        <v>0.98431372549019602</v>
      </c>
      <c r="D568" s="2">
        <v>0.56470588235294117</v>
      </c>
      <c r="E568" t="s">
        <v>4555</v>
      </c>
    </row>
    <row r="569" spans="1:5" x14ac:dyDescent="0.2">
      <c r="A569">
        <v>1092</v>
      </c>
      <c r="B569" s="2">
        <v>0.7803921568627451</v>
      </c>
      <c r="C569" s="2">
        <v>0.792156862745098</v>
      </c>
      <c r="D569" s="2">
        <v>0.792156862745098</v>
      </c>
      <c r="E569" t="s">
        <v>4556</v>
      </c>
    </row>
    <row r="570" spans="1:5" x14ac:dyDescent="0.2">
      <c r="A570">
        <v>1093</v>
      </c>
      <c r="B570" s="2">
        <v>0.99215686274509807</v>
      </c>
      <c r="C570" s="2">
        <v>0.72941176470588232</v>
      </c>
      <c r="D570" s="2">
        <v>0.52549019607843139</v>
      </c>
      <c r="E570" t="s">
        <v>4557</v>
      </c>
    </row>
    <row r="571" spans="1:5" x14ac:dyDescent="0.2">
      <c r="A571">
        <v>1094</v>
      </c>
      <c r="B571" s="2">
        <v>0.10980392156862745</v>
      </c>
      <c r="C571" s="2">
        <v>0.49803921568627452</v>
      </c>
      <c r="D571" s="2">
        <v>0.39215686274509803</v>
      </c>
      <c r="E571" t="s">
        <v>4558</v>
      </c>
    </row>
    <row r="572" spans="1:5" x14ac:dyDescent="0.2">
      <c r="A572">
        <v>1096</v>
      </c>
      <c r="B572" s="2">
        <v>0.99215686274509807</v>
      </c>
      <c r="C572" s="2">
        <v>0.55294117647058827</v>
      </c>
      <c r="D572" s="2">
        <v>0.62352941176470589</v>
      </c>
      <c r="E572" t="s">
        <v>4559</v>
      </c>
    </row>
    <row r="573" spans="1:5" x14ac:dyDescent="0.2">
      <c r="A573">
        <v>1097</v>
      </c>
      <c r="B573" s="2">
        <v>0.90196078431372551</v>
      </c>
      <c r="C573" s="2">
        <v>0.26666666666666666</v>
      </c>
      <c r="D573" s="2">
        <v>0.2196078431372549</v>
      </c>
      <c r="E573" t="s">
        <v>4560</v>
      </c>
    </row>
    <row r="574" spans="1:5" x14ac:dyDescent="0.2">
      <c r="A574">
        <v>1098</v>
      </c>
      <c r="B574" s="2">
        <v>0.99215686274509807</v>
      </c>
      <c r="C574" s="2">
        <v>0.69411764705882351</v>
      </c>
      <c r="D574" s="2">
        <v>0.84313725490196079</v>
      </c>
      <c r="E574" t="s">
        <v>4561</v>
      </c>
    </row>
    <row r="575" spans="1:5" x14ac:dyDescent="0.2">
      <c r="A575">
        <v>1101</v>
      </c>
      <c r="B575" s="2">
        <v>0.12549019607843137</v>
      </c>
      <c r="C575" s="2">
        <v>0.58823529411764708</v>
      </c>
      <c r="D575" s="2">
        <v>0.396078431372549</v>
      </c>
      <c r="E575" t="s">
        <v>4562</v>
      </c>
    </row>
    <row r="576" spans="1:5" x14ac:dyDescent="0.2">
      <c r="A576">
        <v>1102</v>
      </c>
      <c r="B576" s="2">
        <v>9.4117647058823528E-2</v>
      </c>
      <c r="C576" s="2">
        <v>0.49019607843137253</v>
      </c>
      <c r="D576" s="2">
        <v>0.38039215686274508</v>
      </c>
      <c r="E576" t="s">
        <v>4563</v>
      </c>
    </row>
    <row r="577" spans="1:5" x14ac:dyDescent="0.2">
      <c r="A577">
        <v>1104</v>
      </c>
      <c r="B577" s="2">
        <v>0.9882352941176471</v>
      </c>
      <c r="C577" s="2">
        <v>0.56470588235294117</v>
      </c>
      <c r="D577" s="2">
        <v>0.61568627450980395</v>
      </c>
      <c r="E577" t="s">
        <v>4564</v>
      </c>
    </row>
    <row r="578" spans="1:5" x14ac:dyDescent="0.2">
      <c r="A578">
        <v>1105</v>
      </c>
      <c r="B578" s="2">
        <v>0.50196078431372548</v>
      </c>
      <c r="C578" s="2">
        <v>0.74509803921568629</v>
      </c>
      <c r="D578" s="2">
        <v>0.88627450980392153</v>
      </c>
      <c r="E578" t="s">
        <v>4565</v>
      </c>
    </row>
    <row r="579" spans="1:5" x14ac:dyDescent="0.2">
      <c r="A579">
        <v>1106</v>
      </c>
      <c r="B579" s="2">
        <v>7.0588235294117646E-2</v>
      </c>
      <c r="C579" s="2">
        <v>0.67450980392156867</v>
      </c>
      <c r="D579" s="2">
        <v>0.51372549019607838</v>
      </c>
      <c r="E579" t="s">
        <v>4566</v>
      </c>
    </row>
    <row r="580" spans="1:5" x14ac:dyDescent="0.2">
      <c r="A580">
        <v>1107</v>
      </c>
      <c r="B580" s="2">
        <v>1</v>
      </c>
      <c r="C580" s="2">
        <v>0.69411764705882351</v>
      </c>
      <c r="D580" s="2">
        <v>0.83921568627450982</v>
      </c>
      <c r="E580" t="s">
        <v>4567</v>
      </c>
    </row>
    <row r="581" spans="1:5" x14ac:dyDescent="0.2">
      <c r="A581">
        <v>1108</v>
      </c>
      <c r="B581" s="2">
        <v>0.8</v>
      </c>
      <c r="C581" s="2">
        <v>0.7803921568627451</v>
      </c>
      <c r="D581" s="2">
        <v>0.78823529411764703</v>
      </c>
      <c r="E581" t="s">
        <v>4568</v>
      </c>
    </row>
    <row r="582" spans="1:5" x14ac:dyDescent="0.2">
      <c r="A582">
        <v>1109</v>
      </c>
      <c r="B582" s="2">
        <v>0.99215686274509807</v>
      </c>
      <c r="C582" s="2">
        <v>0.32941176470588235</v>
      </c>
      <c r="D582" s="2">
        <v>0.27450980392156865</v>
      </c>
      <c r="E582" t="s">
        <v>4569</v>
      </c>
    </row>
    <row r="583" spans="1:5" x14ac:dyDescent="0.2">
      <c r="A583">
        <v>1111</v>
      </c>
      <c r="B583" s="2">
        <v>9.8039215686274508E-2</v>
      </c>
      <c r="C583" s="2">
        <v>0.49803921568627452</v>
      </c>
      <c r="D583" s="2">
        <v>0.37647058823529411</v>
      </c>
      <c r="E583" t="s">
        <v>4570</v>
      </c>
    </row>
    <row r="584" spans="1:5" x14ac:dyDescent="0.2">
      <c r="A584">
        <v>1113</v>
      </c>
      <c r="B584" s="2">
        <v>0.9882352941176471</v>
      </c>
      <c r="C584" s="2">
        <v>0.55686274509803924</v>
      </c>
      <c r="D584" s="2">
        <v>0.62352941176470589</v>
      </c>
      <c r="E584" t="s">
        <v>4571</v>
      </c>
    </row>
    <row r="585" spans="1:5" x14ac:dyDescent="0.2">
      <c r="A585">
        <v>1114</v>
      </c>
      <c r="B585" s="2">
        <v>3.1372549019607843E-2</v>
      </c>
      <c r="C585" s="2">
        <v>0.52156862745098043</v>
      </c>
      <c r="D585" s="2">
        <v>0.53333333333333333</v>
      </c>
      <c r="E585" t="s">
        <v>4572</v>
      </c>
    </row>
    <row r="586" spans="1:5" x14ac:dyDescent="0.2">
      <c r="A586">
        <v>1116</v>
      </c>
      <c r="B586" s="2">
        <v>0.78823529411764703</v>
      </c>
      <c r="C586" s="2">
        <v>0.8</v>
      </c>
      <c r="D586" s="2">
        <v>0.7803921568627451</v>
      </c>
      <c r="E586" t="s">
        <v>4573</v>
      </c>
    </row>
    <row r="587" spans="1:5" x14ac:dyDescent="0.2">
      <c r="A587">
        <v>1120</v>
      </c>
      <c r="B587" s="2">
        <v>0.99607843137254903</v>
      </c>
      <c r="C587" s="2">
        <v>0.55686274509803924</v>
      </c>
      <c r="D587" s="2">
        <v>0.61176470588235299</v>
      </c>
      <c r="E587" t="s">
        <v>4574</v>
      </c>
    </row>
    <row r="588" spans="1:5" x14ac:dyDescent="0.2">
      <c r="A588">
        <v>1121</v>
      </c>
      <c r="B588" s="2">
        <v>0.19607843137254902</v>
      </c>
      <c r="C588" s="2">
        <v>0.71764705882352942</v>
      </c>
      <c r="D588" s="2">
        <v>0.13333333333333333</v>
      </c>
      <c r="E588" t="s">
        <v>4575</v>
      </c>
    </row>
    <row r="589" spans="1:5" x14ac:dyDescent="0.2">
      <c r="A589">
        <v>1123</v>
      </c>
      <c r="B589" s="2">
        <v>0.78823529411764703</v>
      </c>
      <c r="C589" s="2">
        <v>0.78823529411764703</v>
      </c>
      <c r="D589" s="2">
        <v>0.78431372549019607</v>
      </c>
      <c r="E589" t="s">
        <v>4576</v>
      </c>
    </row>
    <row r="590" spans="1:5" x14ac:dyDescent="0.2">
      <c r="A590">
        <v>1125</v>
      </c>
      <c r="B590" s="2">
        <v>0.13725490196078433</v>
      </c>
      <c r="C590" s="2">
        <v>0.53333333333333333</v>
      </c>
      <c r="D590" s="2">
        <v>0.36078431372549019</v>
      </c>
      <c r="E590" t="s">
        <v>4577</v>
      </c>
    </row>
    <row r="591" spans="1:5" x14ac:dyDescent="0.2">
      <c r="A591">
        <v>1126</v>
      </c>
      <c r="B591" s="2">
        <v>0.9882352941176471</v>
      </c>
      <c r="C591" s="2">
        <v>0.29803921568627451</v>
      </c>
      <c r="D591" s="2">
        <v>0.23921568627450981</v>
      </c>
      <c r="E591" t="s">
        <v>4578</v>
      </c>
    </row>
    <row r="592" spans="1:5" x14ac:dyDescent="0.2">
      <c r="A592">
        <v>1127</v>
      </c>
      <c r="B592" s="2">
        <v>8.6274509803921567E-2</v>
      </c>
      <c r="C592" s="2">
        <v>0.68627450980392157</v>
      </c>
      <c r="D592" s="2">
        <v>0.70196078431372544</v>
      </c>
      <c r="E592" t="s">
        <v>4579</v>
      </c>
    </row>
    <row r="593" spans="1:5" x14ac:dyDescent="0.2">
      <c r="A593">
        <v>1128</v>
      </c>
      <c r="B593" s="2">
        <v>9.8039215686274508E-2</v>
      </c>
      <c r="C593" s="2">
        <v>0.48627450980392156</v>
      </c>
      <c r="D593" s="2">
        <v>0.38823529411764707</v>
      </c>
      <c r="E593" t="s">
        <v>4580</v>
      </c>
    </row>
    <row r="594" spans="1:5" x14ac:dyDescent="0.2">
      <c r="A594">
        <v>1139</v>
      </c>
      <c r="B594" s="2">
        <v>0.58039215686274515</v>
      </c>
      <c r="C594" s="2">
        <v>0.89411764705882357</v>
      </c>
      <c r="D594" s="2">
        <v>0.7803921568627451</v>
      </c>
      <c r="E594" t="s">
        <v>4581</v>
      </c>
    </row>
    <row r="595" spans="1:5" x14ac:dyDescent="0.2">
      <c r="A595">
        <v>1140</v>
      </c>
      <c r="B595" s="2">
        <v>0.94509803921568625</v>
      </c>
      <c r="C595" s="2">
        <v>0.27843137254901962</v>
      </c>
      <c r="D595" s="2">
        <v>0.22745098039215686</v>
      </c>
      <c r="E595" t="s">
        <v>4582</v>
      </c>
    </row>
    <row r="596" spans="1:5" x14ac:dyDescent="0.2">
      <c r="A596">
        <v>1141</v>
      </c>
      <c r="B596" s="2">
        <v>0.4823529411764706</v>
      </c>
      <c r="C596" s="2">
        <v>0.81568627450980391</v>
      </c>
      <c r="D596" s="2">
        <v>0.29019607843137257</v>
      </c>
      <c r="E596" t="s">
        <v>4583</v>
      </c>
    </row>
    <row r="597" spans="1:5" x14ac:dyDescent="0.2">
      <c r="A597">
        <v>1142</v>
      </c>
      <c r="B597" s="2">
        <v>0.49411764705882355</v>
      </c>
      <c r="C597" s="2">
        <v>0.80784313725490198</v>
      </c>
      <c r="D597" s="2">
        <v>0.29019607843137257</v>
      </c>
      <c r="E597" t="s">
        <v>4584</v>
      </c>
    </row>
    <row r="598" spans="1:5" x14ac:dyDescent="0.2">
      <c r="B598" s="2"/>
      <c r="C598" s="2"/>
      <c r="D59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1B91E-A2FC-EB41-8159-AF1946489BB7}">
  <sheetPr codeName="Sheet7"/>
  <dimension ref="A1:K1193"/>
  <sheetViews>
    <sheetView workbookViewId="0">
      <selection activeCell="B562" sqref="B562:F589"/>
    </sheetView>
  </sheetViews>
  <sheetFormatPr baseColWidth="10" defaultRowHeight="16" x14ac:dyDescent="0.2"/>
  <sheetData>
    <row r="1" spans="1:10" x14ac:dyDescent="0.2">
      <c r="A1" t="s">
        <v>3988</v>
      </c>
      <c r="B1" t="s">
        <v>3983</v>
      </c>
      <c r="C1" t="s">
        <v>3984</v>
      </c>
      <c r="D1" t="s">
        <v>3985</v>
      </c>
      <c r="E1" t="s">
        <v>3989</v>
      </c>
      <c r="G1" s="4" t="s">
        <v>3988</v>
      </c>
      <c r="H1" s="4" t="s">
        <v>8092</v>
      </c>
      <c r="I1" s="4" t="s">
        <v>8093</v>
      </c>
    </row>
    <row r="2" spans="1:10" x14ac:dyDescent="0.2">
      <c r="A2">
        <v>1</v>
      </c>
      <c r="B2" s="3">
        <v>255</v>
      </c>
      <c r="C2" s="3">
        <v>76</v>
      </c>
      <c r="D2" s="3">
        <v>62</v>
      </c>
      <c r="E2" t="s">
        <v>3990</v>
      </c>
      <c r="F2" t="str">
        <f>_xlfn.CONCAT(B2," ",C2," ",D2," 255")</f>
        <v>255 76 62 255</v>
      </c>
      <c r="G2">
        <v>1</v>
      </c>
      <c r="H2" t="s">
        <v>6012</v>
      </c>
      <c r="I2" t="s">
        <v>6013</v>
      </c>
      <c r="J2" s="592" t="str" cm="1">
        <f t="array" ref="J2">myRGB(B2,C2,D2)</f>
        <v/>
      </c>
    </row>
    <row r="3" spans="1:10" x14ac:dyDescent="0.2">
      <c r="A3">
        <v>2</v>
      </c>
      <c r="B3" s="3">
        <v>24</v>
      </c>
      <c r="C3" s="3">
        <v>128</v>
      </c>
      <c r="D3" s="3">
        <v>100</v>
      </c>
      <c r="E3" t="s">
        <v>3991</v>
      </c>
      <c r="F3" t="str">
        <f t="shared" ref="F3:F66" si="0">_xlfn.CONCAT(B3," ",C3," ",D3," 255")</f>
        <v>24 128 100 255</v>
      </c>
      <c r="G3">
        <v>2</v>
      </c>
      <c r="H3" t="s">
        <v>4722</v>
      </c>
      <c r="I3" t="s">
        <v>4723</v>
      </c>
      <c r="J3" s="64" t="str" cm="1">
        <f t="array" ref="J3">myRGB(B3,C3,D3)</f>
        <v/>
      </c>
    </row>
    <row r="4" spans="1:10" x14ac:dyDescent="0.2">
      <c r="A4">
        <v>6</v>
      </c>
      <c r="B4" s="3">
        <v>204</v>
      </c>
      <c r="C4" s="3">
        <v>204</v>
      </c>
      <c r="D4" s="3">
        <v>204</v>
      </c>
      <c r="E4" t="s">
        <v>3992</v>
      </c>
      <c r="F4" t="str">
        <f t="shared" si="0"/>
        <v>204 204 204 255</v>
      </c>
      <c r="G4">
        <v>6</v>
      </c>
      <c r="H4" t="s">
        <v>6862</v>
      </c>
      <c r="I4" t="s">
        <v>6863</v>
      </c>
      <c r="J4" s="847" t="str" cm="1">
        <f t="array" ref="J4">myRGB(B4,C4,D4)</f>
        <v/>
      </c>
    </row>
    <row r="5" spans="1:10" x14ac:dyDescent="0.2">
      <c r="A5">
        <v>7</v>
      </c>
      <c r="B5" s="3">
        <v>255</v>
      </c>
      <c r="C5" s="3">
        <v>174</v>
      </c>
      <c r="D5" s="3">
        <v>111</v>
      </c>
      <c r="E5" t="s">
        <v>3993</v>
      </c>
      <c r="F5" t="str">
        <f t="shared" si="0"/>
        <v>255 174 111 255</v>
      </c>
      <c r="G5">
        <v>7</v>
      </c>
      <c r="H5" t="s">
        <v>6240</v>
      </c>
      <c r="I5" t="s">
        <v>6241</v>
      </c>
      <c r="J5" s="811" t="str" cm="1">
        <f t="array" ref="J5">myRGB(B5,C5,D5)</f>
        <v/>
      </c>
    </row>
    <row r="6" spans="1:10" x14ac:dyDescent="0.2">
      <c r="A6">
        <v>9</v>
      </c>
      <c r="B6" s="3">
        <v>24</v>
      </c>
      <c r="C6" s="3">
        <v>128</v>
      </c>
      <c r="D6" s="3">
        <v>99</v>
      </c>
      <c r="E6" t="s">
        <v>3994</v>
      </c>
      <c r="F6" t="str">
        <f t="shared" si="0"/>
        <v>24 128 99 255</v>
      </c>
      <c r="G6">
        <v>9</v>
      </c>
      <c r="H6" t="s">
        <v>4744</v>
      </c>
      <c r="I6" t="s">
        <v>4745</v>
      </c>
      <c r="J6" s="352" t="str" cm="1">
        <f t="array" ref="J6">myRGB(B6,C6,D6)</f>
        <v/>
      </c>
    </row>
    <row r="7" spans="1:10" x14ac:dyDescent="0.2">
      <c r="A7">
        <v>10</v>
      </c>
      <c r="B7" s="3">
        <v>255</v>
      </c>
      <c r="C7" s="3">
        <v>144</v>
      </c>
      <c r="D7" s="3">
        <v>255</v>
      </c>
      <c r="E7" t="s">
        <v>3995</v>
      </c>
      <c r="F7" t="str">
        <f t="shared" si="0"/>
        <v>255 144 255 255</v>
      </c>
      <c r="G7">
        <v>10</v>
      </c>
      <c r="H7" t="s">
        <v>6130</v>
      </c>
      <c r="I7" t="s">
        <v>6131</v>
      </c>
      <c r="J7" s="384" t="str" cm="1">
        <f t="array" ref="J7">myRGB(B7,C7,D7)</f>
        <v/>
      </c>
    </row>
    <row r="8" spans="1:10" x14ac:dyDescent="0.2">
      <c r="A8">
        <v>12</v>
      </c>
      <c r="B8" s="3">
        <v>255</v>
      </c>
      <c r="C8" s="3">
        <v>166</v>
      </c>
      <c r="D8" s="3">
        <v>255</v>
      </c>
      <c r="E8" t="s">
        <v>3996</v>
      </c>
      <c r="F8" t="str">
        <f t="shared" si="0"/>
        <v>255 166 255 255</v>
      </c>
      <c r="G8">
        <v>12</v>
      </c>
      <c r="H8" t="s">
        <v>6200</v>
      </c>
      <c r="I8" t="s">
        <v>6201</v>
      </c>
      <c r="J8" s="400" t="str" cm="1">
        <f t="array" ref="J8">myRGB(B8,C8,D8)</f>
        <v/>
      </c>
    </row>
    <row r="9" spans="1:10" x14ac:dyDescent="0.2">
      <c r="A9">
        <v>15</v>
      </c>
      <c r="B9" s="3">
        <v>255</v>
      </c>
      <c r="C9" s="3">
        <v>144</v>
      </c>
      <c r="D9" s="3">
        <v>159</v>
      </c>
      <c r="E9" t="s">
        <v>3997</v>
      </c>
      <c r="F9" t="str">
        <f t="shared" si="0"/>
        <v>255 144 159 255</v>
      </c>
      <c r="G9">
        <v>15</v>
      </c>
      <c r="H9" t="s">
        <v>5848</v>
      </c>
      <c r="I9" t="s">
        <v>5849</v>
      </c>
      <c r="J9" s="587" t="str" cm="1">
        <f t="array" ref="J9">myRGB(B9,C9,D9)</f>
        <v/>
      </c>
    </row>
    <row r="10" spans="1:10" x14ac:dyDescent="0.2">
      <c r="A10">
        <v>17</v>
      </c>
      <c r="B10" s="3">
        <v>255</v>
      </c>
      <c r="C10" s="3">
        <v>144</v>
      </c>
      <c r="D10" s="3">
        <v>254</v>
      </c>
      <c r="E10" t="s">
        <v>3998</v>
      </c>
      <c r="F10" t="str">
        <f t="shared" si="0"/>
        <v>255 144 254 255</v>
      </c>
      <c r="G10">
        <v>17</v>
      </c>
      <c r="H10" t="s">
        <v>6128</v>
      </c>
      <c r="I10" t="s">
        <v>6129</v>
      </c>
      <c r="J10" s="584" t="str" cm="1">
        <f t="array" ref="J10">myRGB(B10,C10,D10)</f>
        <v/>
      </c>
    </row>
    <row r="11" spans="1:10" x14ac:dyDescent="0.2">
      <c r="A11">
        <v>19</v>
      </c>
      <c r="B11" s="3">
        <v>126</v>
      </c>
      <c r="C11" s="3">
        <v>208</v>
      </c>
      <c r="D11" s="3">
        <v>75</v>
      </c>
      <c r="E11" t="s">
        <v>3999</v>
      </c>
      <c r="F11" t="str">
        <f t="shared" si="0"/>
        <v>126 208 75 255</v>
      </c>
      <c r="G11">
        <v>19</v>
      </c>
      <c r="H11" t="s">
        <v>5454</v>
      </c>
      <c r="I11" t="s">
        <v>5455</v>
      </c>
      <c r="J11" s="169" t="str" cm="1">
        <f t="array" ref="J11">myRGB(B11,C11,D11)</f>
        <v/>
      </c>
    </row>
    <row r="12" spans="1:10" x14ac:dyDescent="0.2">
      <c r="A12">
        <v>20</v>
      </c>
      <c r="B12" s="3">
        <v>50</v>
      </c>
      <c r="C12" s="3">
        <v>184</v>
      </c>
      <c r="D12" s="3">
        <v>37</v>
      </c>
      <c r="E12" t="s">
        <v>4000</v>
      </c>
      <c r="F12" t="str">
        <f t="shared" si="0"/>
        <v>50 184 37 255</v>
      </c>
      <c r="G12">
        <v>20</v>
      </c>
      <c r="H12" t="s">
        <v>5464</v>
      </c>
      <c r="I12" t="s">
        <v>5465</v>
      </c>
      <c r="J12" s="289" t="str" cm="1">
        <f t="array" ref="J12">myRGB(B12,C12,D12)</f>
        <v/>
      </c>
    </row>
    <row r="13" spans="1:10" x14ac:dyDescent="0.2">
      <c r="A13">
        <v>22</v>
      </c>
      <c r="B13" s="3">
        <v>0</v>
      </c>
      <c r="C13" s="3">
        <v>159</v>
      </c>
      <c r="D13" s="3">
        <v>172</v>
      </c>
      <c r="E13" t="s">
        <v>4001</v>
      </c>
      <c r="F13" t="str">
        <f t="shared" si="0"/>
        <v>0 159 172 255</v>
      </c>
      <c r="G13">
        <v>22</v>
      </c>
      <c r="H13" t="s">
        <v>5168</v>
      </c>
      <c r="I13" t="s">
        <v>8094</v>
      </c>
      <c r="J13" s="233" t="str" cm="1">
        <f t="array" ref="J13">myRGB(B13,C13,D13)</f>
        <v/>
      </c>
    </row>
    <row r="14" spans="1:10" x14ac:dyDescent="0.2">
      <c r="A14">
        <v>23</v>
      </c>
      <c r="B14" s="3">
        <v>128</v>
      </c>
      <c r="C14" s="3">
        <v>192</v>
      </c>
      <c r="D14" s="3">
        <v>226</v>
      </c>
      <c r="E14" t="s">
        <v>4002</v>
      </c>
      <c r="F14" t="str">
        <f t="shared" si="0"/>
        <v>128 192 226 255</v>
      </c>
      <c r="G14">
        <v>23</v>
      </c>
      <c r="H14" t="s">
        <v>5648</v>
      </c>
      <c r="I14" t="s">
        <v>5649</v>
      </c>
      <c r="J14" s="516" t="str" cm="1">
        <f t="array" ref="J14">myRGB(B14,C14,D14)</f>
        <v/>
      </c>
    </row>
    <row r="15" spans="1:10" x14ac:dyDescent="0.2">
      <c r="A15">
        <v>26</v>
      </c>
      <c r="B15" s="3">
        <v>255</v>
      </c>
      <c r="C15" s="3">
        <v>143</v>
      </c>
      <c r="D15" s="3">
        <v>255</v>
      </c>
      <c r="E15" t="s">
        <v>4003</v>
      </c>
      <c r="F15" t="str">
        <f t="shared" si="0"/>
        <v>255 143 255 255</v>
      </c>
      <c r="G15">
        <v>26</v>
      </c>
      <c r="H15" t="s">
        <v>6124</v>
      </c>
      <c r="I15" t="s">
        <v>6125</v>
      </c>
      <c r="J15" s="509" t="str" cm="1">
        <f t="array" ref="J15">myRGB(B15,C15,D15)</f>
        <v/>
      </c>
    </row>
    <row r="16" spans="1:10" x14ac:dyDescent="0.2">
      <c r="A16">
        <v>27</v>
      </c>
      <c r="B16" s="3">
        <v>255</v>
      </c>
      <c r="C16" s="3">
        <v>144</v>
      </c>
      <c r="D16" s="3">
        <v>158</v>
      </c>
      <c r="E16" t="s">
        <v>4004</v>
      </c>
      <c r="F16" t="str">
        <f t="shared" si="0"/>
        <v>255 144 158 255</v>
      </c>
      <c r="G16">
        <v>27</v>
      </c>
      <c r="H16" t="s">
        <v>5872</v>
      </c>
      <c r="I16" t="s">
        <v>5873</v>
      </c>
      <c r="J16" s="756" t="str" cm="1">
        <f t="array" ref="J16">myRGB(B16,C16,D16)</f>
        <v/>
      </c>
    </row>
    <row r="17" spans="1:10" x14ac:dyDescent="0.2">
      <c r="A17">
        <v>28</v>
      </c>
      <c r="B17" s="3">
        <v>50</v>
      </c>
      <c r="C17" s="3">
        <v>184</v>
      </c>
      <c r="D17" s="3">
        <v>36</v>
      </c>
      <c r="E17" t="s">
        <v>4005</v>
      </c>
      <c r="F17" t="str">
        <f t="shared" si="0"/>
        <v>50 184 36 255</v>
      </c>
      <c r="G17">
        <v>28</v>
      </c>
      <c r="H17" t="s">
        <v>5476</v>
      </c>
      <c r="I17" t="s">
        <v>5477</v>
      </c>
      <c r="J17" s="268" t="str" cm="1">
        <f t="array" ref="J17">myRGB(B17,C17,D17)</f>
        <v/>
      </c>
    </row>
    <row r="18" spans="1:10" x14ac:dyDescent="0.2">
      <c r="A18">
        <v>30</v>
      </c>
      <c r="B18" s="3">
        <v>255</v>
      </c>
      <c r="C18" s="3">
        <v>93</v>
      </c>
      <c r="D18" s="3">
        <v>80</v>
      </c>
      <c r="E18" t="s">
        <v>4006</v>
      </c>
      <c r="F18" t="str">
        <f t="shared" si="0"/>
        <v>255 93 80 255</v>
      </c>
      <c r="G18">
        <v>30</v>
      </c>
      <c r="H18" t="s">
        <v>5924</v>
      </c>
      <c r="I18" t="s">
        <v>5925</v>
      </c>
      <c r="J18" s="701" t="str" cm="1">
        <f t="array" ref="J18">myRGB(B18,C18,D18)</f>
        <v/>
      </c>
    </row>
    <row r="19" spans="1:10" x14ac:dyDescent="0.2">
      <c r="A19">
        <v>33</v>
      </c>
      <c r="B19" s="3">
        <v>8</v>
      </c>
      <c r="C19" s="3">
        <v>133</v>
      </c>
      <c r="D19" s="3">
        <v>140</v>
      </c>
      <c r="E19" t="s">
        <v>4007</v>
      </c>
      <c r="F19" t="str">
        <f t="shared" si="0"/>
        <v>8 133 140 255</v>
      </c>
      <c r="G19">
        <v>33</v>
      </c>
      <c r="H19" t="s">
        <v>4914</v>
      </c>
      <c r="I19" t="s">
        <v>4915</v>
      </c>
      <c r="J19" s="208" t="str" cm="1">
        <f t="array" ref="J19">myRGB(B19,C19,D19)</f>
        <v/>
      </c>
    </row>
    <row r="20" spans="1:10" x14ac:dyDescent="0.2">
      <c r="A20">
        <v>35</v>
      </c>
      <c r="B20" s="3">
        <v>254</v>
      </c>
      <c r="C20" s="3">
        <v>144</v>
      </c>
      <c r="D20" s="3">
        <v>255</v>
      </c>
      <c r="E20" t="s">
        <v>4008</v>
      </c>
      <c r="F20" t="str">
        <f t="shared" si="0"/>
        <v>254 144 255 255</v>
      </c>
      <c r="G20">
        <v>35</v>
      </c>
      <c r="H20" t="s">
        <v>6170</v>
      </c>
      <c r="I20" t="s">
        <v>6171</v>
      </c>
      <c r="J20" s="447" t="str" cm="1">
        <f t="array" ref="J20">myRGB(B20,C20,D20)</f>
        <v/>
      </c>
    </row>
    <row r="21" spans="1:10" x14ac:dyDescent="0.2">
      <c r="A21">
        <v>36</v>
      </c>
      <c r="B21" s="3">
        <v>0</v>
      </c>
      <c r="C21" s="3">
        <v>156</v>
      </c>
      <c r="D21" s="3">
        <v>117</v>
      </c>
      <c r="E21" t="s">
        <v>4009</v>
      </c>
      <c r="F21" t="str">
        <f t="shared" si="0"/>
        <v>0 156 117 255</v>
      </c>
      <c r="G21">
        <v>36</v>
      </c>
      <c r="H21" t="s">
        <v>4774</v>
      </c>
      <c r="I21" t="s">
        <v>4775</v>
      </c>
      <c r="J21" s="161" t="str" cm="1">
        <f t="array" ref="J21">myRGB(B21,C21,D21)</f>
        <v/>
      </c>
    </row>
    <row r="22" spans="1:10" x14ac:dyDescent="0.2">
      <c r="A22">
        <v>38</v>
      </c>
      <c r="B22" s="3">
        <v>255</v>
      </c>
      <c r="C22" s="3">
        <v>93</v>
      </c>
      <c r="D22" s="3">
        <v>79</v>
      </c>
      <c r="E22" t="s">
        <v>4010</v>
      </c>
      <c r="F22" t="str">
        <f t="shared" si="0"/>
        <v>255 93 79 255</v>
      </c>
      <c r="G22">
        <v>38</v>
      </c>
      <c r="H22" t="s">
        <v>5902</v>
      </c>
      <c r="I22" t="s">
        <v>5903</v>
      </c>
      <c r="J22" s="567" t="str" cm="1">
        <f t="array" ref="J22">myRGB(B22,C22,D22)</f>
        <v/>
      </c>
    </row>
    <row r="23" spans="1:10" x14ac:dyDescent="0.2">
      <c r="A23">
        <v>41</v>
      </c>
      <c r="B23" s="3">
        <v>8</v>
      </c>
      <c r="C23" s="3">
        <v>133</v>
      </c>
      <c r="D23" s="3">
        <v>139</v>
      </c>
      <c r="E23" t="s">
        <v>4011</v>
      </c>
      <c r="F23" t="str">
        <f t="shared" si="0"/>
        <v>8 133 139 255</v>
      </c>
      <c r="G23">
        <v>41</v>
      </c>
      <c r="H23" t="s">
        <v>7140</v>
      </c>
      <c r="I23" t="s">
        <v>7412</v>
      </c>
      <c r="J23" s="119" t="str" cm="1">
        <f t="array" ref="J23">myRGB(B23,C23,D23)</f>
        <v/>
      </c>
    </row>
    <row r="24" spans="1:10" x14ac:dyDescent="0.2">
      <c r="A24">
        <v>42</v>
      </c>
      <c r="B24" s="3">
        <v>255</v>
      </c>
      <c r="C24" s="3">
        <v>143</v>
      </c>
      <c r="D24" s="3">
        <v>254</v>
      </c>
      <c r="E24" t="s">
        <v>4012</v>
      </c>
      <c r="F24" t="str">
        <f t="shared" si="0"/>
        <v>255 143 254 255</v>
      </c>
      <c r="G24">
        <v>42</v>
      </c>
      <c r="H24" t="s">
        <v>6126</v>
      </c>
      <c r="I24" t="s">
        <v>6127</v>
      </c>
      <c r="J24" s="471" t="str" cm="1">
        <f t="array" ref="J24">myRGB(B24,C24,D24)</f>
        <v/>
      </c>
    </row>
    <row r="25" spans="1:10" x14ac:dyDescent="0.2">
      <c r="A25">
        <v>50</v>
      </c>
      <c r="B25" s="3">
        <v>254</v>
      </c>
      <c r="C25" s="3">
        <v>144</v>
      </c>
      <c r="D25" s="3">
        <v>254</v>
      </c>
      <c r="E25" t="s">
        <v>4013</v>
      </c>
      <c r="F25" t="str">
        <f t="shared" si="0"/>
        <v>254 144 254 255</v>
      </c>
      <c r="G25">
        <v>50</v>
      </c>
      <c r="H25" t="s">
        <v>6140</v>
      </c>
      <c r="I25" t="s">
        <v>6141</v>
      </c>
      <c r="J25" s="383" t="str" cm="1">
        <f t="array" ref="J25">myRGB(B25,C25,D25)</f>
        <v/>
      </c>
    </row>
    <row r="26" spans="1:10" x14ac:dyDescent="0.2">
      <c r="A26">
        <v>52</v>
      </c>
      <c r="B26" s="3">
        <v>50</v>
      </c>
      <c r="C26" s="3">
        <v>183</v>
      </c>
      <c r="D26" s="3">
        <v>37</v>
      </c>
      <c r="E26" t="s">
        <v>4014</v>
      </c>
      <c r="F26" t="str">
        <f t="shared" si="0"/>
        <v>50 183 37 255</v>
      </c>
      <c r="G26">
        <v>52</v>
      </c>
      <c r="H26" t="s">
        <v>5470</v>
      </c>
      <c r="I26" t="s">
        <v>5471</v>
      </c>
      <c r="J26" s="376" t="str" cm="1">
        <f t="array" ref="J26">myRGB(B26,C26,D26)</f>
        <v/>
      </c>
    </row>
    <row r="27" spans="1:10" x14ac:dyDescent="0.2">
      <c r="A27">
        <v>54</v>
      </c>
      <c r="B27" s="3">
        <v>203</v>
      </c>
      <c r="C27" s="3">
        <v>204</v>
      </c>
      <c r="D27" s="3">
        <v>203</v>
      </c>
      <c r="E27" t="s">
        <v>4015</v>
      </c>
      <c r="F27" t="str">
        <f t="shared" si="0"/>
        <v>203 204 203 255</v>
      </c>
      <c r="G27">
        <v>54</v>
      </c>
      <c r="H27" t="s">
        <v>6984</v>
      </c>
      <c r="I27" t="s">
        <v>6985</v>
      </c>
      <c r="J27" s="717" t="str" cm="1">
        <f t="array" ref="J27">myRGB(B27,C27,D27)</f>
        <v/>
      </c>
    </row>
    <row r="28" spans="1:10" x14ac:dyDescent="0.2">
      <c r="A28">
        <v>56</v>
      </c>
      <c r="B28" s="3">
        <v>128</v>
      </c>
      <c r="C28" s="3">
        <v>205</v>
      </c>
      <c r="D28" s="3">
        <v>248</v>
      </c>
      <c r="E28" t="s">
        <v>4016</v>
      </c>
      <c r="F28" t="str">
        <f t="shared" si="0"/>
        <v>128 205 248 255</v>
      </c>
      <c r="G28">
        <v>56</v>
      </c>
      <c r="H28" t="s">
        <v>5612</v>
      </c>
      <c r="I28" t="s">
        <v>5613</v>
      </c>
      <c r="J28" s="300" t="str" cm="1">
        <f t="array" ref="J28">myRGB(B28,C28,D28)</f>
        <v/>
      </c>
    </row>
    <row r="29" spans="1:10" x14ac:dyDescent="0.2">
      <c r="A29">
        <v>58</v>
      </c>
      <c r="B29" s="3">
        <v>254</v>
      </c>
      <c r="C29" s="3">
        <v>143</v>
      </c>
      <c r="D29" s="3">
        <v>255</v>
      </c>
      <c r="E29" t="s">
        <v>4017</v>
      </c>
      <c r="F29" t="str">
        <f t="shared" si="0"/>
        <v>254 143 255 255</v>
      </c>
      <c r="G29">
        <v>58</v>
      </c>
      <c r="H29" t="s">
        <v>6188</v>
      </c>
      <c r="I29" t="s">
        <v>6189</v>
      </c>
      <c r="J29" s="508" t="str" cm="1">
        <f t="array" ref="J29">myRGB(B29,C29,D29)</f>
        <v/>
      </c>
    </row>
    <row r="30" spans="1:10" x14ac:dyDescent="0.2">
      <c r="A30">
        <v>59</v>
      </c>
      <c r="B30" s="3">
        <v>254</v>
      </c>
      <c r="C30" s="3">
        <v>144</v>
      </c>
      <c r="D30" s="3">
        <v>159</v>
      </c>
      <c r="E30" t="s">
        <v>4018</v>
      </c>
      <c r="F30" t="str">
        <f t="shared" si="0"/>
        <v>254 144 159 255</v>
      </c>
      <c r="G30">
        <v>59</v>
      </c>
      <c r="H30" t="s">
        <v>5830</v>
      </c>
      <c r="I30" t="s">
        <v>5831</v>
      </c>
      <c r="J30" s="489" t="str" cm="1">
        <f t="array" ref="J30">myRGB(B30,C30,D30)</f>
        <v/>
      </c>
    </row>
    <row r="31" spans="1:10" x14ac:dyDescent="0.2">
      <c r="A31">
        <v>62</v>
      </c>
      <c r="B31" s="3">
        <v>203</v>
      </c>
      <c r="C31" s="3">
        <v>203</v>
      </c>
      <c r="D31" s="3">
        <v>204</v>
      </c>
      <c r="E31" t="s">
        <v>4019</v>
      </c>
      <c r="F31" t="str">
        <f t="shared" si="0"/>
        <v>203 203 204 255</v>
      </c>
      <c r="G31">
        <v>62</v>
      </c>
      <c r="H31" t="s">
        <v>6700</v>
      </c>
      <c r="I31" t="s">
        <v>6701</v>
      </c>
      <c r="J31" s="685" t="str" cm="1">
        <f t="array" ref="J31">myRGB(B31,C31,D31)</f>
        <v/>
      </c>
    </row>
    <row r="32" spans="1:10" x14ac:dyDescent="0.2">
      <c r="A32">
        <v>63</v>
      </c>
      <c r="B32" s="3">
        <v>255</v>
      </c>
      <c r="C32" s="3">
        <v>76</v>
      </c>
      <c r="D32" s="3">
        <v>61</v>
      </c>
      <c r="E32" t="s">
        <v>4020</v>
      </c>
      <c r="F32" t="str">
        <f t="shared" si="0"/>
        <v>255 76 61 255</v>
      </c>
      <c r="G32">
        <v>63</v>
      </c>
      <c r="H32" t="s">
        <v>6026</v>
      </c>
      <c r="I32" t="s">
        <v>6027</v>
      </c>
      <c r="J32" s="839" t="str" cm="1">
        <f t="array" ref="J32">myRGB(B32,C32,D32)</f>
        <v/>
      </c>
    </row>
    <row r="33" spans="1:10" x14ac:dyDescent="0.2">
      <c r="A33">
        <v>64</v>
      </c>
      <c r="B33" s="3">
        <v>255</v>
      </c>
      <c r="C33" s="3">
        <v>143</v>
      </c>
      <c r="D33" s="3">
        <v>158</v>
      </c>
      <c r="E33" t="s">
        <v>4021</v>
      </c>
      <c r="F33" t="str">
        <f t="shared" si="0"/>
        <v>255 143 158 255</v>
      </c>
      <c r="G33">
        <v>64</v>
      </c>
      <c r="H33" t="s">
        <v>5820</v>
      </c>
      <c r="I33" t="s">
        <v>5821</v>
      </c>
      <c r="J33" s="754" t="str" cm="1">
        <f t="array" ref="J33">myRGB(B33,C33,D33)</f>
        <v/>
      </c>
    </row>
    <row r="34" spans="1:10" x14ac:dyDescent="0.2">
      <c r="A34">
        <v>66</v>
      </c>
      <c r="B34" s="3">
        <v>254</v>
      </c>
      <c r="C34" s="3">
        <v>143</v>
      </c>
      <c r="D34" s="3">
        <v>254</v>
      </c>
      <c r="E34" t="s">
        <v>4022</v>
      </c>
      <c r="F34" t="str">
        <f t="shared" si="0"/>
        <v>254 143 254 255</v>
      </c>
      <c r="G34">
        <v>66</v>
      </c>
      <c r="H34" t="s">
        <v>6184</v>
      </c>
      <c r="I34" t="s">
        <v>6185</v>
      </c>
      <c r="J34" s="749" t="str" cm="1">
        <f t="array" ref="J34">myRGB(B34,C34,D34)</f>
        <v/>
      </c>
    </row>
    <row r="35" spans="1:10" x14ac:dyDescent="0.2">
      <c r="A35">
        <v>67</v>
      </c>
      <c r="B35" s="3">
        <v>255</v>
      </c>
      <c r="C35" s="3">
        <v>144</v>
      </c>
      <c r="D35" s="3">
        <v>253</v>
      </c>
      <c r="E35" t="s">
        <v>4023</v>
      </c>
      <c r="F35" t="str">
        <f t="shared" si="0"/>
        <v>255 144 253 255</v>
      </c>
      <c r="G35">
        <v>67</v>
      </c>
      <c r="H35" t="s">
        <v>6142</v>
      </c>
      <c r="I35" t="s">
        <v>6143</v>
      </c>
      <c r="J35" s="468" t="str" cm="1">
        <f t="array" ref="J35">myRGB(B35,C35,D35)</f>
        <v/>
      </c>
    </row>
    <row r="36" spans="1:10" x14ac:dyDescent="0.2">
      <c r="A36">
        <v>68</v>
      </c>
      <c r="B36" s="3">
        <v>38</v>
      </c>
      <c r="C36" s="3">
        <v>143</v>
      </c>
      <c r="D36" s="3">
        <v>69</v>
      </c>
      <c r="E36" t="s">
        <v>4024</v>
      </c>
      <c r="F36" t="str">
        <f t="shared" si="0"/>
        <v>38 143 69 255</v>
      </c>
      <c r="G36">
        <v>68</v>
      </c>
      <c r="H36" t="s">
        <v>4602</v>
      </c>
      <c r="I36" t="s">
        <v>4603</v>
      </c>
      <c r="J36" s="285" t="str" cm="1">
        <f t="array" ref="J36">myRGB(B36,C36,D36)</f>
        <v/>
      </c>
    </row>
    <row r="37" spans="1:10" x14ac:dyDescent="0.2">
      <c r="A37">
        <v>72</v>
      </c>
      <c r="B37" s="3">
        <v>255</v>
      </c>
      <c r="C37" s="3">
        <v>85</v>
      </c>
      <c r="D37" s="3">
        <v>71</v>
      </c>
      <c r="E37" t="s">
        <v>4025</v>
      </c>
      <c r="F37" t="str">
        <f t="shared" si="0"/>
        <v>255 85 71 255</v>
      </c>
      <c r="G37">
        <v>72</v>
      </c>
      <c r="H37" t="s">
        <v>5932</v>
      </c>
      <c r="I37" t="s">
        <v>5933</v>
      </c>
      <c r="J37" s="702" t="str" cm="1">
        <f t="array" ref="J37">myRGB(B37,C37,D37)</f>
        <v/>
      </c>
    </row>
    <row r="38" spans="1:10" x14ac:dyDescent="0.2">
      <c r="A38">
        <v>74</v>
      </c>
      <c r="B38" s="3">
        <v>8</v>
      </c>
      <c r="C38" s="3">
        <v>132</v>
      </c>
      <c r="D38" s="3">
        <v>140</v>
      </c>
      <c r="E38" t="s">
        <v>4026</v>
      </c>
      <c r="F38" t="str">
        <f t="shared" si="0"/>
        <v>8 132 140 255</v>
      </c>
      <c r="G38">
        <v>74</v>
      </c>
      <c r="H38" t="s">
        <v>4902</v>
      </c>
      <c r="I38" t="s">
        <v>4903</v>
      </c>
      <c r="J38" s="205" t="str" cm="1">
        <f t="array" ref="J38">myRGB(B38,C38,D38)</f>
        <v/>
      </c>
    </row>
    <row r="39" spans="1:10" x14ac:dyDescent="0.2">
      <c r="A39">
        <v>75</v>
      </c>
      <c r="B39" s="3">
        <v>255</v>
      </c>
      <c r="C39" s="3">
        <v>142</v>
      </c>
      <c r="D39" s="3">
        <v>255</v>
      </c>
      <c r="E39" t="s">
        <v>4027</v>
      </c>
      <c r="F39" t="str">
        <f t="shared" si="0"/>
        <v>255 142 255 255</v>
      </c>
      <c r="G39">
        <v>75</v>
      </c>
      <c r="H39" t="s">
        <v>6186</v>
      </c>
      <c r="I39" t="s">
        <v>6187</v>
      </c>
      <c r="J39" s="507" t="str" cm="1">
        <f t="array" ref="J39">myRGB(B39,C39,D39)</f>
        <v/>
      </c>
    </row>
    <row r="40" spans="1:10" x14ac:dyDescent="0.2">
      <c r="A40">
        <v>78</v>
      </c>
      <c r="B40" s="3">
        <v>204</v>
      </c>
      <c r="C40" s="3">
        <v>204</v>
      </c>
      <c r="D40" s="3">
        <v>202</v>
      </c>
      <c r="E40" t="s">
        <v>4028</v>
      </c>
      <c r="F40" t="str">
        <f t="shared" si="0"/>
        <v>204 204 202 255</v>
      </c>
      <c r="G40">
        <v>78</v>
      </c>
      <c r="H40" t="s">
        <v>6818</v>
      </c>
      <c r="I40" t="s">
        <v>6819</v>
      </c>
      <c r="J40" s="832" t="str" cm="1">
        <f t="array" ref="J40">myRGB(B40,C40,D40)</f>
        <v/>
      </c>
    </row>
    <row r="41" spans="1:10" x14ac:dyDescent="0.2">
      <c r="A41">
        <v>81</v>
      </c>
      <c r="B41" s="3">
        <v>168</v>
      </c>
      <c r="C41" s="3">
        <v>170</v>
      </c>
      <c r="D41" s="3">
        <v>170</v>
      </c>
      <c r="E41" t="s">
        <v>4029</v>
      </c>
      <c r="F41" t="str">
        <f t="shared" si="0"/>
        <v>168 170 170 255</v>
      </c>
      <c r="G41">
        <v>81</v>
      </c>
      <c r="H41" t="s">
        <v>7046</v>
      </c>
      <c r="I41" t="s">
        <v>7047</v>
      </c>
      <c r="J41" s="610" t="str" cm="1">
        <f t="array" ref="J41">myRGB(B41,C41,D41)</f>
        <v/>
      </c>
    </row>
    <row r="42" spans="1:10" x14ac:dyDescent="0.2">
      <c r="A42">
        <v>83</v>
      </c>
      <c r="B42" s="3">
        <v>255</v>
      </c>
      <c r="C42" s="3">
        <v>179</v>
      </c>
      <c r="D42" s="3">
        <v>216</v>
      </c>
      <c r="E42" t="s">
        <v>4030</v>
      </c>
      <c r="F42" t="str">
        <f t="shared" si="0"/>
        <v>255 179 216 255</v>
      </c>
      <c r="G42">
        <v>83</v>
      </c>
      <c r="H42" t="s">
        <v>6415</v>
      </c>
      <c r="I42" t="s">
        <v>6416</v>
      </c>
      <c r="J42" s="539" t="str" cm="1">
        <f t="array" ref="J42">myRGB(B42,C42,D42)</f>
        <v/>
      </c>
    </row>
    <row r="43" spans="1:10" x14ac:dyDescent="0.2">
      <c r="A43">
        <v>84</v>
      </c>
      <c r="B43" s="3">
        <v>47</v>
      </c>
      <c r="C43" s="3">
        <v>168</v>
      </c>
      <c r="D43" s="3">
        <v>80</v>
      </c>
      <c r="E43" t="s">
        <v>4031</v>
      </c>
      <c r="F43" t="str">
        <f t="shared" si="0"/>
        <v>47 168 80 255</v>
      </c>
      <c r="G43">
        <v>84</v>
      </c>
      <c r="H43" t="s">
        <v>5004</v>
      </c>
      <c r="I43" t="s">
        <v>5005</v>
      </c>
      <c r="J43" s="21" t="str" cm="1">
        <f t="array" ref="J43">myRGB(B43,C43,D43)</f>
        <v/>
      </c>
    </row>
    <row r="44" spans="1:10" x14ac:dyDescent="0.2">
      <c r="A44">
        <v>88</v>
      </c>
      <c r="B44" s="3">
        <v>255</v>
      </c>
      <c r="C44" s="3">
        <v>75</v>
      </c>
      <c r="D44" s="3">
        <v>62</v>
      </c>
      <c r="E44" t="s">
        <v>4032</v>
      </c>
      <c r="F44" t="str">
        <f t="shared" si="0"/>
        <v>255 75 62 255</v>
      </c>
      <c r="G44">
        <v>88</v>
      </c>
      <c r="H44" t="s">
        <v>5976</v>
      </c>
      <c r="I44" t="s">
        <v>5977</v>
      </c>
      <c r="J44" s="697" t="str" cm="1">
        <f t="array" ref="J44">myRGB(B44,C44,D44)</f>
        <v/>
      </c>
    </row>
    <row r="45" spans="1:10" x14ac:dyDescent="0.2">
      <c r="A45">
        <v>91</v>
      </c>
      <c r="B45" s="3">
        <v>255</v>
      </c>
      <c r="C45" s="3">
        <v>253</v>
      </c>
      <c r="D45" s="3">
        <v>188</v>
      </c>
      <c r="E45" t="s">
        <v>4033</v>
      </c>
      <c r="F45" t="str">
        <f t="shared" si="0"/>
        <v>255 253 188 255</v>
      </c>
      <c r="G45">
        <v>91</v>
      </c>
      <c r="H45" t="s">
        <v>6657</v>
      </c>
      <c r="I45" t="s">
        <v>6658</v>
      </c>
      <c r="J45" s="482" t="str" cm="1">
        <f t="array" ref="J45">myRGB(B45,C45,D45)</f>
        <v/>
      </c>
    </row>
    <row r="46" spans="1:10" x14ac:dyDescent="0.2">
      <c r="A46">
        <v>93</v>
      </c>
      <c r="B46" s="3">
        <v>204</v>
      </c>
      <c r="C46" s="3">
        <v>203</v>
      </c>
      <c r="D46" s="3">
        <v>202</v>
      </c>
      <c r="E46" t="s">
        <v>4034</v>
      </c>
      <c r="F46" t="str">
        <f t="shared" si="0"/>
        <v>204 203 202 255</v>
      </c>
      <c r="G46">
        <v>93</v>
      </c>
      <c r="H46" t="s">
        <v>6712</v>
      </c>
      <c r="I46" t="s">
        <v>6713</v>
      </c>
      <c r="J46" s="553" t="str" cm="1">
        <f t="array" ref="J46">myRGB(B46,C46,D46)</f>
        <v/>
      </c>
    </row>
    <row r="47" spans="1:10" x14ac:dyDescent="0.2">
      <c r="A47">
        <v>96</v>
      </c>
      <c r="B47" s="3">
        <v>254</v>
      </c>
      <c r="C47" s="3">
        <v>165</v>
      </c>
      <c r="D47" s="3">
        <v>209</v>
      </c>
      <c r="E47" t="s">
        <v>4035</v>
      </c>
      <c r="F47" t="str">
        <f t="shared" si="0"/>
        <v>254 165 209 255</v>
      </c>
      <c r="G47">
        <v>96</v>
      </c>
      <c r="H47" t="s">
        <v>6343</v>
      </c>
      <c r="I47" t="s">
        <v>6344</v>
      </c>
      <c r="J47" s="709" t="str" cm="1">
        <f t="array" ref="J47">myRGB(B47,C47,D47)</f>
        <v/>
      </c>
    </row>
    <row r="48" spans="1:10" x14ac:dyDescent="0.2">
      <c r="A48">
        <v>97</v>
      </c>
      <c r="B48" s="3">
        <v>21</v>
      </c>
      <c r="C48" s="3">
        <v>176</v>
      </c>
      <c r="D48" s="3">
        <v>179</v>
      </c>
      <c r="E48" t="s">
        <v>4036</v>
      </c>
      <c r="F48" t="str">
        <f t="shared" si="0"/>
        <v>21 176 179 255</v>
      </c>
      <c r="G48">
        <v>97</v>
      </c>
      <c r="H48" t="s">
        <v>5206</v>
      </c>
      <c r="I48" t="s">
        <v>5207</v>
      </c>
      <c r="J48" s="51" t="str" cm="1">
        <f t="array" ref="J48">myRGB(B48,C48,D48)</f>
        <v/>
      </c>
    </row>
    <row r="49" spans="1:10" x14ac:dyDescent="0.2">
      <c r="A49">
        <v>98</v>
      </c>
      <c r="B49" s="3">
        <v>170</v>
      </c>
      <c r="C49" s="3">
        <v>168</v>
      </c>
      <c r="D49" s="3">
        <v>169</v>
      </c>
      <c r="E49" t="s">
        <v>4037</v>
      </c>
      <c r="F49" t="str">
        <f t="shared" si="0"/>
        <v>170 168 169 255</v>
      </c>
      <c r="G49">
        <v>98</v>
      </c>
      <c r="H49" t="s">
        <v>7050</v>
      </c>
      <c r="I49" t="s">
        <v>7051</v>
      </c>
      <c r="J49" s="820" t="str" cm="1">
        <f t="array" ref="J49">myRGB(B49,C49,D49)</f>
        <v/>
      </c>
    </row>
    <row r="50" spans="1:10" x14ac:dyDescent="0.2">
      <c r="A50">
        <v>100</v>
      </c>
      <c r="B50" s="3">
        <v>255</v>
      </c>
      <c r="C50" s="3">
        <v>166</v>
      </c>
      <c r="D50" s="3">
        <v>254</v>
      </c>
      <c r="E50" t="s">
        <v>4038</v>
      </c>
      <c r="F50" t="str">
        <f t="shared" si="0"/>
        <v>255 166 254 255</v>
      </c>
      <c r="G50">
        <v>100</v>
      </c>
      <c r="H50" t="s">
        <v>6202</v>
      </c>
      <c r="I50" t="s">
        <v>6203</v>
      </c>
      <c r="J50" s="670" t="str" cm="1">
        <f t="array" ref="J50">myRGB(B50,C50,D50)</f>
        <v/>
      </c>
    </row>
    <row r="51" spans="1:10" x14ac:dyDescent="0.2">
      <c r="A51">
        <v>101</v>
      </c>
      <c r="B51" s="3">
        <v>254</v>
      </c>
      <c r="C51" s="3">
        <v>164</v>
      </c>
      <c r="D51" s="3">
        <v>210</v>
      </c>
      <c r="E51" t="s">
        <v>4039</v>
      </c>
      <c r="F51" t="str">
        <f t="shared" si="0"/>
        <v>254 164 210 255</v>
      </c>
      <c r="G51">
        <v>101</v>
      </c>
      <c r="H51" t="s">
        <v>6345</v>
      </c>
      <c r="I51" t="s">
        <v>6346</v>
      </c>
      <c r="J51" s="770" t="str" cm="1">
        <f t="array" ref="J51">myRGB(B51,C51,D51)</f>
        <v/>
      </c>
    </row>
    <row r="52" spans="1:10" x14ac:dyDescent="0.2">
      <c r="A52">
        <v>102</v>
      </c>
      <c r="B52" s="3">
        <v>204</v>
      </c>
      <c r="C52" s="3">
        <v>202</v>
      </c>
      <c r="D52" s="3">
        <v>203</v>
      </c>
      <c r="E52" t="s">
        <v>4040</v>
      </c>
      <c r="F52" t="str">
        <f t="shared" si="0"/>
        <v>204 202 203 255</v>
      </c>
      <c r="G52">
        <v>102</v>
      </c>
      <c r="H52" t="s">
        <v>6902</v>
      </c>
      <c r="I52" t="s">
        <v>6903</v>
      </c>
      <c r="J52" s="621" t="str" cm="1">
        <f t="array" ref="J52">myRGB(B52,C52,D52)</f>
        <v/>
      </c>
    </row>
    <row r="53" spans="1:10" x14ac:dyDescent="0.2">
      <c r="A53">
        <v>105</v>
      </c>
      <c r="B53" s="3">
        <v>255</v>
      </c>
      <c r="C53" s="3">
        <v>173</v>
      </c>
      <c r="D53" s="3">
        <v>110</v>
      </c>
      <c r="E53" t="s">
        <v>4041</v>
      </c>
      <c r="F53" t="str">
        <f t="shared" si="0"/>
        <v>255 173 110 255</v>
      </c>
      <c r="G53">
        <v>105</v>
      </c>
      <c r="H53" t="s">
        <v>6270</v>
      </c>
      <c r="I53" t="s">
        <v>6271</v>
      </c>
      <c r="J53" s="569" t="str" cm="1">
        <f t="array" ref="J53">myRGB(B53,C53,D53)</f>
        <v/>
      </c>
    </row>
    <row r="54" spans="1:10" x14ac:dyDescent="0.2">
      <c r="A54">
        <v>106</v>
      </c>
      <c r="B54" s="3">
        <v>255</v>
      </c>
      <c r="C54" s="3">
        <v>178</v>
      </c>
      <c r="D54" s="3">
        <v>217</v>
      </c>
      <c r="E54" t="s">
        <v>4042</v>
      </c>
      <c r="F54" t="str">
        <f t="shared" si="0"/>
        <v>255 178 217 255</v>
      </c>
      <c r="G54">
        <v>106</v>
      </c>
      <c r="H54" t="s">
        <v>6419</v>
      </c>
      <c r="I54" t="s">
        <v>6420</v>
      </c>
      <c r="J54" s="715" t="str" cm="1">
        <f t="array" ref="J54">myRGB(B54,C54,D54)</f>
        <v/>
      </c>
    </row>
    <row r="55" spans="1:10" x14ac:dyDescent="0.2">
      <c r="A55">
        <v>108</v>
      </c>
      <c r="B55" s="3">
        <v>169</v>
      </c>
      <c r="C55" s="3">
        <v>170</v>
      </c>
      <c r="D55" s="3">
        <v>168</v>
      </c>
      <c r="E55" t="s">
        <v>4043</v>
      </c>
      <c r="F55" t="str">
        <f t="shared" si="0"/>
        <v>169 170 168 255</v>
      </c>
      <c r="G55">
        <v>108</v>
      </c>
      <c r="H55" t="s">
        <v>7052</v>
      </c>
      <c r="I55" t="s">
        <v>7053</v>
      </c>
      <c r="J55" s="544" t="str" cm="1">
        <f t="array" ref="J55">myRGB(B55,C55,D55)</f>
        <v/>
      </c>
    </row>
    <row r="56" spans="1:10" x14ac:dyDescent="0.2">
      <c r="A56">
        <v>113</v>
      </c>
      <c r="B56" s="3">
        <v>24</v>
      </c>
      <c r="C56" s="3">
        <v>127</v>
      </c>
      <c r="D56" s="3">
        <v>100</v>
      </c>
      <c r="E56" t="s">
        <v>4044</v>
      </c>
      <c r="F56" t="str">
        <f t="shared" si="0"/>
        <v>24 127 100 255</v>
      </c>
      <c r="G56">
        <v>113</v>
      </c>
      <c r="H56" t="s">
        <v>7121</v>
      </c>
      <c r="I56" t="s">
        <v>7182</v>
      </c>
      <c r="J56" s="329" t="str" cm="1">
        <f t="array" ref="J56">myRGB(B56,C56,D56)</f>
        <v/>
      </c>
    </row>
    <row r="57" spans="1:10" x14ac:dyDescent="0.2">
      <c r="A57">
        <v>114</v>
      </c>
      <c r="B57" s="3">
        <v>254</v>
      </c>
      <c r="C57" s="3">
        <v>174</v>
      </c>
      <c r="D57" s="3">
        <v>110</v>
      </c>
      <c r="E57" t="s">
        <v>4045</v>
      </c>
      <c r="F57" t="str">
        <f t="shared" si="0"/>
        <v>254 174 110 255</v>
      </c>
      <c r="G57">
        <v>114</v>
      </c>
      <c r="H57" t="s">
        <v>6272</v>
      </c>
      <c r="I57" t="s">
        <v>6273</v>
      </c>
      <c r="J57" s="647" t="str" cm="1">
        <f t="array" ref="J57">myRGB(B57,C57,D57)</f>
        <v/>
      </c>
    </row>
    <row r="58" spans="1:10" x14ac:dyDescent="0.2">
      <c r="A58">
        <v>115</v>
      </c>
      <c r="B58" s="3">
        <v>253</v>
      </c>
      <c r="C58" s="3">
        <v>144</v>
      </c>
      <c r="D58" s="3">
        <v>255</v>
      </c>
      <c r="E58" t="s">
        <v>4046</v>
      </c>
      <c r="F58" t="str">
        <f t="shared" si="0"/>
        <v>253 144 255 255</v>
      </c>
      <c r="G58">
        <v>115</v>
      </c>
      <c r="H58" t="s">
        <v>6176</v>
      </c>
      <c r="I58" t="s">
        <v>6177</v>
      </c>
      <c r="J58" s="410" t="str" cm="1">
        <f t="array" ref="J58">myRGB(B58,C58,D58)</f>
        <v/>
      </c>
    </row>
    <row r="59" spans="1:10" x14ac:dyDescent="0.2">
      <c r="A59">
        <v>117</v>
      </c>
      <c r="B59" s="3">
        <v>203</v>
      </c>
      <c r="C59" s="3">
        <v>202</v>
      </c>
      <c r="D59" s="3">
        <v>204</v>
      </c>
      <c r="E59" t="s">
        <v>4047</v>
      </c>
      <c r="F59" t="str">
        <f t="shared" si="0"/>
        <v>203 202 204 255</v>
      </c>
      <c r="G59">
        <v>117</v>
      </c>
      <c r="H59" t="s">
        <v>6692</v>
      </c>
      <c r="I59" t="s">
        <v>6693</v>
      </c>
      <c r="J59" s="786" t="str" cm="1">
        <f t="array" ref="J59">myRGB(B59,C59,D59)</f>
        <v/>
      </c>
    </row>
    <row r="60" spans="1:10" x14ac:dyDescent="0.2">
      <c r="A60">
        <v>118</v>
      </c>
      <c r="B60" s="3">
        <v>253</v>
      </c>
      <c r="C60" s="3">
        <v>93</v>
      </c>
      <c r="D60" s="3">
        <v>80</v>
      </c>
      <c r="E60" t="s">
        <v>4048</v>
      </c>
      <c r="F60" t="str">
        <f t="shared" si="0"/>
        <v>253 93 80 255</v>
      </c>
      <c r="G60">
        <v>118</v>
      </c>
      <c r="H60" t="s">
        <v>5926</v>
      </c>
      <c r="I60" t="s">
        <v>5927</v>
      </c>
      <c r="J60" s="794" t="str" cm="1">
        <f t="array" ref="J60">myRGB(B60,C60,D60)</f>
        <v/>
      </c>
    </row>
    <row r="61" spans="1:10" x14ac:dyDescent="0.2">
      <c r="A61">
        <v>120</v>
      </c>
      <c r="B61" s="3">
        <v>33</v>
      </c>
      <c r="C61" s="3">
        <v>151</v>
      </c>
      <c r="D61" s="3">
        <v>101</v>
      </c>
      <c r="E61" t="s">
        <v>4049</v>
      </c>
      <c r="F61" t="str">
        <f t="shared" si="0"/>
        <v>33 151 101 255</v>
      </c>
      <c r="G61">
        <v>120</v>
      </c>
      <c r="H61" t="s">
        <v>5078</v>
      </c>
      <c r="I61" t="s">
        <v>5079</v>
      </c>
      <c r="J61" s="25" t="str" cm="1">
        <f t="array" ref="J61">myRGB(B61,C61,D61)</f>
        <v/>
      </c>
    </row>
    <row r="62" spans="1:10" x14ac:dyDescent="0.2">
      <c r="A62">
        <v>121</v>
      </c>
      <c r="B62" s="3">
        <v>9</v>
      </c>
      <c r="C62" s="3">
        <v>133</v>
      </c>
      <c r="D62" s="3">
        <v>140</v>
      </c>
      <c r="E62" t="s">
        <v>4050</v>
      </c>
      <c r="F62" t="str">
        <f t="shared" si="0"/>
        <v>9 133 140 255</v>
      </c>
      <c r="G62">
        <v>121</v>
      </c>
      <c r="H62" t="s">
        <v>4904</v>
      </c>
      <c r="I62" t="s">
        <v>4905</v>
      </c>
      <c r="J62" s="343" t="str" cm="1">
        <f t="array" ref="J62">myRGB(B62,C62,D62)</f>
        <v/>
      </c>
    </row>
    <row r="63" spans="1:10" x14ac:dyDescent="0.2">
      <c r="A63">
        <v>122</v>
      </c>
      <c r="B63" s="3">
        <v>254</v>
      </c>
      <c r="C63" s="3">
        <v>173</v>
      </c>
      <c r="D63" s="3">
        <v>111</v>
      </c>
      <c r="E63" t="s">
        <v>4051</v>
      </c>
      <c r="F63" t="str">
        <f t="shared" si="0"/>
        <v>254 173 111 255</v>
      </c>
      <c r="G63">
        <v>122</v>
      </c>
      <c r="H63" t="s">
        <v>6268</v>
      </c>
      <c r="I63" t="s">
        <v>6269</v>
      </c>
      <c r="J63" s="601" t="str" cm="1">
        <f t="array" ref="J63">myRGB(B63,C63,D63)</f>
        <v/>
      </c>
    </row>
    <row r="64" spans="1:10" x14ac:dyDescent="0.2">
      <c r="A64">
        <v>123</v>
      </c>
      <c r="B64" s="3">
        <v>254</v>
      </c>
      <c r="C64" s="3">
        <v>173</v>
      </c>
      <c r="D64" s="3">
        <v>110</v>
      </c>
      <c r="E64" t="s">
        <v>4052</v>
      </c>
      <c r="F64" t="str">
        <f t="shared" si="0"/>
        <v>254 173 110 255</v>
      </c>
      <c r="G64">
        <v>123</v>
      </c>
      <c r="H64" t="s">
        <v>6244</v>
      </c>
      <c r="I64" t="s">
        <v>6245</v>
      </c>
      <c r="J64" s="706" t="str" cm="1">
        <f t="array" ref="J64">myRGB(B64,C64,D64)</f>
        <v/>
      </c>
    </row>
    <row r="65" spans="1:10" x14ac:dyDescent="0.2">
      <c r="A65">
        <v>125</v>
      </c>
      <c r="B65" s="3">
        <v>202</v>
      </c>
      <c r="C65" s="3">
        <v>204</v>
      </c>
      <c r="D65" s="3">
        <v>203</v>
      </c>
      <c r="E65" t="s">
        <v>4053</v>
      </c>
      <c r="F65" t="str">
        <f t="shared" si="0"/>
        <v>202 204 203 255</v>
      </c>
      <c r="G65">
        <v>125</v>
      </c>
      <c r="H65" t="s">
        <v>6694</v>
      </c>
      <c r="I65" t="s">
        <v>6695</v>
      </c>
      <c r="J65" s="575" t="str" cm="1">
        <f t="array" ref="J65">myRGB(B65,C65,D65)</f>
        <v/>
      </c>
    </row>
    <row r="66" spans="1:10" x14ac:dyDescent="0.2">
      <c r="A66">
        <v>126</v>
      </c>
      <c r="B66" s="3">
        <v>255</v>
      </c>
      <c r="C66" s="3">
        <v>84</v>
      </c>
      <c r="D66" s="3">
        <v>71</v>
      </c>
      <c r="E66" t="s">
        <v>4054</v>
      </c>
      <c r="F66" t="str">
        <f t="shared" si="0"/>
        <v>255 84 71 255</v>
      </c>
      <c r="G66">
        <v>126</v>
      </c>
      <c r="H66" t="s">
        <v>5960</v>
      </c>
      <c r="I66" t="s">
        <v>5961</v>
      </c>
      <c r="J66" s="644" t="str" cm="1">
        <f t="array" ref="J66">myRGB(B66,C66,D66)</f>
        <v/>
      </c>
    </row>
    <row r="67" spans="1:10" x14ac:dyDescent="0.2">
      <c r="A67">
        <v>128</v>
      </c>
      <c r="B67" s="3">
        <v>255</v>
      </c>
      <c r="C67" s="3">
        <v>143</v>
      </c>
      <c r="D67" s="3">
        <v>253</v>
      </c>
      <c r="E67" t="s">
        <v>4055</v>
      </c>
      <c r="F67" t="str">
        <f t="shared" ref="F67:F130" si="1">_xlfn.CONCAT(B67," ",C67," ",D67," 255")</f>
        <v>255 143 253 255</v>
      </c>
      <c r="G67">
        <v>128</v>
      </c>
      <c r="H67" t="s">
        <v>6114</v>
      </c>
      <c r="I67" t="s">
        <v>6115</v>
      </c>
      <c r="J67" s="672" t="str" cm="1">
        <f t="array" ref="J67">myRGB(B67,C67,D67)</f>
        <v/>
      </c>
    </row>
    <row r="68" spans="1:10" x14ac:dyDescent="0.2">
      <c r="A68">
        <v>129</v>
      </c>
      <c r="B68" s="3">
        <v>168</v>
      </c>
      <c r="C68" s="3">
        <v>169</v>
      </c>
      <c r="D68" s="3">
        <v>170</v>
      </c>
      <c r="E68" t="s">
        <v>4056</v>
      </c>
      <c r="F68" t="str">
        <f t="shared" si="1"/>
        <v>168 169 170 255</v>
      </c>
      <c r="G68">
        <v>129</v>
      </c>
      <c r="H68" t="s">
        <v>7058</v>
      </c>
      <c r="I68" t="s">
        <v>7059</v>
      </c>
      <c r="J68" s="611" t="str" cm="1">
        <f t="array" ref="J68">myRGB(B68,C68,D68)</f>
        <v/>
      </c>
    </row>
    <row r="69" spans="1:10" x14ac:dyDescent="0.2">
      <c r="A69">
        <v>131</v>
      </c>
      <c r="B69" s="3">
        <v>144</v>
      </c>
      <c r="C69" s="3">
        <v>235</v>
      </c>
      <c r="D69" s="3">
        <v>141</v>
      </c>
      <c r="E69" t="s">
        <v>4057</v>
      </c>
      <c r="F69" t="str">
        <f t="shared" si="1"/>
        <v>144 235 141 255</v>
      </c>
      <c r="G69">
        <v>131</v>
      </c>
      <c r="H69" t="s">
        <v>5584</v>
      </c>
      <c r="I69" t="s">
        <v>5585</v>
      </c>
      <c r="J69" s="237" t="str" cm="1">
        <f t="array" ref="J69">myRGB(B69,C69,D69)</f>
        <v/>
      </c>
    </row>
    <row r="70" spans="1:10" x14ac:dyDescent="0.2">
      <c r="A70">
        <v>132</v>
      </c>
      <c r="B70" s="3">
        <v>47</v>
      </c>
      <c r="C70" s="3">
        <v>168</v>
      </c>
      <c r="D70" s="3">
        <v>79</v>
      </c>
      <c r="E70" t="s">
        <v>4058</v>
      </c>
      <c r="F70" t="str">
        <f t="shared" si="1"/>
        <v>47 168 79 255</v>
      </c>
      <c r="G70">
        <v>132</v>
      </c>
      <c r="H70" t="s">
        <v>5006</v>
      </c>
      <c r="I70" t="s">
        <v>5007</v>
      </c>
      <c r="J70" s="22" t="str" cm="1">
        <f t="array" ref="J70">myRGB(B70,C70,D70)</f>
        <v/>
      </c>
    </row>
    <row r="71" spans="1:10" x14ac:dyDescent="0.2">
      <c r="A71">
        <v>133</v>
      </c>
      <c r="B71" s="3">
        <v>254</v>
      </c>
      <c r="C71" s="3">
        <v>85</v>
      </c>
      <c r="D71" s="3">
        <v>71</v>
      </c>
      <c r="E71" t="s">
        <v>4059</v>
      </c>
      <c r="F71" t="str">
        <f t="shared" si="1"/>
        <v>254 85 71 255</v>
      </c>
      <c r="G71">
        <v>133</v>
      </c>
      <c r="H71" t="s">
        <v>5962</v>
      </c>
      <c r="I71" t="s">
        <v>5963</v>
      </c>
      <c r="J71" s="531" t="str" cm="1">
        <f t="array" ref="J71">myRGB(B71,C71,D71)</f>
        <v/>
      </c>
    </row>
    <row r="72" spans="1:10" x14ac:dyDescent="0.2">
      <c r="A72">
        <v>136</v>
      </c>
      <c r="B72" s="3">
        <v>255</v>
      </c>
      <c r="C72" s="3">
        <v>178</v>
      </c>
      <c r="D72" s="3">
        <v>216</v>
      </c>
      <c r="E72" t="s">
        <v>4060</v>
      </c>
      <c r="F72" t="str">
        <f t="shared" si="1"/>
        <v>255 178 216 255</v>
      </c>
      <c r="G72">
        <v>136</v>
      </c>
      <c r="H72" t="s">
        <v>6417</v>
      </c>
      <c r="I72" t="s">
        <v>6418</v>
      </c>
      <c r="J72" s="714" t="str" cm="1">
        <f t="array" ref="J72">myRGB(B72,C72,D72)</f>
        <v/>
      </c>
    </row>
    <row r="73" spans="1:10" x14ac:dyDescent="0.2">
      <c r="A73">
        <v>139</v>
      </c>
      <c r="B73" s="3">
        <v>49</v>
      </c>
      <c r="C73" s="3">
        <v>184</v>
      </c>
      <c r="D73" s="3">
        <v>36</v>
      </c>
      <c r="E73" t="s">
        <v>4061</v>
      </c>
      <c r="F73" t="str">
        <f t="shared" si="1"/>
        <v>49 184 36 255</v>
      </c>
      <c r="G73">
        <v>139</v>
      </c>
      <c r="H73" t="s">
        <v>5474</v>
      </c>
      <c r="I73" t="s">
        <v>5475</v>
      </c>
      <c r="J73" s="389" t="str" cm="1">
        <f t="array" ref="J73">myRGB(B73,C73,D73)</f>
        <v/>
      </c>
    </row>
    <row r="74" spans="1:10" x14ac:dyDescent="0.2">
      <c r="A74">
        <v>140</v>
      </c>
      <c r="B74" s="3">
        <v>169</v>
      </c>
      <c r="C74" s="3">
        <v>169</v>
      </c>
      <c r="D74" s="3">
        <v>168</v>
      </c>
      <c r="E74" t="s">
        <v>4062</v>
      </c>
      <c r="F74" t="str">
        <f t="shared" si="1"/>
        <v>169 169 168 255</v>
      </c>
      <c r="G74">
        <v>140</v>
      </c>
      <c r="H74" t="s">
        <v>7060</v>
      </c>
      <c r="I74" t="s">
        <v>7061</v>
      </c>
      <c r="J74" s="799" t="str" cm="1">
        <f t="array" ref="J74">myRGB(B74,C74,D74)</f>
        <v/>
      </c>
    </row>
    <row r="75" spans="1:10" x14ac:dyDescent="0.2">
      <c r="A75">
        <v>143</v>
      </c>
      <c r="B75" s="3">
        <v>254</v>
      </c>
      <c r="C75" s="3">
        <v>179</v>
      </c>
      <c r="D75" s="3">
        <v>216</v>
      </c>
      <c r="E75" t="s">
        <v>4063</v>
      </c>
      <c r="F75" t="str">
        <f t="shared" si="1"/>
        <v>254 179 216 255</v>
      </c>
      <c r="G75">
        <v>143</v>
      </c>
      <c r="H75" t="s">
        <v>6405</v>
      </c>
      <c r="I75" t="s">
        <v>6406</v>
      </c>
      <c r="J75" s="845" t="str" cm="1">
        <f t="array" ref="J75">myRGB(B75,C75,D75)</f>
        <v/>
      </c>
    </row>
    <row r="76" spans="1:10" x14ac:dyDescent="0.2">
      <c r="A76">
        <v>145</v>
      </c>
      <c r="B76" s="3">
        <v>170</v>
      </c>
      <c r="C76" s="3">
        <v>169</v>
      </c>
      <c r="D76" s="3">
        <v>167</v>
      </c>
      <c r="E76" t="s">
        <v>4064</v>
      </c>
      <c r="F76" t="str">
        <f t="shared" si="1"/>
        <v>170 169 167 255</v>
      </c>
      <c r="G76">
        <v>145</v>
      </c>
      <c r="H76" t="s">
        <v>7062</v>
      </c>
      <c r="I76" t="s">
        <v>7063</v>
      </c>
      <c r="J76" s="821" t="str" cm="1">
        <f t="array" ref="J76">myRGB(B76,C76,D76)</f>
        <v/>
      </c>
    </row>
    <row r="77" spans="1:10" x14ac:dyDescent="0.2">
      <c r="A77">
        <v>146</v>
      </c>
      <c r="B77" s="3">
        <v>255</v>
      </c>
      <c r="C77" s="3">
        <v>194</v>
      </c>
      <c r="D77" s="3">
        <v>149</v>
      </c>
      <c r="E77" t="s">
        <v>4065</v>
      </c>
      <c r="F77" t="str">
        <f t="shared" si="1"/>
        <v>255 194 149 255</v>
      </c>
      <c r="G77">
        <v>146</v>
      </c>
      <c r="H77" t="s">
        <v>6323</v>
      </c>
      <c r="I77" t="s">
        <v>6324</v>
      </c>
      <c r="J77" s="536" t="str" cm="1">
        <f t="array" ref="J77">myRGB(B77,C77,D77)</f>
        <v/>
      </c>
    </row>
    <row r="78" spans="1:10" x14ac:dyDescent="0.2">
      <c r="A78">
        <v>147</v>
      </c>
      <c r="B78" s="3">
        <v>253</v>
      </c>
      <c r="C78" s="3">
        <v>195</v>
      </c>
      <c r="D78" s="3">
        <v>149</v>
      </c>
      <c r="E78" t="s">
        <v>4066</v>
      </c>
      <c r="F78" t="str">
        <f t="shared" si="1"/>
        <v>253 195 149 255</v>
      </c>
      <c r="G78">
        <v>147</v>
      </c>
      <c r="H78" t="s">
        <v>6317</v>
      </c>
      <c r="I78" t="s">
        <v>6318</v>
      </c>
      <c r="J78" s="796" t="str" cm="1">
        <f t="array" ref="J78">myRGB(B78,C78,D78)</f>
        <v/>
      </c>
    </row>
    <row r="79" spans="1:10" x14ac:dyDescent="0.2">
      <c r="A79">
        <v>148</v>
      </c>
      <c r="B79" s="3">
        <v>0</v>
      </c>
      <c r="C79" s="3">
        <v>156</v>
      </c>
      <c r="D79" s="3">
        <v>116</v>
      </c>
      <c r="E79" t="s">
        <v>4067</v>
      </c>
      <c r="F79" t="str">
        <f t="shared" si="1"/>
        <v>0 156 116 255</v>
      </c>
      <c r="G79">
        <v>148</v>
      </c>
      <c r="H79" t="s">
        <v>4776</v>
      </c>
      <c r="I79" t="s">
        <v>4777</v>
      </c>
      <c r="J79" s="287" t="str" cm="1">
        <f t="array" ref="J79">myRGB(B79,C79,D79)</f>
        <v/>
      </c>
    </row>
    <row r="80" spans="1:10" x14ac:dyDescent="0.2">
      <c r="A80">
        <v>149</v>
      </c>
      <c r="B80" s="3">
        <v>254</v>
      </c>
      <c r="C80" s="3">
        <v>143</v>
      </c>
      <c r="D80" s="3">
        <v>158</v>
      </c>
      <c r="E80" t="s">
        <v>4068</v>
      </c>
      <c r="F80" t="str">
        <f t="shared" si="1"/>
        <v>254 143 158 255</v>
      </c>
      <c r="G80">
        <v>149</v>
      </c>
      <c r="H80" t="s">
        <v>5846</v>
      </c>
      <c r="I80" t="s">
        <v>5847</v>
      </c>
      <c r="J80" s="674" t="str" cm="1">
        <f t="array" ref="J80">myRGB(B80,C80,D80)</f>
        <v/>
      </c>
    </row>
    <row r="81" spans="1:10" x14ac:dyDescent="0.2">
      <c r="A81">
        <v>153</v>
      </c>
      <c r="B81" s="3">
        <v>169</v>
      </c>
      <c r="C81" s="3">
        <v>170</v>
      </c>
      <c r="D81" s="3">
        <v>167</v>
      </c>
      <c r="E81" t="s">
        <v>4069</v>
      </c>
      <c r="F81" t="str">
        <f t="shared" si="1"/>
        <v>169 170 167 255</v>
      </c>
      <c r="G81">
        <v>153</v>
      </c>
      <c r="H81" t="s">
        <v>7064</v>
      </c>
      <c r="I81" t="s">
        <v>7065</v>
      </c>
      <c r="J81" s="716" t="str" cm="1">
        <f t="array" ref="J81">myRGB(B81,C81,D81)</f>
        <v/>
      </c>
    </row>
    <row r="82" spans="1:10" x14ac:dyDescent="0.2">
      <c r="A82">
        <v>155</v>
      </c>
      <c r="B82" s="3">
        <v>255</v>
      </c>
      <c r="C82" s="3">
        <v>144</v>
      </c>
      <c r="D82" s="3">
        <v>157</v>
      </c>
      <c r="E82" t="s">
        <v>4070</v>
      </c>
      <c r="F82" t="str">
        <f t="shared" si="1"/>
        <v>255 144 157 255</v>
      </c>
      <c r="G82">
        <v>155</v>
      </c>
      <c r="H82" t="s">
        <v>5826</v>
      </c>
      <c r="I82" t="s">
        <v>5827</v>
      </c>
      <c r="J82" s="388" t="str" cm="1">
        <f t="array" ref="J82">myRGB(B82,C82,D82)</f>
        <v/>
      </c>
    </row>
    <row r="83" spans="1:10" x14ac:dyDescent="0.2">
      <c r="A83">
        <v>156</v>
      </c>
      <c r="B83" s="3">
        <v>1</v>
      </c>
      <c r="C83" s="3">
        <v>147</v>
      </c>
      <c r="D83" s="3">
        <v>153</v>
      </c>
      <c r="E83" t="s">
        <v>4071</v>
      </c>
      <c r="F83" t="str">
        <f t="shared" si="1"/>
        <v>1 147 153 255</v>
      </c>
      <c r="G83">
        <v>156</v>
      </c>
      <c r="H83" t="s">
        <v>4806</v>
      </c>
      <c r="I83" t="s">
        <v>4807</v>
      </c>
      <c r="J83" s="367" t="str" cm="1">
        <f t="array" ref="J83">myRGB(B83,C83,D83)</f>
        <v/>
      </c>
    </row>
    <row r="84" spans="1:10" x14ac:dyDescent="0.2">
      <c r="A84">
        <v>158</v>
      </c>
      <c r="B84" s="3">
        <v>204</v>
      </c>
      <c r="C84" s="3">
        <v>202</v>
      </c>
      <c r="D84" s="3">
        <v>202</v>
      </c>
      <c r="E84" t="s">
        <v>4072</v>
      </c>
      <c r="F84" t="str">
        <f t="shared" si="1"/>
        <v>204 202 202 255</v>
      </c>
      <c r="G84">
        <v>158</v>
      </c>
      <c r="H84" t="s">
        <v>6702</v>
      </c>
      <c r="I84" t="s">
        <v>6703</v>
      </c>
      <c r="J84" s="726" t="str" cm="1">
        <f t="array" ref="J84">myRGB(B84,C84,D84)</f>
        <v/>
      </c>
    </row>
    <row r="85" spans="1:10" x14ac:dyDescent="0.2">
      <c r="A85">
        <v>159</v>
      </c>
      <c r="B85" s="3">
        <v>84</v>
      </c>
      <c r="C85" s="3">
        <v>191</v>
      </c>
      <c r="D85" s="3">
        <v>148</v>
      </c>
      <c r="E85" t="s">
        <v>4073</v>
      </c>
      <c r="F85" t="str">
        <f t="shared" si="1"/>
        <v>84 191 148 255</v>
      </c>
      <c r="G85">
        <v>159</v>
      </c>
      <c r="H85" t="s">
        <v>5254</v>
      </c>
      <c r="I85" t="s">
        <v>5255</v>
      </c>
      <c r="J85" s="96" t="str" cm="1">
        <f t="array" ref="J85">myRGB(B85,C85,D85)</f>
        <v/>
      </c>
    </row>
    <row r="86" spans="1:10" x14ac:dyDescent="0.2">
      <c r="A86">
        <v>162</v>
      </c>
      <c r="B86" s="3">
        <v>254</v>
      </c>
      <c r="C86" s="3">
        <v>195</v>
      </c>
      <c r="D86" s="3">
        <v>149</v>
      </c>
      <c r="E86" t="s">
        <v>4074</v>
      </c>
      <c r="F86" t="str">
        <f t="shared" si="1"/>
        <v>254 195 149 255</v>
      </c>
      <c r="G86">
        <v>162</v>
      </c>
      <c r="H86" t="s">
        <v>6319</v>
      </c>
      <c r="I86" t="s">
        <v>6320</v>
      </c>
      <c r="J86" s="768" t="str" cm="1">
        <f t="array" ref="J86">myRGB(B86,C86,D86)</f>
        <v/>
      </c>
    </row>
    <row r="87" spans="1:10" x14ac:dyDescent="0.2">
      <c r="A87">
        <v>163</v>
      </c>
      <c r="B87" s="3">
        <v>32</v>
      </c>
      <c r="C87" s="3">
        <v>152</v>
      </c>
      <c r="D87" s="3">
        <v>101</v>
      </c>
      <c r="E87" t="s">
        <v>4075</v>
      </c>
      <c r="F87" t="str">
        <f t="shared" si="1"/>
        <v>32 152 101 255</v>
      </c>
      <c r="G87">
        <v>163</v>
      </c>
      <c r="H87" t="s">
        <v>7153</v>
      </c>
      <c r="I87" t="s">
        <v>7214</v>
      </c>
      <c r="J87" s="115" t="str" cm="1">
        <f t="array" ref="J87">myRGB(B87,C87,D87)</f>
        <v/>
      </c>
    </row>
    <row r="88" spans="1:10" x14ac:dyDescent="0.2">
      <c r="A88">
        <v>164</v>
      </c>
      <c r="B88" s="3">
        <v>167</v>
      </c>
      <c r="C88" s="3">
        <v>170</v>
      </c>
      <c r="D88" s="3">
        <v>169</v>
      </c>
      <c r="E88" t="s">
        <v>4076</v>
      </c>
      <c r="F88" t="str">
        <f t="shared" si="1"/>
        <v>167 170 169 255</v>
      </c>
      <c r="G88">
        <v>164</v>
      </c>
      <c r="H88" t="s">
        <v>7066</v>
      </c>
      <c r="I88" t="s">
        <v>7238</v>
      </c>
      <c r="J88" s="572" t="str" cm="1">
        <f t="array" ref="J88">myRGB(B88,C88,D88)</f>
        <v/>
      </c>
    </row>
    <row r="89" spans="1:10" x14ac:dyDescent="0.2">
      <c r="A89">
        <v>169</v>
      </c>
      <c r="B89" s="3">
        <v>255</v>
      </c>
      <c r="C89" s="3">
        <v>179</v>
      </c>
      <c r="D89" s="3">
        <v>215</v>
      </c>
      <c r="E89" t="s">
        <v>4077</v>
      </c>
      <c r="F89" t="str">
        <f t="shared" si="1"/>
        <v>255 179 215 255</v>
      </c>
      <c r="G89">
        <v>169</v>
      </c>
      <c r="H89" t="s">
        <v>6453</v>
      </c>
      <c r="I89" t="s">
        <v>6454</v>
      </c>
      <c r="J89" s="608" t="str" cm="1">
        <f t="array" ref="J89">myRGB(B89,C89,D89)</f>
        <v/>
      </c>
    </row>
    <row r="90" spans="1:10" x14ac:dyDescent="0.2">
      <c r="A90">
        <v>171</v>
      </c>
      <c r="B90" s="3">
        <v>47</v>
      </c>
      <c r="C90" s="3">
        <v>167</v>
      </c>
      <c r="D90" s="3">
        <v>80</v>
      </c>
      <c r="E90" t="s">
        <v>4078</v>
      </c>
      <c r="F90" t="str">
        <f t="shared" si="1"/>
        <v>47 167 80 255</v>
      </c>
      <c r="G90">
        <v>171</v>
      </c>
      <c r="H90" t="s">
        <v>4998</v>
      </c>
      <c r="I90" t="s">
        <v>4999</v>
      </c>
      <c r="J90" s="173" t="str" cm="1">
        <f t="array" ref="J90">myRGB(B90,C90,D90)</f>
        <v/>
      </c>
    </row>
    <row r="91" spans="1:10" x14ac:dyDescent="0.2">
      <c r="A91">
        <v>173</v>
      </c>
      <c r="B91" s="3">
        <v>242</v>
      </c>
      <c r="C91" s="3">
        <v>72</v>
      </c>
      <c r="D91" s="3">
        <v>59</v>
      </c>
      <c r="E91" t="s">
        <v>4079</v>
      </c>
      <c r="F91" t="str">
        <f t="shared" si="1"/>
        <v>242 72 59 255</v>
      </c>
      <c r="G91">
        <v>173</v>
      </c>
      <c r="H91" t="s">
        <v>6060</v>
      </c>
      <c r="I91" t="s">
        <v>6061</v>
      </c>
      <c r="J91" s="433" t="str" cm="1">
        <f t="array" ref="J91">myRGB(B91,C91,D91)</f>
        <v/>
      </c>
    </row>
    <row r="92" spans="1:10" x14ac:dyDescent="0.2">
      <c r="A92">
        <v>177</v>
      </c>
      <c r="B92" s="3">
        <v>255</v>
      </c>
      <c r="C92" s="3">
        <v>177</v>
      </c>
      <c r="D92" s="3">
        <v>217</v>
      </c>
      <c r="E92" t="s">
        <v>4080</v>
      </c>
      <c r="F92" t="str">
        <f t="shared" si="1"/>
        <v>255 177 217 255</v>
      </c>
      <c r="G92">
        <v>177</v>
      </c>
      <c r="H92" t="s">
        <v>6451</v>
      </c>
      <c r="I92" t="s">
        <v>6452</v>
      </c>
      <c r="J92" s="542" t="str" cm="1">
        <f t="array" ref="J92">myRGB(B92,C92,D92)</f>
        <v/>
      </c>
    </row>
    <row r="93" spans="1:10" x14ac:dyDescent="0.2">
      <c r="A93">
        <v>178</v>
      </c>
      <c r="B93" s="3">
        <v>255</v>
      </c>
      <c r="C93" s="3">
        <v>142</v>
      </c>
      <c r="D93" s="3">
        <v>159</v>
      </c>
      <c r="E93" t="s">
        <v>4081</v>
      </c>
      <c r="F93" t="str">
        <f t="shared" si="1"/>
        <v>255 142 159 255</v>
      </c>
      <c r="G93">
        <v>178</v>
      </c>
      <c r="H93" t="s">
        <v>5876</v>
      </c>
      <c r="I93" t="s">
        <v>5877</v>
      </c>
      <c r="J93" s="733" t="str" cm="1">
        <f t="array" ref="J93">myRGB(B93,C93,D93)</f>
        <v/>
      </c>
    </row>
    <row r="94" spans="1:10" x14ac:dyDescent="0.2">
      <c r="A94">
        <v>180</v>
      </c>
      <c r="B94" s="3">
        <v>0</v>
      </c>
      <c r="C94" s="3">
        <v>155</v>
      </c>
      <c r="D94" s="3">
        <v>117</v>
      </c>
      <c r="E94" t="s">
        <v>4082</v>
      </c>
      <c r="F94" t="str">
        <f t="shared" si="1"/>
        <v>0 155 117 255</v>
      </c>
      <c r="G94">
        <v>180</v>
      </c>
      <c r="H94" t="s">
        <v>7127</v>
      </c>
      <c r="I94" t="s">
        <v>7188</v>
      </c>
      <c r="J94" s="235" t="str" cm="1">
        <f t="array" ref="J94">myRGB(B94,C94,D94)</f>
        <v/>
      </c>
    </row>
    <row r="95" spans="1:10" x14ac:dyDescent="0.2">
      <c r="A95">
        <v>181</v>
      </c>
      <c r="B95" s="3">
        <v>253</v>
      </c>
      <c r="C95" s="3">
        <v>144</v>
      </c>
      <c r="D95" s="3">
        <v>159</v>
      </c>
      <c r="E95" t="s">
        <v>4083</v>
      </c>
      <c r="F95" t="str">
        <f t="shared" si="1"/>
        <v>253 144 159 255</v>
      </c>
      <c r="G95">
        <v>181</v>
      </c>
      <c r="H95" t="s">
        <v>5850</v>
      </c>
      <c r="I95" t="s">
        <v>5851</v>
      </c>
      <c r="J95" s="520" t="str" cm="1">
        <f t="array" ref="J95">myRGB(B95,C95,D95)</f>
        <v/>
      </c>
    </row>
    <row r="96" spans="1:10" x14ac:dyDescent="0.2">
      <c r="A96">
        <v>184</v>
      </c>
      <c r="B96" s="3">
        <v>38</v>
      </c>
      <c r="C96" s="3">
        <v>143</v>
      </c>
      <c r="D96" s="3">
        <v>68</v>
      </c>
      <c r="E96" t="s">
        <v>4084</v>
      </c>
      <c r="F96" t="str">
        <f t="shared" si="1"/>
        <v>38 143 68 255</v>
      </c>
      <c r="G96">
        <v>184</v>
      </c>
      <c r="H96" t="s">
        <v>4600</v>
      </c>
      <c r="I96" t="s">
        <v>4601</v>
      </c>
      <c r="J96" s="267" t="str" cm="1">
        <f t="array" ref="J96">myRGB(B96,C96,D96)</f>
        <v/>
      </c>
    </row>
    <row r="97" spans="1:10" x14ac:dyDescent="0.2">
      <c r="A97">
        <v>186</v>
      </c>
      <c r="B97" s="3">
        <v>255</v>
      </c>
      <c r="C97" s="3">
        <v>143</v>
      </c>
      <c r="D97" s="3">
        <v>157</v>
      </c>
      <c r="E97" t="s">
        <v>4085</v>
      </c>
      <c r="F97" t="str">
        <f t="shared" si="1"/>
        <v>255 143 157 255</v>
      </c>
      <c r="G97">
        <v>186</v>
      </c>
      <c r="H97" t="s">
        <v>5888</v>
      </c>
      <c r="I97" t="s">
        <v>5889</v>
      </c>
      <c r="J97" s="837" t="str" cm="1">
        <f t="array" ref="J97">myRGB(B97,C97,D97)</f>
        <v/>
      </c>
    </row>
    <row r="98" spans="1:10" x14ac:dyDescent="0.2">
      <c r="A98">
        <v>187</v>
      </c>
      <c r="B98" s="3">
        <v>1</v>
      </c>
      <c r="C98" s="3">
        <v>156</v>
      </c>
      <c r="D98" s="3">
        <v>117</v>
      </c>
      <c r="E98" t="s">
        <v>4086</v>
      </c>
      <c r="F98" t="str">
        <f t="shared" si="1"/>
        <v>1 156 117 255</v>
      </c>
      <c r="G98">
        <v>187</v>
      </c>
      <c r="H98" t="s">
        <v>4778</v>
      </c>
      <c r="I98" t="s">
        <v>4779</v>
      </c>
      <c r="J98" s="202" t="str" cm="1">
        <f t="array" ref="J98">myRGB(B98,C98,D98)</f>
        <v/>
      </c>
    </row>
    <row r="99" spans="1:10" x14ac:dyDescent="0.2">
      <c r="A99">
        <v>188</v>
      </c>
      <c r="B99" s="3">
        <v>157</v>
      </c>
      <c r="C99" s="3">
        <v>240</v>
      </c>
      <c r="D99" s="3">
        <v>209</v>
      </c>
      <c r="E99" t="s">
        <v>4087</v>
      </c>
      <c r="F99" t="str">
        <f t="shared" si="1"/>
        <v>157 240 209 255</v>
      </c>
      <c r="G99">
        <v>188</v>
      </c>
      <c r="H99" t="s">
        <v>5248</v>
      </c>
      <c r="I99" t="s">
        <v>5249</v>
      </c>
      <c r="J99" s="74" t="str" cm="1">
        <f t="array" ref="J99">myRGB(B99,C99,D99)</f>
        <v/>
      </c>
    </row>
    <row r="100" spans="1:10" x14ac:dyDescent="0.2">
      <c r="A100">
        <v>189</v>
      </c>
      <c r="B100" s="3">
        <v>255</v>
      </c>
      <c r="C100" s="3">
        <v>142</v>
      </c>
      <c r="D100" s="3">
        <v>158</v>
      </c>
      <c r="E100" t="s">
        <v>4088</v>
      </c>
      <c r="F100" t="str">
        <f t="shared" si="1"/>
        <v>255 142 158 255</v>
      </c>
      <c r="G100">
        <v>189</v>
      </c>
      <c r="H100" t="s">
        <v>5856</v>
      </c>
      <c r="I100" t="s">
        <v>5857</v>
      </c>
      <c r="J100" s="419" t="str" cm="1">
        <f t="array" ref="J100">myRGB(B100,C100,D100)</f>
        <v/>
      </c>
    </row>
    <row r="101" spans="1:10" x14ac:dyDescent="0.2">
      <c r="A101">
        <v>190</v>
      </c>
      <c r="B101" s="3">
        <v>199</v>
      </c>
      <c r="C101" s="3">
        <v>201</v>
      </c>
      <c r="D101" s="3">
        <v>201</v>
      </c>
      <c r="E101" t="s">
        <v>4089</v>
      </c>
      <c r="F101" t="str">
        <f t="shared" si="1"/>
        <v>199 201 201 255</v>
      </c>
      <c r="G101">
        <v>190</v>
      </c>
      <c r="H101" t="s">
        <v>6874</v>
      </c>
      <c r="I101" t="s">
        <v>6875</v>
      </c>
      <c r="J101" s="663" t="str" cm="1">
        <f t="array" ref="J101">myRGB(B101,C101,D101)</f>
        <v/>
      </c>
    </row>
    <row r="102" spans="1:10" x14ac:dyDescent="0.2">
      <c r="A102">
        <v>194</v>
      </c>
      <c r="B102" s="3">
        <v>242</v>
      </c>
      <c r="C102" s="3">
        <v>72</v>
      </c>
      <c r="D102" s="3">
        <v>58</v>
      </c>
      <c r="E102" t="s">
        <v>4090</v>
      </c>
      <c r="F102" t="str">
        <f t="shared" si="1"/>
        <v>242 72 58 255</v>
      </c>
      <c r="G102">
        <v>194</v>
      </c>
      <c r="H102" t="s">
        <v>6050</v>
      </c>
      <c r="I102" t="s">
        <v>6051</v>
      </c>
      <c r="J102" s="840" t="str" cm="1">
        <f t="array" ref="J102">myRGB(B102,C102,D102)</f>
        <v/>
      </c>
    </row>
    <row r="103" spans="1:10" x14ac:dyDescent="0.2">
      <c r="A103">
        <v>196</v>
      </c>
      <c r="B103" s="3">
        <v>149</v>
      </c>
      <c r="C103" s="3">
        <v>228</v>
      </c>
      <c r="D103" s="3">
        <v>200</v>
      </c>
      <c r="E103" t="s">
        <v>4091</v>
      </c>
      <c r="F103" t="str">
        <f t="shared" si="1"/>
        <v>149 228 200 255</v>
      </c>
      <c r="G103">
        <v>196</v>
      </c>
      <c r="H103" t="s">
        <v>5250</v>
      </c>
      <c r="I103" t="s">
        <v>5251</v>
      </c>
      <c r="J103" s="20" t="str" cm="1">
        <f t="array" ref="J103">myRGB(B103,C103,D103)</f>
        <v/>
      </c>
    </row>
    <row r="104" spans="1:10" x14ac:dyDescent="0.2">
      <c r="A104">
        <v>197</v>
      </c>
      <c r="B104" s="3">
        <v>254</v>
      </c>
      <c r="C104" s="3">
        <v>166</v>
      </c>
      <c r="D104" s="3">
        <v>255</v>
      </c>
      <c r="E104" t="s">
        <v>4092</v>
      </c>
      <c r="F104" t="str">
        <f t="shared" si="1"/>
        <v>254 166 255 255</v>
      </c>
      <c r="G104">
        <v>197</v>
      </c>
      <c r="H104" t="s">
        <v>6220</v>
      </c>
      <c r="I104" t="s">
        <v>6221</v>
      </c>
      <c r="J104" s="381" t="str" cm="1">
        <f t="array" ref="J104">myRGB(B104,C104,D104)</f>
        <v/>
      </c>
    </row>
    <row r="105" spans="1:10" x14ac:dyDescent="0.2">
      <c r="A105">
        <v>198</v>
      </c>
      <c r="B105" s="3">
        <v>201</v>
      </c>
      <c r="C105" s="3">
        <v>199</v>
      </c>
      <c r="D105" s="3">
        <v>204</v>
      </c>
      <c r="E105" t="s">
        <v>4093</v>
      </c>
      <c r="F105" t="str">
        <f t="shared" si="1"/>
        <v>201 199 204 255</v>
      </c>
      <c r="G105">
        <v>198</v>
      </c>
      <c r="H105" t="s">
        <v>6876</v>
      </c>
      <c r="I105" t="s">
        <v>6877</v>
      </c>
      <c r="J105" s="549" t="str" cm="1">
        <f t="array" ref="J105">myRGB(B105,C105,D105)</f>
        <v/>
      </c>
    </row>
    <row r="106" spans="1:10" x14ac:dyDescent="0.2">
      <c r="A106">
        <v>201</v>
      </c>
      <c r="B106" s="3">
        <v>24</v>
      </c>
      <c r="C106" s="3">
        <v>127</v>
      </c>
      <c r="D106" s="3">
        <v>99</v>
      </c>
      <c r="E106" t="s">
        <v>4094</v>
      </c>
      <c r="F106" t="str">
        <f t="shared" si="1"/>
        <v>24 127 99 255</v>
      </c>
      <c r="G106">
        <v>201</v>
      </c>
      <c r="H106" t="s">
        <v>7119</v>
      </c>
      <c r="I106" t="s">
        <v>7180</v>
      </c>
      <c r="J106" s="269" t="str" cm="1">
        <f t="array" ref="J106">myRGB(B106,C106,D106)</f>
        <v/>
      </c>
    </row>
    <row r="107" spans="1:10" x14ac:dyDescent="0.2">
      <c r="A107">
        <v>202</v>
      </c>
      <c r="B107" s="3">
        <v>255</v>
      </c>
      <c r="C107" s="3">
        <v>176</v>
      </c>
      <c r="D107" s="3">
        <v>215</v>
      </c>
      <c r="E107" t="s">
        <v>4095</v>
      </c>
      <c r="F107" t="str">
        <f t="shared" si="1"/>
        <v>255 176 215 255</v>
      </c>
      <c r="G107">
        <v>202</v>
      </c>
      <c r="H107" t="s">
        <v>6467</v>
      </c>
      <c r="I107" t="s">
        <v>6468</v>
      </c>
      <c r="J107" s="571" t="str" cm="1">
        <f t="array" ref="J107">myRGB(B107,C107,D107)</f>
        <v/>
      </c>
    </row>
    <row r="108" spans="1:10" x14ac:dyDescent="0.2">
      <c r="A108">
        <v>203</v>
      </c>
      <c r="B108" s="3">
        <v>255</v>
      </c>
      <c r="C108" s="3">
        <v>177</v>
      </c>
      <c r="D108" s="3">
        <v>216</v>
      </c>
      <c r="E108" t="s">
        <v>4096</v>
      </c>
      <c r="F108" t="str">
        <f t="shared" si="1"/>
        <v>255 177 216 255</v>
      </c>
      <c r="G108">
        <v>203</v>
      </c>
      <c r="H108" t="s">
        <v>6421</v>
      </c>
      <c r="I108" t="s">
        <v>6422</v>
      </c>
      <c r="J108" s="818" t="str" cm="1">
        <f t="array" ref="J108">myRGB(B108,C108,D108)</f>
        <v/>
      </c>
    </row>
    <row r="109" spans="1:10" x14ac:dyDescent="0.2">
      <c r="A109">
        <v>204</v>
      </c>
      <c r="B109" s="3">
        <v>157</v>
      </c>
      <c r="C109" s="3">
        <v>239</v>
      </c>
      <c r="D109" s="3">
        <v>210</v>
      </c>
      <c r="E109" t="s">
        <v>4097</v>
      </c>
      <c r="F109" t="str">
        <f t="shared" si="1"/>
        <v>157 239 210 255</v>
      </c>
      <c r="G109">
        <v>204</v>
      </c>
      <c r="H109" t="s">
        <v>5252</v>
      </c>
      <c r="I109" t="s">
        <v>5253</v>
      </c>
      <c r="J109" s="310" t="str" cm="1">
        <f t="array" ref="J109">myRGB(B109,C109,D109)</f>
        <v/>
      </c>
    </row>
    <row r="110" spans="1:10" x14ac:dyDescent="0.2">
      <c r="A110">
        <v>206</v>
      </c>
      <c r="B110" s="3">
        <v>255</v>
      </c>
      <c r="C110" s="3">
        <v>197</v>
      </c>
      <c r="D110" s="3">
        <v>226</v>
      </c>
      <c r="E110" t="s">
        <v>4098</v>
      </c>
      <c r="F110" t="str">
        <f t="shared" si="1"/>
        <v>255 197 226 255</v>
      </c>
      <c r="G110">
        <v>206</v>
      </c>
      <c r="H110" t="s">
        <v>6483</v>
      </c>
      <c r="I110" t="s">
        <v>6484</v>
      </c>
      <c r="J110" s="710" t="str" cm="1">
        <f t="array" ref="J110">myRGB(B110,C110,D110)</f>
        <v/>
      </c>
    </row>
    <row r="111" spans="1:10" x14ac:dyDescent="0.2">
      <c r="A111">
        <v>207</v>
      </c>
      <c r="B111" s="3">
        <v>255</v>
      </c>
      <c r="C111" s="3">
        <v>165</v>
      </c>
      <c r="D111" s="3">
        <v>208</v>
      </c>
      <c r="E111" t="s">
        <v>4099</v>
      </c>
      <c r="F111" t="str">
        <f t="shared" si="1"/>
        <v>255 165 208 255</v>
      </c>
      <c r="G111">
        <v>207</v>
      </c>
      <c r="H111" t="s">
        <v>6335</v>
      </c>
      <c r="I111" t="s">
        <v>6336</v>
      </c>
      <c r="J111" s="814" t="str" cm="1">
        <f t="array" ref="J111">myRGB(B111,C111,D111)</f>
        <v/>
      </c>
    </row>
    <row r="112" spans="1:10" x14ac:dyDescent="0.2">
      <c r="A112">
        <v>209</v>
      </c>
      <c r="B112" s="3">
        <v>254</v>
      </c>
      <c r="C112" s="3">
        <v>179</v>
      </c>
      <c r="D112" s="3">
        <v>215</v>
      </c>
      <c r="E112" t="s">
        <v>4100</v>
      </c>
      <c r="F112" t="str">
        <f t="shared" si="1"/>
        <v>254 179 215 255</v>
      </c>
      <c r="G112">
        <v>209</v>
      </c>
      <c r="H112" t="s">
        <v>6465</v>
      </c>
      <c r="I112" t="s">
        <v>6466</v>
      </c>
      <c r="J112" s="606" t="str" cm="1">
        <f t="array" ref="J112">myRGB(B112,C112,D112)</f>
        <v/>
      </c>
    </row>
    <row r="113" spans="1:10" x14ac:dyDescent="0.2">
      <c r="A113">
        <v>210</v>
      </c>
      <c r="B113" s="3">
        <v>255</v>
      </c>
      <c r="C113" s="3">
        <v>75</v>
      </c>
      <c r="D113" s="3">
        <v>61</v>
      </c>
      <c r="E113" t="s">
        <v>4101</v>
      </c>
      <c r="F113" t="str">
        <f t="shared" si="1"/>
        <v>255 75 61 255</v>
      </c>
      <c r="G113">
        <v>210</v>
      </c>
      <c r="H113" t="s">
        <v>5988</v>
      </c>
      <c r="I113" t="s">
        <v>5989</v>
      </c>
      <c r="J113" s="676" t="str" cm="1">
        <f t="array" ref="J113">myRGB(B113,C113,D113)</f>
        <v/>
      </c>
    </row>
    <row r="114" spans="1:10" x14ac:dyDescent="0.2">
      <c r="A114">
        <v>211</v>
      </c>
      <c r="B114" s="3">
        <v>64</v>
      </c>
      <c r="C114" s="3">
        <v>165</v>
      </c>
      <c r="D114" s="3">
        <v>101</v>
      </c>
      <c r="E114" t="s">
        <v>4102</v>
      </c>
      <c r="F114" t="str">
        <f t="shared" si="1"/>
        <v>64 165 101 255</v>
      </c>
      <c r="G114">
        <v>211</v>
      </c>
      <c r="H114" t="s">
        <v>7144</v>
      </c>
      <c r="I114" t="s">
        <v>7205</v>
      </c>
      <c r="J114" s="222" t="str" cm="1">
        <f t="array" ref="J114">myRGB(B114,C114,D114)</f>
        <v/>
      </c>
    </row>
    <row r="115" spans="1:10" x14ac:dyDescent="0.2">
      <c r="A115">
        <v>214</v>
      </c>
      <c r="B115" s="3">
        <v>254</v>
      </c>
      <c r="C115" s="3">
        <v>144</v>
      </c>
      <c r="D115" s="3">
        <v>253</v>
      </c>
      <c r="E115" t="s">
        <v>4103</v>
      </c>
      <c r="F115" t="str">
        <f t="shared" si="1"/>
        <v>254 144 253 255</v>
      </c>
      <c r="G115">
        <v>214</v>
      </c>
      <c r="H115" t="s">
        <v>6168</v>
      </c>
      <c r="I115" t="s">
        <v>6169</v>
      </c>
      <c r="J115" s="641" t="str" cm="1">
        <f t="array" ref="J115">myRGB(B115,C115,D115)</f>
        <v/>
      </c>
    </row>
    <row r="116" spans="1:10" x14ac:dyDescent="0.2">
      <c r="A116">
        <v>215</v>
      </c>
      <c r="B116" s="3">
        <v>254</v>
      </c>
      <c r="C116" s="3">
        <v>142</v>
      </c>
      <c r="D116" s="3">
        <v>255</v>
      </c>
      <c r="E116" t="s">
        <v>4104</v>
      </c>
      <c r="F116" t="str">
        <f t="shared" si="1"/>
        <v>254 142 255 255</v>
      </c>
      <c r="G116">
        <v>215</v>
      </c>
      <c r="H116" t="s">
        <v>6150</v>
      </c>
      <c r="I116" t="s">
        <v>6151</v>
      </c>
      <c r="J116" s="448" t="str" cm="1">
        <f t="array" ref="J116">myRGB(B116,C116,D116)</f>
        <v/>
      </c>
    </row>
    <row r="117" spans="1:10" x14ac:dyDescent="0.2">
      <c r="A117">
        <v>217</v>
      </c>
      <c r="B117" s="3">
        <v>253</v>
      </c>
      <c r="C117" s="3">
        <v>179</v>
      </c>
      <c r="D117" s="3">
        <v>214</v>
      </c>
      <c r="E117" t="s">
        <v>4105</v>
      </c>
      <c r="F117" t="str">
        <f t="shared" si="1"/>
        <v>253 179 214 255</v>
      </c>
      <c r="G117">
        <v>217</v>
      </c>
      <c r="H117" t="s">
        <v>6471</v>
      </c>
      <c r="I117" t="s">
        <v>6472</v>
      </c>
      <c r="J117" s="540" t="str" cm="1">
        <f t="array" ref="J117">myRGB(B117,C117,D117)</f>
        <v/>
      </c>
    </row>
    <row r="118" spans="1:10" x14ac:dyDescent="0.2">
      <c r="A118">
        <v>218</v>
      </c>
      <c r="B118" s="3">
        <v>254</v>
      </c>
      <c r="C118" s="3">
        <v>144</v>
      </c>
      <c r="D118" s="3">
        <v>157</v>
      </c>
      <c r="E118" t="s">
        <v>4106</v>
      </c>
      <c r="F118" t="str">
        <f t="shared" si="1"/>
        <v>254 144 157 255</v>
      </c>
      <c r="G118">
        <v>218</v>
      </c>
      <c r="H118" t="s">
        <v>5798</v>
      </c>
      <c r="I118" t="s">
        <v>5799</v>
      </c>
      <c r="J118" s="423" t="str" cm="1">
        <f t="array" ref="J118">myRGB(B118,C118,D118)</f>
        <v/>
      </c>
    </row>
    <row r="119" spans="1:10" x14ac:dyDescent="0.2">
      <c r="A119">
        <v>222</v>
      </c>
      <c r="B119" s="3">
        <v>254</v>
      </c>
      <c r="C119" s="3">
        <v>198</v>
      </c>
      <c r="D119" s="3">
        <v>226</v>
      </c>
      <c r="E119" t="s">
        <v>4107</v>
      </c>
      <c r="F119" t="str">
        <f t="shared" si="1"/>
        <v>254 198 226 255</v>
      </c>
      <c r="G119">
        <v>222</v>
      </c>
      <c r="H119" t="s">
        <v>6487</v>
      </c>
      <c r="I119" t="s">
        <v>6488</v>
      </c>
      <c r="J119" s="570" t="str" cm="1">
        <f t="array" ref="J119">myRGB(B119,C119,D119)</f>
        <v/>
      </c>
    </row>
    <row r="120" spans="1:10" x14ac:dyDescent="0.2">
      <c r="A120">
        <v>223</v>
      </c>
      <c r="B120" s="3">
        <v>255</v>
      </c>
      <c r="C120" s="3">
        <v>91</v>
      </c>
      <c r="D120" s="3">
        <v>79</v>
      </c>
      <c r="E120" t="s">
        <v>4108</v>
      </c>
      <c r="F120" t="str">
        <f t="shared" si="1"/>
        <v>255 91 79 255</v>
      </c>
      <c r="G120">
        <v>223</v>
      </c>
      <c r="H120" t="s">
        <v>5928</v>
      </c>
      <c r="I120" t="s">
        <v>5929</v>
      </c>
      <c r="J120" s="761" t="str" cm="1">
        <f t="array" ref="J120">myRGB(B120,C120,D120)</f>
        <v/>
      </c>
    </row>
    <row r="121" spans="1:10" x14ac:dyDescent="0.2">
      <c r="A121">
        <v>225</v>
      </c>
      <c r="B121" s="3">
        <v>254</v>
      </c>
      <c r="C121" s="3">
        <v>177</v>
      </c>
      <c r="D121" s="3">
        <v>217</v>
      </c>
      <c r="E121" t="s">
        <v>4109</v>
      </c>
      <c r="F121" t="str">
        <f t="shared" si="1"/>
        <v>254 177 217 255</v>
      </c>
      <c r="G121">
        <v>225</v>
      </c>
      <c r="H121" t="s">
        <v>6469</v>
      </c>
      <c r="I121" t="s">
        <v>6470</v>
      </c>
      <c r="J121" s="816" t="str" cm="1">
        <f t="array" ref="J121">myRGB(B121,C121,D121)</f>
        <v/>
      </c>
    </row>
    <row r="122" spans="1:10" x14ac:dyDescent="0.2">
      <c r="A122">
        <v>226</v>
      </c>
      <c r="B122" s="3">
        <v>242</v>
      </c>
      <c r="C122" s="3">
        <v>71</v>
      </c>
      <c r="D122" s="3">
        <v>59</v>
      </c>
      <c r="E122" t="s">
        <v>4110</v>
      </c>
      <c r="F122" t="str">
        <f t="shared" si="1"/>
        <v>242 71 59 255</v>
      </c>
      <c r="G122">
        <v>226</v>
      </c>
      <c r="H122" t="s">
        <v>6052</v>
      </c>
      <c r="I122" t="s">
        <v>6053</v>
      </c>
      <c r="J122" s="760" t="str" cm="1">
        <f t="array" ref="J122">myRGB(B122,C122,D122)</f>
        <v/>
      </c>
    </row>
    <row r="123" spans="1:10" x14ac:dyDescent="0.2">
      <c r="A123">
        <v>229</v>
      </c>
      <c r="B123" s="3">
        <v>202</v>
      </c>
      <c r="C123" s="3">
        <v>202</v>
      </c>
      <c r="D123" s="3">
        <v>203</v>
      </c>
      <c r="E123" t="s">
        <v>4111</v>
      </c>
      <c r="F123" t="str">
        <f t="shared" si="1"/>
        <v>202 202 203 255</v>
      </c>
      <c r="G123">
        <v>229</v>
      </c>
      <c r="H123" t="s">
        <v>6714</v>
      </c>
      <c r="I123" t="s">
        <v>6715</v>
      </c>
      <c r="J123" s="724" t="str" cm="1">
        <f t="array" ref="J123">myRGB(B123,C123,D123)</f>
        <v/>
      </c>
    </row>
    <row r="124" spans="1:10" x14ac:dyDescent="0.2">
      <c r="A124">
        <v>230</v>
      </c>
      <c r="B124" s="3">
        <v>255</v>
      </c>
      <c r="C124" s="3">
        <v>198</v>
      </c>
      <c r="D124" s="3">
        <v>226</v>
      </c>
      <c r="E124" t="s">
        <v>4112</v>
      </c>
      <c r="F124" t="str">
        <f t="shared" si="1"/>
        <v>255 198 226 255</v>
      </c>
      <c r="G124">
        <v>230</v>
      </c>
      <c r="H124" t="s">
        <v>6485</v>
      </c>
      <c r="I124" t="s">
        <v>6486</v>
      </c>
      <c r="J124" s="604" t="str" cm="1">
        <f t="array" ref="J124">myRGB(B124,C124,D124)</f>
        <v/>
      </c>
    </row>
    <row r="125" spans="1:10" x14ac:dyDescent="0.2">
      <c r="A125">
        <v>231</v>
      </c>
      <c r="B125" s="3">
        <v>253</v>
      </c>
      <c r="C125" s="3">
        <v>144</v>
      </c>
      <c r="D125" s="3">
        <v>254</v>
      </c>
      <c r="E125" t="s">
        <v>4113</v>
      </c>
      <c r="F125" t="str">
        <f t="shared" si="1"/>
        <v>253 144 254 255</v>
      </c>
      <c r="G125">
        <v>231</v>
      </c>
      <c r="H125" t="s">
        <v>6182</v>
      </c>
      <c r="I125" t="s">
        <v>6183</v>
      </c>
      <c r="J125" s="510" t="str" cm="1">
        <f t="array" ref="J125">myRGB(B125,C125,D125)</f>
        <v/>
      </c>
    </row>
    <row r="126" spans="1:10" x14ac:dyDescent="0.2">
      <c r="A126">
        <v>233</v>
      </c>
      <c r="B126" s="3">
        <v>8</v>
      </c>
      <c r="C126" s="3">
        <v>132</v>
      </c>
      <c r="D126" s="3">
        <v>139</v>
      </c>
      <c r="E126" t="s">
        <v>4114</v>
      </c>
      <c r="F126" t="str">
        <f t="shared" si="1"/>
        <v>8 132 139 255</v>
      </c>
      <c r="G126">
        <v>233</v>
      </c>
      <c r="H126" t="s">
        <v>4876</v>
      </c>
      <c r="I126" t="s">
        <v>4877</v>
      </c>
      <c r="J126" s="246" t="str" cm="1">
        <f t="array" ref="J126">myRGB(B126,C126,D126)</f>
        <v/>
      </c>
    </row>
    <row r="127" spans="1:10" x14ac:dyDescent="0.2">
      <c r="A127">
        <v>234</v>
      </c>
      <c r="B127" s="3">
        <v>21</v>
      </c>
      <c r="C127" s="3">
        <v>176</v>
      </c>
      <c r="D127" s="3">
        <v>178</v>
      </c>
      <c r="E127" t="s">
        <v>4115</v>
      </c>
      <c r="F127" t="str">
        <f t="shared" si="1"/>
        <v>21 176 178 255</v>
      </c>
      <c r="G127">
        <v>234</v>
      </c>
      <c r="H127" t="s">
        <v>5208</v>
      </c>
      <c r="I127" t="s">
        <v>5209</v>
      </c>
      <c r="J127" s="52" t="str" cm="1">
        <f t="array" ref="J127">myRGB(B127,C127,D127)</f>
        <v/>
      </c>
    </row>
    <row r="128" spans="1:10" x14ac:dyDescent="0.2">
      <c r="A128">
        <v>237</v>
      </c>
      <c r="B128" s="3">
        <v>200</v>
      </c>
      <c r="C128" s="3">
        <v>202</v>
      </c>
      <c r="D128" s="3">
        <v>199</v>
      </c>
      <c r="E128" t="s">
        <v>4116</v>
      </c>
      <c r="F128" t="str">
        <f t="shared" si="1"/>
        <v>200 202 199 255</v>
      </c>
      <c r="G128">
        <v>237</v>
      </c>
      <c r="H128" t="s">
        <v>6750</v>
      </c>
      <c r="I128" t="s">
        <v>6751</v>
      </c>
      <c r="J128" s="684" t="str" cm="1">
        <f t="array" ref="J128">myRGB(B128,C128,D128)</f>
        <v/>
      </c>
    </row>
    <row r="129" spans="1:10" x14ac:dyDescent="0.2">
      <c r="A129">
        <v>238</v>
      </c>
      <c r="B129" s="3">
        <v>255</v>
      </c>
      <c r="C129" s="3">
        <v>194</v>
      </c>
      <c r="D129" s="3">
        <v>148</v>
      </c>
      <c r="E129" t="s">
        <v>4117</v>
      </c>
      <c r="F129" t="str">
        <f t="shared" si="1"/>
        <v>255 194 148 255</v>
      </c>
      <c r="G129">
        <v>238</v>
      </c>
      <c r="H129" t="s">
        <v>6325</v>
      </c>
      <c r="I129" t="s">
        <v>6326</v>
      </c>
      <c r="J129" s="707" t="str" cm="1">
        <f t="array" ref="J129">myRGB(B129,C129,D129)</f>
        <v/>
      </c>
    </row>
    <row r="130" spans="1:10" x14ac:dyDescent="0.2">
      <c r="A130">
        <v>243</v>
      </c>
      <c r="B130" s="3">
        <v>1</v>
      </c>
      <c r="C130" s="3">
        <v>147</v>
      </c>
      <c r="D130" s="3">
        <v>152</v>
      </c>
      <c r="E130" t="s">
        <v>4118</v>
      </c>
      <c r="F130" t="str">
        <f t="shared" si="1"/>
        <v>1 147 152 255</v>
      </c>
      <c r="G130">
        <v>243</v>
      </c>
      <c r="H130" t="s">
        <v>4808</v>
      </c>
      <c r="I130" t="s">
        <v>4809</v>
      </c>
      <c r="J130" s="280" t="str" cm="1">
        <f t="array" ref="J130">myRGB(B130,C130,D130)</f>
        <v/>
      </c>
    </row>
    <row r="131" spans="1:10" x14ac:dyDescent="0.2">
      <c r="A131">
        <v>246</v>
      </c>
      <c r="B131" s="3">
        <v>253</v>
      </c>
      <c r="C131" s="3">
        <v>143</v>
      </c>
      <c r="D131" s="3">
        <v>255</v>
      </c>
      <c r="E131" t="s">
        <v>4119</v>
      </c>
      <c r="F131" t="str">
        <f t="shared" ref="F131:F194" si="2">_xlfn.CONCAT(B131," ",C131," ",D131," 255")</f>
        <v>253 143 255 255</v>
      </c>
      <c r="G131">
        <v>246</v>
      </c>
      <c r="H131" t="s">
        <v>6112</v>
      </c>
      <c r="I131" t="s">
        <v>6113</v>
      </c>
      <c r="J131" s="472" t="str" cm="1">
        <f t="array" ref="J131">myRGB(B131,C131,D131)</f>
        <v/>
      </c>
    </row>
    <row r="132" spans="1:10" x14ac:dyDescent="0.2">
      <c r="A132">
        <v>249</v>
      </c>
      <c r="B132" s="3">
        <v>2</v>
      </c>
      <c r="C132" s="3">
        <v>147</v>
      </c>
      <c r="D132" s="3">
        <v>153</v>
      </c>
      <c r="E132" t="s">
        <v>4120</v>
      </c>
      <c r="F132" t="str">
        <f t="shared" si="2"/>
        <v>2 147 153 255</v>
      </c>
      <c r="G132">
        <v>249</v>
      </c>
      <c r="H132" t="s">
        <v>4842</v>
      </c>
      <c r="I132" t="s">
        <v>4843</v>
      </c>
      <c r="J132" s="199" t="str" cm="1">
        <f t="array" ref="J132">myRGB(B132,C132,D132)</f>
        <v/>
      </c>
    </row>
    <row r="133" spans="1:10" x14ac:dyDescent="0.2">
      <c r="A133">
        <v>250</v>
      </c>
      <c r="B133" s="3">
        <v>144</v>
      </c>
      <c r="C133" s="3">
        <v>203</v>
      </c>
      <c r="D133" s="3">
        <v>236</v>
      </c>
      <c r="E133" t="s">
        <v>4121</v>
      </c>
      <c r="F133" t="str">
        <f t="shared" si="2"/>
        <v>144 203 236 255</v>
      </c>
      <c r="G133">
        <v>250</v>
      </c>
      <c r="H133" t="s">
        <v>5636</v>
      </c>
      <c r="I133" t="s">
        <v>5637</v>
      </c>
      <c r="J133" s="495" t="str" cm="1">
        <f t="array" ref="J133">myRGB(B133,C133,D133)</f>
        <v/>
      </c>
    </row>
    <row r="134" spans="1:10" x14ac:dyDescent="0.2">
      <c r="A134">
        <v>251</v>
      </c>
      <c r="B134" s="3">
        <v>1</v>
      </c>
      <c r="C134" s="3">
        <v>146</v>
      </c>
      <c r="D134" s="3">
        <v>152</v>
      </c>
      <c r="E134" t="s">
        <v>4122</v>
      </c>
      <c r="F134" t="str">
        <f t="shared" si="2"/>
        <v>1 146 152 255</v>
      </c>
      <c r="G134">
        <v>251</v>
      </c>
      <c r="H134" t="s">
        <v>7131</v>
      </c>
      <c r="I134" t="s">
        <v>7192</v>
      </c>
      <c r="J134" s="141" t="str" cm="1">
        <f t="array" ref="J134">myRGB(B134,C134,D134)</f>
        <v/>
      </c>
    </row>
    <row r="135" spans="1:10" x14ac:dyDescent="0.2">
      <c r="A135">
        <v>252</v>
      </c>
      <c r="B135" s="3">
        <v>2</v>
      </c>
      <c r="C135" s="3">
        <v>147</v>
      </c>
      <c r="D135" s="3">
        <v>152</v>
      </c>
      <c r="E135" t="s">
        <v>4123</v>
      </c>
      <c r="F135" t="str">
        <f t="shared" si="2"/>
        <v>2 147 152 255</v>
      </c>
      <c r="G135">
        <v>252</v>
      </c>
      <c r="H135" t="s">
        <v>4804</v>
      </c>
      <c r="I135" t="s">
        <v>4805</v>
      </c>
      <c r="J135" s="265" t="str" cm="1">
        <f t="array" ref="J135">myRGB(B135,C135,D135)</f>
        <v/>
      </c>
    </row>
    <row r="136" spans="1:10" x14ac:dyDescent="0.2">
      <c r="A136">
        <v>255</v>
      </c>
      <c r="B136" s="3">
        <v>253</v>
      </c>
      <c r="C136" s="3">
        <v>144</v>
      </c>
      <c r="D136" s="3">
        <v>158</v>
      </c>
      <c r="E136" t="s">
        <v>4124</v>
      </c>
      <c r="F136" t="str">
        <f t="shared" si="2"/>
        <v>253 144 158 255</v>
      </c>
      <c r="G136">
        <v>255</v>
      </c>
      <c r="H136" t="s">
        <v>5812</v>
      </c>
      <c r="I136" t="s">
        <v>5813</v>
      </c>
      <c r="J136" s="838" t="str" cm="1">
        <f t="array" ref="J136">myRGB(B136,C136,D136)</f>
        <v/>
      </c>
    </row>
    <row r="137" spans="1:10" x14ac:dyDescent="0.2">
      <c r="A137">
        <v>257</v>
      </c>
      <c r="B137" s="3">
        <v>9</v>
      </c>
      <c r="C137" s="3">
        <v>133</v>
      </c>
      <c r="D137" s="3">
        <v>139</v>
      </c>
      <c r="E137" t="s">
        <v>4125</v>
      </c>
      <c r="F137" t="str">
        <f t="shared" si="2"/>
        <v>9 133 139 255</v>
      </c>
      <c r="G137">
        <v>257</v>
      </c>
      <c r="H137" t="s">
        <v>4938</v>
      </c>
      <c r="I137" t="s">
        <v>4939</v>
      </c>
      <c r="J137" s="38" t="str" cm="1">
        <f t="array" ref="J137">myRGB(B137,C137,D137)</f>
        <v/>
      </c>
    </row>
    <row r="138" spans="1:10" x14ac:dyDescent="0.2">
      <c r="A138">
        <v>258</v>
      </c>
      <c r="B138" s="3">
        <v>144</v>
      </c>
      <c r="C138" s="3">
        <v>202</v>
      </c>
      <c r="D138" s="3">
        <v>237</v>
      </c>
      <c r="E138" t="s">
        <v>4126</v>
      </c>
      <c r="F138" t="str">
        <f t="shared" si="2"/>
        <v>144 202 237 255</v>
      </c>
      <c r="G138">
        <v>258</v>
      </c>
      <c r="H138" t="s">
        <v>5638</v>
      </c>
      <c r="I138" t="s">
        <v>5639</v>
      </c>
      <c r="J138" s="304" t="str" cm="1">
        <f t="array" ref="J138">myRGB(B138,C138,D138)</f>
        <v/>
      </c>
    </row>
    <row r="139" spans="1:10" x14ac:dyDescent="0.2">
      <c r="A139">
        <v>260</v>
      </c>
      <c r="B139" s="3">
        <v>149</v>
      </c>
      <c r="C139" s="3">
        <v>228</v>
      </c>
      <c r="D139" s="3">
        <v>199</v>
      </c>
      <c r="E139" t="s">
        <v>4127</v>
      </c>
      <c r="F139" t="str">
        <f t="shared" si="2"/>
        <v>149 228 199 255</v>
      </c>
      <c r="G139">
        <v>260</v>
      </c>
      <c r="H139" t="s">
        <v>5318</v>
      </c>
      <c r="I139" t="s">
        <v>5319</v>
      </c>
      <c r="J139" s="94" t="str" cm="1">
        <f t="array" ref="J139">myRGB(B139,C139,D139)</f>
        <v/>
      </c>
    </row>
    <row r="140" spans="1:10" x14ac:dyDescent="0.2">
      <c r="A140">
        <v>262</v>
      </c>
      <c r="B140" s="3">
        <v>253</v>
      </c>
      <c r="C140" s="3">
        <v>143</v>
      </c>
      <c r="D140" s="3">
        <v>159</v>
      </c>
      <c r="E140" t="s">
        <v>4128</v>
      </c>
      <c r="F140" t="str">
        <f t="shared" si="2"/>
        <v>253 143 159 255</v>
      </c>
      <c r="G140">
        <v>262</v>
      </c>
      <c r="H140" t="s">
        <v>5868</v>
      </c>
      <c r="I140" t="s">
        <v>5869</v>
      </c>
      <c r="J140" s="694" t="str" cm="1">
        <f t="array" ref="J140">myRGB(B140,C140,D140)</f>
        <v/>
      </c>
    </row>
    <row r="141" spans="1:10" x14ac:dyDescent="0.2">
      <c r="A141">
        <v>263</v>
      </c>
      <c r="B141" s="3">
        <v>254</v>
      </c>
      <c r="C141" s="3">
        <v>84</v>
      </c>
      <c r="D141" s="3">
        <v>71</v>
      </c>
      <c r="E141" t="s">
        <v>4129</v>
      </c>
      <c r="F141" t="str">
        <f t="shared" si="2"/>
        <v>254 84 71 255</v>
      </c>
      <c r="G141">
        <v>263</v>
      </c>
      <c r="H141" t="s">
        <v>5936</v>
      </c>
      <c r="I141" t="s">
        <v>5937</v>
      </c>
      <c r="J141" s="841" t="str" cm="1">
        <f t="array" ref="J141">myRGB(B141,C141,D141)</f>
        <v/>
      </c>
    </row>
    <row r="142" spans="1:10" x14ac:dyDescent="0.2">
      <c r="A142">
        <v>266</v>
      </c>
      <c r="B142" s="3">
        <v>143</v>
      </c>
      <c r="C142" s="3">
        <v>203</v>
      </c>
      <c r="D142" s="3">
        <v>237</v>
      </c>
      <c r="E142" t="s">
        <v>4130</v>
      </c>
      <c r="F142" t="str">
        <f t="shared" si="2"/>
        <v>143 203 237 255</v>
      </c>
      <c r="G142">
        <v>266</v>
      </c>
      <c r="H142" t="s">
        <v>5640</v>
      </c>
      <c r="I142" t="s">
        <v>5641</v>
      </c>
      <c r="J142" s="457" t="str" cm="1">
        <f t="array" ref="J142">myRGB(B142,C142,D142)</f>
        <v/>
      </c>
    </row>
    <row r="143" spans="1:10" x14ac:dyDescent="0.2">
      <c r="A143">
        <v>268</v>
      </c>
      <c r="B143" s="3">
        <v>149</v>
      </c>
      <c r="C143" s="3">
        <v>227</v>
      </c>
      <c r="D143" s="3">
        <v>200</v>
      </c>
      <c r="E143" t="s">
        <v>4131</v>
      </c>
      <c r="F143" t="str">
        <f t="shared" si="2"/>
        <v>149 227 200 255</v>
      </c>
      <c r="G143">
        <v>268</v>
      </c>
      <c r="H143" t="s">
        <v>5320</v>
      </c>
      <c r="I143" t="s">
        <v>5321</v>
      </c>
      <c r="J143" s="71" t="str" cm="1">
        <f t="array" ref="J143">myRGB(B143,C143,D143)</f>
        <v/>
      </c>
    </row>
    <row r="144" spans="1:10" x14ac:dyDescent="0.2">
      <c r="A144">
        <v>269</v>
      </c>
      <c r="B144" s="3">
        <v>9</v>
      </c>
      <c r="C144" s="3">
        <v>132</v>
      </c>
      <c r="D144" s="3">
        <v>140</v>
      </c>
      <c r="E144" t="s">
        <v>4132</v>
      </c>
      <c r="F144" t="str">
        <f t="shared" si="2"/>
        <v>9 132 140 255</v>
      </c>
      <c r="G144">
        <v>269</v>
      </c>
      <c r="H144" t="s">
        <v>7139</v>
      </c>
      <c r="I144" t="s">
        <v>7200</v>
      </c>
      <c r="J144" s="120" t="str" cm="1">
        <f t="array" ref="J144">myRGB(B144,C144,D144)</f>
        <v/>
      </c>
    </row>
    <row r="145" spans="1:10" x14ac:dyDescent="0.2">
      <c r="A145">
        <v>271</v>
      </c>
      <c r="B145" s="3">
        <v>255</v>
      </c>
      <c r="C145" s="3">
        <v>122</v>
      </c>
      <c r="D145" s="3">
        <v>254</v>
      </c>
      <c r="E145" t="s">
        <v>4133</v>
      </c>
      <c r="F145" t="str">
        <f t="shared" si="2"/>
        <v>255 122 254 255</v>
      </c>
      <c r="G145">
        <v>271</v>
      </c>
      <c r="H145" t="s">
        <v>6096</v>
      </c>
      <c r="I145" t="s">
        <v>6097</v>
      </c>
      <c r="J145" s="583" t="str" cm="1">
        <f t="array" ref="J145">myRGB(B145,C145,D145)</f>
        <v/>
      </c>
    </row>
    <row r="146" spans="1:10" x14ac:dyDescent="0.2">
      <c r="A146">
        <v>272</v>
      </c>
      <c r="B146" s="3">
        <v>254</v>
      </c>
      <c r="C146" s="3">
        <v>84</v>
      </c>
      <c r="D146" s="3">
        <v>70</v>
      </c>
      <c r="E146" t="s">
        <v>4134</v>
      </c>
      <c r="F146" t="str">
        <f t="shared" si="2"/>
        <v>254 84 70 255</v>
      </c>
      <c r="G146">
        <v>272</v>
      </c>
      <c r="H146" t="s">
        <v>5938</v>
      </c>
      <c r="I146" t="s">
        <v>5939</v>
      </c>
      <c r="J146" s="808" t="str" cm="1">
        <f t="array" ref="J146">myRGB(B146,C146,D146)</f>
        <v/>
      </c>
    </row>
    <row r="147" spans="1:10" x14ac:dyDescent="0.2">
      <c r="A147">
        <v>274</v>
      </c>
      <c r="B147" s="3">
        <v>26</v>
      </c>
      <c r="C147" s="3">
        <v>166</v>
      </c>
      <c r="D147" s="3">
        <v>151</v>
      </c>
      <c r="E147" t="s">
        <v>4135</v>
      </c>
      <c r="F147" t="str">
        <f t="shared" si="2"/>
        <v>26 166 151 255</v>
      </c>
      <c r="G147">
        <v>274</v>
      </c>
      <c r="H147" t="s">
        <v>5152</v>
      </c>
      <c r="I147" t="s">
        <v>5153</v>
      </c>
      <c r="J147" s="335" t="str" cm="1">
        <f t="array" ref="J147">myRGB(B147,C147,D147)</f>
        <v/>
      </c>
    </row>
    <row r="148" spans="1:10" x14ac:dyDescent="0.2">
      <c r="A148">
        <v>279</v>
      </c>
      <c r="B148" s="3">
        <v>26</v>
      </c>
      <c r="C148" s="3">
        <v>165</v>
      </c>
      <c r="D148" s="3">
        <v>152</v>
      </c>
      <c r="E148" t="s">
        <v>4136</v>
      </c>
      <c r="F148" t="str">
        <f t="shared" si="2"/>
        <v>26 165 152 255</v>
      </c>
      <c r="G148">
        <v>279</v>
      </c>
      <c r="H148" t="s">
        <v>5106</v>
      </c>
      <c r="I148" t="s">
        <v>5107</v>
      </c>
      <c r="J148" s="274" t="str" cm="1">
        <f t="array" ref="J148">myRGB(B148,C148,D148)</f>
        <v/>
      </c>
    </row>
    <row r="149" spans="1:10" x14ac:dyDescent="0.2">
      <c r="A149">
        <v>280</v>
      </c>
      <c r="B149" s="3">
        <v>255</v>
      </c>
      <c r="C149" s="3">
        <v>186</v>
      </c>
      <c r="D149" s="3">
        <v>134</v>
      </c>
      <c r="E149" t="s">
        <v>4137</v>
      </c>
      <c r="F149" t="str">
        <f t="shared" si="2"/>
        <v>255 186 134 255</v>
      </c>
      <c r="G149">
        <v>280</v>
      </c>
      <c r="H149" t="s">
        <v>3985</v>
      </c>
      <c r="I149" t="s">
        <v>6276</v>
      </c>
      <c r="J149" s="533" t="str" cm="1">
        <f t="array" ref="J149">myRGB(B149,C149,D149)</f>
        <v/>
      </c>
    </row>
    <row r="150" spans="1:10" x14ac:dyDescent="0.2">
      <c r="A150">
        <v>281</v>
      </c>
      <c r="B150" s="3">
        <v>9</v>
      </c>
      <c r="C150" s="3">
        <v>132</v>
      </c>
      <c r="D150" s="3">
        <v>139</v>
      </c>
      <c r="E150" t="s">
        <v>4138</v>
      </c>
      <c r="F150" t="str">
        <f t="shared" si="2"/>
        <v>9 132 139 255</v>
      </c>
      <c r="G150">
        <v>281</v>
      </c>
      <c r="H150" t="s">
        <v>4884</v>
      </c>
      <c r="I150" t="s">
        <v>4885</v>
      </c>
      <c r="J150" s="207" t="str" cm="1">
        <f t="array" ref="J150">myRGB(B150,C150,D150)</f>
        <v/>
      </c>
    </row>
    <row r="151" spans="1:10" x14ac:dyDescent="0.2">
      <c r="A151">
        <v>286</v>
      </c>
      <c r="B151" s="3">
        <v>255</v>
      </c>
      <c r="C151" s="3">
        <v>85</v>
      </c>
      <c r="D151" s="3">
        <v>69</v>
      </c>
      <c r="E151" t="s">
        <v>4139</v>
      </c>
      <c r="F151" t="str">
        <f t="shared" si="2"/>
        <v>255 85 69 255</v>
      </c>
      <c r="G151">
        <v>286</v>
      </c>
      <c r="H151" t="s">
        <v>5966</v>
      </c>
      <c r="I151" t="s">
        <v>5967</v>
      </c>
      <c r="J151" s="763" t="str" cm="1">
        <f t="array" ref="J151">myRGB(B151,C151,D151)</f>
        <v/>
      </c>
    </row>
    <row r="152" spans="1:10" x14ac:dyDescent="0.2">
      <c r="A152">
        <v>287</v>
      </c>
      <c r="B152" s="3">
        <v>179</v>
      </c>
      <c r="C152" s="3">
        <v>192</v>
      </c>
      <c r="D152" s="3">
        <v>223</v>
      </c>
      <c r="E152" t="s">
        <v>4140</v>
      </c>
      <c r="F152" t="str">
        <f t="shared" si="2"/>
        <v>179 192 223 255</v>
      </c>
      <c r="G152">
        <v>287</v>
      </c>
      <c r="H152" t="s">
        <v>5738</v>
      </c>
      <c r="I152" t="s">
        <v>5739</v>
      </c>
      <c r="J152" s="745" t="str" cm="1">
        <f t="array" ref="J152">myRGB(B152,C152,D152)</f>
        <v/>
      </c>
    </row>
    <row r="153" spans="1:10" x14ac:dyDescent="0.2">
      <c r="A153">
        <v>288</v>
      </c>
      <c r="B153" s="3">
        <v>36</v>
      </c>
      <c r="C153" s="3">
        <v>138</v>
      </c>
      <c r="D153" s="3">
        <v>93</v>
      </c>
      <c r="E153" t="s">
        <v>4141</v>
      </c>
      <c r="F153" t="str">
        <f t="shared" si="2"/>
        <v>36 138 93 255</v>
      </c>
      <c r="G153">
        <v>288</v>
      </c>
      <c r="H153" t="s">
        <v>7151</v>
      </c>
      <c r="I153" t="s">
        <v>7212</v>
      </c>
      <c r="J153" s="31" t="str" cm="1">
        <f t="array" ref="J153">myRGB(B153,C153,D153)</f>
        <v/>
      </c>
    </row>
    <row r="154" spans="1:10" x14ac:dyDescent="0.2">
      <c r="A154">
        <v>289</v>
      </c>
      <c r="B154" s="3">
        <v>21</v>
      </c>
      <c r="C154" s="3">
        <v>175</v>
      </c>
      <c r="D154" s="3">
        <v>179</v>
      </c>
      <c r="E154" t="s">
        <v>4142</v>
      </c>
      <c r="F154" t="str">
        <f t="shared" si="2"/>
        <v>21 175 179 255</v>
      </c>
      <c r="G154">
        <v>289</v>
      </c>
      <c r="H154" t="s">
        <v>5210</v>
      </c>
      <c r="I154" t="s">
        <v>5211</v>
      </c>
      <c r="J154" s="126" t="str" cm="1">
        <f t="array" ref="J154">myRGB(B154,C154,D154)</f>
        <v/>
      </c>
    </row>
    <row r="155" spans="1:10" x14ac:dyDescent="0.2">
      <c r="A155">
        <v>292</v>
      </c>
      <c r="B155" s="3">
        <v>128</v>
      </c>
      <c r="C155" s="3">
        <v>191</v>
      </c>
      <c r="D155" s="3">
        <v>226</v>
      </c>
      <c r="E155" t="s">
        <v>4143</v>
      </c>
      <c r="F155" t="str">
        <f t="shared" si="2"/>
        <v>128 191 226 255</v>
      </c>
      <c r="G155">
        <v>292</v>
      </c>
      <c r="H155" t="s">
        <v>5650</v>
      </c>
      <c r="I155" t="s">
        <v>5651</v>
      </c>
      <c r="J155" s="494" t="str" cm="1">
        <f t="array" ref="J155">myRGB(B155,C155,D155)</f>
        <v/>
      </c>
    </row>
    <row r="156" spans="1:10" x14ac:dyDescent="0.2">
      <c r="A156">
        <v>296</v>
      </c>
      <c r="B156" s="3">
        <v>63</v>
      </c>
      <c r="C156" s="3">
        <v>165</v>
      </c>
      <c r="D156" s="3">
        <v>102</v>
      </c>
      <c r="E156" t="s">
        <v>4144</v>
      </c>
      <c r="F156" t="str">
        <f t="shared" si="2"/>
        <v>63 165 102 255</v>
      </c>
      <c r="G156">
        <v>296</v>
      </c>
      <c r="H156" t="s">
        <v>7145</v>
      </c>
      <c r="I156" t="s">
        <v>7206</v>
      </c>
      <c r="J156" s="272" t="str" cm="1">
        <f t="array" ref="J156">myRGB(B156,C156,D156)</f>
        <v/>
      </c>
    </row>
    <row r="157" spans="1:10" x14ac:dyDescent="0.2">
      <c r="A157">
        <v>298</v>
      </c>
      <c r="B157" s="3">
        <v>162</v>
      </c>
      <c r="C157" s="3">
        <v>177</v>
      </c>
      <c r="D157" s="3">
        <v>216</v>
      </c>
      <c r="E157" t="s">
        <v>4145</v>
      </c>
      <c r="F157" t="str">
        <f t="shared" si="2"/>
        <v>162 177 216 255</v>
      </c>
      <c r="G157">
        <v>298</v>
      </c>
      <c r="H157" t="s">
        <v>5690</v>
      </c>
      <c r="I157" t="s">
        <v>5691</v>
      </c>
      <c r="J157" s="296" t="str" cm="1">
        <f t="array" ref="J157">myRGB(B157,C157,D157)</f>
        <v/>
      </c>
    </row>
    <row r="158" spans="1:10" x14ac:dyDescent="0.2">
      <c r="A158">
        <v>301</v>
      </c>
      <c r="B158" s="3">
        <v>200</v>
      </c>
      <c r="C158" s="3">
        <v>203</v>
      </c>
      <c r="D158" s="3">
        <v>199</v>
      </c>
      <c r="E158" t="s">
        <v>4146</v>
      </c>
      <c r="F158" t="str">
        <f t="shared" si="2"/>
        <v>200 203 199 255</v>
      </c>
      <c r="G158">
        <v>301</v>
      </c>
      <c r="H158" t="s">
        <v>6978</v>
      </c>
      <c r="I158" t="s">
        <v>6979</v>
      </c>
      <c r="J158" s="719" t="str" cm="1">
        <f t="array" ref="J158">myRGB(B158,C158,D158)</f>
        <v/>
      </c>
    </row>
    <row r="159" spans="1:10" x14ac:dyDescent="0.2">
      <c r="A159">
        <v>303</v>
      </c>
      <c r="B159" s="3">
        <v>157</v>
      </c>
      <c r="C159" s="3">
        <v>231</v>
      </c>
      <c r="D159" s="3">
        <v>155</v>
      </c>
      <c r="E159" t="s">
        <v>4147</v>
      </c>
      <c r="F159" t="str">
        <f t="shared" si="2"/>
        <v>157 231 155 255</v>
      </c>
      <c r="G159">
        <v>303</v>
      </c>
      <c r="H159" t="s">
        <v>5588</v>
      </c>
      <c r="I159" t="s">
        <v>5589</v>
      </c>
      <c r="J159" s="68" t="str" cm="1">
        <f t="array" ref="J159">myRGB(B159,C159,D159)</f>
        <v/>
      </c>
    </row>
    <row r="160" spans="1:10" x14ac:dyDescent="0.2">
      <c r="A160">
        <v>304</v>
      </c>
      <c r="B160" s="3">
        <v>47</v>
      </c>
      <c r="C160" s="3">
        <v>167</v>
      </c>
      <c r="D160" s="3">
        <v>79</v>
      </c>
      <c r="E160" t="s">
        <v>4148</v>
      </c>
      <c r="F160" t="str">
        <f t="shared" si="2"/>
        <v>47 167 79 255</v>
      </c>
      <c r="G160">
        <v>304</v>
      </c>
      <c r="H160" t="s">
        <v>7146</v>
      </c>
      <c r="I160" t="s">
        <v>7207</v>
      </c>
      <c r="J160" s="98" t="str" cm="1">
        <f t="array" ref="J160">myRGB(B160,C160,D160)</f>
        <v/>
      </c>
    </row>
    <row r="161" spans="1:11" x14ac:dyDescent="0.2">
      <c r="A161">
        <v>305</v>
      </c>
      <c r="B161" s="3">
        <v>8</v>
      </c>
      <c r="C161" s="3">
        <v>133</v>
      </c>
      <c r="D161" s="3">
        <v>138</v>
      </c>
      <c r="E161" t="s">
        <v>4149</v>
      </c>
      <c r="F161" t="str">
        <f t="shared" si="2"/>
        <v>8 133 138 255</v>
      </c>
      <c r="G161">
        <v>305</v>
      </c>
      <c r="H161" t="s">
        <v>4916</v>
      </c>
      <c r="I161" t="s">
        <v>4917</v>
      </c>
      <c r="J161" s="248" t="str" cm="1">
        <f t="array" ref="J161">myRGB(B161,C161,D161)</f>
        <v/>
      </c>
    </row>
    <row r="162" spans="1:11" x14ac:dyDescent="0.2">
      <c r="A162">
        <v>307</v>
      </c>
      <c r="B162" s="3">
        <v>253</v>
      </c>
      <c r="C162" s="3">
        <v>178</v>
      </c>
      <c r="D162" s="3">
        <v>217</v>
      </c>
      <c r="E162" t="s">
        <v>4150</v>
      </c>
      <c r="F162" t="str">
        <f t="shared" si="2"/>
        <v>253 178 217 255</v>
      </c>
      <c r="G162">
        <v>307</v>
      </c>
      <c r="H162" t="s">
        <v>6429</v>
      </c>
      <c r="I162" t="s">
        <v>6430</v>
      </c>
      <c r="J162" s="541" t="str" cm="1">
        <f t="array" ref="J162">myRGB(B162,C162,D162)</f>
        <v/>
      </c>
    </row>
    <row r="163" spans="1:11" x14ac:dyDescent="0.2">
      <c r="A163">
        <v>310</v>
      </c>
      <c r="B163" s="3">
        <v>143</v>
      </c>
      <c r="C163" s="3">
        <v>203</v>
      </c>
      <c r="D163" s="3">
        <v>236</v>
      </c>
      <c r="E163" t="s">
        <v>4151</v>
      </c>
      <c r="F163" t="str">
        <f t="shared" si="2"/>
        <v>143 203 236 255</v>
      </c>
      <c r="G163">
        <v>310</v>
      </c>
      <c r="H163" t="s">
        <v>5642</v>
      </c>
      <c r="I163" t="s">
        <v>5643</v>
      </c>
      <c r="J163" s="441" t="str" cm="1">
        <f t="array" ref="J163">myRGB(B163,C163,D163)</f>
        <v/>
      </c>
    </row>
    <row r="164" spans="1:11" x14ac:dyDescent="0.2">
      <c r="A164">
        <v>311</v>
      </c>
      <c r="B164" s="3">
        <v>157</v>
      </c>
      <c r="C164" s="3">
        <v>230</v>
      </c>
      <c r="D164" s="3">
        <v>156</v>
      </c>
      <c r="E164" t="s">
        <v>4152</v>
      </c>
      <c r="F164" t="str">
        <f t="shared" si="2"/>
        <v>157 230 156 255</v>
      </c>
      <c r="G164">
        <v>311</v>
      </c>
      <c r="H164" t="s">
        <v>5590</v>
      </c>
      <c r="I164" t="s">
        <v>5591</v>
      </c>
      <c r="J164" s="14" t="str" cm="1">
        <f t="array" ref="J164">myRGB(B164,C164,D164)</f>
        <v/>
      </c>
    </row>
    <row r="165" spans="1:11" x14ac:dyDescent="0.2">
      <c r="A165">
        <v>313</v>
      </c>
      <c r="B165" s="3">
        <v>255</v>
      </c>
      <c r="C165" s="3">
        <v>100</v>
      </c>
      <c r="D165" s="3">
        <v>255</v>
      </c>
      <c r="E165" t="s">
        <v>4153</v>
      </c>
      <c r="F165" t="str">
        <f t="shared" si="2"/>
        <v>255 100 255 255</v>
      </c>
      <c r="G165">
        <v>313</v>
      </c>
      <c r="H165" t="s">
        <v>6074</v>
      </c>
      <c r="I165" t="s">
        <v>6075</v>
      </c>
      <c r="J165" s="385" t="str" cm="1">
        <f t="array" ref="J165">myRGB(B165,C165,D165)</f>
        <v/>
      </c>
    </row>
    <row r="166" spans="1:11" x14ac:dyDescent="0.2">
      <c r="A166">
        <v>314</v>
      </c>
      <c r="B166" s="3">
        <v>32</v>
      </c>
      <c r="C166" s="3">
        <v>151</v>
      </c>
      <c r="D166" s="3">
        <v>102</v>
      </c>
      <c r="E166" t="s">
        <v>4154</v>
      </c>
      <c r="F166" t="str">
        <f t="shared" si="2"/>
        <v>32 151 102 255</v>
      </c>
      <c r="G166">
        <v>314</v>
      </c>
      <c r="H166" t="s">
        <v>5082</v>
      </c>
      <c r="I166" t="s">
        <v>5083</v>
      </c>
      <c r="J166" s="101" t="str" cm="1">
        <f t="array" ref="J166">myRGB(B166,C166,D166)</f>
        <v/>
      </c>
    </row>
    <row r="167" spans="1:11" x14ac:dyDescent="0.2">
      <c r="A167">
        <v>318</v>
      </c>
      <c r="B167" s="3">
        <v>255</v>
      </c>
      <c r="C167" s="3">
        <v>185</v>
      </c>
      <c r="D167" s="3">
        <v>134</v>
      </c>
      <c r="E167" t="s">
        <v>4155</v>
      </c>
      <c r="F167" t="str">
        <f t="shared" si="2"/>
        <v>255 185 134 255</v>
      </c>
      <c r="G167">
        <v>318</v>
      </c>
      <c r="H167" t="s">
        <v>6291</v>
      </c>
      <c r="I167" t="s">
        <v>6292</v>
      </c>
      <c r="J167" s="842" t="str" cm="1">
        <f t="array" ref="J167">myRGB(B167,C167,D167)</f>
        <v/>
      </c>
    </row>
    <row r="168" spans="1:11" x14ac:dyDescent="0.2">
      <c r="A168">
        <v>320</v>
      </c>
      <c r="B168" s="3">
        <v>30</v>
      </c>
      <c r="C168" s="3">
        <v>157</v>
      </c>
      <c r="D168" s="3">
        <v>90</v>
      </c>
      <c r="E168" t="s">
        <v>4156</v>
      </c>
      <c r="F168" t="str">
        <f t="shared" si="2"/>
        <v>30 157 90 255</v>
      </c>
      <c r="G168">
        <v>320</v>
      </c>
      <c r="H168" t="s">
        <v>4622</v>
      </c>
      <c r="I168" t="s">
        <v>4623</v>
      </c>
      <c r="J168" s="324" t="str" cm="1">
        <f t="array" ref="J168">myRGB(B168,C168,D168)</f>
        <v/>
      </c>
    </row>
    <row r="169" spans="1:11" x14ac:dyDescent="0.2">
      <c r="A169">
        <v>321</v>
      </c>
      <c r="B169" s="3">
        <v>253</v>
      </c>
      <c r="C169" s="3">
        <v>143</v>
      </c>
      <c r="D169" s="3">
        <v>158</v>
      </c>
      <c r="E169" t="s">
        <v>4157</v>
      </c>
      <c r="F169" t="str">
        <f t="shared" si="2"/>
        <v>253 143 158 255</v>
      </c>
      <c r="G169">
        <v>321</v>
      </c>
      <c r="H169" t="s">
        <v>5882</v>
      </c>
      <c r="I169" t="s">
        <v>5883</v>
      </c>
      <c r="J169" s="696" t="str" cm="1">
        <f t="array" ref="J169">myRGB(B169,C169,D169)</f>
        <v/>
      </c>
    </row>
    <row r="170" spans="1:11" x14ac:dyDescent="0.2">
      <c r="A170">
        <v>325</v>
      </c>
      <c r="B170" s="3">
        <v>255</v>
      </c>
      <c r="C170" s="3">
        <v>142</v>
      </c>
      <c r="D170" s="3">
        <v>157</v>
      </c>
      <c r="E170" t="s">
        <v>4158</v>
      </c>
      <c r="F170" t="str">
        <f t="shared" si="2"/>
        <v>255 142 157 255</v>
      </c>
      <c r="G170">
        <v>325</v>
      </c>
      <c r="H170" t="s">
        <v>5804</v>
      </c>
      <c r="I170" t="s">
        <v>5805</v>
      </c>
      <c r="J170" s="792" t="str" cm="1">
        <f t="array" ref="J170">myRGB(B170,C170,D170)</f>
        <v/>
      </c>
    </row>
    <row r="171" spans="1:11" x14ac:dyDescent="0.2">
      <c r="A171">
        <v>326</v>
      </c>
      <c r="B171" s="3">
        <v>203</v>
      </c>
      <c r="C171" s="3">
        <v>201</v>
      </c>
      <c r="D171" s="3">
        <v>203</v>
      </c>
      <c r="E171" t="s">
        <v>4159</v>
      </c>
      <c r="F171" t="str">
        <f t="shared" si="2"/>
        <v>203 201 203 255</v>
      </c>
      <c r="G171">
        <v>326</v>
      </c>
      <c r="H171" t="s">
        <v>6808</v>
      </c>
      <c r="I171" t="s">
        <v>6809</v>
      </c>
      <c r="J171" s="789" t="str" cm="1">
        <f t="array" ref="J171">myRGB(B171,C171,D171)</f>
        <v/>
      </c>
    </row>
    <row r="172" spans="1:11" x14ac:dyDescent="0.2">
      <c r="A172">
        <v>327</v>
      </c>
      <c r="B172" s="3">
        <v>132</v>
      </c>
      <c r="C172" s="3">
        <v>234</v>
      </c>
      <c r="D172" s="3">
        <v>128</v>
      </c>
      <c r="E172" t="s">
        <v>4160</v>
      </c>
      <c r="F172" t="str">
        <f t="shared" si="2"/>
        <v>132 234 128 255</v>
      </c>
      <c r="G172">
        <v>327</v>
      </c>
      <c r="H172" t="s">
        <v>5596</v>
      </c>
      <c r="I172" t="s">
        <v>5597</v>
      </c>
      <c r="J172" s="67" t="str" cm="1">
        <f t="array" ref="J172">myRGB(B172,C172,D172)</f>
        <v/>
      </c>
    </row>
    <row r="173" spans="1:11" x14ac:dyDescent="0.2">
      <c r="A173">
        <v>328</v>
      </c>
      <c r="B173" s="3">
        <v>32</v>
      </c>
      <c r="C173" s="3">
        <v>151</v>
      </c>
      <c r="D173" s="3">
        <v>101</v>
      </c>
      <c r="E173" t="s">
        <v>4161</v>
      </c>
      <c r="F173" t="str">
        <f t="shared" si="2"/>
        <v>32 151 101 255</v>
      </c>
      <c r="G173">
        <v>328</v>
      </c>
      <c r="H173" t="s">
        <v>7152</v>
      </c>
      <c r="I173" t="s">
        <v>7213</v>
      </c>
      <c r="J173" s="80" t="str" cm="1">
        <f t="array" ref="J173">myRGB(B173,C173,D173)</f>
        <v/>
      </c>
    </row>
    <row r="174" spans="1:11" ht="17" x14ac:dyDescent="0.25">
      <c r="A174">
        <v>329</v>
      </c>
      <c r="B174">
        <v>25</v>
      </c>
      <c r="C174">
        <v>127</v>
      </c>
      <c r="D174">
        <v>100</v>
      </c>
      <c r="E174" s="1" t="s">
        <v>4585</v>
      </c>
      <c r="F174" t="str">
        <f t="shared" si="2"/>
        <v>25 127 100 255</v>
      </c>
      <c r="G174">
        <v>329</v>
      </c>
      <c r="H174" t="s">
        <v>4676</v>
      </c>
      <c r="I174" t="s">
        <v>8095</v>
      </c>
      <c r="J174" s="259" t="str" cm="1">
        <f t="array" ref="J174">myRGB(B174,C174,D174)</f>
        <v/>
      </c>
      <c r="K174" s="1"/>
    </row>
    <row r="175" spans="1:11" x14ac:dyDescent="0.2">
      <c r="A175">
        <v>330</v>
      </c>
      <c r="B175" s="3">
        <v>27</v>
      </c>
      <c r="C175" s="3">
        <v>166</v>
      </c>
      <c r="D175" s="3">
        <v>152</v>
      </c>
      <c r="E175" t="s">
        <v>4162</v>
      </c>
      <c r="F175" t="str">
        <f t="shared" si="2"/>
        <v>27 166 152 255</v>
      </c>
      <c r="G175">
        <v>330</v>
      </c>
      <c r="H175" t="s">
        <v>5154</v>
      </c>
      <c r="I175" t="s">
        <v>5155</v>
      </c>
      <c r="J175" s="276" t="str" cm="1">
        <f t="array" ref="J175">myRGB(B175,C175,D175)</f>
        <v/>
      </c>
    </row>
    <row r="176" spans="1:11" x14ac:dyDescent="0.2">
      <c r="A176">
        <v>332</v>
      </c>
      <c r="B176" s="3">
        <v>254</v>
      </c>
      <c r="C176" s="3">
        <v>93</v>
      </c>
      <c r="D176" s="3">
        <v>78</v>
      </c>
      <c r="E176" t="s">
        <v>4163</v>
      </c>
      <c r="F176" t="str">
        <f t="shared" si="2"/>
        <v>254 93 78 255</v>
      </c>
      <c r="G176">
        <v>332</v>
      </c>
      <c r="H176" t="s">
        <v>5898</v>
      </c>
      <c r="I176" t="s">
        <v>5899</v>
      </c>
      <c r="J176" s="434" t="str" cm="1">
        <f t="array" ref="J176">myRGB(B176,C176,D176)</f>
        <v/>
      </c>
    </row>
    <row r="177" spans="1:10" x14ac:dyDescent="0.2">
      <c r="A177">
        <v>333</v>
      </c>
      <c r="B177" s="3">
        <v>143</v>
      </c>
      <c r="C177" s="3">
        <v>202</v>
      </c>
      <c r="D177" s="3">
        <v>237</v>
      </c>
      <c r="E177" t="s">
        <v>4164</v>
      </c>
      <c r="F177" t="str">
        <f t="shared" si="2"/>
        <v>143 202 237 255</v>
      </c>
      <c r="G177">
        <v>333</v>
      </c>
      <c r="H177" t="s">
        <v>5644</v>
      </c>
      <c r="I177" t="s">
        <v>5645</v>
      </c>
      <c r="J177" s="394" t="str" cm="1">
        <f t="array" ref="J177">myRGB(B177,C177,D177)</f>
        <v/>
      </c>
    </row>
    <row r="178" spans="1:10" x14ac:dyDescent="0.2">
      <c r="A178">
        <v>334</v>
      </c>
      <c r="B178" s="3">
        <v>132</v>
      </c>
      <c r="C178" s="3">
        <v>233</v>
      </c>
      <c r="D178" s="3">
        <v>129</v>
      </c>
      <c r="E178" t="s">
        <v>4165</v>
      </c>
      <c r="F178" t="str">
        <f t="shared" si="2"/>
        <v>132 233 129 255</v>
      </c>
      <c r="G178">
        <v>334</v>
      </c>
      <c r="H178" t="s">
        <v>5598</v>
      </c>
      <c r="I178" t="s">
        <v>5599</v>
      </c>
      <c r="J178" s="13" t="str" cm="1">
        <f t="array" ref="J178">myRGB(B178,C178,D178)</f>
        <v/>
      </c>
    </row>
    <row r="179" spans="1:10" x14ac:dyDescent="0.2">
      <c r="A179">
        <v>335</v>
      </c>
      <c r="B179" s="3">
        <v>14</v>
      </c>
      <c r="C179" s="3">
        <v>150</v>
      </c>
      <c r="D179" s="3">
        <v>132</v>
      </c>
      <c r="E179" t="s">
        <v>4166</v>
      </c>
      <c r="F179" t="str">
        <f t="shared" si="2"/>
        <v>14 150 132 255</v>
      </c>
      <c r="G179">
        <v>335</v>
      </c>
      <c r="H179" t="s">
        <v>5222</v>
      </c>
      <c r="I179" t="s">
        <v>5223</v>
      </c>
      <c r="J179" s="82" t="str" cm="1">
        <f t="array" ref="J179">myRGB(B179,C179,D179)</f>
        <v/>
      </c>
    </row>
    <row r="180" spans="1:10" x14ac:dyDescent="0.2">
      <c r="A180">
        <v>336</v>
      </c>
      <c r="B180" s="3">
        <v>201</v>
      </c>
      <c r="C180" s="3">
        <v>203</v>
      </c>
      <c r="D180" s="3">
        <v>203</v>
      </c>
      <c r="E180" t="s">
        <v>4167</v>
      </c>
      <c r="F180" t="str">
        <f t="shared" si="2"/>
        <v>201 203 203 255</v>
      </c>
      <c r="G180">
        <v>336</v>
      </c>
      <c r="H180" t="s">
        <v>6690</v>
      </c>
      <c r="I180" t="s">
        <v>6691</v>
      </c>
      <c r="J180" s="618" t="str" cm="1">
        <f t="array" ref="J180">myRGB(B180,C180,D180)</f>
        <v/>
      </c>
    </row>
    <row r="181" spans="1:10" x14ac:dyDescent="0.2">
      <c r="A181">
        <v>338</v>
      </c>
      <c r="B181" s="3">
        <v>255</v>
      </c>
      <c r="C181" s="3">
        <v>83</v>
      </c>
      <c r="D181" s="3">
        <v>71</v>
      </c>
      <c r="E181" t="s">
        <v>4168</v>
      </c>
      <c r="F181" t="str">
        <f t="shared" si="2"/>
        <v>255 83 71 255</v>
      </c>
      <c r="G181">
        <v>338</v>
      </c>
      <c r="H181" t="s">
        <v>5968</v>
      </c>
      <c r="I181" t="s">
        <v>5969</v>
      </c>
      <c r="J181" s="627" t="str" cm="1">
        <f t="array" ref="J181">myRGB(B181,C181,D181)</f>
        <v/>
      </c>
    </row>
    <row r="182" spans="1:10" x14ac:dyDescent="0.2">
      <c r="A182">
        <v>342</v>
      </c>
      <c r="B182" s="3">
        <v>162</v>
      </c>
      <c r="C182" s="3">
        <v>177</v>
      </c>
      <c r="D182" s="3">
        <v>215</v>
      </c>
      <c r="E182" t="s">
        <v>4169</v>
      </c>
      <c r="F182" t="str">
        <f t="shared" si="2"/>
        <v>162 177 215 255</v>
      </c>
      <c r="G182">
        <v>342</v>
      </c>
      <c r="H182" t="s">
        <v>5688</v>
      </c>
      <c r="I182" t="s">
        <v>5689</v>
      </c>
      <c r="J182" s="638" t="str" cm="1">
        <f t="array" ref="J182">myRGB(B182,C182,D182)</f>
        <v/>
      </c>
    </row>
    <row r="183" spans="1:10" x14ac:dyDescent="0.2">
      <c r="A183">
        <v>344</v>
      </c>
      <c r="B183" s="3">
        <v>33</v>
      </c>
      <c r="C183" s="3">
        <v>152</v>
      </c>
      <c r="D183" s="3">
        <v>100</v>
      </c>
      <c r="E183" t="s">
        <v>4170</v>
      </c>
      <c r="F183" t="str">
        <f t="shared" si="2"/>
        <v>33 152 100 255</v>
      </c>
      <c r="G183">
        <v>344</v>
      </c>
      <c r="H183" t="s">
        <v>5080</v>
      </c>
      <c r="I183" t="s">
        <v>5081</v>
      </c>
      <c r="J183" s="78" t="str" cm="1">
        <f t="array" ref="J183">myRGB(B183,C183,D183)</f>
        <v/>
      </c>
    </row>
    <row r="184" spans="1:10" x14ac:dyDescent="0.2">
      <c r="A184">
        <v>347</v>
      </c>
      <c r="B184" s="3">
        <v>253</v>
      </c>
      <c r="C184" s="3">
        <v>85</v>
      </c>
      <c r="D184" s="3">
        <v>71</v>
      </c>
      <c r="E184" t="s">
        <v>4171</v>
      </c>
      <c r="F184" t="str">
        <f t="shared" si="2"/>
        <v>253 85 71 255</v>
      </c>
      <c r="G184">
        <v>347</v>
      </c>
      <c r="H184" t="s">
        <v>5964</v>
      </c>
      <c r="I184" t="s">
        <v>5965</v>
      </c>
      <c r="J184" s="643" t="str" cm="1">
        <f t="array" ref="J184">myRGB(B184,C184,D184)</f>
        <v/>
      </c>
    </row>
    <row r="185" spans="1:10" x14ac:dyDescent="0.2">
      <c r="A185">
        <v>349</v>
      </c>
      <c r="B185" s="3">
        <v>204</v>
      </c>
      <c r="C185" s="3">
        <v>202</v>
      </c>
      <c r="D185" s="3">
        <v>201</v>
      </c>
      <c r="E185" t="s">
        <v>4172</v>
      </c>
      <c r="F185" t="str">
        <f t="shared" si="2"/>
        <v>204 202 201 255</v>
      </c>
      <c r="G185">
        <v>349</v>
      </c>
      <c r="H185" t="s">
        <v>6990</v>
      </c>
      <c r="I185" t="s">
        <v>6991</v>
      </c>
      <c r="J185" s="779" t="str" cm="1">
        <f t="array" ref="J185">myRGB(B185,C185,D185)</f>
        <v/>
      </c>
    </row>
    <row r="186" spans="1:10" x14ac:dyDescent="0.2">
      <c r="A186">
        <v>350</v>
      </c>
      <c r="B186" s="3">
        <v>254</v>
      </c>
      <c r="C186" s="3">
        <v>195</v>
      </c>
      <c r="D186" s="3">
        <v>148</v>
      </c>
      <c r="E186" t="s">
        <v>4173</v>
      </c>
      <c r="F186" t="str">
        <f t="shared" si="2"/>
        <v>254 195 148 255</v>
      </c>
      <c r="G186">
        <v>350</v>
      </c>
      <c r="H186" t="s">
        <v>6327</v>
      </c>
      <c r="I186" t="s">
        <v>6328</v>
      </c>
      <c r="J186" s="629" t="str" cm="1">
        <f t="array" ref="J186">myRGB(B186,C186,D186)</f>
        <v/>
      </c>
    </row>
    <row r="187" spans="1:10" x14ac:dyDescent="0.2">
      <c r="A187">
        <v>351</v>
      </c>
      <c r="B187" s="3">
        <v>179</v>
      </c>
      <c r="C187" s="3">
        <v>192</v>
      </c>
      <c r="D187" s="3">
        <v>222</v>
      </c>
      <c r="E187" t="s">
        <v>4174</v>
      </c>
      <c r="F187" t="str">
        <f t="shared" si="2"/>
        <v>179 192 222 255</v>
      </c>
      <c r="G187">
        <v>351</v>
      </c>
      <c r="H187" t="s">
        <v>5704</v>
      </c>
      <c r="I187" t="s">
        <v>5705</v>
      </c>
      <c r="J187" s="689" t="str" cm="1">
        <f t="array" ref="J187">myRGB(B187,C187,D187)</f>
        <v/>
      </c>
    </row>
    <row r="188" spans="1:10" x14ac:dyDescent="0.2">
      <c r="A188">
        <v>354</v>
      </c>
      <c r="B188" s="3">
        <v>255</v>
      </c>
      <c r="C188" s="3">
        <v>155</v>
      </c>
      <c r="D188" s="3">
        <v>205</v>
      </c>
      <c r="E188" t="s">
        <v>4175</v>
      </c>
      <c r="F188" t="str">
        <f t="shared" si="2"/>
        <v>255 155 205 255</v>
      </c>
      <c r="G188">
        <v>354</v>
      </c>
      <c r="H188" t="s">
        <v>6331</v>
      </c>
      <c r="I188" t="s">
        <v>6332</v>
      </c>
      <c r="J188" s="543" t="str" cm="1">
        <f t="array" ref="J188">myRGB(B188,C188,D188)</f>
        <v/>
      </c>
    </row>
    <row r="189" spans="1:10" x14ac:dyDescent="0.2">
      <c r="A189">
        <v>355</v>
      </c>
      <c r="B189" s="3">
        <v>33</v>
      </c>
      <c r="C189" s="3">
        <v>150</v>
      </c>
      <c r="D189" s="3">
        <v>102</v>
      </c>
      <c r="E189" t="s">
        <v>4176</v>
      </c>
      <c r="F189" t="str">
        <f t="shared" si="2"/>
        <v>33 150 102 255</v>
      </c>
      <c r="G189">
        <v>355</v>
      </c>
      <c r="H189" t="s">
        <v>5084</v>
      </c>
      <c r="I189" t="s">
        <v>5085</v>
      </c>
      <c r="J189" s="24" t="str" cm="1">
        <f t="array" ref="J189">myRGB(B189,C189,D189)</f>
        <v/>
      </c>
    </row>
    <row r="190" spans="1:10" x14ac:dyDescent="0.2">
      <c r="A190">
        <v>356</v>
      </c>
      <c r="B190" s="3">
        <v>242</v>
      </c>
      <c r="C190" s="3">
        <v>71</v>
      </c>
      <c r="D190" s="3">
        <v>58</v>
      </c>
      <c r="E190" t="s">
        <v>4177</v>
      </c>
      <c r="F190" t="str">
        <f t="shared" si="2"/>
        <v>242 71 58 255</v>
      </c>
      <c r="G190">
        <v>356</v>
      </c>
      <c r="H190" t="s">
        <v>6054</v>
      </c>
      <c r="I190" t="s">
        <v>6055</v>
      </c>
      <c r="J190" s="700" t="str" cm="1">
        <f t="array" ref="J190">myRGB(B190,C190,D190)</f>
        <v/>
      </c>
    </row>
    <row r="191" spans="1:10" x14ac:dyDescent="0.2">
      <c r="A191">
        <v>358</v>
      </c>
      <c r="B191" s="3">
        <v>254</v>
      </c>
      <c r="C191" s="3">
        <v>194</v>
      </c>
      <c r="D191" s="3">
        <v>149</v>
      </c>
      <c r="E191" t="s">
        <v>4178</v>
      </c>
      <c r="F191" t="str">
        <f t="shared" si="2"/>
        <v>254 194 149 255</v>
      </c>
      <c r="G191">
        <v>358</v>
      </c>
      <c r="H191" t="s">
        <v>6329</v>
      </c>
      <c r="I191" t="s">
        <v>6330</v>
      </c>
      <c r="J191" s="648" t="str" cm="1">
        <f t="array" ref="J191">myRGB(B191,C191,D191)</f>
        <v/>
      </c>
    </row>
    <row r="192" spans="1:10" x14ac:dyDescent="0.2">
      <c r="A192">
        <v>362</v>
      </c>
      <c r="B192" s="3">
        <v>253</v>
      </c>
      <c r="C192" s="3">
        <v>144</v>
      </c>
      <c r="D192" s="3">
        <v>157</v>
      </c>
      <c r="E192" t="s">
        <v>4179</v>
      </c>
      <c r="F192" t="str">
        <f t="shared" si="2"/>
        <v>253 144 157 255</v>
      </c>
      <c r="G192">
        <v>362</v>
      </c>
      <c r="H192" t="s">
        <v>5832</v>
      </c>
      <c r="I192" t="s">
        <v>5833</v>
      </c>
      <c r="J192" s="624" t="str" cm="1">
        <f t="array" ref="J192">myRGB(B192,C192,D192)</f>
        <v/>
      </c>
    </row>
    <row r="193" spans="1:10" x14ac:dyDescent="0.2">
      <c r="A193">
        <v>363</v>
      </c>
      <c r="B193" s="3">
        <v>46</v>
      </c>
      <c r="C193" s="3">
        <v>168</v>
      </c>
      <c r="D193" s="3">
        <v>79</v>
      </c>
      <c r="E193" t="s">
        <v>4180</v>
      </c>
      <c r="F193" t="str">
        <f t="shared" si="2"/>
        <v>46 168 79 255</v>
      </c>
      <c r="G193">
        <v>363</v>
      </c>
      <c r="H193" t="s">
        <v>5002</v>
      </c>
      <c r="I193" t="s">
        <v>5003</v>
      </c>
      <c r="J193" s="75" t="str" cm="1">
        <f t="array" ref="J193">myRGB(B193,C193,D193)</f>
        <v/>
      </c>
    </row>
    <row r="194" spans="1:10" x14ac:dyDescent="0.2">
      <c r="A194">
        <v>364</v>
      </c>
      <c r="B194" s="3">
        <v>241</v>
      </c>
      <c r="C194" s="3">
        <v>72</v>
      </c>
      <c r="D194" s="3">
        <v>58</v>
      </c>
      <c r="E194" t="s">
        <v>4181</v>
      </c>
      <c r="F194" t="str">
        <f t="shared" si="2"/>
        <v>241 72 58 255</v>
      </c>
      <c r="G194">
        <v>364</v>
      </c>
      <c r="H194" t="s">
        <v>6056</v>
      </c>
      <c r="I194" t="s">
        <v>6057</v>
      </c>
      <c r="J194" s="432" t="str" cm="1">
        <f t="array" ref="J194">myRGB(B194,C194,D194)</f>
        <v/>
      </c>
    </row>
    <row r="195" spans="1:10" x14ac:dyDescent="0.2">
      <c r="A195">
        <v>366</v>
      </c>
      <c r="B195" s="3">
        <v>253</v>
      </c>
      <c r="C195" s="3">
        <v>142</v>
      </c>
      <c r="D195" s="3">
        <v>159</v>
      </c>
      <c r="E195" t="s">
        <v>4182</v>
      </c>
      <c r="F195" t="str">
        <f t="shared" ref="F195:F258" si="3">_xlfn.CONCAT(B195," ",C195," ",D195," 255")</f>
        <v>253 142 159 255</v>
      </c>
      <c r="G195">
        <v>366</v>
      </c>
      <c r="H195" t="s">
        <v>5840</v>
      </c>
      <c r="I195" t="s">
        <v>5841</v>
      </c>
      <c r="J195" s="588" t="str" cm="1">
        <f t="array" ref="J195">myRGB(B195,C195,D195)</f>
        <v/>
      </c>
    </row>
    <row r="196" spans="1:10" x14ac:dyDescent="0.2">
      <c r="A196">
        <v>368</v>
      </c>
      <c r="B196" s="3">
        <v>14</v>
      </c>
      <c r="C196" s="3">
        <v>150</v>
      </c>
      <c r="D196" s="3">
        <v>131</v>
      </c>
      <c r="E196" t="s">
        <v>4183</v>
      </c>
      <c r="F196" t="str">
        <f t="shared" si="3"/>
        <v>14 150 131 255</v>
      </c>
      <c r="G196">
        <v>368</v>
      </c>
      <c r="H196" t="s">
        <v>5224</v>
      </c>
      <c r="I196" t="s">
        <v>5225</v>
      </c>
      <c r="J196" s="28" t="str" cm="1">
        <f t="array" ref="J196">myRGB(B196,C196,D196)</f>
        <v/>
      </c>
    </row>
    <row r="197" spans="1:10" x14ac:dyDescent="0.2">
      <c r="A197">
        <v>372</v>
      </c>
      <c r="B197" s="3">
        <v>254</v>
      </c>
      <c r="C197" s="3">
        <v>177</v>
      </c>
      <c r="D197" s="3">
        <v>216</v>
      </c>
      <c r="E197" t="s">
        <v>4184</v>
      </c>
      <c r="F197" t="str">
        <f t="shared" si="3"/>
        <v>254 177 216 255</v>
      </c>
      <c r="G197">
        <v>372</v>
      </c>
      <c r="H197" t="s">
        <v>6413</v>
      </c>
      <c r="I197" t="s">
        <v>6414</v>
      </c>
      <c r="J197" s="844" t="str" cm="1">
        <f t="array" ref="J197">myRGB(B197,C197,D197)</f>
        <v/>
      </c>
    </row>
    <row r="198" spans="1:10" x14ac:dyDescent="0.2">
      <c r="A198">
        <v>374</v>
      </c>
      <c r="B198" s="3">
        <v>255</v>
      </c>
      <c r="C198" s="3">
        <v>166</v>
      </c>
      <c r="D198" s="3">
        <v>253</v>
      </c>
      <c r="E198" t="s">
        <v>4185</v>
      </c>
      <c r="F198" t="str">
        <f t="shared" si="3"/>
        <v>255 166 253 255</v>
      </c>
      <c r="G198">
        <v>374</v>
      </c>
      <c r="H198" t="s">
        <v>6194</v>
      </c>
      <c r="I198" t="s">
        <v>6195</v>
      </c>
      <c r="J198" s="462" t="str" cm="1">
        <f t="array" ref="J198">myRGB(B198,C198,D198)</f>
        <v/>
      </c>
    </row>
    <row r="199" spans="1:10" x14ac:dyDescent="0.2">
      <c r="A199">
        <v>377</v>
      </c>
      <c r="B199" s="3">
        <v>8</v>
      </c>
      <c r="C199" s="3">
        <v>131</v>
      </c>
      <c r="D199" s="3">
        <v>140</v>
      </c>
      <c r="E199" t="s">
        <v>4186</v>
      </c>
      <c r="F199" t="str">
        <f t="shared" si="3"/>
        <v>8 131 140 255</v>
      </c>
      <c r="G199">
        <v>377</v>
      </c>
      <c r="H199" t="s">
        <v>4926</v>
      </c>
      <c r="I199" t="s">
        <v>4927</v>
      </c>
      <c r="J199" s="342" t="str" cm="1">
        <f t="array" ref="J199">myRGB(B199,C199,D199)</f>
        <v/>
      </c>
    </row>
    <row r="200" spans="1:10" x14ac:dyDescent="0.2">
      <c r="A200">
        <v>380</v>
      </c>
      <c r="B200" s="3">
        <v>202</v>
      </c>
      <c r="C200" s="3">
        <v>201</v>
      </c>
      <c r="D200" s="3">
        <v>204</v>
      </c>
      <c r="E200" t="s">
        <v>4187</v>
      </c>
      <c r="F200" t="str">
        <f t="shared" si="3"/>
        <v>202 201 204 255</v>
      </c>
      <c r="G200">
        <v>380</v>
      </c>
      <c r="H200" t="s">
        <v>6772</v>
      </c>
      <c r="I200" t="s">
        <v>6773</v>
      </c>
      <c r="J200" s="788" t="str" cm="1">
        <f t="array" ref="J200">myRGB(B200,C200,D200)</f>
        <v/>
      </c>
    </row>
    <row r="201" spans="1:10" x14ac:dyDescent="0.2">
      <c r="A201">
        <v>381</v>
      </c>
      <c r="B201" s="3">
        <v>255</v>
      </c>
      <c r="C201" s="3">
        <v>141</v>
      </c>
      <c r="D201" s="3">
        <v>253</v>
      </c>
      <c r="E201" t="s">
        <v>4188</v>
      </c>
      <c r="F201" t="str">
        <f t="shared" si="3"/>
        <v>255 141 253 255</v>
      </c>
      <c r="G201">
        <v>381</v>
      </c>
      <c r="H201" t="s">
        <v>6106</v>
      </c>
      <c r="I201" t="s">
        <v>6107</v>
      </c>
      <c r="J201" s="408" t="str" cm="1">
        <f t="array" ref="J201">myRGB(B201,C201,D201)</f>
        <v/>
      </c>
    </row>
    <row r="202" spans="1:10" x14ac:dyDescent="0.2">
      <c r="A202">
        <v>382</v>
      </c>
      <c r="B202" s="3">
        <v>126</v>
      </c>
      <c r="C202" s="3">
        <v>207</v>
      </c>
      <c r="D202" s="3">
        <v>75</v>
      </c>
      <c r="E202" t="s">
        <v>4189</v>
      </c>
      <c r="F202" t="str">
        <f t="shared" si="3"/>
        <v>126 207 75 255</v>
      </c>
      <c r="G202">
        <v>382</v>
      </c>
      <c r="H202" t="s">
        <v>5386</v>
      </c>
      <c r="I202" t="s">
        <v>5387</v>
      </c>
      <c r="J202" s="294" t="str" cm="1">
        <f t="array" ref="J202">myRGB(B202,C202,D202)</f>
        <v/>
      </c>
    </row>
    <row r="203" spans="1:10" x14ac:dyDescent="0.2">
      <c r="A203">
        <v>390</v>
      </c>
      <c r="B203" s="3">
        <v>254</v>
      </c>
      <c r="C203" s="3">
        <v>91</v>
      </c>
      <c r="D203" s="3">
        <v>80</v>
      </c>
      <c r="E203" t="s">
        <v>4190</v>
      </c>
      <c r="F203" t="str">
        <f t="shared" si="3"/>
        <v>254 91 80 255</v>
      </c>
      <c r="G203">
        <v>390</v>
      </c>
      <c r="H203" t="s">
        <v>5896</v>
      </c>
      <c r="I203" t="s">
        <v>5897</v>
      </c>
      <c r="J203" s="595" t="str" cm="1">
        <f t="array" ref="J203">myRGB(B203,C203,D203)</f>
        <v/>
      </c>
    </row>
    <row r="204" spans="1:10" x14ac:dyDescent="0.2">
      <c r="A204">
        <v>393</v>
      </c>
      <c r="B204" s="3">
        <v>8</v>
      </c>
      <c r="C204" s="3">
        <v>132</v>
      </c>
      <c r="D204" s="3">
        <v>138</v>
      </c>
      <c r="E204" t="s">
        <v>4191</v>
      </c>
      <c r="F204" t="str">
        <f t="shared" si="3"/>
        <v>8 132 138 255</v>
      </c>
      <c r="G204">
        <v>393</v>
      </c>
      <c r="H204" t="s">
        <v>4928</v>
      </c>
      <c r="I204" t="s">
        <v>4929</v>
      </c>
      <c r="J204" s="316" t="str" cm="1">
        <f t="array" ref="J204">myRGB(B204,C204,D204)</f>
        <v/>
      </c>
    </row>
    <row r="205" spans="1:10" x14ac:dyDescent="0.2">
      <c r="A205">
        <v>397</v>
      </c>
      <c r="B205" s="3">
        <v>202</v>
      </c>
      <c r="C205" s="3">
        <v>203</v>
      </c>
      <c r="D205" s="3">
        <v>201</v>
      </c>
      <c r="E205" t="s">
        <v>4192</v>
      </c>
      <c r="F205" t="str">
        <f t="shared" si="3"/>
        <v>202 203 201 255</v>
      </c>
      <c r="G205">
        <v>397</v>
      </c>
      <c r="H205" t="s">
        <v>6922</v>
      </c>
      <c r="I205" t="s">
        <v>6923</v>
      </c>
      <c r="J205" s="729" t="str" cm="1">
        <f t="array" ref="J205">myRGB(B205,C205,D205)</f>
        <v/>
      </c>
    </row>
    <row r="206" spans="1:10" x14ac:dyDescent="0.2">
      <c r="A206">
        <v>401</v>
      </c>
      <c r="B206" s="3">
        <v>9</v>
      </c>
      <c r="C206" s="3">
        <v>133</v>
      </c>
      <c r="D206" s="3">
        <v>138</v>
      </c>
      <c r="E206" t="s">
        <v>4193</v>
      </c>
      <c r="F206" t="str">
        <f t="shared" si="3"/>
        <v>9 133 138 255</v>
      </c>
      <c r="G206">
        <v>401</v>
      </c>
      <c r="H206" t="s">
        <v>4886</v>
      </c>
      <c r="I206" t="s">
        <v>4887</v>
      </c>
      <c r="J206" s="181" t="str" cm="1">
        <f t="array" ref="J206">myRGB(B206,C206,D206)</f>
        <v/>
      </c>
    </row>
    <row r="207" spans="1:10" x14ac:dyDescent="0.2">
      <c r="A207">
        <v>403</v>
      </c>
      <c r="B207" s="3">
        <v>128</v>
      </c>
      <c r="C207" s="3">
        <v>191</v>
      </c>
      <c r="D207" s="3">
        <v>225</v>
      </c>
      <c r="E207" t="s">
        <v>4194</v>
      </c>
      <c r="F207" t="str">
        <f t="shared" si="3"/>
        <v>128 191 225 255</v>
      </c>
      <c r="G207">
        <v>403</v>
      </c>
      <c r="H207" t="s">
        <v>5662</v>
      </c>
      <c r="I207" t="s">
        <v>5663</v>
      </c>
      <c r="J207" s="302" t="str" cm="1">
        <f t="array" ref="J207">myRGB(B207,C207,D207)</f>
        <v/>
      </c>
    </row>
    <row r="208" spans="1:10" x14ac:dyDescent="0.2">
      <c r="A208">
        <v>412</v>
      </c>
      <c r="B208" s="3">
        <v>35</v>
      </c>
      <c r="C208" s="3">
        <v>138</v>
      </c>
      <c r="D208" s="3">
        <v>94</v>
      </c>
      <c r="E208" t="s">
        <v>4195</v>
      </c>
      <c r="F208" t="str">
        <f t="shared" si="3"/>
        <v>35 138 94 255</v>
      </c>
      <c r="G208">
        <v>412</v>
      </c>
      <c r="H208" t="s">
        <v>7149</v>
      </c>
      <c r="I208" t="s">
        <v>7210</v>
      </c>
      <c r="J208" s="88" t="str" cm="1">
        <f t="array" ref="J208">myRGB(B208,C208,D208)</f>
        <v/>
      </c>
    </row>
    <row r="209" spans="1:10" x14ac:dyDescent="0.2">
      <c r="A209">
        <v>413</v>
      </c>
      <c r="B209" s="3">
        <v>201</v>
      </c>
      <c r="C209" s="3">
        <v>202</v>
      </c>
      <c r="D209" s="3">
        <v>203</v>
      </c>
      <c r="E209" t="s">
        <v>4196</v>
      </c>
      <c r="F209" t="str">
        <f t="shared" si="3"/>
        <v>201 202 203 255</v>
      </c>
      <c r="G209">
        <v>413</v>
      </c>
      <c r="H209" t="s">
        <v>6730</v>
      </c>
      <c r="I209" t="s">
        <v>6731</v>
      </c>
      <c r="J209" s="552" t="str" cm="1">
        <f t="array" ref="J209">myRGB(B209,C209,D209)</f>
        <v/>
      </c>
    </row>
    <row r="210" spans="1:10" x14ac:dyDescent="0.2">
      <c r="A210">
        <v>414</v>
      </c>
      <c r="B210" s="3">
        <v>255</v>
      </c>
      <c r="C210" s="3">
        <v>127</v>
      </c>
      <c r="D210" s="3">
        <v>132</v>
      </c>
      <c r="E210" t="s">
        <v>4197</v>
      </c>
      <c r="F210" t="str">
        <f t="shared" si="3"/>
        <v>255 127 132 255</v>
      </c>
      <c r="G210">
        <v>414</v>
      </c>
      <c r="H210" t="s">
        <v>5768</v>
      </c>
      <c r="I210" t="s">
        <v>5769</v>
      </c>
      <c r="J210" s="449" t="str" cm="1">
        <f t="array" ref="J210">myRGB(B210,C210,D210)</f>
        <v/>
      </c>
    </row>
    <row r="211" spans="1:10" x14ac:dyDescent="0.2">
      <c r="A211">
        <v>421</v>
      </c>
      <c r="B211" s="3">
        <v>9</v>
      </c>
      <c r="C211" s="3">
        <v>132</v>
      </c>
      <c r="D211" s="3">
        <v>138</v>
      </c>
      <c r="E211" t="s">
        <v>4198</v>
      </c>
      <c r="F211" t="str">
        <f t="shared" si="3"/>
        <v>9 132 138 255</v>
      </c>
      <c r="G211">
        <v>421</v>
      </c>
      <c r="H211" t="s">
        <v>4896</v>
      </c>
      <c r="I211" t="s">
        <v>4897</v>
      </c>
      <c r="J211" s="317" t="str" cm="1">
        <f t="array" ref="J211">myRGB(B211,C211,D211)</f>
        <v/>
      </c>
    </row>
    <row r="212" spans="1:10" x14ac:dyDescent="0.2">
      <c r="A212">
        <v>422</v>
      </c>
      <c r="B212" s="3">
        <v>254</v>
      </c>
      <c r="C212" s="3">
        <v>128</v>
      </c>
      <c r="D212" s="3">
        <v>132</v>
      </c>
      <c r="E212" t="s">
        <v>4199</v>
      </c>
      <c r="F212" t="str">
        <f t="shared" si="3"/>
        <v>254 128 132 255</v>
      </c>
      <c r="G212">
        <v>422</v>
      </c>
      <c r="H212" t="s">
        <v>5770</v>
      </c>
      <c r="I212" t="s">
        <v>5771</v>
      </c>
      <c r="J212" s="414" t="str" cm="1">
        <f t="array" ref="J212">myRGB(B212,C212,D212)</f>
        <v/>
      </c>
    </row>
    <row r="213" spans="1:10" x14ac:dyDescent="0.2">
      <c r="A213">
        <v>423</v>
      </c>
      <c r="B213" s="3">
        <v>125</v>
      </c>
      <c r="C213" s="3">
        <v>207</v>
      </c>
      <c r="D213" s="3">
        <v>75</v>
      </c>
      <c r="E213" t="s">
        <v>4200</v>
      </c>
      <c r="F213" t="str">
        <f t="shared" si="3"/>
        <v>125 207 75 255</v>
      </c>
      <c r="G213">
        <v>423</v>
      </c>
      <c r="H213" t="s">
        <v>5396</v>
      </c>
      <c r="I213" t="s">
        <v>5397</v>
      </c>
      <c r="J213" s="437" t="str" cm="1">
        <f t="array" ref="J213">myRGB(B213,C213,D213)</f>
        <v/>
      </c>
    </row>
    <row r="214" spans="1:10" x14ac:dyDescent="0.2">
      <c r="A214">
        <v>427</v>
      </c>
      <c r="B214" s="3">
        <v>13</v>
      </c>
      <c r="C214" s="3">
        <v>159</v>
      </c>
      <c r="D214" s="3">
        <v>145</v>
      </c>
      <c r="E214" t="s">
        <v>4201</v>
      </c>
      <c r="F214" t="str">
        <f t="shared" si="3"/>
        <v>13 159 145 255</v>
      </c>
      <c r="G214">
        <v>427</v>
      </c>
      <c r="H214" t="s">
        <v>7166</v>
      </c>
      <c r="I214" t="s">
        <v>7228</v>
      </c>
      <c r="J214" s="106" t="str" cm="1">
        <f t="array" ref="J214">myRGB(B214,C214,D214)</f>
        <v/>
      </c>
    </row>
    <row r="215" spans="1:10" x14ac:dyDescent="0.2">
      <c r="A215">
        <v>428</v>
      </c>
      <c r="B215" s="3">
        <v>204</v>
      </c>
      <c r="C215" s="3">
        <v>200</v>
      </c>
      <c r="D215" s="3">
        <v>204</v>
      </c>
      <c r="E215" t="s">
        <v>4202</v>
      </c>
      <c r="F215" t="str">
        <f t="shared" si="3"/>
        <v>204 200 204 255</v>
      </c>
      <c r="G215">
        <v>428</v>
      </c>
      <c r="H215" t="s">
        <v>6962</v>
      </c>
      <c r="I215" t="s">
        <v>6963</v>
      </c>
      <c r="J215" s="741" t="str" cm="1">
        <f t="array" ref="J215">myRGB(B215,C215,D215)</f>
        <v/>
      </c>
    </row>
    <row r="216" spans="1:10" x14ac:dyDescent="0.2">
      <c r="A216">
        <v>429</v>
      </c>
      <c r="B216" s="3">
        <v>253</v>
      </c>
      <c r="C216" s="3">
        <v>164</v>
      </c>
      <c r="D216" s="3">
        <v>208</v>
      </c>
      <c r="E216" t="s">
        <v>4203</v>
      </c>
      <c r="F216" t="str">
        <f t="shared" si="3"/>
        <v>253 164 208 255</v>
      </c>
      <c r="G216">
        <v>429</v>
      </c>
      <c r="H216" t="s">
        <v>6369</v>
      </c>
      <c r="I216" t="s">
        <v>6370</v>
      </c>
      <c r="J216" s="771" t="str" cm="1">
        <f t="array" ref="J216">myRGB(B216,C216,D216)</f>
        <v/>
      </c>
    </row>
    <row r="217" spans="1:10" x14ac:dyDescent="0.2">
      <c r="A217">
        <v>430</v>
      </c>
      <c r="B217" s="3">
        <v>26</v>
      </c>
      <c r="C217" s="3">
        <v>165</v>
      </c>
      <c r="D217" s="3">
        <v>151</v>
      </c>
      <c r="E217" t="s">
        <v>4204</v>
      </c>
      <c r="F217" t="str">
        <f t="shared" si="3"/>
        <v>26 165 151 255</v>
      </c>
      <c r="G217">
        <v>430</v>
      </c>
      <c r="H217" t="s">
        <v>7160</v>
      </c>
      <c r="I217" t="s">
        <v>7221</v>
      </c>
      <c r="J217" s="275" t="str" cm="1">
        <f t="array" ref="J217">myRGB(B217,C217,D217)</f>
        <v/>
      </c>
    </row>
    <row r="218" spans="1:10" x14ac:dyDescent="0.2">
      <c r="A218">
        <v>433</v>
      </c>
      <c r="B218" s="3">
        <v>10</v>
      </c>
      <c r="C218" s="3">
        <v>132</v>
      </c>
      <c r="D218" s="3">
        <v>139</v>
      </c>
      <c r="E218" t="s">
        <v>4205</v>
      </c>
      <c r="F218" t="str">
        <f t="shared" si="3"/>
        <v>10 132 139 255</v>
      </c>
      <c r="G218">
        <v>433</v>
      </c>
      <c r="H218" t="s">
        <v>4888</v>
      </c>
      <c r="I218" t="s">
        <v>4889</v>
      </c>
      <c r="J218" s="44" t="str" cm="1">
        <f t="array" ref="J218">myRGB(B218,C218,D218)</f>
        <v/>
      </c>
    </row>
    <row r="219" spans="1:10" x14ac:dyDescent="0.2">
      <c r="A219">
        <v>434</v>
      </c>
      <c r="B219" s="3">
        <v>27</v>
      </c>
      <c r="C219" s="3">
        <v>166</v>
      </c>
      <c r="D219" s="3">
        <v>151</v>
      </c>
      <c r="E219" t="s">
        <v>4206</v>
      </c>
      <c r="F219" t="str">
        <f t="shared" si="3"/>
        <v>27 166 151 255</v>
      </c>
      <c r="G219">
        <v>434</v>
      </c>
      <c r="H219" t="s">
        <v>7159</v>
      </c>
      <c r="I219" t="s">
        <v>7220</v>
      </c>
      <c r="J219" s="224" t="str" cm="1">
        <f t="array" ref="J219">myRGB(B219,C219,D219)</f>
        <v/>
      </c>
    </row>
    <row r="220" spans="1:10" x14ac:dyDescent="0.2">
      <c r="A220">
        <v>436</v>
      </c>
      <c r="B220" s="3">
        <v>199</v>
      </c>
      <c r="C220" s="3">
        <v>200</v>
      </c>
      <c r="D220" s="3">
        <v>202</v>
      </c>
      <c r="E220" t="s">
        <v>4207</v>
      </c>
      <c r="F220" t="str">
        <f t="shared" si="3"/>
        <v>199 200 202 255</v>
      </c>
      <c r="G220">
        <v>436</v>
      </c>
      <c r="H220" t="s">
        <v>6964</v>
      </c>
      <c r="I220" t="s">
        <v>6965</v>
      </c>
      <c r="J220" s="780" t="str" cm="1">
        <f t="array" ref="J220">myRGB(B220,C220,D220)</f>
        <v/>
      </c>
    </row>
    <row r="221" spans="1:10" x14ac:dyDescent="0.2">
      <c r="A221">
        <v>437</v>
      </c>
      <c r="B221" s="3">
        <v>253</v>
      </c>
      <c r="C221" s="3">
        <v>165</v>
      </c>
      <c r="D221" s="3">
        <v>210</v>
      </c>
      <c r="E221" t="s">
        <v>4208</v>
      </c>
      <c r="F221" t="str">
        <f t="shared" si="3"/>
        <v>253 165 210 255</v>
      </c>
      <c r="G221">
        <v>437</v>
      </c>
      <c r="H221" t="s">
        <v>6371</v>
      </c>
      <c r="I221" t="s">
        <v>6372</v>
      </c>
      <c r="J221" s="679" t="str" cm="1">
        <f t="array" ref="J221">myRGB(B221,C221,D221)</f>
        <v/>
      </c>
    </row>
    <row r="222" spans="1:10" x14ac:dyDescent="0.2">
      <c r="A222">
        <v>440</v>
      </c>
      <c r="B222" s="3">
        <v>36</v>
      </c>
      <c r="C222" s="3">
        <v>137</v>
      </c>
      <c r="D222" s="3">
        <v>93</v>
      </c>
      <c r="E222" t="s">
        <v>4209</v>
      </c>
      <c r="F222" t="str">
        <f t="shared" si="3"/>
        <v>36 137 93 255</v>
      </c>
      <c r="G222">
        <v>440</v>
      </c>
      <c r="H222" t="s">
        <v>5036</v>
      </c>
      <c r="I222" t="s">
        <v>5037</v>
      </c>
      <c r="J222" s="34" t="str" cm="1">
        <f t="array" ref="J222">myRGB(B222,C222,D222)</f>
        <v/>
      </c>
    </row>
    <row r="223" spans="1:10" x14ac:dyDescent="0.2">
      <c r="A223">
        <v>441</v>
      </c>
      <c r="B223" s="3">
        <v>8</v>
      </c>
      <c r="C223" s="3">
        <v>131</v>
      </c>
      <c r="D223" s="3">
        <v>138</v>
      </c>
      <c r="E223" t="s">
        <v>4210</v>
      </c>
      <c r="F223" t="str">
        <f t="shared" si="3"/>
        <v>8 131 138 255</v>
      </c>
      <c r="G223">
        <v>441</v>
      </c>
      <c r="H223" t="s">
        <v>4892</v>
      </c>
      <c r="I223" t="s">
        <v>4893</v>
      </c>
      <c r="J223" s="122" t="str" cm="1">
        <f t="array" ref="J223">myRGB(B223,C223,D223)</f>
        <v/>
      </c>
    </row>
    <row r="224" spans="1:10" x14ac:dyDescent="0.2">
      <c r="A224">
        <v>442</v>
      </c>
      <c r="B224" s="3">
        <v>27</v>
      </c>
      <c r="C224" s="3">
        <v>165</v>
      </c>
      <c r="D224" s="3">
        <v>152</v>
      </c>
      <c r="E224" t="s">
        <v>4211</v>
      </c>
      <c r="F224" t="str">
        <f t="shared" si="3"/>
        <v>27 165 152 255</v>
      </c>
      <c r="G224">
        <v>442</v>
      </c>
      <c r="H224" t="s">
        <v>5146</v>
      </c>
      <c r="I224" t="s">
        <v>5147</v>
      </c>
      <c r="J224" s="150" t="str" cm="1">
        <f t="array" ref="J224">myRGB(B224,C224,D224)</f>
        <v/>
      </c>
    </row>
    <row r="225" spans="1:10" x14ac:dyDescent="0.2">
      <c r="A225">
        <v>443</v>
      </c>
      <c r="B225" s="3">
        <v>201</v>
      </c>
      <c r="C225" s="3">
        <v>204</v>
      </c>
      <c r="D225" s="3">
        <v>201</v>
      </c>
      <c r="E225" t="s">
        <v>4212</v>
      </c>
      <c r="F225" t="str">
        <f t="shared" si="3"/>
        <v>201 204 201 255</v>
      </c>
      <c r="G225">
        <v>443</v>
      </c>
      <c r="H225" t="s">
        <v>6968</v>
      </c>
      <c r="I225" t="s">
        <v>6969</v>
      </c>
      <c r="J225" s="682" t="str" cm="1">
        <f t="array" ref="J225">myRGB(B225,C225,D225)</f>
        <v/>
      </c>
    </row>
    <row r="226" spans="1:10" x14ac:dyDescent="0.2">
      <c r="A226">
        <v>445</v>
      </c>
      <c r="B226" s="3">
        <v>255</v>
      </c>
      <c r="C226" s="3">
        <v>164</v>
      </c>
      <c r="D226" s="3">
        <v>208</v>
      </c>
      <c r="E226" t="s">
        <v>4213</v>
      </c>
      <c r="F226" t="str">
        <f t="shared" si="3"/>
        <v>255 164 208 255</v>
      </c>
      <c r="G226">
        <v>445</v>
      </c>
      <c r="H226" t="s">
        <v>6373</v>
      </c>
      <c r="I226" t="s">
        <v>6374</v>
      </c>
      <c r="J226" s="651" t="str" cm="1">
        <f t="array" ref="J226">myRGB(B226,C226,D226)</f>
        <v/>
      </c>
    </row>
    <row r="227" spans="1:10" x14ac:dyDescent="0.2">
      <c r="A227">
        <v>448</v>
      </c>
      <c r="B227" s="3">
        <v>35</v>
      </c>
      <c r="C227" s="3">
        <v>138</v>
      </c>
      <c r="D227" s="3">
        <v>93</v>
      </c>
      <c r="E227" t="s">
        <v>4214</v>
      </c>
      <c r="F227" t="str">
        <f t="shared" si="3"/>
        <v>35 138 93 255</v>
      </c>
      <c r="G227">
        <v>448</v>
      </c>
      <c r="H227" t="s">
        <v>5032</v>
      </c>
      <c r="I227" t="s">
        <v>5033</v>
      </c>
      <c r="J227" s="176" t="str" cm="1">
        <f t="array" ref="J227">myRGB(B227,C227,D227)</f>
        <v/>
      </c>
    </row>
    <row r="228" spans="1:10" x14ac:dyDescent="0.2">
      <c r="A228">
        <v>449</v>
      </c>
      <c r="B228" s="3">
        <v>200</v>
      </c>
      <c r="C228" s="3">
        <v>201</v>
      </c>
      <c r="D228" s="3">
        <v>201</v>
      </c>
      <c r="E228" t="s">
        <v>4215</v>
      </c>
      <c r="F228" t="str">
        <f t="shared" si="3"/>
        <v>200 201 201 255</v>
      </c>
      <c r="G228">
        <v>449</v>
      </c>
      <c r="H228" t="s">
        <v>6970</v>
      </c>
      <c r="I228" t="s">
        <v>6971</v>
      </c>
      <c r="J228" s="661" t="str" cm="1">
        <f t="array" ref="J228">myRGB(B228,C228,D228)</f>
        <v/>
      </c>
    </row>
    <row r="229" spans="1:10" x14ac:dyDescent="0.2">
      <c r="A229">
        <v>450</v>
      </c>
      <c r="B229" s="3">
        <v>25</v>
      </c>
      <c r="C229" s="3">
        <v>126</v>
      </c>
      <c r="D229" s="3">
        <v>100</v>
      </c>
      <c r="E229" t="s">
        <v>4216</v>
      </c>
      <c r="F229" t="str">
        <f t="shared" si="3"/>
        <v>25 126 100 255</v>
      </c>
      <c r="G229">
        <v>450</v>
      </c>
      <c r="H229" t="s">
        <v>4726</v>
      </c>
      <c r="I229" t="s">
        <v>4727</v>
      </c>
      <c r="J229" s="254" t="str" cm="1">
        <f t="array" ref="J229">myRGB(B229,C229,D229)</f>
        <v/>
      </c>
    </row>
    <row r="230" spans="1:10" x14ac:dyDescent="0.2">
      <c r="A230">
        <v>451</v>
      </c>
      <c r="B230" s="3">
        <v>156</v>
      </c>
      <c r="C230" s="3">
        <v>231</v>
      </c>
      <c r="D230" s="3">
        <v>156</v>
      </c>
      <c r="E230" t="s">
        <v>4217</v>
      </c>
      <c r="F230" t="str">
        <f t="shared" si="3"/>
        <v>156 231 156 255</v>
      </c>
      <c r="G230">
        <v>451</v>
      </c>
      <c r="H230" t="s">
        <v>5592</v>
      </c>
      <c r="I230" t="s">
        <v>5593</v>
      </c>
      <c r="J230" s="171" t="str" cm="1">
        <f t="array" ref="J230">myRGB(B230,C230,D230)</f>
        <v/>
      </c>
    </row>
    <row r="231" spans="1:10" x14ac:dyDescent="0.2">
      <c r="A231">
        <v>452</v>
      </c>
      <c r="B231" s="3">
        <v>255</v>
      </c>
      <c r="C231" s="3">
        <v>84</v>
      </c>
      <c r="D231" s="3">
        <v>69</v>
      </c>
      <c r="E231" t="s">
        <v>4218</v>
      </c>
      <c r="F231" t="str">
        <f t="shared" si="3"/>
        <v>255 84 69 255</v>
      </c>
      <c r="G231">
        <v>452</v>
      </c>
      <c r="H231" t="s">
        <v>5948</v>
      </c>
      <c r="I231" t="s">
        <v>5949</v>
      </c>
      <c r="J231" s="597" t="str" cm="1">
        <f t="array" ref="J231">myRGB(B231,C231,D231)</f>
        <v/>
      </c>
    </row>
    <row r="232" spans="1:10" x14ac:dyDescent="0.2">
      <c r="A232">
        <v>456</v>
      </c>
      <c r="B232" s="3">
        <v>2</v>
      </c>
      <c r="C232" s="3">
        <v>146</v>
      </c>
      <c r="D232" s="3">
        <v>152</v>
      </c>
      <c r="E232" t="s">
        <v>4219</v>
      </c>
      <c r="F232" t="str">
        <f t="shared" si="3"/>
        <v>2 146 152 255</v>
      </c>
      <c r="G232">
        <v>456</v>
      </c>
      <c r="H232" t="s">
        <v>4844</v>
      </c>
      <c r="I232" t="s">
        <v>4845</v>
      </c>
      <c r="J232" s="152" t="str" cm="1">
        <f t="array" ref="J232">myRGB(B232,C232,D232)</f>
        <v/>
      </c>
    </row>
    <row r="233" spans="1:10" x14ac:dyDescent="0.2">
      <c r="A233">
        <v>460</v>
      </c>
      <c r="B233" s="3">
        <v>255</v>
      </c>
      <c r="C233" s="3">
        <v>121</v>
      </c>
      <c r="D233" s="3">
        <v>254</v>
      </c>
      <c r="E233" t="s">
        <v>4220</v>
      </c>
      <c r="F233" t="str">
        <f t="shared" si="3"/>
        <v>255 121 254 255</v>
      </c>
      <c r="G233">
        <v>460</v>
      </c>
      <c r="H233" t="s">
        <v>6100</v>
      </c>
      <c r="I233" t="s">
        <v>6101</v>
      </c>
      <c r="J233" s="403" t="str" cm="1">
        <f t="array" ref="J233">myRGB(B233,C233,D233)</f>
        <v/>
      </c>
    </row>
    <row r="234" spans="1:10" x14ac:dyDescent="0.2">
      <c r="A234">
        <v>461</v>
      </c>
      <c r="B234" s="3">
        <v>26</v>
      </c>
      <c r="C234" s="3">
        <v>128</v>
      </c>
      <c r="D234" s="3">
        <v>99</v>
      </c>
      <c r="E234" t="s">
        <v>4221</v>
      </c>
      <c r="F234" t="str">
        <f t="shared" si="3"/>
        <v>26 128 99 255</v>
      </c>
      <c r="G234">
        <v>461</v>
      </c>
      <c r="H234" t="s">
        <v>4746</v>
      </c>
      <c r="I234" t="s">
        <v>4747</v>
      </c>
      <c r="J234" s="60" t="str" cm="1">
        <f t="array" ref="J234">myRGB(B234,C234,D234)</f>
        <v/>
      </c>
    </row>
    <row r="235" spans="1:10" x14ac:dyDescent="0.2">
      <c r="A235">
        <v>463</v>
      </c>
      <c r="B235" s="3">
        <v>126</v>
      </c>
      <c r="C235" s="3">
        <v>207</v>
      </c>
      <c r="D235" s="3">
        <v>73</v>
      </c>
      <c r="E235" t="s">
        <v>4222</v>
      </c>
      <c r="F235" t="str">
        <f t="shared" si="3"/>
        <v>126 207 73 255</v>
      </c>
      <c r="G235">
        <v>463</v>
      </c>
      <c r="H235" t="s">
        <v>5406</v>
      </c>
      <c r="I235" t="s">
        <v>5407</v>
      </c>
      <c r="J235" s="168" t="str" cm="1">
        <f t="array" ref="J235">myRGB(B235,C235,D235)</f>
        <v/>
      </c>
    </row>
    <row r="236" spans="1:10" x14ac:dyDescent="0.2">
      <c r="A236">
        <v>466</v>
      </c>
      <c r="B236" s="3">
        <v>199</v>
      </c>
      <c r="C236" s="3">
        <v>200</v>
      </c>
      <c r="D236" s="3">
        <v>204</v>
      </c>
      <c r="E236" t="s">
        <v>4223</v>
      </c>
      <c r="F236" t="str">
        <f t="shared" si="3"/>
        <v>199 200 204 255</v>
      </c>
      <c r="G236">
        <v>466</v>
      </c>
      <c r="H236" t="s">
        <v>6950</v>
      </c>
      <c r="I236" t="s">
        <v>6951</v>
      </c>
      <c r="J236" s="614" t="str" cm="1">
        <f t="array" ref="J236">myRGB(B236,C236,D236)</f>
        <v/>
      </c>
    </row>
    <row r="237" spans="1:10" x14ac:dyDescent="0.2">
      <c r="A237">
        <v>469</v>
      </c>
      <c r="B237" s="3">
        <v>8</v>
      </c>
      <c r="C237" s="3">
        <v>133</v>
      </c>
      <c r="D237" s="3">
        <v>137</v>
      </c>
      <c r="E237" t="s">
        <v>4224</v>
      </c>
      <c r="F237" t="str">
        <f t="shared" si="3"/>
        <v>8 133 137 255</v>
      </c>
      <c r="G237">
        <v>469</v>
      </c>
      <c r="H237" t="s">
        <v>4940</v>
      </c>
      <c r="I237" t="s">
        <v>4941</v>
      </c>
      <c r="J237" s="341" t="str" cm="1">
        <f t="array" ref="J237">myRGB(B237,C237,D237)</f>
        <v/>
      </c>
    </row>
    <row r="238" spans="1:10" x14ac:dyDescent="0.2">
      <c r="A238">
        <v>470</v>
      </c>
      <c r="B238" s="3">
        <v>241</v>
      </c>
      <c r="C238" s="3">
        <v>71</v>
      </c>
      <c r="D238" s="3">
        <v>59</v>
      </c>
      <c r="E238" t="s">
        <v>4225</v>
      </c>
      <c r="F238" t="str">
        <f t="shared" si="3"/>
        <v>241 71 59 255</v>
      </c>
      <c r="G238">
        <v>470</v>
      </c>
      <c r="H238" t="s">
        <v>6062</v>
      </c>
      <c r="I238" t="s">
        <v>6063</v>
      </c>
      <c r="J238" s="626" t="str" cm="1">
        <f t="array" ref="J238">myRGB(B238,C238,D238)</f>
        <v/>
      </c>
    </row>
    <row r="239" spans="1:10" x14ac:dyDescent="0.2">
      <c r="A239">
        <v>477</v>
      </c>
      <c r="B239" s="3">
        <v>151</v>
      </c>
      <c r="C239" s="3">
        <v>214</v>
      </c>
      <c r="D239" s="3">
        <v>249</v>
      </c>
      <c r="E239" t="s">
        <v>4226</v>
      </c>
      <c r="F239" t="str">
        <f t="shared" si="3"/>
        <v>151 214 249 255</v>
      </c>
      <c r="G239">
        <v>477</v>
      </c>
      <c r="H239" t="s">
        <v>5604</v>
      </c>
      <c r="I239" t="s">
        <v>5605</v>
      </c>
      <c r="J239" s="305" t="str" cm="1">
        <f t="array" ref="J239">myRGB(B239,C239,D239)</f>
        <v/>
      </c>
    </row>
    <row r="240" spans="1:10" x14ac:dyDescent="0.2">
      <c r="A240">
        <v>478</v>
      </c>
      <c r="B240" s="3">
        <v>26</v>
      </c>
      <c r="C240" s="3">
        <v>127</v>
      </c>
      <c r="D240" s="3">
        <v>100</v>
      </c>
      <c r="E240" t="s">
        <v>4227</v>
      </c>
      <c r="F240" t="str">
        <f t="shared" si="3"/>
        <v>26 127 100 255</v>
      </c>
      <c r="G240">
        <v>478</v>
      </c>
      <c r="H240" t="s">
        <v>4708</v>
      </c>
      <c r="I240" t="s">
        <v>4709</v>
      </c>
      <c r="J240" s="65" t="str" cm="1">
        <f t="array" ref="J240">myRGB(B240,C240,D240)</f>
        <v/>
      </c>
    </row>
    <row r="241" spans="1:10" x14ac:dyDescent="0.2">
      <c r="A241">
        <v>482</v>
      </c>
      <c r="B241" s="3">
        <v>201</v>
      </c>
      <c r="C241" s="3">
        <v>200</v>
      </c>
      <c r="D241" s="3">
        <v>200</v>
      </c>
      <c r="E241" t="s">
        <v>4228</v>
      </c>
      <c r="F241" t="str">
        <f t="shared" si="3"/>
        <v>201 200 200 255</v>
      </c>
      <c r="G241">
        <v>482</v>
      </c>
      <c r="H241" t="s">
        <v>6744</v>
      </c>
      <c r="I241" t="s">
        <v>6745</v>
      </c>
      <c r="J241" s="723" t="str" cm="1">
        <f t="array" ref="J241">myRGB(B241,C241,D241)</f>
        <v/>
      </c>
    </row>
    <row r="242" spans="1:10" x14ac:dyDescent="0.2">
      <c r="A242">
        <v>483</v>
      </c>
      <c r="B242" s="3">
        <v>255</v>
      </c>
      <c r="C242" s="3">
        <v>141</v>
      </c>
      <c r="D242" s="3">
        <v>159</v>
      </c>
      <c r="E242" t="s">
        <v>4229</v>
      </c>
      <c r="F242" t="str">
        <f t="shared" si="3"/>
        <v>255 141 159 255</v>
      </c>
      <c r="G242">
        <v>483</v>
      </c>
      <c r="H242" t="s">
        <v>5886</v>
      </c>
      <c r="I242" t="s">
        <v>5887</v>
      </c>
      <c r="J242" s="752" t="str" cm="1">
        <f t="array" ref="J242">myRGB(B242,C242,D242)</f>
        <v/>
      </c>
    </row>
    <row r="243" spans="1:10" x14ac:dyDescent="0.2">
      <c r="A243">
        <v>484</v>
      </c>
      <c r="B243" s="3">
        <v>35</v>
      </c>
      <c r="C243" s="3">
        <v>137</v>
      </c>
      <c r="D243" s="3">
        <v>93</v>
      </c>
      <c r="E243" t="s">
        <v>4230</v>
      </c>
      <c r="F243" t="str">
        <f t="shared" si="3"/>
        <v>35 137 93 255</v>
      </c>
      <c r="G243">
        <v>484</v>
      </c>
      <c r="H243" t="s">
        <v>5042</v>
      </c>
      <c r="I243" t="s">
        <v>5043</v>
      </c>
      <c r="J243" s="117" t="str" cm="1">
        <f t="array" ref="J243">myRGB(B243,C243,D243)</f>
        <v/>
      </c>
    </row>
    <row r="244" spans="1:10" x14ac:dyDescent="0.2">
      <c r="A244">
        <v>488</v>
      </c>
      <c r="B244" s="3">
        <v>36</v>
      </c>
      <c r="C244" s="3">
        <v>138</v>
      </c>
      <c r="D244" s="3">
        <v>92</v>
      </c>
      <c r="E244" t="s">
        <v>4231</v>
      </c>
      <c r="F244" t="str">
        <f t="shared" si="3"/>
        <v>36 138 92 255</v>
      </c>
      <c r="G244">
        <v>488</v>
      </c>
      <c r="H244" t="s">
        <v>5038</v>
      </c>
      <c r="I244" t="s">
        <v>5039</v>
      </c>
      <c r="J244" s="110" t="str" cm="1">
        <f t="array" ref="J244">myRGB(B244,C244,D244)</f>
        <v/>
      </c>
    </row>
    <row r="245" spans="1:10" x14ac:dyDescent="0.2">
      <c r="A245">
        <v>501</v>
      </c>
      <c r="B245" s="3">
        <v>9</v>
      </c>
      <c r="C245" s="3">
        <v>130</v>
      </c>
      <c r="D245" s="3">
        <v>139</v>
      </c>
      <c r="E245" t="s">
        <v>4232</v>
      </c>
      <c r="F245" t="str">
        <f t="shared" si="3"/>
        <v>9 130 139 255</v>
      </c>
      <c r="G245">
        <v>501</v>
      </c>
      <c r="H245" t="s">
        <v>4934</v>
      </c>
      <c r="I245" t="s">
        <v>4935</v>
      </c>
      <c r="J245" s="315" t="str" cm="1">
        <f t="array" ref="J245">myRGB(B245,C245,D245)</f>
        <v/>
      </c>
    </row>
    <row r="246" spans="1:10" x14ac:dyDescent="0.2">
      <c r="A246">
        <v>502</v>
      </c>
      <c r="B246" s="3">
        <v>79</v>
      </c>
      <c r="C246" s="3">
        <v>194</v>
      </c>
      <c r="D246" s="3">
        <v>68</v>
      </c>
      <c r="E246" t="s">
        <v>4233</v>
      </c>
      <c r="F246" t="str">
        <f t="shared" si="3"/>
        <v>79 194 68 255</v>
      </c>
      <c r="G246">
        <v>502</v>
      </c>
      <c r="H246" t="s">
        <v>5532</v>
      </c>
      <c r="I246" t="s">
        <v>5533</v>
      </c>
      <c r="J246" s="477" t="str" cm="1">
        <f t="array" ref="J246">myRGB(B246,C246,D246)</f>
        <v/>
      </c>
    </row>
    <row r="247" spans="1:10" x14ac:dyDescent="0.2">
      <c r="A247">
        <v>506</v>
      </c>
      <c r="B247" s="3">
        <v>204</v>
      </c>
      <c r="C247" s="3">
        <v>203</v>
      </c>
      <c r="D247" s="3">
        <v>200</v>
      </c>
      <c r="E247" t="s">
        <v>4234</v>
      </c>
      <c r="F247" t="str">
        <f t="shared" si="3"/>
        <v>204 203 200 255</v>
      </c>
      <c r="G247">
        <v>506</v>
      </c>
      <c r="H247" t="s">
        <v>6738</v>
      </c>
      <c r="I247" t="s">
        <v>6739</v>
      </c>
      <c r="J247" s="665" t="str" cm="1">
        <f t="array" ref="J247">myRGB(B247,C247,D247)</f>
        <v/>
      </c>
    </row>
    <row r="248" spans="1:10" x14ac:dyDescent="0.2">
      <c r="A248">
        <v>507</v>
      </c>
      <c r="B248" s="3">
        <v>154</v>
      </c>
      <c r="C248" s="3">
        <v>209</v>
      </c>
      <c r="D248" s="3">
        <v>189</v>
      </c>
      <c r="E248" t="s">
        <v>4235</v>
      </c>
      <c r="F248" t="str">
        <f t="shared" si="3"/>
        <v>154 209 189 255</v>
      </c>
      <c r="G248">
        <v>507</v>
      </c>
      <c r="H248" t="s">
        <v>5234</v>
      </c>
      <c r="I248" t="s">
        <v>5235</v>
      </c>
      <c r="J248" s="73" t="str" cm="1">
        <f t="array" ref="J248">myRGB(B248,C248,D248)</f>
        <v/>
      </c>
    </row>
    <row r="249" spans="1:10" x14ac:dyDescent="0.2">
      <c r="A249">
        <v>510</v>
      </c>
      <c r="B249" s="3">
        <v>25</v>
      </c>
      <c r="C249" s="3">
        <v>127</v>
      </c>
      <c r="D249" s="3">
        <v>98</v>
      </c>
      <c r="E249" t="s">
        <v>4236</v>
      </c>
      <c r="F249" t="str">
        <f t="shared" si="3"/>
        <v>25 127 98 255</v>
      </c>
      <c r="G249">
        <v>510</v>
      </c>
      <c r="H249" t="s">
        <v>4710</v>
      </c>
      <c r="I249" t="s">
        <v>4711</v>
      </c>
      <c r="J249" s="257" t="str" cm="1">
        <f t="array" ref="J249">myRGB(B249,C249,D249)</f>
        <v/>
      </c>
    </row>
    <row r="250" spans="1:10" x14ac:dyDescent="0.2">
      <c r="A250">
        <v>512</v>
      </c>
      <c r="B250" s="3">
        <v>240</v>
      </c>
      <c r="C250" s="3">
        <v>240</v>
      </c>
      <c r="D250" s="3">
        <v>128</v>
      </c>
      <c r="E250" t="s">
        <v>4237</v>
      </c>
      <c r="F250" t="str">
        <f t="shared" si="3"/>
        <v>240 240 128 255</v>
      </c>
      <c r="G250">
        <v>512</v>
      </c>
      <c r="H250" t="s">
        <v>6489</v>
      </c>
      <c r="I250" t="s">
        <v>6490</v>
      </c>
      <c r="J250" s="444" t="str" cm="1">
        <f t="array" ref="J250">myRGB(B250,C250,D250)</f>
        <v/>
      </c>
    </row>
    <row r="251" spans="1:10" x14ac:dyDescent="0.2">
      <c r="A251">
        <v>515</v>
      </c>
      <c r="B251" s="3">
        <v>253</v>
      </c>
      <c r="C251" s="3">
        <v>76</v>
      </c>
      <c r="D251" s="3">
        <v>62</v>
      </c>
      <c r="E251" t="s">
        <v>4238</v>
      </c>
      <c r="F251" t="str">
        <f t="shared" si="3"/>
        <v>253 76 62 255</v>
      </c>
      <c r="G251">
        <v>515</v>
      </c>
      <c r="H251" t="s">
        <v>6014</v>
      </c>
      <c r="I251" t="s">
        <v>6015</v>
      </c>
      <c r="J251" s="427" t="str" cm="1">
        <f t="array" ref="J251">myRGB(B251,C251,D251)</f>
        <v/>
      </c>
    </row>
    <row r="252" spans="1:10" x14ac:dyDescent="0.2">
      <c r="A252">
        <v>520</v>
      </c>
      <c r="B252" s="3">
        <v>1</v>
      </c>
      <c r="C252" s="3">
        <v>147</v>
      </c>
      <c r="D252" s="3">
        <v>151</v>
      </c>
      <c r="E252" t="s">
        <v>4239</v>
      </c>
      <c r="F252" t="str">
        <f t="shared" si="3"/>
        <v>1 147 151 255</v>
      </c>
      <c r="G252">
        <v>520</v>
      </c>
      <c r="H252" t="s">
        <v>4854</v>
      </c>
      <c r="I252" t="s">
        <v>4855</v>
      </c>
      <c r="J252" s="227" t="str" cm="1">
        <f t="array" ref="J252">myRGB(B252,C252,D252)</f>
        <v/>
      </c>
    </row>
    <row r="253" spans="1:10" x14ac:dyDescent="0.2">
      <c r="A253">
        <v>523</v>
      </c>
      <c r="B253" s="3">
        <v>255</v>
      </c>
      <c r="C253" s="3">
        <v>83</v>
      </c>
      <c r="D253" s="3">
        <v>70</v>
      </c>
      <c r="E253" t="s">
        <v>4240</v>
      </c>
      <c r="F253" t="str">
        <f t="shared" si="3"/>
        <v>255 83 70 255</v>
      </c>
      <c r="G253">
        <v>523</v>
      </c>
      <c r="H253" t="s">
        <v>5950</v>
      </c>
      <c r="I253" t="s">
        <v>5951</v>
      </c>
      <c r="J253" s="530" t="str" cm="1">
        <f t="array" ref="J253">myRGB(B253,C253,D253)</f>
        <v/>
      </c>
    </row>
    <row r="254" spans="1:10" x14ac:dyDescent="0.2">
      <c r="A254">
        <v>525</v>
      </c>
      <c r="B254" s="3">
        <v>255</v>
      </c>
      <c r="C254" s="3">
        <v>73</v>
      </c>
      <c r="D254" s="3">
        <v>61</v>
      </c>
      <c r="E254" t="s">
        <v>4241</v>
      </c>
      <c r="F254" t="str">
        <f t="shared" si="3"/>
        <v>255 73 61 255</v>
      </c>
      <c r="G254">
        <v>525</v>
      </c>
      <c r="H254" t="s">
        <v>6002</v>
      </c>
      <c r="I254" t="s">
        <v>6003</v>
      </c>
      <c r="J254" s="428" t="str" cm="1">
        <f t="array" ref="J254">myRGB(B254,C254,D254)</f>
        <v/>
      </c>
    </row>
    <row r="255" spans="1:10" x14ac:dyDescent="0.2">
      <c r="A255">
        <v>526</v>
      </c>
      <c r="B255" s="3">
        <v>49</v>
      </c>
      <c r="C255" s="3">
        <v>182</v>
      </c>
      <c r="D255" s="3">
        <v>37</v>
      </c>
      <c r="E255" t="s">
        <v>4242</v>
      </c>
      <c r="F255" t="str">
        <f t="shared" si="3"/>
        <v>49 182 37 255</v>
      </c>
      <c r="G255">
        <v>526</v>
      </c>
      <c r="H255" t="s">
        <v>5482</v>
      </c>
      <c r="I255" t="s">
        <v>5483</v>
      </c>
      <c r="J255" s="375" t="str" cm="1">
        <f t="array" ref="J255">myRGB(B255,C255,D255)</f>
        <v/>
      </c>
    </row>
    <row r="256" spans="1:10" x14ac:dyDescent="0.2">
      <c r="A256">
        <v>527</v>
      </c>
      <c r="B256" s="3">
        <v>3</v>
      </c>
      <c r="C256" s="3">
        <v>147</v>
      </c>
      <c r="D256" s="3">
        <v>153</v>
      </c>
      <c r="E256" t="s">
        <v>4243</v>
      </c>
      <c r="F256" t="str">
        <f t="shared" si="3"/>
        <v>3 147 153 255</v>
      </c>
      <c r="G256">
        <v>527</v>
      </c>
      <c r="H256" t="s">
        <v>4800</v>
      </c>
      <c r="I256" t="s">
        <v>4801</v>
      </c>
      <c r="J256" s="228" t="str" cm="1">
        <f t="array" ref="J256">myRGB(B256,C256,D256)</f>
        <v/>
      </c>
    </row>
    <row r="257" spans="1:10" x14ac:dyDescent="0.2">
      <c r="A257">
        <v>530</v>
      </c>
      <c r="B257" s="3">
        <v>203</v>
      </c>
      <c r="C257" s="3">
        <v>200</v>
      </c>
      <c r="D257" s="3">
        <v>204</v>
      </c>
      <c r="E257" t="s">
        <v>4244</v>
      </c>
      <c r="F257" t="str">
        <f t="shared" si="3"/>
        <v>203 200 204 255</v>
      </c>
      <c r="G257">
        <v>530</v>
      </c>
      <c r="H257" t="s">
        <v>6952</v>
      </c>
      <c r="I257" t="s">
        <v>6953</v>
      </c>
      <c r="J257" s="548" t="str" cm="1">
        <f t="array" ref="J257">myRGB(B257,C257,D257)</f>
        <v/>
      </c>
    </row>
    <row r="258" spans="1:10" x14ac:dyDescent="0.2">
      <c r="A258">
        <v>531</v>
      </c>
      <c r="B258" s="3">
        <v>255</v>
      </c>
      <c r="C258" s="3">
        <v>144</v>
      </c>
      <c r="D258" s="3">
        <v>252</v>
      </c>
      <c r="E258" t="s">
        <v>4245</v>
      </c>
      <c r="F258" t="str">
        <f t="shared" si="3"/>
        <v>255 144 252 255</v>
      </c>
      <c r="G258">
        <v>531</v>
      </c>
      <c r="H258" t="s">
        <v>6152</v>
      </c>
      <c r="I258" t="s">
        <v>6153</v>
      </c>
      <c r="J258" s="411" t="str" cm="1">
        <f t="array" ref="J258">myRGB(B258,C258,D258)</f>
        <v/>
      </c>
    </row>
    <row r="259" spans="1:10" x14ac:dyDescent="0.2">
      <c r="A259">
        <v>534</v>
      </c>
      <c r="B259" s="3">
        <v>254</v>
      </c>
      <c r="C259" s="3">
        <v>186</v>
      </c>
      <c r="D259" s="3">
        <v>134</v>
      </c>
      <c r="E259" t="s">
        <v>4246</v>
      </c>
      <c r="F259" t="str">
        <f t="shared" ref="F259:F322" si="4">_xlfn.CONCAT(B259," ",C259," ",D259," 255")</f>
        <v>254 186 134 255</v>
      </c>
      <c r="G259">
        <v>534</v>
      </c>
      <c r="H259" t="s">
        <v>6295</v>
      </c>
      <c r="I259" t="s">
        <v>6296</v>
      </c>
      <c r="J259" s="810" t="str" cm="1">
        <f t="array" ref="J259">myRGB(B259,C259,D259)</f>
        <v/>
      </c>
    </row>
    <row r="260" spans="1:10" x14ac:dyDescent="0.2">
      <c r="A260">
        <v>538</v>
      </c>
      <c r="B260" s="3">
        <v>202</v>
      </c>
      <c r="C260" s="3">
        <v>202</v>
      </c>
      <c r="D260" s="3">
        <v>201</v>
      </c>
      <c r="E260" t="s">
        <v>4247</v>
      </c>
      <c r="F260" t="str">
        <f t="shared" si="4"/>
        <v>202 202 201 255</v>
      </c>
      <c r="G260">
        <v>538</v>
      </c>
      <c r="H260" t="s">
        <v>6678</v>
      </c>
      <c r="I260" t="s">
        <v>6679</v>
      </c>
      <c r="J260" s="725" t="str" cm="1">
        <f t="array" ref="J260">myRGB(B260,C260,D260)</f>
        <v/>
      </c>
    </row>
    <row r="261" spans="1:10" x14ac:dyDescent="0.2">
      <c r="A261">
        <v>540</v>
      </c>
      <c r="B261" s="3">
        <v>14</v>
      </c>
      <c r="C261" s="3">
        <v>149</v>
      </c>
      <c r="D261" s="3">
        <v>132</v>
      </c>
      <c r="E261" t="s">
        <v>4248</v>
      </c>
      <c r="F261" t="str">
        <f t="shared" si="4"/>
        <v>14 149 132 255</v>
      </c>
      <c r="G261">
        <v>540</v>
      </c>
      <c r="H261" t="s">
        <v>5218</v>
      </c>
      <c r="I261" t="s">
        <v>5219</v>
      </c>
      <c r="J261" s="312" t="str" cm="1">
        <f t="array" ref="J261">myRGB(B261,C261,D261)</f>
        <v/>
      </c>
    </row>
    <row r="262" spans="1:10" x14ac:dyDescent="0.2">
      <c r="A262">
        <v>542</v>
      </c>
      <c r="B262" s="3">
        <v>27</v>
      </c>
      <c r="C262" s="3">
        <v>165</v>
      </c>
      <c r="D262" s="3">
        <v>151</v>
      </c>
      <c r="E262" t="s">
        <v>4249</v>
      </c>
      <c r="F262" t="str">
        <f t="shared" si="4"/>
        <v>27 165 151 255</v>
      </c>
      <c r="G262">
        <v>542</v>
      </c>
      <c r="H262" t="s">
        <v>5158</v>
      </c>
      <c r="I262" t="s">
        <v>5159</v>
      </c>
      <c r="J262" s="223" t="str" cm="1">
        <f t="array" ref="J262">myRGB(B262,C262,D262)</f>
        <v/>
      </c>
    </row>
    <row r="263" spans="1:10" x14ac:dyDescent="0.2">
      <c r="A263">
        <v>543</v>
      </c>
      <c r="B263" s="3">
        <v>48</v>
      </c>
      <c r="C263" s="3">
        <v>184</v>
      </c>
      <c r="D263" s="3">
        <v>36</v>
      </c>
      <c r="E263" t="s">
        <v>4250</v>
      </c>
      <c r="F263" t="str">
        <f t="shared" si="4"/>
        <v>48 184 36 255</v>
      </c>
      <c r="G263">
        <v>543</v>
      </c>
      <c r="H263" t="s">
        <v>5484</v>
      </c>
      <c r="I263" t="s">
        <v>5485</v>
      </c>
      <c r="J263" s="339" t="str" cm="1">
        <f t="array" ref="J263">myRGB(B263,C263,D263)</f>
        <v/>
      </c>
    </row>
    <row r="264" spans="1:10" x14ac:dyDescent="0.2">
      <c r="A264">
        <v>544</v>
      </c>
      <c r="B264" s="3">
        <v>128</v>
      </c>
      <c r="C264" s="3">
        <v>191</v>
      </c>
      <c r="D264" s="3">
        <v>224</v>
      </c>
      <c r="E264" t="s">
        <v>4251</v>
      </c>
      <c r="F264" t="str">
        <f t="shared" si="4"/>
        <v>128 191 224 255</v>
      </c>
      <c r="G264">
        <v>544</v>
      </c>
      <c r="H264" t="s">
        <v>5654</v>
      </c>
      <c r="I264" t="s">
        <v>5655</v>
      </c>
      <c r="J264" s="440" t="str" cm="1">
        <f t="array" ref="J264">myRGB(B264,C264,D264)</f>
        <v/>
      </c>
    </row>
    <row r="265" spans="1:10" x14ac:dyDescent="0.2">
      <c r="A265">
        <v>549</v>
      </c>
      <c r="B265" s="3">
        <v>255</v>
      </c>
      <c r="C265" s="3">
        <v>111</v>
      </c>
      <c r="D265" s="3">
        <v>128</v>
      </c>
      <c r="E265" t="s">
        <v>4252</v>
      </c>
      <c r="F265" t="str">
        <f t="shared" si="4"/>
        <v>255 111 128 255</v>
      </c>
      <c r="G265">
        <v>549</v>
      </c>
      <c r="H265" t="s">
        <v>5744</v>
      </c>
      <c r="I265" t="s">
        <v>5745</v>
      </c>
      <c r="J265" s="591" t="str" cm="1">
        <f t="array" ref="J265">myRGB(B265,C265,D265)</f>
        <v/>
      </c>
    </row>
    <row r="266" spans="1:10" x14ac:dyDescent="0.2">
      <c r="A266">
        <v>551</v>
      </c>
      <c r="B266" s="3">
        <v>128</v>
      </c>
      <c r="C266" s="3">
        <v>190</v>
      </c>
      <c r="D266" s="3">
        <v>225</v>
      </c>
      <c r="E266" t="s">
        <v>4253</v>
      </c>
      <c r="F266" t="str">
        <f t="shared" si="4"/>
        <v>128 190 225 255</v>
      </c>
      <c r="G266">
        <v>551</v>
      </c>
      <c r="H266" t="s">
        <v>5656</v>
      </c>
      <c r="I266" t="s">
        <v>5657</v>
      </c>
      <c r="J266" s="393" t="str" cm="1">
        <f t="array" ref="J266">myRGB(B266,C266,D266)</f>
        <v/>
      </c>
    </row>
    <row r="267" spans="1:10" x14ac:dyDescent="0.2">
      <c r="A267">
        <v>553</v>
      </c>
      <c r="B267" s="3">
        <v>201</v>
      </c>
      <c r="C267" s="3">
        <v>202</v>
      </c>
      <c r="D267" s="3">
        <v>202</v>
      </c>
      <c r="E267" t="s">
        <v>4254</v>
      </c>
      <c r="F267" t="str">
        <f t="shared" si="4"/>
        <v>201 202 202 255</v>
      </c>
      <c r="G267">
        <v>553</v>
      </c>
      <c r="H267" t="s">
        <v>6822</v>
      </c>
      <c r="I267" t="s">
        <v>6823</v>
      </c>
      <c r="J267" s="637" t="str" cm="1">
        <f t="array" ref="J267">myRGB(B267,C267,D267)</f>
        <v/>
      </c>
    </row>
    <row r="268" spans="1:10" x14ac:dyDescent="0.2">
      <c r="A268">
        <v>556</v>
      </c>
      <c r="B268" s="3">
        <v>89</v>
      </c>
      <c r="C268" s="3">
        <v>179</v>
      </c>
      <c r="D268" s="3">
        <v>98</v>
      </c>
      <c r="E268" t="s">
        <v>4255</v>
      </c>
      <c r="F268" t="str">
        <f t="shared" si="4"/>
        <v>89 179 98 255</v>
      </c>
      <c r="G268">
        <v>556</v>
      </c>
      <c r="H268" t="s">
        <v>7147</v>
      </c>
      <c r="I268" t="s">
        <v>7208</v>
      </c>
      <c r="J268" s="220" t="str" cm="1">
        <f t="array" ref="J268">myRGB(B268,C268,D268)</f>
        <v/>
      </c>
    </row>
    <row r="269" spans="1:10" x14ac:dyDescent="0.2">
      <c r="A269">
        <v>558</v>
      </c>
      <c r="B269" s="3">
        <v>25</v>
      </c>
      <c r="C269" s="3">
        <v>126</v>
      </c>
      <c r="D269" s="3">
        <v>99</v>
      </c>
      <c r="E269" t="s">
        <v>4256</v>
      </c>
      <c r="F269" t="str">
        <f t="shared" si="4"/>
        <v>25 126 99 255</v>
      </c>
      <c r="G269">
        <v>558</v>
      </c>
      <c r="H269" t="s">
        <v>4666</v>
      </c>
      <c r="I269" t="s">
        <v>4667</v>
      </c>
      <c r="J269" s="216" t="str" cm="1">
        <f t="array" ref="J269">myRGB(B269,C269,D269)</f>
        <v/>
      </c>
    </row>
    <row r="270" spans="1:10" x14ac:dyDescent="0.2">
      <c r="A270">
        <v>559</v>
      </c>
      <c r="B270" s="3">
        <v>127</v>
      </c>
      <c r="C270" s="3">
        <v>192</v>
      </c>
      <c r="D270" s="3">
        <v>224</v>
      </c>
      <c r="E270" t="s">
        <v>4257</v>
      </c>
      <c r="F270" t="str">
        <f t="shared" si="4"/>
        <v>127 192 224 255</v>
      </c>
      <c r="G270">
        <v>559</v>
      </c>
      <c r="H270" t="s">
        <v>5658</v>
      </c>
      <c r="I270" t="s">
        <v>5659</v>
      </c>
      <c r="J270" s="301" t="str" cm="1">
        <f t="array" ref="J270">myRGB(B270,C270,D270)</f>
        <v/>
      </c>
    </row>
    <row r="271" spans="1:10" x14ac:dyDescent="0.2">
      <c r="A271">
        <v>564</v>
      </c>
      <c r="B271" s="3">
        <v>150</v>
      </c>
      <c r="C271" s="3">
        <v>167</v>
      </c>
      <c r="D271" s="3">
        <v>211</v>
      </c>
      <c r="E271" t="s">
        <v>4258</v>
      </c>
      <c r="F271" t="str">
        <f t="shared" si="4"/>
        <v>150 167 211 255</v>
      </c>
      <c r="G271">
        <v>564</v>
      </c>
      <c r="H271" t="s">
        <v>5696</v>
      </c>
      <c r="I271" t="s">
        <v>5697</v>
      </c>
      <c r="J271" s="391" t="str" cm="1">
        <f t="array" ref="J271">myRGB(B271,C271,D271)</f>
        <v/>
      </c>
    </row>
    <row r="272" spans="1:10" x14ac:dyDescent="0.2">
      <c r="A272">
        <v>565</v>
      </c>
      <c r="B272" s="3">
        <v>8</v>
      </c>
      <c r="C272" s="3">
        <v>132</v>
      </c>
      <c r="D272" s="3">
        <v>137</v>
      </c>
      <c r="E272" t="s">
        <v>4259</v>
      </c>
      <c r="F272" t="str">
        <f t="shared" si="4"/>
        <v>8 132 137 255</v>
      </c>
      <c r="G272">
        <v>565</v>
      </c>
      <c r="H272" t="s">
        <v>4936</v>
      </c>
      <c r="I272" t="s">
        <v>4937</v>
      </c>
      <c r="J272" s="37" t="str" cm="1">
        <f t="array" ref="J272">myRGB(B272,C272,D272)</f>
        <v/>
      </c>
    </row>
    <row r="273" spans="1:10" x14ac:dyDescent="0.2">
      <c r="A273">
        <v>566</v>
      </c>
      <c r="B273" s="3">
        <v>168</v>
      </c>
      <c r="C273" s="3">
        <v>236</v>
      </c>
      <c r="D273" s="3">
        <v>210</v>
      </c>
      <c r="E273" t="s">
        <v>4260</v>
      </c>
      <c r="F273" t="str">
        <f t="shared" si="4"/>
        <v>168 236 210 255</v>
      </c>
      <c r="G273">
        <v>566</v>
      </c>
      <c r="H273" t="s">
        <v>5370</v>
      </c>
      <c r="I273" t="s">
        <v>5371</v>
      </c>
      <c r="J273" s="19" t="str" cm="1">
        <f t="array" ref="J273">myRGB(B273,C273,D273)</f>
        <v/>
      </c>
    </row>
    <row r="274" spans="1:10" x14ac:dyDescent="0.2">
      <c r="A274">
        <v>573</v>
      </c>
      <c r="B274" s="3">
        <v>8</v>
      </c>
      <c r="C274" s="3">
        <v>130</v>
      </c>
      <c r="D274" s="3">
        <v>139</v>
      </c>
      <c r="E274" t="s">
        <v>4261</v>
      </c>
      <c r="F274" t="str">
        <f t="shared" si="4"/>
        <v>8 130 139 255</v>
      </c>
      <c r="G274">
        <v>573</v>
      </c>
      <c r="H274" t="s">
        <v>4898</v>
      </c>
      <c r="I274" t="s">
        <v>4899</v>
      </c>
      <c r="J274" s="41" t="str" cm="1">
        <f t="array" ref="J274">myRGB(B274,C274,D274)</f>
        <v/>
      </c>
    </row>
    <row r="275" spans="1:10" x14ac:dyDescent="0.2">
      <c r="A275">
        <v>574</v>
      </c>
      <c r="B275" s="3">
        <v>254</v>
      </c>
      <c r="C275" s="3">
        <v>186</v>
      </c>
      <c r="D275" s="3">
        <v>133</v>
      </c>
      <c r="E275" t="s">
        <v>4262</v>
      </c>
      <c r="F275" t="str">
        <f t="shared" si="4"/>
        <v>254 186 133 255</v>
      </c>
      <c r="G275">
        <v>574</v>
      </c>
      <c r="H275" t="s">
        <v>6297</v>
      </c>
      <c r="I275" t="s">
        <v>6298</v>
      </c>
      <c r="J275" s="735" t="str" cm="1">
        <f t="array" ref="J275">myRGB(B275,C275,D275)</f>
        <v/>
      </c>
    </row>
    <row r="276" spans="1:10" x14ac:dyDescent="0.2">
      <c r="A276">
        <v>575</v>
      </c>
      <c r="B276" s="3">
        <v>253</v>
      </c>
      <c r="C276" s="3">
        <v>143</v>
      </c>
      <c r="D276" s="3">
        <v>157</v>
      </c>
      <c r="E276" t="s">
        <v>4263</v>
      </c>
      <c r="F276" t="str">
        <f t="shared" si="4"/>
        <v>253 143 157 255</v>
      </c>
      <c r="G276">
        <v>575</v>
      </c>
      <c r="H276" t="s">
        <v>5862</v>
      </c>
      <c r="I276" t="s">
        <v>5863</v>
      </c>
      <c r="J276" s="806" t="str" cm="1">
        <f t="array" ref="J276">myRGB(B276,C276,D276)</f>
        <v/>
      </c>
    </row>
    <row r="277" spans="1:10" x14ac:dyDescent="0.2">
      <c r="A277">
        <v>576</v>
      </c>
      <c r="B277" s="3">
        <v>253</v>
      </c>
      <c r="C277" s="3">
        <v>176</v>
      </c>
      <c r="D277" s="3">
        <v>217</v>
      </c>
      <c r="E277" t="s">
        <v>4264</v>
      </c>
      <c r="F277" t="str">
        <f t="shared" si="4"/>
        <v>253 176 217 255</v>
      </c>
      <c r="G277">
        <v>576</v>
      </c>
      <c r="H277" t="s">
        <v>6397</v>
      </c>
      <c r="I277" t="s">
        <v>6398</v>
      </c>
      <c r="J277" s="607" t="str" cm="1">
        <f t="array" ref="J277">myRGB(B277,C277,D277)</f>
        <v/>
      </c>
    </row>
    <row r="278" spans="1:10" x14ac:dyDescent="0.2">
      <c r="A278">
        <v>577</v>
      </c>
      <c r="B278" s="3">
        <v>26</v>
      </c>
      <c r="C278" s="3">
        <v>127</v>
      </c>
      <c r="D278" s="3">
        <v>99</v>
      </c>
      <c r="E278" t="s">
        <v>4265</v>
      </c>
      <c r="F278" t="str">
        <f t="shared" si="4"/>
        <v>26 127 99 255</v>
      </c>
      <c r="G278">
        <v>577</v>
      </c>
      <c r="H278" t="s">
        <v>4728</v>
      </c>
      <c r="I278" t="s">
        <v>4729</v>
      </c>
      <c r="J278" s="214" t="str" cm="1">
        <f t="array" ref="J278">myRGB(B278,C278,D278)</f>
        <v/>
      </c>
    </row>
    <row r="279" spans="1:10" x14ac:dyDescent="0.2">
      <c r="A279">
        <v>579</v>
      </c>
      <c r="B279" s="3">
        <v>200</v>
      </c>
      <c r="C279" s="3">
        <v>203</v>
      </c>
      <c r="D279" s="3">
        <v>204</v>
      </c>
      <c r="E279" t="s">
        <v>4266</v>
      </c>
      <c r="F279" t="str">
        <f t="shared" si="4"/>
        <v>200 203 204 255</v>
      </c>
      <c r="G279">
        <v>579</v>
      </c>
      <c r="H279" t="s">
        <v>6846</v>
      </c>
      <c r="I279" t="s">
        <v>6847</v>
      </c>
      <c r="J279" s="616" t="str" cm="1">
        <f t="array" ref="J279">myRGB(B279,C279,D279)</f>
        <v/>
      </c>
    </row>
    <row r="280" spans="1:10" x14ac:dyDescent="0.2">
      <c r="A280">
        <v>580</v>
      </c>
      <c r="B280" s="3">
        <v>254</v>
      </c>
      <c r="C280" s="3">
        <v>122</v>
      </c>
      <c r="D280" s="3">
        <v>253</v>
      </c>
      <c r="E280" t="s">
        <v>4267</v>
      </c>
      <c r="F280" t="str">
        <f t="shared" si="4"/>
        <v>254 122 253 255</v>
      </c>
      <c r="G280">
        <v>580</v>
      </c>
      <c r="H280" t="s">
        <v>6094</v>
      </c>
      <c r="I280" t="s">
        <v>6095</v>
      </c>
      <c r="J280" s="382" t="str" cm="1">
        <f t="array" ref="J280">myRGB(B280,C280,D280)</f>
        <v/>
      </c>
    </row>
    <row r="281" spans="1:10" x14ac:dyDescent="0.2">
      <c r="A281">
        <v>581</v>
      </c>
      <c r="B281" s="3">
        <v>150</v>
      </c>
      <c r="C281" s="3">
        <v>167</v>
      </c>
      <c r="D281" s="3">
        <v>210</v>
      </c>
      <c r="E281" t="s">
        <v>4268</v>
      </c>
      <c r="F281" t="str">
        <f t="shared" si="4"/>
        <v>150 167 210 255</v>
      </c>
      <c r="G281">
        <v>581</v>
      </c>
      <c r="H281" t="s">
        <v>5700</v>
      </c>
      <c r="I281" t="s">
        <v>5701</v>
      </c>
      <c r="J281" s="438" t="str" cm="1">
        <f t="array" ref="J281">myRGB(B281,C281,D281)</f>
        <v/>
      </c>
    </row>
    <row r="282" spans="1:10" x14ac:dyDescent="0.2">
      <c r="A282">
        <v>582</v>
      </c>
      <c r="B282" s="3">
        <v>36</v>
      </c>
      <c r="C282" s="3">
        <v>136</v>
      </c>
      <c r="D282" s="3">
        <v>93</v>
      </c>
      <c r="E282" t="s">
        <v>4269</v>
      </c>
      <c r="F282" t="str">
        <f t="shared" si="4"/>
        <v>36 136 93 255</v>
      </c>
      <c r="G282">
        <v>582</v>
      </c>
      <c r="H282" t="s">
        <v>7150</v>
      </c>
      <c r="I282" t="s">
        <v>7211</v>
      </c>
      <c r="J282" s="86" t="str" cm="1">
        <f t="array" ref="J282">myRGB(B282,C282,D282)</f>
        <v/>
      </c>
    </row>
    <row r="283" spans="1:10" x14ac:dyDescent="0.2">
      <c r="A283">
        <v>583</v>
      </c>
      <c r="B283" s="3">
        <v>138</v>
      </c>
      <c r="C283" s="3">
        <v>218</v>
      </c>
      <c r="D283" s="3">
        <v>134</v>
      </c>
      <c r="E283" t="s">
        <v>4270</v>
      </c>
      <c r="F283" t="str">
        <f t="shared" si="4"/>
        <v>138 218 134 255</v>
      </c>
      <c r="G283">
        <v>583</v>
      </c>
      <c r="H283" t="s">
        <v>5576</v>
      </c>
      <c r="I283" t="s">
        <v>5577</v>
      </c>
      <c r="J283" s="112" t="str" cm="1">
        <f t="array" ref="J283">myRGB(B283,C283,D283)</f>
        <v/>
      </c>
    </row>
    <row r="284" spans="1:10" x14ac:dyDescent="0.2">
      <c r="A284">
        <v>587</v>
      </c>
      <c r="B284" s="3">
        <v>253</v>
      </c>
      <c r="C284" s="3">
        <v>143</v>
      </c>
      <c r="D284" s="3">
        <v>253</v>
      </c>
      <c r="E284" t="s">
        <v>4271</v>
      </c>
      <c r="F284" t="str">
        <f t="shared" si="4"/>
        <v>253 143 253 255</v>
      </c>
      <c r="G284">
        <v>587</v>
      </c>
      <c r="H284" t="s">
        <v>6144</v>
      </c>
      <c r="I284" t="s">
        <v>6145</v>
      </c>
      <c r="J284" s="671" t="str" cm="1">
        <f t="array" ref="J284">myRGB(B284,C284,D284)</f>
        <v/>
      </c>
    </row>
    <row r="285" spans="1:10" x14ac:dyDescent="0.2">
      <c r="A285">
        <v>588</v>
      </c>
      <c r="B285" s="3">
        <v>64</v>
      </c>
      <c r="C285" s="3">
        <v>166</v>
      </c>
      <c r="D285" s="3">
        <v>100</v>
      </c>
      <c r="E285" t="s">
        <v>4272</v>
      </c>
      <c r="F285" t="str">
        <f t="shared" si="4"/>
        <v>64 166 100 255</v>
      </c>
      <c r="G285">
        <v>588</v>
      </c>
      <c r="H285" t="s">
        <v>4988</v>
      </c>
      <c r="I285" t="s">
        <v>4989</v>
      </c>
      <c r="J285" s="221" t="str" cm="1">
        <f t="array" ref="J285">myRGB(B285,C285,D285)</f>
        <v/>
      </c>
    </row>
    <row r="286" spans="1:10" x14ac:dyDescent="0.2">
      <c r="A286">
        <v>590</v>
      </c>
      <c r="B286" s="3">
        <v>26</v>
      </c>
      <c r="C286" s="3">
        <v>164</v>
      </c>
      <c r="D286" s="3">
        <v>152</v>
      </c>
      <c r="E286" t="s">
        <v>4273</v>
      </c>
      <c r="F286" t="str">
        <f t="shared" si="4"/>
        <v>26 164 152 255</v>
      </c>
      <c r="G286">
        <v>590</v>
      </c>
      <c r="H286" t="s">
        <v>5164</v>
      </c>
      <c r="I286" t="s">
        <v>5165</v>
      </c>
      <c r="J286" s="198" t="str" cm="1">
        <f t="array" ref="J286">myRGB(B286,C286,D286)</f>
        <v/>
      </c>
    </row>
    <row r="287" spans="1:10" x14ac:dyDescent="0.2">
      <c r="A287">
        <v>591</v>
      </c>
      <c r="B287" s="3">
        <v>255</v>
      </c>
      <c r="C287" s="3">
        <v>164</v>
      </c>
      <c r="D287" s="3">
        <v>255</v>
      </c>
      <c r="E287" t="s">
        <v>4274</v>
      </c>
      <c r="F287" t="str">
        <f t="shared" si="4"/>
        <v>255 164 255 255</v>
      </c>
      <c r="G287">
        <v>591</v>
      </c>
      <c r="H287" t="s">
        <v>6222</v>
      </c>
      <c r="I287" t="s">
        <v>6223</v>
      </c>
      <c r="J287" s="834" t="str" cm="1">
        <f t="array" ref="J287">myRGB(B287,C287,D287)</f>
        <v/>
      </c>
    </row>
    <row r="288" spans="1:10" x14ac:dyDescent="0.2">
      <c r="A288">
        <v>593</v>
      </c>
      <c r="B288" s="3">
        <v>9</v>
      </c>
      <c r="C288" s="3">
        <v>133</v>
      </c>
      <c r="D288" s="3">
        <v>137</v>
      </c>
      <c r="E288" t="s">
        <v>4275</v>
      </c>
      <c r="F288" t="str">
        <f t="shared" si="4"/>
        <v>9 133 137 255</v>
      </c>
      <c r="G288">
        <v>593</v>
      </c>
      <c r="H288" t="s">
        <v>4908</v>
      </c>
      <c r="I288" t="s">
        <v>4909</v>
      </c>
      <c r="J288" s="182" t="str" cm="1">
        <f t="array" ref="J288">myRGB(B288,C288,D288)</f>
        <v/>
      </c>
    </row>
    <row r="289" spans="1:10" x14ac:dyDescent="0.2">
      <c r="A289">
        <v>595</v>
      </c>
      <c r="B289" s="3">
        <v>199</v>
      </c>
      <c r="C289" s="3">
        <v>202</v>
      </c>
      <c r="D289" s="3">
        <v>201</v>
      </c>
      <c r="E289" t="s">
        <v>4276</v>
      </c>
      <c r="F289" t="str">
        <f t="shared" si="4"/>
        <v>199 202 201 255</v>
      </c>
      <c r="G289">
        <v>595</v>
      </c>
      <c r="H289" t="s">
        <v>7032</v>
      </c>
      <c r="I289" t="s">
        <v>7033</v>
      </c>
      <c r="J289" s="612" t="str" cm="1">
        <f t="array" ref="J289">myRGB(B289,C289,D289)</f>
        <v/>
      </c>
    </row>
    <row r="290" spans="1:10" x14ac:dyDescent="0.2">
      <c r="A290">
        <v>596</v>
      </c>
      <c r="B290" s="3">
        <v>150</v>
      </c>
      <c r="C290" s="3">
        <v>166</v>
      </c>
      <c r="D290" s="3">
        <v>211</v>
      </c>
      <c r="E290" t="s">
        <v>4277</v>
      </c>
      <c r="F290" t="str">
        <f t="shared" si="4"/>
        <v>150 166 211 255</v>
      </c>
      <c r="G290">
        <v>596</v>
      </c>
      <c r="H290" t="s">
        <v>5698</v>
      </c>
      <c r="I290" t="s">
        <v>5699</v>
      </c>
      <c r="J290" s="378" t="str" cm="1">
        <f t="array" ref="J290">myRGB(B290,C290,D290)</f>
        <v/>
      </c>
    </row>
    <row r="291" spans="1:10" x14ac:dyDescent="0.2">
      <c r="A291">
        <v>597</v>
      </c>
      <c r="B291" s="3">
        <v>97</v>
      </c>
      <c r="C291" s="3">
        <v>208</v>
      </c>
      <c r="D291" s="3">
        <v>159</v>
      </c>
      <c r="E291" t="s">
        <v>4278</v>
      </c>
      <c r="F291" t="str">
        <f t="shared" si="4"/>
        <v>97 208 159 255</v>
      </c>
      <c r="G291">
        <v>597</v>
      </c>
      <c r="H291" t="s">
        <v>5272</v>
      </c>
      <c r="I291" t="s">
        <v>5273</v>
      </c>
      <c r="J291" s="95" t="str" cm="1">
        <f t="array" ref="J291">myRGB(B291,C291,D291)</f>
        <v/>
      </c>
    </row>
    <row r="292" spans="1:10" x14ac:dyDescent="0.2">
      <c r="A292">
        <v>598</v>
      </c>
      <c r="B292" s="3">
        <v>1</v>
      </c>
      <c r="C292" s="3">
        <v>145</v>
      </c>
      <c r="D292" s="3">
        <v>152</v>
      </c>
      <c r="E292" t="s">
        <v>4279</v>
      </c>
      <c r="F292" t="str">
        <f t="shared" si="4"/>
        <v>1 145 152 255</v>
      </c>
      <c r="G292">
        <v>598</v>
      </c>
      <c r="H292" t="s">
        <v>4856</v>
      </c>
      <c r="I292" t="s">
        <v>4857</v>
      </c>
      <c r="J292" s="153" t="str" cm="1">
        <f t="array" ref="J292">myRGB(B292,C292,D292)</f>
        <v/>
      </c>
    </row>
    <row r="293" spans="1:10" x14ac:dyDescent="0.2">
      <c r="A293">
        <v>599</v>
      </c>
      <c r="B293" s="3">
        <v>253</v>
      </c>
      <c r="C293" s="3">
        <v>142</v>
      </c>
      <c r="D293" s="3">
        <v>158</v>
      </c>
      <c r="E293" t="s">
        <v>4280</v>
      </c>
      <c r="F293" t="str">
        <f t="shared" si="4"/>
        <v>253 142 158 255</v>
      </c>
      <c r="G293">
        <v>599</v>
      </c>
      <c r="H293" t="s">
        <v>5858</v>
      </c>
      <c r="I293" t="s">
        <v>5859</v>
      </c>
      <c r="J293" s="753" t="str" cm="1">
        <f t="array" ref="J293">myRGB(B293,C293,D293)</f>
        <v/>
      </c>
    </row>
    <row r="294" spans="1:10" x14ac:dyDescent="0.2">
      <c r="A294">
        <v>600</v>
      </c>
      <c r="B294" s="3">
        <v>2</v>
      </c>
      <c r="C294" s="3">
        <v>147</v>
      </c>
      <c r="D294" s="3">
        <v>151</v>
      </c>
      <c r="E294" t="s">
        <v>4281</v>
      </c>
      <c r="F294" t="str">
        <f t="shared" si="4"/>
        <v>2 147 151 255</v>
      </c>
      <c r="G294">
        <v>600</v>
      </c>
      <c r="H294" t="s">
        <v>7129</v>
      </c>
      <c r="I294" t="s">
        <v>7190</v>
      </c>
      <c r="J294" s="154" t="str" cm="1">
        <f t="array" ref="J294">myRGB(B294,C294,D294)</f>
        <v/>
      </c>
    </row>
    <row r="295" spans="1:10" x14ac:dyDescent="0.2">
      <c r="A295">
        <v>601</v>
      </c>
      <c r="B295" s="3">
        <v>9</v>
      </c>
      <c r="C295" s="3">
        <v>130</v>
      </c>
      <c r="D295" s="3">
        <v>140</v>
      </c>
      <c r="E295" t="s">
        <v>4282</v>
      </c>
      <c r="F295" t="str">
        <f t="shared" si="4"/>
        <v>9 130 140 255</v>
      </c>
      <c r="G295">
        <v>601</v>
      </c>
      <c r="H295" t="s">
        <v>4878</v>
      </c>
      <c r="I295" t="s">
        <v>4879</v>
      </c>
      <c r="J295" s="206" t="str" cm="1">
        <f t="array" ref="J295">myRGB(B295,C295,D295)</f>
        <v/>
      </c>
    </row>
    <row r="296" spans="1:10" x14ac:dyDescent="0.2">
      <c r="A296">
        <v>603</v>
      </c>
      <c r="B296" s="3">
        <v>203</v>
      </c>
      <c r="C296" s="3">
        <v>200</v>
      </c>
      <c r="D296" s="3">
        <v>203</v>
      </c>
      <c r="E296" t="s">
        <v>4283</v>
      </c>
      <c r="F296" t="str">
        <f t="shared" si="4"/>
        <v>203 200 203 255</v>
      </c>
      <c r="G296">
        <v>603</v>
      </c>
      <c r="H296" t="s">
        <v>6954</v>
      </c>
      <c r="I296" t="s">
        <v>6955</v>
      </c>
      <c r="J296" s="824" t="str" cm="1">
        <f t="array" ref="J296">myRGB(B296,C296,D296)</f>
        <v/>
      </c>
    </row>
    <row r="297" spans="1:10" x14ac:dyDescent="0.2">
      <c r="A297">
        <v>604</v>
      </c>
      <c r="B297" s="3">
        <v>254</v>
      </c>
      <c r="C297" s="3">
        <v>194</v>
      </c>
      <c r="D297" s="3">
        <v>148</v>
      </c>
      <c r="E297" t="s">
        <v>4284</v>
      </c>
      <c r="F297" t="str">
        <f t="shared" si="4"/>
        <v>254 194 148 255</v>
      </c>
      <c r="G297">
        <v>604</v>
      </c>
      <c r="H297" t="s">
        <v>6321</v>
      </c>
      <c r="I297" t="s">
        <v>6322</v>
      </c>
      <c r="J297" s="535" t="str" cm="1">
        <f t="array" ref="J297">myRGB(B297,C297,D297)</f>
        <v/>
      </c>
    </row>
    <row r="298" spans="1:10" x14ac:dyDescent="0.2">
      <c r="A298">
        <v>605</v>
      </c>
      <c r="B298" s="3">
        <v>98</v>
      </c>
      <c r="C298" s="3">
        <v>207</v>
      </c>
      <c r="D298" s="3">
        <v>158</v>
      </c>
      <c r="E298" t="s">
        <v>4285</v>
      </c>
      <c r="F298" t="str">
        <f t="shared" si="4"/>
        <v>98 207 158 255</v>
      </c>
      <c r="G298">
        <v>605</v>
      </c>
      <c r="H298" t="s">
        <v>5284</v>
      </c>
      <c r="I298" t="s">
        <v>5285</v>
      </c>
      <c r="J298" s="72" t="str" cm="1">
        <f t="array" ref="J298">myRGB(B298,C298,D298)</f>
        <v/>
      </c>
    </row>
    <row r="299" spans="1:10" x14ac:dyDescent="0.2">
      <c r="A299">
        <v>608</v>
      </c>
      <c r="B299" s="3">
        <v>35</v>
      </c>
      <c r="C299" s="3">
        <v>138</v>
      </c>
      <c r="D299" s="3">
        <v>92</v>
      </c>
      <c r="E299" t="s">
        <v>4286</v>
      </c>
      <c r="F299" t="str">
        <f t="shared" si="4"/>
        <v>35 138 92 255</v>
      </c>
      <c r="G299">
        <v>608</v>
      </c>
      <c r="H299" t="s">
        <v>5060</v>
      </c>
      <c r="I299" t="s">
        <v>5061</v>
      </c>
      <c r="J299" s="241" t="str" cm="1">
        <f t="array" ref="J299">myRGB(B299,C299,D299)</f>
        <v/>
      </c>
    </row>
    <row r="300" spans="1:10" x14ac:dyDescent="0.2">
      <c r="A300">
        <v>609</v>
      </c>
      <c r="B300" s="3">
        <v>254</v>
      </c>
      <c r="C300" s="3">
        <v>127</v>
      </c>
      <c r="D300" s="3">
        <v>131</v>
      </c>
      <c r="E300" t="s">
        <v>4287</v>
      </c>
      <c r="F300" t="str">
        <f t="shared" si="4"/>
        <v>254 127 131 255</v>
      </c>
      <c r="G300">
        <v>609</v>
      </c>
      <c r="H300" t="s">
        <v>5772</v>
      </c>
      <c r="I300" t="s">
        <v>5773</v>
      </c>
      <c r="J300" s="673" t="str" cm="1">
        <f t="array" ref="J300">myRGB(B300,C300,D300)</f>
        <v/>
      </c>
    </row>
    <row r="301" spans="1:10" x14ac:dyDescent="0.2">
      <c r="A301">
        <v>610</v>
      </c>
      <c r="B301" s="3">
        <v>26</v>
      </c>
      <c r="C301" s="3">
        <v>165</v>
      </c>
      <c r="D301" s="3">
        <v>150</v>
      </c>
      <c r="E301" t="s">
        <v>4288</v>
      </c>
      <c r="F301" t="str">
        <f t="shared" si="4"/>
        <v>26 165 150 255</v>
      </c>
      <c r="G301">
        <v>610</v>
      </c>
      <c r="H301" t="s">
        <v>5150</v>
      </c>
      <c r="I301" t="s">
        <v>5151</v>
      </c>
      <c r="J301" s="139" t="str" cm="1">
        <f t="array" ref="J301">myRGB(B301,C301,D301)</f>
        <v/>
      </c>
    </row>
    <row r="302" spans="1:10" x14ac:dyDescent="0.2">
      <c r="A302">
        <v>611</v>
      </c>
      <c r="B302" s="3">
        <v>200</v>
      </c>
      <c r="C302" s="3">
        <v>204</v>
      </c>
      <c r="D302" s="3">
        <v>199</v>
      </c>
      <c r="E302" t="s">
        <v>4289</v>
      </c>
      <c r="F302" t="str">
        <f t="shared" si="4"/>
        <v>200 204 199 255</v>
      </c>
      <c r="G302">
        <v>611</v>
      </c>
      <c r="H302" t="s">
        <v>7034</v>
      </c>
      <c r="I302" t="s">
        <v>7035</v>
      </c>
      <c r="J302" s="546" t="str" cm="1">
        <f t="array" ref="J302">myRGB(B302,C302,D302)</f>
        <v/>
      </c>
    </row>
    <row r="303" spans="1:10" x14ac:dyDescent="0.2">
      <c r="A303">
        <v>612</v>
      </c>
      <c r="B303" s="3">
        <v>255</v>
      </c>
      <c r="C303" s="3">
        <v>172</v>
      </c>
      <c r="D303" s="3">
        <v>111</v>
      </c>
      <c r="E303" t="s">
        <v>4290</v>
      </c>
      <c r="F303" t="str">
        <f t="shared" si="4"/>
        <v>255 172 111 255</v>
      </c>
      <c r="G303">
        <v>612</v>
      </c>
      <c r="H303" t="s">
        <v>6232</v>
      </c>
      <c r="I303" t="s">
        <v>6233</v>
      </c>
      <c r="J303" s="534" t="str" cm="1">
        <f t="array" ref="J303">myRGB(B303,C303,D303)</f>
        <v/>
      </c>
    </row>
    <row r="304" spans="1:10" x14ac:dyDescent="0.2">
      <c r="A304">
        <v>613</v>
      </c>
      <c r="B304" s="3">
        <v>11</v>
      </c>
      <c r="C304" s="3">
        <v>133</v>
      </c>
      <c r="D304" s="3">
        <v>139</v>
      </c>
      <c r="E304" t="s">
        <v>4291</v>
      </c>
      <c r="F304" t="str">
        <f t="shared" si="4"/>
        <v>11 133 139 255</v>
      </c>
      <c r="G304">
        <v>613</v>
      </c>
      <c r="H304" t="s">
        <v>4900</v>
      </c>
      <c r="I304" t="s">
        <v>4901</v>
      </c>
      <c r="J304" s="245" t="str" cm="1">
        <f t="array" ref="J304">myRGB(B304,C304,D304)</f>
        <v/>
      </c>
    </row>
    <row r="305" spans="1:10" x14ac:dyDescent="0.2">
      <c r="A305">
        <v>614</v>
      </c>
      <c r="B305" s="3">
        <v>242</v>
      </c>
      <c r="C305" s="3">
        <v>72</v>
      </c>
      <c r="D305" s="3">
        <v>57</v>
      </c>
      <c r="E305" t="s">
        <v>4292</v>
      </c>
      <c r="F305" t="str">
        <f t="shared" si="4"/>
        <v>242 72 57 255</v>
      </c>
      <c r="G305">
        <v>614</v>
      </c>
      <c r="H305" t="s">
        <v>6064</v>
      </c>
      <c r="I305" t="s">
        <v>6065</v>
      </c>
      <c r="J305" s="527" t="str" cm="1">
        <f t="array" ref="J305">myRGB(B305,C305,D305)</f>
        <v/>
      </c>
    </row>
    <row r="306" spans="1:10" x14ac:dyDescent="0.2">
      <c r="A306">
        <v>616</v>
      </c>
      <c r="B306" s="3">
        <v>252</v>
      </c>
      <c r="C306" s="3">
        <v>144</v>
      </c>
      <c r="D306" s="3">
        <v>255</v>
      </c>
      <c r="E306" t="s">
        <v>4293</v>
      </c>
      <c r="F306" t="str">
        <f t="shared" si="4"/>
        <v>252 144 255 255</v>
      </c>
      <c r="G306">
        <v>616</v>
      </c>
      <c r="H306" t="s">
        <v>6166</v>
      </c>
      <c r="I306" t="s">
        <v>6167</v>
      </c>
      <c r="J306" s="407" t="str" cm="1">
        <f t="array" ref="J306">myRGB(B306,C306,D306)</f>
        <v/>
      </c>
    </row>
    <row r="307" spans="1:10" x14ac:dyDescent="0.2">
      <c r="A307">
        <v>620</v>
      </c>
      <c r="B307" s="3">
        <v>35</v>
      </c>
      <c r="C307" s="3">
        <v>136</v>
      </c>
      <c r="D307" s="3">
        <v>94</v>
      </c>
      <c r="E307" t="s">
        <v>4294</v>
      </c>
      <c r="F307" t="str">
        <f t="shared" si="4"/>
        <v>35 136 94 255</v>
      </c>
      <c r="G307">
        <v>620</v>
      </c>
      <c r="H307" t="s">
        <v>5046</v>
      </c>
      <c r="I307" t="s">
        <v>5047</v>
      </c>
      <c r="J307" s="32" t="str" cm="1">
        <f t="array" ref="J307">myRGB(B307,C307,D307)</f>
        <v/>
      </c>
    </row>
    <row r="308" spans="1:10" x14ac:dyDescent="0.2">
      <c r="A308">
        <v>621</v>
      </c>
      <c r="B308" s="3">
        <v>254</v>
      </c>
      <c r="C308" s="3">
        <v>185</v>
      </c>
      <c r="D308" s="3">
        <v>134</v>
      </c>
      <c r="E308" t="s">
        <v>4295</v>
      </c>
      <c r="F308" t="str">
        <f t="shared" si="4"/>
        <v>254 185 134 255</v>
      </c>
      <c r="G308">
        <v>621</v>
      </c>
      <c r="H308" t="s">
        <v>6299</v>
      </c>
      <c r="I308" t="s">
        <v>6300</v>
      </c>
      <c r="J308" s="765" t="str" cm="1">
        <f t="array" ref="J308">myRGB(B308,C308,D308)</f>
        <v/>
      </c>
    </row>
    <row r="309" spans="1:10" x14ac:dyDescent="0.2">
      <c r="A309">
        <v>622</v>
      </c>
      <c r="B309" s="3">
        <v>26</v>
      </c>
      <c r="C309" s="3">
        <v>164</v>
      </c>
      <c r="D309" s="3">
        <v>151</v>
      </c>
      <c r="E309" t="s">
        <v>4296</v>
      </c>
      <c r="F309" t="str">
        <f t="shared" si="4"/>
        <v>26 164 151 255</v>
      </c>
      <c r="G309">
        <v>622</v>
      </c>
      <c r="H309" t="s">
        <v>5166</v>
      </c>
      <c r="I309" t="s">
        <v>5167</v>
      </c>
      <c r="J309" s="149" t="str" cm="1">
        <f t="array" ref="J309">myRGB(B309,C309,D309)</f>
        <v/>
      </c>
    </row>
    <row r="310" spans="1:10" x14ac:dyDescent="0.2">
      <c r="A310">
        <v>625</v>
      </c>
      <c r="B310" s="3">
        <v>24</v>
      </c>
      <c r="C310" s="3">
        <v>126</v>
      </c>
      <c r="D310" s="3">
        <v>98</v>
      </c>
      <c r="E310" t="s">
        <v>4297</v>
      </c>
      <c r="F310" t="str">
        <f t="shared" si="4"/>
        <v>24 126 98 255</v>
      </c>
      <c r="G310">
        <v>625</v>
      </c>
      <c r="H310" t="s">
        <v>4730</v>
      </c>
      <c r="I310" t="s">
        <v>4731</v>
      </c>
      <c r="J310" s="188" t="str" cm="1">
        <f t="array" ref="J310">myRGB(B310,C310,D310)</f>
        <v/>
      </c>
    </row>
    <row r="311" spans="1:10" x14ac:dyDescent="0.2">
      <c r="A311">
        <v>628</v>
      </c>
      <c r="B311" s="3">
        <v>255</v>
      </c>
      <c r="C311" s="3">
        <v>143</v>
      </c>
      <c r="D311" s="3">
        <v>252</v>
      </c>
      <c r="E311" t="s">
        <v>4298</v>
      </c>
      <c r="F311" t="str">
        <f t="shared" si="4"/>
        <v>255 143 252 255</v>
      </c>
      <c r="G311">
        <v>628</v>
      </c>
      <c r="H311" t="s">
        <v>6154</v>
      </c>
      <c r="I311" t="s">
        <v>6155</v>
      </c>
      <c r="J311" s="511" t="str" cm="1">
        <f t="array" ref="J311">myRGB(B311,C311,D311)</f>
        <v/>
      </c>
    </row>
    <row r="312" spans="1:10" x14ac:dyDescent="0.2">
      <c r="A312">
        <v>629</v>
      </c>
      <c r="B312" s="3">
        <v>253</v>
      </c>
      <c r="C312" s="3">
        <v>126</v>
      </c>
      <c r="D312" s="3">
        <v>132</v>
      </c>
      <c r="E312" t="s">
        <v>4299</v>
      </c>
      <c r="F312" t="str">
        <f t="shared" si="4"/>
        <v>253 126 132 255</v>
      </c>
      <c r="G312">
        <v>629</v>
      </c>
      <c r="H312" t="s">
        <v>5750</v>
      </c>
      <c r="I312" t="s">
        <v>5751</v>
      </c>
      <c r="J312" s="476" t="str" cm="1">
        <f t="array" ref="J312">myRGB(B312,C312,D312)</f>
        <v/>
      </c>
    </row>
    <row r="313" spans="1:10" x14ac:dyDescent="0.2">
      <c r="A313">
        <v>630</v>
      </c>
      <c r="B313" s="3">
        <v>34</v>
      </c>
      <c r="C313" s="3">
        <v>138</v>
      </c>
      <c r="D313" s="3">
        <v>93</v>
      </c>
      <c r="E313" t="s">
        <v>4300</v>
      </c>
      <c r="F313" t="str">
        <f t="shared" si="4"/>
        <v>34 138 93 255</v>
      </c>
      <c r="G313">
        <v>630</v>
      </c>
      <c r="H313" t="s">
        <v>5034</v>
      </c>
      <c r="I313" t="s">
        <v>5035</v>
      </c>
      <c r="J313" s="87" t="str" cm="1">
        <f t="array" ref="J313">myRGB(B313,C313,D313)</f>
        <v/>
      </c>
    </row>
    <row r="314" spans="1:10" x14ac:dyDescent="0.2">
      <c r="A314">
        <v>632</v>
      </c>
      <c r="B314" s="3">
        <v>101</v>
      </c>
      <c r="C314" s="3">
        <v>168</v>
      </c>
      <c r="D314" s="3">
        <v>61</v>
      </c>
      <c r="E314" t="s">
        <v>4301</v>
      </c>
      <c r="F314" t="str">
        <f t="shared" si="4"/>
        <v>101 168 61 255</v>
      </c>
      <c r="G314">
        <v>632</v>
      </c>
      <c r="H314" t="s">
        <v>5424</v>
      </c>
      <c r="I314" t="s">
        <v>5425</v>
      </c>
      <c r="J314" s="167" t="str" cm="1">
        <f t="array" ref="J314">myRGB(B314,C314,D314)</f>
        <v/>
      </c>
    </row>
    <row r="315" spans="1:10" x14ac:dyDescent="0.2">
      <c r="A315">
        <v>633</v>
      </c>
      <c r="B315" s="3">
        <v>203</v>
      </c>
      <c r="C315" s="3">
        <v>201</v>
      </c>
      <c r="D315" s="3">
        <v>201</v>
      </c>
      <c r="E315" t="s">
        <v>4302</v>
      </c>
      <c r="F315" t="str">
        <f t="shared" si="4"/>
        <v>203 201 201 255</v>
      </c>
      <c r="G315">
        <v>633</v>
      </c>
      <c r="H315" t="s">
        <v>6742</v>
      </c>
      <c r="I315" t="s">
        <v>6743</v>
      </c>
      <c r="J315" s="617" t="str" cm="1">
        <f t="array" ref="J315">myRGB(B315,C315,D315)</f>
        <v/>
      </c>
    </row>
    <row r="316" spans="1:10" x14ac:dyDescent="0.2">
      <c r="A316">
        <v>634</v>
      </c>
      <c r="B316" s="3">
        <v>255</v>
      </c>
      <c r="C316" s="3">
        <v>141</v>
      </c>
      <c r="D316" s="3">
        <v>254</v>
      </c>
      <c r="E316" t="s">
        <v>4303</v>
      </c>
      <c r="F316" t="str">
        <f t="shared" si="4"/>
        <v>255 141 254 255</v>
      </c>
      <c r="G316">
        <v>634</v>
      </c>
      <c r="H316" t="s">
        <v>6156</v>
      </c>
      <c r="I316" t="s">
        <v>6157</v>
      </c>
      <c r="J316" s="486" t="str" cm="1">
        <f t="array" ref="J316">myRGB(B316,C316,D316)</f>
        <v/>
      </c>
    </row>
    <row r="317" spans="1:10" x14ac:dyDescent="0.2">
      <c r="A317">
        <v>638</v>
      </c>
      <c r="B317" s="3">
        <v>0</v>
      </c>
      <c r="C317" s="3">
        <v>155</v>
      </c>
      <c r="D317" s="3">
        <v>116</v>
      </c>
      <c r="E317" t="s">
        <v>4304</v>
      </c>
      <c r="F317" t="str">
        <f t="shared" si="4"/>
        <v>0 155 116 255</v>
      </c>
      <c r="G317">
        <v>638</v>
      </c>
      <c r="H317" t="s">
        <v>4780</v>
      </c>
      <c r="I317" t="s">
        <v>4781</v>
      </c>
      <c r="J317" s="373" t="str" cm="1">
        <f t="array" ref="J317">myRGB(B317,C317,D317)</f>
        <v/>
      </c>
    </row>
    <row r="318" spans="1:10" x14ac:dyDescent="0.2">
      <c r="A318">
        <v>639</v>
      </c>
      <c r="B318" s="3">
        <v>96</v>
      </c>
      <c r="C318" s="3">
        <v>229</v>
      </c>
      <c r="D318" s="3">
        <v>183</v>
      </c>
      <c r="E318" t="s">
        <v>4305</v>
      </c>
      <c r="F318" t="str">
        <f t="shared" si="4"/>
        <v>96 229 183 255</v>
      </c>
      <c r="G318">
        <v>639</v>
      </c>
      <c r="H318" t="s">
        <v>5326</v>
      </c>
      <c r="I318" t="s">
        <v>5327</v>
      </c>
      <c r="J318" s="113" t="str" cm="1">
        <f t="array" ref="J318">myRGB(B318,C318,D318)</f>
        <v/>
      </c>
    </row>
    <row r="319" spans="1:10" x14ac:dyDescent="0.2">
      <c r="A319">
        <v>642</v>
      </c>
      <c r="B319" s="3">
        <v>254</v>
      </c>
      <c r="C319" s="3">
        <v>163</v>
      </c>
      <c r="D319" s="3">
        <v>210</v>
      </c>
      <c r="E319" t="s">
        <v>4306</v>
      </c>
      <c r="F319" t="str">
        <f t="shared" si="4"/>
        <v>254 163 210 255</v>
      </c>
      <c r="G319">
        <v>642</v>
      </c>
      <c r="H319" t="s">
        <v>6355</v>
      </c>
      <c r="I319" t="s">
        <v>6356</v>
      </c>
      <c r="J319" s="650" t="str" cm="1">
        <f t="array" ref="J319">myRGB(B319,C319,D319)</f>
        <v/>
      </c>
    </row>
    <row r="320" spans="1:10" x14ac:dyDescent="0.2">
      <c r="A320">
        <v>643</v>
      </c>
      <c r="B320" s="3">
        <v>2</v>
      </c>
      <c r="C320" s="3">
        <v>145</v>
      </c>
      <c r="D320" s="3">
        <v>153</v>
      </c>
      <c r="E320" t="s">
        <v>4307</v>
      </c>
      <c r="F320" t="str">
        <f t="shared" si="4"/>
        <v>2 145 153 255</v>
      </c>
      <c r="G320">
        <v>643</v>
      </c>
      <c r="H320" t="s">
        <v>7132</v>
      </c>
      <c r="I320" t="s">
        <v>7193</v>
      </c>
      <c r="J320" s="364" t="str" cm="1">
        <f t="array" ref="J320">myRGB(B320,C320,D320)</f>
        <v/>
      </c>
    </row>
    <row r="321" spans="1:10" x14ac:dyDescent="0.2">
      <c r="A321">
        <v>648</v>
      </c>
      <c r="B321" s="3">
        <v>30</v>
      </c>
      <c r="C321" s="3">
        <v>156</v>
      </c>
      <c r="D321" s="3">
        <v>90</v>
      </c>
      <c r="E321" t="s">
        <v>4308</v>
      </c>
      <c r="F321" t="str">
        <f t="shared" si="4"/>
        <v>30 156 90 255</v>
      </c>
      <c r="G321">
        <v>648</v>
      </c>
      <c r="H321" t="s">
        <v>4624</v>
      </c>
      <c r="I321" t="s">
        <v>4625</v>
      </c>
      <c r="J321" s="55" t="str" cm="1">
        <f t="array" ref="J321">myRGB(B321,C321,D321)</f>
        <v/>
      </c>
    </row>
    <row r="322" spans="1:10" x14ac:dyDescent="0.2">
      <c r="A322">
        <v>649</v>
      </c>
      <c r="B322" s="3">
        <v>11</v>
      </c>
      <c r="C322" s="3">
        <v>132</v>
      </c>
      <c r="D322" s="3">
        <v>140</v>
      </c>
      <c r="E322" t="s">
        <v>4309</v>
      </c>
      <c r="F322" t="str">
        <f t="shared" si="4"/>
        <v>11 132 140 255</v>
      </c>
      <c r="G322">
        <v>649</v>
      </c>
      <c r="H322" t="s">
        <v>4880</v>
      </c>
      <c r="I322" t="s">
        <v>4881</v>
      </c>
      <c r="J322" s="180" t="str" cm="1">
        <f t="array" ref="J322">myRGB(B322,C322,D322)</f>
        <v/>
      </c>
    </row>
    <row r="323" spans="1:10" x14ac:dyDescent="0.2">
      <c r="A323">
        <v>651</v>
      </c>
      <c r="B323" s="3">
        <v>253</v>
      </c>
      <c r="C323" s="3">
        <v>165</v>
      </c>
      <c r="D323" s="3">
        <v>209</v>
      </c>
      <c r="E323" t="s">
        <v>4310</v>
      </c>
      <c r="F323" t="str">
        <f t="shared" ref="F323:F386" si="5">_xlfn.CONCAT(B323," ",C323," ",D323," 255")</f>
        <v>253 165 209 255</v>
      </c>
      <c r="G323">
        <v>651</v>
      </c>
      <c r="H323" t="s">
        <v>6357</v>
      </c>
      <c r="I323" t="s">
        <v>6358</v>
      </c>
      <c r="J323" s="603" t="str" cm="1">
        <f t="array" ref="J323">myRGB(B323,C323,D323)</f>
        <v/>
      </c>
    </row>
    <row r="324" spans="1:10" x14ac:dyDescent="0.2">
      <c r="A324">
        <v>653</v>
      </c>
      <c r="B324" s="3">
        <v>253</v>
      </c>
      <c r="C324" s="3">
        <v>177</v>
      </c>
      <c r="D324" s="3">
        <v>217</v>
      </c>
      <c r="E324" t="s">
        <v>4311</v>
      </c>
      <c r="F324" t="str">
        <f t="shared" si="5"/>
        <v>253 177 217 255</v>
      </c>
      <c r="G324">
        <v>653</v>
      </c>
      <c r="H324" t="s">
        <v>6391</v>
      </c>
      <c r="I324" t="s">
        <v>6392</v>
      </c>
      <c r="J324" s="739" t="str" cm="1">
        <f t="array" ref="J324">myRGB(B324,C324,D324)</f>
        <v/>
      </c>
    </row>
    <row r="325" spans="1:10" x14ac:dyDescent="0.2">
      <c r="A325">
        <v>654</v>
      </c>
      <c r="B325" s="3">
        <v>26</v>
      </c>
      <c r="C325" s="3">
        <v>128</v>
      </c>
      <c r="D325" s="3">
        <v>98</v>
      </c>
      <c r="E325" t="s">
        <v>4312</v>
      </c>
      <c r="F325" t="str">
        <f t="shared" si="5"/>
        <v>26 128 98 255</v>
      </c>
      <c r="G325">
        <v>654</v>
      </c>
      <c r="H325" t="s">
        <v>4668</v>
      </c>
      <c r="I325" t="s">
        <v>4669</v>
      </c>
      <c r="J325" s="190" t="str" cm="1">
        <f t="array" ref="J325">myRGB(B325,C325,D325)</f>
        <v/>
      </c>
    </row>
    <row r="326" spans="1:10" x14ac:dyDescent="0.2">
      <c r="A326">
        <v>655</v>
      </c>
      <c r="B326" s="3">
        <v>95</v>
      </c>
      <c r="C326" s="3">
        <v>230</v>
      </c>
      <c r="D326" s="3">
        <v>183</v>
      </c>
      <c r="E326" t="s">
        <v>4313</v>
      </c>
      <c r="F326" t="str">
        <f t="shared" si="5"/>
        <v>95 230 183 255</v>
      </c>
      <c r="G326">
        <v>655</v>
      </c>
      <c r="H326" t="s">
        <v>5336</v>
      </c>
      <c r="I326" t="s">
        <v>5337</v>
      </c>
      <c r="J326" s="70" t="str" cm="1">
        <f t="array" ref="J326">myRGB(B326,C326,D326)</f>
        <v/>
      </c>
    </row>
    <row r="327" spans="1:10" x14ac:dyDescent="0.2">
      <c r="A327">
        <v>656</v>
      </c>
      <c r="B327" s="3">
        <v>30</v>
      </c>
      <c r="C327" s="3">
        <v>156</v>
      </c>
      <c r="D327" s="3">
        <v>89</v>
      </c>
      <c r="E327" t="s">
        <v>4314</v>
      </c>
      <c r="F327" t="str">
        <f t="shared" si="5"/>
        <v>30 156 89 255</v>
      </c>
      <c r="G327">
        <v>656</v>
      </c>
      <c r="H327" t="s">
        <v>4632</v>
      </c>
      <c r="I327" t="s">
        <v>4633</v>
      </c>
      <c r="J327" s="323" t="str" cm="1">
        <f t="array" ref="J327">myRGB(B327,C327,D327)</f>
        <v/>
      </c>
    </row>
    <row r="328" spans="1:10" x14ac:dyDescent="0.2">
      <c r="A328">
        <v>657</v>
      </c>
      <c r="B328" s="3">
        <v>26</v>
      </c>
      <c r="C328" s="3">
        <v>126</v>
      </c>
      <c r="D328" s="3">
        <v>100</v>
      </c>
      <c r="E328" t="s">
        <v>4315</v>
      </c>
      <c r="F328" t="str">
        <f t="shared" si="5"/>
        <v>26 126 100 255</v>
      </c>
      <c r="G328">
        <v>657</v>
      </c>
      <c r="H328" t="s">
        <v>7122</v>
      </c>
      <c r="I328" t="s">
        <v>7183</v>
      </c>
      <c r="J328" s="132" t="str" cm="1">
        <f t="array" ref="J328">myRGB(B328,C328,D328)</f>
        <v/>
      </c>
    </row>
    <row r="329" spans="1:10" x14ac:dyDescent="0.2">
      <c r="A329">
        <v>658</v>
      </c>
      <c r="B329" s="3">
        <v>201</v>
      </c>
      <c r="C329" s="3">
        <v>201</v>
      </c>
      <c r="D329" s="3">
        <v>203</v>
      </c>
      <c r="E329" t="s">
        <v>4316</v>
      </c>
      <c r="F329" t="str">
        <f t="shared" si="5"/>
        <v>201 201 203 255</v>
      </c>
      <c r="G329">
        <v>658</v>
      </c>
      <c r="H329" t="s">
        <v>6740</v>
      </c>
      <c r="I329" t="s">
        <v>6741</v>
      </c>
      <c r="J329" s="742" t="str" cm="1">
        <f t="array" ref="J329">myRGB(B329,C329,D329)</f>
        <v/>
      </c>
    </row>
    <row r="330" spans="1:10" x14ac:dyDescent="0.2">
      <c r="A330">
        <v>661</v>
      </c>
      <c r="B330" s="3">
        <v>255</v>
      </c>
      <c r="C330" s="3">
        <v>179</v>
      </c>
      <c r="D330" s="3">
        <v>214</v>
      </c>
      <c r="E330" t="s">
        <v>4317</v>
      </c>
      <c r="F330" t="str">
        <f t="shared" si="5"/>
        <v>255 179 214 255</v>
      </c>
      <c r="G330">
        <v>661</v>
      </c>
      <c r="H330" t="s">
        <v>6395</v>
      </c>
      <c r="I330" t="s">
        <v>6396</v>
      </c>
      <c r="J330" s="817" t="str" cm="1">
        <f t="array" ref="J330">myRGB(B330,C330,D330)</f>
        <v/>
      </c>
    </row>
    <row r="331" spans="1:10" x14ac:dyDescent="0.2">
      <c r="A331">
        <v>662</v>
      </c>
      <c r="B331" s="3">
        <v>1</v>
      </c>
      <c r="C331" s="3">
        <v>156</v>
      </c>
      <c r="D331" s="3">
        <v>116</v>
      </c>
      <c r="E331" t="s">
        <v>4318</v>
      </c>
      <c r="F331" t="str">
        <f t="shared" si="5"/>
        <v>1 156 116 255</v>
      </c>
      <c r="G331">
        <v>662</v>
      </c>
      <c r="H331" t="s">
        <v>4782</v>
      </c>
      <c r="I331" t="s">
        <v>4783</v>
      </c>
      <c r="J331" s="286" t="str" cm="1">
        <f t="array" ref="J331">myRGB(B331,C331,D331)</f>
        <v/>
      </c>
    </row>
    <row r="332" spans="1:10" x14ac:dyDescent="0.2">
      <c r="A332">
        <v>663</v>
      </c>
      <c r="B332" s="3">
        <v>96</v>
      </c>
      <c r="C332" s="3">
        <v>230</v>
      </c>
      <c r="D332" s="3">
        <v>181</v>
      </c>
      <c r="E332" t="s">
        <v>4319</v>
      </c>
      <c r="F332" t="str">
        <f t="shared" si="5"/>
        <v>96 230 181 255</v>
      </c>
      <c r="G332">
        <v>663</v>
      </c>
      <c r="H332" t="s">
        <v>5348</v>
      </c>
      <c r="I332" t="s">
        <v>5349</v>
      </c>
      <c r="J332" s="16" t="str" cm="1">
        <f t="array" ref="J332">myRGB(B332,C332,D332)</f>
        <v/>
      </c>
    </row>
    <row r="333" spans="1:10" x14ac:dyDescent="0.2">
      <c r="A333">
        <v>664</v>
      </c>
      <c r="B333" s="3">
        <v>49</v>
      </c>
      <c r="C333" s="3">
        <v>183</v>
      </c>
      <c r="D333" s="3">
        <v>35</v>
      </c>
      <c r="E333" t="s">
        <v>4320</v>
      </c>
      <c r="F333" t="str">
        <f t="shared" si="5"/>
        <v>49 183 35 255</v>
      </c>
      <c r="G333">
        <v>664</v>
      </c>
      <c r="H333" t="s">
        <v>5490</v>
      </c>
      <c r="I333" t="s">
        <v>5491</v>
      </c>
      <c r="J333" s="288" t="str" cm="1">
        <f t="array" ref="J333">myRGB(B333,C333,D333)</f>
        <v/>
      </c>
    </row>
    <row r="334" spans="1:10" x14ac:dyDescent="0.2">
      <c r="A334">
        <v>665</v>
      </c>
      <c r="B334" s="3">
        <v>202</v>
      </c>
      <c r="C334" s="3">
        <v>200</v>
      </c>
      <c r="D334" s="3">
        <v>199</v>
      </c>
      <c r="E334" t="s">
        <v>4321</v>
      </c>
      <c r="F334" t="str">
        <f t="shared" si="5"/>
        <v>202 200 199 255</v>
      </c>
      <c r="G334">
        <v>665</v>
      </c>
      <c r="H334" t="s">
        <v>6676</v>
      </c>
      <c r="I334" t="s">
        <v>6677</v>
      </c>
      <c r="J334" s="667" t="str" cm="1">
        <f t="array" ref="J334">myRGB(B334,C334,D334)</f>
        <v/>
      </c>
    </row>
    <row r="335" spans="1:10" x14ac:dyDescent="0.2">
      <c r="A335">
        <v>667</v>
      </c>
      <c r="B335" s="3">
        <v>38</v>
      </c>
      <c r="C335" s="3">
        <v>142</v>
      </c>
      <c r="D335" s="3">
        <v>69</v>
      </c>
      <c r="E335" t="s">
        <v>4322</v>
      </c>
      <c r="F335" t="str">
        <f t="shared" si="5"/>
        <v>38 142 69 255</v>
      </c>
      <c r="G335">
        <v>667</v>
      </c>
      <c r="H335" t="s">
        <v>7112</v>
      </c>
      <c r="I335" t="s">
        <v>7173</v>
      </c>
      <c r="J335" s="338" t="str" cm="1">
        <f t="array" ref="J335">myRGB(B335,C335,D335)</f>
        <v/>
      </c>
    </row>
    <row r="336" spans="1:10" x14ac:dyDescent="0.2">
      <c r="A336">
        <v>670</v>
      </c>
      <c r="B336" s="3">
        <v>24</v>
      </c>
      <c r="C336" s="3">
        <v>128</v>
      </c>
      <c r="D336" s="3">
        <v>97</v>
      </c>
      <c r="E336" t="s">
        <v>4323</v>
      </c>
      <c r="F336" t="str">
        <f t="shared" si="5"/>
        <v>24 128 97 255</v>
      </c>
      <c r="G336">
        <v>670</v>
      </c>
      <c r="H336" t="s">
        <v>7124</v>
      </c>
      <c r="I336" t="s">
        <v>7185</v>
      </c>
      <c r="J336" s="130" t="str" cm="1">
        <f t="array" ref="J336">myRGB(B336,C336,D336)</f>
        <v/>
      </c>
    </row>
    <row r="337" spans="1:10" x14ac:dyDescent="0.2">
      <c r="A337">
        <v>671</v>
      </c>
      <c r="B337" s="3">
        <v>27</v>
      </c>
      <c r="C337" s="3">
        <v>166</v>
      </c>
      <c r="D337" s="3">
        <v>150</v>
      </c>
      <c r="E337" t="s">
        <v>4324</v>
      </c>
      <c r="F337" t="str">
        <f t="shared" si="5"/>
        <v>27 166 150 255</v>
      </c>
      <c r="G337">
        <v>671</v>
      </c>
      <c r="H337" t="s">
        <v>5100</v>
      </c>
      <c r="I337" t="s">
        <v>5101</v>
      </c>
      <c r="J337" s="263" t="str" cm="1">
        <f t="array" ref="J337">myRGB(B337,C337,D337)</f>
        <v/>
      </c>
    </row>
    <row r="338" spans="1:10" x14ac:dyDescent="0.2">
      <c r="A338">
        <v>672</v>
      </c>
      <c r="B338" s="3">
        <v>152</v>
      </c>
      <c r="C338" s="3">
        <v>213</v>
      </c>
      <c r="D338" s="3">
        <v>249</v>
      </c>
      <c r="E338" t="s">
        <v>4325</v>
      </c>
      <c r="F338" t="str">
        <f t="shared" si="5"/>
        <v>152 213 249 255</v>
      </c>
      <c r="G338">
        <v>672</v>
      </c>
      <c r="H338" t="s">
        <v>5608</v>
      </c>
      <c r="I338" t="s">
        <v>5609</v>
      </c>
      <c r="J338" s="803" t="str" cm="1">
        <f t="array" ref="J338">myRGB(B338,C338,D338)</f>
        <v/>
      </c>
    </row>
    <row r="339" spans="1:10" x14ac:dyDescent="0.2">
      <c r="A339">
        <v>673</v>
      </c>
      <c r="B339" s="3">
        <v>204</v>
      </c>
      <c r="C339" s="3">
        <v>202</v>
      </c>
      <c r="D339" s="3">
        <v>200</v>
      </c>
      <c r="E339" t="s">
        <v>4326</v>
      </c>
      <c r="F339" t="str">
        <f t="shared" si="5"/>
        <v>204 202 200 255</v>
      </c>
      <c r="G339">
        <v>673</v>
      </c>
      <c r="H339" t="s">
        <v>7022</v>
      </c>
      <c r="I339" t="s">
        <v>7023</v>
      </c>
      <c r="J339" s="659" t="str" cm="1">
        <f t="array" ref="J339">myRGB(B339,C339,D339)</f>
        <v/>
      </c>
    </row>
    <row r="340" spans="1:10" x14ac:dyDescent="0.2">
      <c r="A340">
        <v>675</v>
      </c>
      <c r="B340" s="3">
        <v>31</v>
      </c>
      <c r="C340" s="3">
        <v>152</v>
      </c>
      <c r="D340" s="3">
        <v>102</v>
      </c>
      <c r="E340" t="s">
        <v>4327</v>
      </c>
      <c r="F340" t="str">
        <f t="shared" si="5"/>
        <v>31 152 102 255</v>
      </c>
      <c r="G340">
        <v>675</v>
      </c>
      <c r="H340" t="s">
        <v>5092</v>
      </c>
      <c r="I340" t="s">
        <v>5093</v>
      </c>
      <c r="J340" s="100" t="str" cm="1">
        <f t="array" ref="J340">myRGB(B340,C340,D340)</f>
        <v/>
      </c>
    </row>
    <row r="341" spans="1:10" x14ac:dyDescent="0.2">
      <c r="A341">
        <v>678</v>
      </c>
      <c r="B341" s="3">
        <v>3</v>
      </c>
      <c r="C341" s="3">
        <v>147</v>
      </c>
      <c r="D341" s="3">
        <v>152</v>
      </c>
      <c r="E341" t="s">
        <v>4328</v>
      </c>
      <c r="F341" t="str">
        <f t="shared" si="5"/>
        <v>3 147 152 255</v>
      </c>
      <c r="G341">
        <v>678</v>
      </c>
      <c r="H341" t="s">
        <v>4802</v>
      </c>
      <c r="I341" t="s">
        <v>4803</v>
      </c>
      <c r="J341" s="366" t="str" cm="1">
        <f t="array" ref="J341">myRGB(B341,C341,D341)</f>
        <v/>
      </c>
    </row>
    <row r="342" spans="1:10" x14ac:dyDescent="0.2">
      <c r="A342">
        <v>679</v>
      </c>
      <c r="B342" s="3">
        <v>255</v>
      </c>
      <c r="C342" s="3">
        <v>195</v>
      </c>
      <c r="D342" s="3">
        <v>147</v>
      </c>
      <c r="E342" t="s">
        <v>4329</v>
      </c>
      <c r="F342" t="str">
        <f t="shared" si="5"/>
        <v>255 195 147 255</v>
      </c>
      <c r="G342">
        <v>679</v>
      </c>
      <c r="H342" t="s">
        <v>6311</v>
      </c>
      <c r="I342" t="s">
        <v>6312</v>
      </c>
      <c r="J342" s="736" t="str" cm="1">
        <f t="array" ref="J342">myRGB(B342,C342,D342)</f>
        <v/>
      </c>
    </row>
    <row r="343" spans="1:10" x14ac:dyDescent="0.2">
      <c r="A343">
        <v>680</v>
      </c>
      <c r="B343" s="3">
        <v>34</v>
      </c>
      <c r="C343" s="3">
        <v>137</v>
      </c>
      <c r="D343" s="3">
        <v>94</v>
      </c>
      <c r="E343" t="s">
        <v>4330</v>
      </c>
      <c r="F343" t="str">
        <f t="shared" si="5"/>
        <v>34 137 94 255</v>
      </c>
      <c r="G343">
        <v>680</v>
      </c>
      <c r="H343" t="s">
        <v>5062</v>
      </c>
      <c r="I343" t="s">
        <v>5063</v>
      </c>
      <c r="J343" s="107" t="str" cm="1">
        <f t="array" ref="J343">myRGB(B343,C343,D343)</f>
        <v/>
      </c>
    </row>
    <row r="344" spans="1:10" x14ac:dyDescent="0.2">
      <c r="A344">
        <v>681</v>
      </c>
      <c r="B344" s="3">
        <v>200</v>
      </c>
      <c r="C344" s="3">
        <v>200</v>
      </c>
      <c r="D344" s="3">
        <v>200</v>
      </c>
      <c r="E344" t="s">
        <v>4331</v>
      </c>
      <c r="F344" t="str">
        <f t="shared" si="5"/>
        <v>200 200 200 255</v>
      </c>
      <c r="G344">
        <v>681</v>
      </c>
      <c r="H344" t="s">
        <v>7020</v>
      </c>
      <c r="I344" t="s">
        <v>7021</v>
      </c>
      <c r="J344" s="545" t="str" cm="1">
        <f t="array" ref="J344">myRGB(B344,C344,D344)</f>
        <v/>
      </c>
    </row>
    <row r="345" spans="1:10" x14ac:dyDescent="0.2">
      <c r="A345">
        <v>685</v>
      </c>
      <c r="B345" s="3">
        <v>255</v>
      </c>
      <c r="C345" s="3">
        <v>126</v>
      </c>
      <c r="D345" s="3">
        <v>132</v>
      </c>
      <c r="E345" t="s">
        <v>4332</v>
      </c>
      <c r="F345" t="str">
        <f t="shared" si="5"/>
        <v>255 126 132 255</v>
      </c>
      <c r="G345">
        <v>685</v>
      </c>
      <c r="H345" t="s">
        <v>5752</v>
      </c>
      <c r="I345" t="s">
        <v>5753</v>
      </c>
      <c r="J345" s="413" t="str" cm="1">
        <f t="array" ref="J345">myRGB(B345,C345,D345)</f>
        <v/>
      </c>
    </row>
    <row r="346" spans="1:10" x14ac:dyDescent="0.2">
      <c r="A346">
        <v>687</v>
      </c>
      <c r="B346" s="3">
        <v>27</v>
      </c>
      <c r="C346" s="3">
        <v>164</v>
      </c>
      <c r="D346" s="3">
        <v>152</v>
      </c>
      <c r="E346" t="s">
        <v>4333</v>
      </c>
      <c r="F346" t="str">
        <f t="shared" si="5"/>
        <v>27 164 152 255</v>
      </c>
      <c r="G346">
        <v>687</v>
      </c>
      <c r="H346" t="s">
        <v>5162</v>
      </c>
      <c r="I346" t="s">
        <v>5163</v>
      </c>
      <c r="J346" s="361" t="str" cm="1">
        <f t="array" ref="J346">myRGB(B346,C346,D346)</f>
        <v/>
      </c>
    </row>
    <row r="347" spans="1:10" x14ac:dyDescent="0.2">
      <c r="A347">
        <v>689</v>
      </c>
      <c r="B347" s="3">
        <v>254</v>
      </c>
      <c r="C347" s="3">
        <v>85</v>
      </c>
      <c r="D347" s="3">
        <v>70</v>
      </c>
      <c r="E347" t="s">
        <v>4334</v>
      </c>
      <c r="F347" t="str">
        <f t="shared" si="5"/>
        <v>254 85 70 255</v>
      </c>
      <c r="G347">
        <v>689</v>
      </c>
      <c r="H347" t="s">
        <v>5972</v>
      </c>
      <c r="I347" t="s">
        <v>5973</v>
      </c>
      <c r="J347" s="762" t="str" cm="1">
        <f t="array" ref="J347">myRGB(B347,C347,D347)</f>
        <v/>
      </c>
    </row>
    <row r="348" spans="1:10" x14ac:dyDescent="0.2">
      <c r="A348">
        <v>690</v>
      </c>
      <c r="B348" s="3">
        <v>199</v>
      </c>
      <c r="C348" s="3">
        <v>201</v>
      </c>
      <c r="D348" s="3">
        <v>204</v>
      </c>
      <c r="E348" t="s">
        <v>4335</v>
      </c>
      <c r="F348" t="str">
        <f t="shared" si="5"/>
        <v>199 201 204 255</v>
      </c>
      <c r="G348">
        <v>690</v>
      </c>
      <c r="H348" t="s">
        <v>7018</v>
      </c>
      <c r="I348" t="s">
        <v>7019</v>
      </c>
      <c r="J348" s="740" t="str" cm="1">
        <f t="array" ref="J348">myRGB(B348,C348,D348)</f>
        <v/>
      </c>
    </row>
    <row r="349" spans="1:10" x14ac:dyDescent="0.2">
      <c r="A349">
        <v>692</v>
      </c>
      <c r="B349" s="3">
        <v>15</v>
      </c>
      <c r="C349" s="3">
        <v>150</v>
      </c>
      <c r="D349" s="3">
        <v>132</v>
      </c>
      <c r="E349" t="s">
        <v>4336</v>
      </c>
      <c r="F349" t="str">
        <f t="shared" si="5"/>
        <v>15 150 132 255</v>
      </c>
      <c r="G349">
        <v>692</v>
      </c>
      <c r="H349" t="s">
        <v>5220</v>
      </c>
      <c r="I349" t="s">
        <v>5221</v>
      </c>
      <c r="J349" s="104" t="str" cm="1">
        <f t="array" ref="J349">myRGB(B349,C349,D349)</f>
        <v/>
      </c>
    </row>
    <row r="350" spans="1:10" x14ac:dyDescent="0.2">
      <c r="A350">
        <v>693</v>
      </c>
      <c r="B350" s="3">
        <v>255</v>
      </c>
      <c r="C350" s="3">
        <v>74</v>
      </c>
      <c r="D350" s="3">
        <v>61</v>
      </c>
      <c r="E350" t="s">
        <v>4337</v>
      </c>
      <c r="F350" t="str">
        <f t="shared" si="5"/>
        <v>255 74 61 255</v>
      </c>
      <c r="G350">
        <v>693</v>
      </c>
      <c r="H350" t="s">
        <v>6036</v>
      </c>
      <c r="I350" t="s">
        <v>6037</v>
      </c>
      <c r="J350" s="757" t="str" cm="1">
        <f t="array" ref="J350">myRGB(B350,C350,D350)</f>
        <v/>
      </c>
    </row>
    <row r="351" spans="1:10" x14ac:dyDescent="0.2">
      <c r="A351">
        <v>694</v>
      </c>
      <c r="B351" s="3">
        <v>33</v>
      </c>
      <c r="C351" s="3">
        <v>151</v>
      </c>
      <c r="D351" s="3">
        <v>100</v>
      </c>
      <c r="E351" t="s">
        <v>4338</v>
      </c>
      <c r="F351" t="str">
        <f t="shared" si="5"/>
        <v>33 151 100 255</v>
      </c>
      <c r="G351">
        <v>694</v>
      </c>
      <c r="H351" t="s">
        <v>7154</v>
      </c>
      <c r="I351" t="s">
        <v>7215</v>
      </c>
      <c r="J351" s="77" t="str" cm="1">
        <f t="array" ref="J351">myRGB(B351,C351,D351)</f>
        <v/>
      </c>
    </row>
    <row r="352" spans="1:10" x14ac:dyDescent="0.2">
      <c r="A352">
        <v>696</v>
      </c>
      <c r="B352" s="3">
        <v>3</v>
      </c>
      <c r="C352" s="3">
        <v>146</v>
      </c>
      <c r="D352" s="3">
        <v>153</v>
      </c>
      <c r="E352" t="s">
        <v>4339</v>
      </c>
      <c r="F352" t="str">
        <f t="shared" si="5"/>
        <v>3 146 153 255</v>
      </c>
      <c r="G352">
        <v>696</v>
      </c>
      <c r="H352" t="s">
        <v>4836</v>
      </c>
      <c r="I352" t="s">
        <v>4837</v>
      </c>
      <c r="J352" s="277" t="str" cm="1">
        <f t="array" ref="J352">myRGB(B352,C352,D352)</f>
        <v/>
      </c>
    </row>
    <row r="353" spans="1:10" x14ac:dyDescent="0.2">
      <c r="A353">
        <v>697</v>
      </c>
      <c r="B353" s="3">
        <v>202</v>
      </c>
      <c r="C353" s="3">
        <v>204</v>
      </c>
      <c r="D353" s="3">
        <v>200</v>
      </c>
      <c r="E353" t="s">
        <v>4340</v>
      </c>
      <c r="F353" t="str">
        <f t="shared" si="5"/>
        <v>202 204 200 255</v>
      </c>
      <c r="G353">
        <v>697</v>
      </c>
      <c r="H353" t="s">
        <v>6778</v>
      </c>
      <c r="I353" t="s">
        <v>6779</v>
      </c>
      <c r="J353" s="635" t="str" cm="1">
        <f t="array" ref="J353">myRGB(B353,C353,D353)</f>
        <v/>
      </c>
    </row>
    <row r="354" spans="1:10" x14ac:dyDescent="0.2">
      <c r="A354">
        <v>698</v>
      </c>
      <c r="B354" s="3">
        <v>153</v>
      </c>
      <c r="C354" s="3">
        <v>210</v>
      </c>
      <c r="D354" s="3">
        <v>189</v>
      </c>
      <c r="E354" t="s">
        <v>4341</v>
      </c>
      <c r="F354" t="str">
        <f t="shared" si="5"/>
        <v>153 210 189 255</v>
      </c>
      <c r="G354">
        <v>698</v>
      </c>
      <c r="H354" t="s">
        <v>5232</v>
      </c>
      <c r="I354" t="s">
        <v>5233</v>
      </c>
      <c r="J354" s="114" t="str" cm="1">
        <f t="array" ref="J354">myRGB(B354,C354,D354)</f>
        <v/>
      </c>
    </row>
    <row r="355" spans="1:10" x14ac:dyDescent="0.2">
      <c r="A355">
        <v>699</v>
      </c>
      <c r="B355" s="3">
        <v>33</v>
      </c>
      <c r="C355" s="3">
        <v>150</v>
      </c>
      <c r="D355" s="3">
        <v>101</v>
      </c>
      <c r="E355" t="s">
        <v>4342</v>
      </c>
      <c r="F355" t="str">
        <f t="shared" si="5"/>
        <v>33 150 101 255</v>
      </c>
      <c r="G355">
        <v>699</v>
      </c>
      <c r="H355" t="s">
        <v>5094</v>
      </c>
      <c r="I355" t="s">
        <v>5095</v>
      </c>
      <c r="J355" s="23" t="str" cm="1">
        <f t="array" ref="J355">myRGB(B355,C355,D355)</f>
        <v/>
      </c>
    </row>
    <row r="356" spans="1:10" x14ac:dyDescent="0.2">
      <c r="A356">
        <v>702</v>
      </c>
      <c r="B356" s="3">
        <v>25</v>
      </c>
      <c r="C356" s="3">
        <v>126</v>
      </c>
      <c r="D356" s="3">
        <v>98</v>
      </c>
      <c r="E356" t="s">
        <v>4343</v>
      </c>
      <c r="F356" t="str">
        <f t="shared" si="5"/>
        <v>25 126 98 255</v>
      </c>
      <c r="G356">
        <v>702</v>
      </c>
      <c r="H356" t="s">
        <v>4670</v>
      </c>
      <c r="I356" t="s">
        <v>4671</v>
      </c>
      <c r="J356" s="62" t="str" cm="1">
        <f t="array" ref="J356">myRGB(B356,C356,D356)</f>
        <v/>
      </c>
    </row>
    <row r="357" spans="1:10" x14ac:dyDescent="0.2">
      <c r="A357">
        <v>703</v>
      </c>
      <c r="B357" s="3">
        <v>138</v>
      </c>
      <c r="C357" s="3">
        <v>217</v>
      </c>
      <c r="D357" s="3">
        <v>135</v>
      </c>
      <c r="E357" t="s">
        <v>4344</v>
      </c>
      <c r="F357" t="str">
        <f t="shared" si="5"/>
        <v>138 217 135 255</v>
      </c>
      <c r="G357">
        <v>703</v>
      </c>
      <c r="H357" t="s">
        <v>5572</v>
      </c>
      <c r="I357" t="s">
        <v>5573</v>
      </c>
      <c r="J357" s="15" t="str" cm="1">
        <f t="array" ref="J357">myRGB(B357,C357,D357)</f>
        <v/>
      </c>
    </row>
    <row r="358" spans="1:10" x14ac:dyDescent="0.2">
      <c r="A358">
        <v>704</v>
      </c>
      <c r="B358" s="3">
        <v>32</v>
      </c>
      <c r="C358" s="3">
        <v>152</v>
      </c>
      <c r="D358" s="3">
        <v>100</v>
      </c>
      <c r="E358" t="s">
        <v>4345</v>
      </c>
      <c r="F358" t="str">
        <f t="shared" si="5"/>
        <v>32 152 100 255</v>
      </c>
      <c r="G358">
        <v>704</v>
      </c>
      <c r="H358" t="s">
        <v>5088</v>
      </c>
      <c r="I358" t="s">
        <v>5089</v>
      </c>
      <c r="J358" s="239" t="str" cm="1">
        <f t="array" ref="J358">myRGB(B358,C358,D358)</f>
        <v/>
      </c>
    </row>
    <row r="359" spans="1:10" x14ac:dyDescent="0.2">
      <c r="A359">
        <v>706</v>
      </c>
      <c r="B359" s="3">
        <v>254</v>
      </c>
      <c r="C359" s="3">
        <v>144</v>
      </c>
      <c r="D359" s="3">
        <v>252</v>
      </c>
      <c r="E359" t="s">
        <v>4346</v>
      </c>
      <c r="F359" t="str">
        <f t="shared" si="5"/>
        <v>254 144 252 255</v>
      </c>
      <c r="G359">
        <v>706</v>
      </c>
      <c r="H359" t="s">
        <v>6158</v>
      </c>
      <c r="I359" t="s">
        <v>6159</v>
      </c>
      <c r="J359" s="473" t="str" cm="1">
        <f t="array" ref="J359">myRGB(B359,C359,D359)</f>
        <v/>
      </c>
    </row>
    <row r="360" spans="1:10" x14ac:dyDescent="0.2">
      <c r="A360">
        <v>707</v>
      </c>
      <c r="B360" s="3">
        <v>89</v>
      </c>
      <c r="C360" s="3">
        <v>178</v>
      </c>
      <c r="D360" s="3">
        <v>99</v>
      </c>
      <c r="E360" t="s">
        <v>4347</v>
      </c>
      <c r="F360" t="str">
        <f t="shared" si="5"/>
        <v>89 178 99 255</v>
      </c>
      <c r="G360">
        <v>707</v>
      </c>
      <c r="H360" t="s">
        <v>5010</v>
      </c>
      <c r="I360" t="s">
        <v>5011</v>
      </c>
      <c r="J360" s="146" t="str" cm="1">
        <f t="array" ref="J360">myRGB(B360,C360,D360)</f>
        <v/>
      </c>
    </row>
    <row r="361" spans="1:10" x14ac:dyDescent="0.2">
      <c r="A361">
        <v>711</v>
      </c>
      <c r="B361" s="3">
        <v>253</v>
      </c>
      <c r="C361" s="3">
        <v>165</v>
      </c>
      <c r="D361" s="3">
        <v>208</v>
      </c>
      <c r="E361" t="s">
        <v>4348</v>
      </c>
      <c r="F361" t="str">
        <f t="shared" si="5"/>
        <v>253 165 208 255</v>
      </c>
      <c r="G361">
        <v>711</v>
      </c>
      <c r="H361" t="s">
        <v>6349</v>
      </c>
      <c r="I361" t="s">
        <v>6350</v>
      </c>
      <c r="J361" s="769" t="str" cm="1">
        <f t="array" ref="J361">myRGB(B361,C361,D361)</f>
        <v/>
      </c>
    </row>
    <row r="362" spans="1:10" x14ac:dyDescent="0.2">
      <c r="A362">
        <v>718</v>
      </c>
      <c r="B362" s="3">
        <v>253</v>
      </c>
      <c r="C362" s="3">
        <v>128</v>
      </c>
      <c r="D362" s="3">
        <v>132</v>
      </c>
      <c r="E362" t="s">
        <v>4349</v>
      </c>
      <c r="F362" t="str">
        <f t="shared" si="5"/>
        <v>253 128 132 255</v>
      </c>
      <c r="G362">
        <v>718</v>
      </c>
      <c r="H362" t="s">
        <v>5756</v>
      </c>
      <c r="I362" t="s">
        <v>5757</v>
      </c>
      <c r="J362" s="518" t="str" cm="1">
        <f t="array" ref="J362">myRGB(B362,C362,D362)</f>
        <v/>
      </c>
    </row>
    <row r="363" spans="1:10" x14ac:dyDescent="0.2">
      <c r="A363">
        <v>721</v>
      </c>
      <c r="B363" s="3">
        <v>11</v>
      </c>
      <c r="C363" s="3">
        <v>132</v>
      </c>
      <c r="D363" s="3">
        <v>139</v>
      </c>
      <c r="E363" t="s">
        <v>4350</v>
      </c>
      <c r="F363" t="str">
        <f t="shared" si="5"/>
        <v>11 132 139 255</v>
      </c>
      <c r="G363">
        <v>721</v>
      </c>
      <c r="H363" t="s">
        <v>4910</v>
      </c>
      <c r="I363" t="s">
        <v>4911</v>
      </c>
      <c r="J363" s="46" t="str" cm="1">
        <f t="array" ref="J363">myRGB(B363,C363,D363)</f>
        <v/>
      </c>
    </row>
    <row r="364" spans="1:10" x14ac:dyDescent="0.2">
      <c r="A364">
        <v>725</v>
      </c>
      <c r="B364" s="3">
        <v>255</v>
      </c>
      <c r="C364" s="3">
        <v>127</v>
      </c>
      <c r="D364" s="3">
        <v>130</v>
      </c>
      <c r="E364" t="s">
        <v>4351</v>
      </c>
      <c r="F364" t="str">
        <f t="shared" si="5"/>
        <v>255 127 130 255</v>
      </c>
      <c r="G364">
        <v>725</v>
      </c>
      <c r="H364" t="s">
        <v>5758</v>
      </c>
      <c r="I364" t="s">
        <v>5759</v>
      </c>
      <c r="J364" s="513" t="str" cm="1">
        <f t="array" ref="J364">myRGB(B364,C364,D364)</f>
        <v/>
      </c>
    </row>
    <row r="365" spans="1:10" x14ac:dyDescent="0.2">
      <c r="A365">
        <v>727</v>
      </c>
      <c r="B365" s="3">
        <v>48</v>
      </c>
      <c r="C365" s="3">
        <v>183</v>
      </c>
      <c r="D365" s="3">
        <v>36</v>
      </c>
      <c r="E365" t="s">
        <v>4352</v>
      </c>
      <c r="F365" t="str">
        <f t="shared" si="5"/>
        <v>48 183 36 255</v>
      </c>
      <c r="G365">
        <v>727</v>
      </c>
      <c r="H365" t="s">
        <v>5494</v>
      </c>
      <c r="I365" t="s">
        <v>5495</v>
      </c>
      <c r="J365" s="236" t="str" cm="1">
        <f t="array" ref="J365">myRGB(B365,C365,D365)</f>
        <v/>
      </c>
    </row>
    <row r="366" spans="1:10" x14ac:dyDescent="0.2">
      <c r="A366">
        <v>728</v>
      </c>
      <c r="B366" s="3">
        <v>203</v>
      </c>
      <c r="C366" s="3">
        <v>201</v>
      </c>
      <c r="D366" s="3">
        <v>204</v>
      </c>
      <c r="E366" t="s">
        <v>4353</v>
      </c>
      <c r="F366" t="str">
        <f t="shared" si="5"/>
        <v>203 201 204 255</v>
      </c>
      <c r="G366">
        <v>728</v>
      </c>
      <c r="H366" t="s">
        <v>6836</v>
      </c>
      <c r="I366" t="s">
        <v>6837</v>
      </c>
      <c r="J366" s="802" t="str" cm="1">
        <f t="array" ref="J366">myRGB(B366,C366,D366)</f>
        <v/>
      </c>
    </row>
    <row r="367" spans="1:10" x14ac:dyDescent="0.2">
      <c r="A367">
        <v>729</v>
      </c>
      <c r="B367" s="3">
        <v>21</v>
      </c>
      <c r="C367" s="3">
        <v>175</v>
      </c>
      <c r="D367" s="3">
        <v>178</v>
      </c>
      <c r="E367" t="s">
        <v>4354</v>
      </c>
      <c r="F367" t="str">
        <f t="shared" si="5"/>
        <v>21 175 178 255</v>
      </c>
      <c r="G367">
        <v>729</v>
      </c>
      <c r="H367" t="s">
        <v>5212</v>
      </c>
      <c r="I367" t="s">
        <v>5213</v>
      </c>
      <c r="J367" s="348" t="str" cm="1">
        <f t="array" ref="J367">myRGB(B367,C367,D367)</f>
        <v/>
      </c>
    </row>
    <row r="368" spans="1:10" x14ac:dyDescent="0.2">
      <c r="A368">
        <v>732</v>
      </c>
      <c r="B368" s="3">
        <v>253</v>
      </c>
      <c r="C368" s="3">
        <v>75</v>
      </c>
      <c r="D368" s="3">
        <v>62</v>
      </c>
      <c r="E368" t="s">
        <v>4355</v>
      </c>
      <c r="F368" t="str">
        <f t="shared" si="5"/>
        <v>253 75 62 255</v>
      </c>
      <c r="G368">
        <v>732</v>
      </c>
      <c r="H368" t="s">
        <v>8096</v>
      </c>
      <c r="I368" t="s">
        <v>5993</v>
      </c>
      <c r="J368" s="698" t="str" cm="1">
        <f t="array" ref="J368">myRGB(B368,C368,D368)</f>
        <v/>
      </c>
    </row>
    <row r="369" spans="1:10" x14ac:dyDescent="0.2">
      <c r="A369">
        <v>733</v>
      </c>
      <c r="B369" s="3">
        <v>255</v>
      </c>
      <c r="C369" s="3">
        <v>126</v>
      </c>
      <c r="D369" s="3">
        <v>131</v>
      </c>
      <c r="E369" t="s">
        <v>4356</v>
      </c>
      <c r="F369" t="str">
        <f t="shared" si="5"/>
        <v>255 126 131 255</v>
      </c>
      <c r="G369">
        <v>733</v>
      </c>
      <c r="H369" t="s">
        <v>5760</v>
      </c>
      <c r="I369" t="s">
        <v>5761</v>
      </c>
      <c r="J369" s="475" t="str" cm="1">
        <f t="array" ref="J369">myRGB(B369,C369,D369)</f>
        <v/>
      </c>
    </row>
    <row r="370" spans="1:10" x14ac:dyDescent="0.2">
      <c r="A370">
        <v>735</v>
      </c>
      <c r="B370" s="3">
        <v>2</v>
      </c>
      <c r="C370" s="3">
        <v>146</v>
      </c>
      <c r="D370" s="3">
        <v>151</v>
      </c>
      <c r="E370" t="s">
        <v>4357</v>
      </c>
      <c r="F370" t="str">
        <f t="shared" si="5"/>
        <v>2 146 151 255</v>
      </c>
      <c r="G370">
        <v>735</v>
      </c>
      <c r="H370" t="s">
        <v>4824</v>
      </c>
      <c r="I370" t="s">
        <v>4825</v>
      </c>
      <c r="J370" s="368" t="str" cm="1">
        <f t="array" ref="J370">myRGB(B370,C370,D370)</f>
        <v/>
      </c>
    </row>
    <row r="371" spans="1:10" x14ac:dyDescent="0.2">
      <c r="A371">
        <v>741</v>
      </c>
      <c r="B371" s="3">
        <v>254</v>
      </c>
      <c r="C371" s="3">
        <v>128</v>
      </c>
      <c r="D371" s="3">
        <v>130</v>
      </c>
      <c r="E371" t="s">
        <v>4358</v>
      </c>
      <c r="F371" t="str">
        <f t="shared" si="5"/>
        <v>254 128 130 255</v>
      </c>
      <c r="G371">
        <v>741</v>
      </c>
      <c r="H371" t="s">
        <v>5762</v>
      </c>
      <c r="I371" t="s">
        <v>5763</v>
      </c>
      <c r="J371" s="412" t="str" cm="1">
        <f t="array" ref="J371">myRGB(B371,C371,D371)</f>
        <v/>
      </c>
    </row>
    <row r="372" spans="1:10" x14ac:dyDescent="0.2">
      <c r="A372">
        <v>743</v>
      </c>
      <c r="B372" s="3">
        <v>50</v>
      </c>
      <c r="C372" s="3">
        <v>182</v>
      </c>
      <c r="D372" s="3">
        <v>35</v>
      </c>
      <c r="E372" t="s">
        <v>4359</v>
      </c>
      <c r="F372" t="str">
        <f t="shared" si="5"/>
        <v>50 182 35 255</v>
      </c>
      <c r="G372">
        <v>743</v>
      </c>
      <c r="H372" t="s">
        <v>5496</v>
      </c>
      <c r="I372" t="s">
        <v>5497</v>
      </c>
      <c r="J372" s="162" t="str" cm="1">
        <f t="array" ref="J372">myRGB(B372,C372,D372)</f>
        <v/>
      </c>
    </row>
    <row r="373" spans="1:10" x14ac:dyDescent="0.2">
      <c r="A373">
        <v>744</v>
      </c>
      <c r="B373" s="3">
        <v>203</v>
      </c>
      <c r="C373" s="3">
        <v>200</v>
      </c>
      <c r="D373" s="3">
        <v>202</v>
      </c>
      <c r="E373" t="s">
        <v>4360</v>
      </c>
      <c r="F373" t="str">
        <f t="shared" si="5"/>
        <v>203 200 202 255</v>
      </c>
      <c r="G373">
        <v>744</v>
      </c>
      <c r="H373" t="s">
        <v>6804</v>
      </c>
      <c r="I373" t="s">
        <v>6805</v>
      </c>
      <c r="J373" s="728" t="str" cm="1">
        <f t="array" ref="J373">myRGB(B373,C373,D373)</f>
        <v/>
      </c>
    </row>
    <row r="374" spans="1:10" x14ac:dyDescent="0.2">
      <c r="A374">
        <v>749</v>
      </c>
      <c r="B374" s="3">
        <v>254</v>
      </c>
      <c r="C374" s="3">
        <v>141</v>
      </c>
      <c r="D374" s="3">
        <v>255</v>
      </c>
      <c r="E374" t="s">
        <v>4361</v>
      </c>
      <c r="F374" t="str">
        <f t="shared" si="5"/>
        <v>254 141 255 255</v>
      </c>
      <c r="G374">
        <v>749</v>
      </c>
      <c r="H374" t="s">
        <v>6108</v>
      </c>
      <c r="I374" t="s">
        <v>6109</v>
      </c>
      <c r="J374" s="690" t="str" cm="1">
        <f t="array" ref="J374">myRGB(B374,C374,D374)</f>
        <v/>
      </c>
    </row>
    <row r="375" spans="1:10" x14ac:dyDescent="0.2">
      <c r="A375">
        <v>750</v>
      </c>
      <c r="B375" s="3">
        <v>10</v>
      </c>
      <c r="C375" s="3">
        <v>131</v>
      </c>
      <c r="D375" s="3">
        <v>138</v>
      </c>
      <c r="E375" t="s">
        <v>4362</v>
      </c>
      <c r="F375" t="str">
        <f t="shared" si="5"/>
        <v>10 131 138 255</v>
      </c>
      <c r="G375">
        <v>750</v>
      </c>
      <c r="H375" t="s">
        <v>4920</v>
      </c>
      <c r="I375" t="s">
        <v>4921</v>
      </c>
      <c r="J375" s="39" t="str" cm="1">
        <f t="array" ref="J375">myRGB(B375,C375,D375)</f>
        <v/>
      </c>
    </row>
    <row r="376" spans="1:10" x14ac:dyDescent="0.2">
      <c r="A376">
        <v>753</v>
      </c>
      <c r="B376" s="3">
        <v>200</v>
      </c>
      <c r="C376" s="3">
        <v>203</v>
      </c>
      <c r="D376" s="3">
        <v>202</v>
      </c>
      <c r="E376" t="s">
        <v>4363</v>
      </c>
      <c r="F376" t="str">
        <f t="shared" si="5"/>
        <v>200 203 202 255</v>
      </c>
      <c r="G376">
        <v>753</v>
      </c>
      <c r="H376" t="s">
        <v>7016</v>
      </c>
      <c r="I376" t="s">
        <v>7017</v>
      </c>
      <c r="J376" s="778" t="str" cm="1">
        <f t="array" ref="J376">myRGB(B376,C376,D376)</f>
        <v/>
      </c>
    </row>
    <row r="377" spans="1:10" x14ac:dyDescent="0.2">
      <c r="A377">
        <v>754</v>
      </c>
      <c r="B377" s="3">
        <v>127</v>
      </c>
      <c r="C377" s="3">
        <v>204</v>
      </c>
      <c r="D377" s="3">
        <v>247</v>
      </c>
      <c r="E377" t="s">
        <v>4364</v>
      </c>
      <c r="F377" t="str">
        <f t="shared" si="5"/>
        <v>127 204 247 255</v>
      </c>
      <c r="G377">
        <v>754</v>
      </c>
      <c r="H377" t="s">
        <v>5616</v>
      </c>
      <c r="I377" t="s">
        <v>5617</v>
      </c>
      <c r="J377" s="455" t="str" cm="1">
        <f t="array" ref="J377">myRGB(B377,C377,D377)</f>
        <v/>
      </c>
    </row>
    <row r="378" spans="1:10" x14ac:dyDescent="0.2">
      <c r="A378">
        <v>755</v>
      </c>
      <c r="B378" s="3">
        <v>2</v>
      </c>
      <c r="C378" s="3">
        <v>145</v>
      </c>
      <c r="D378" s="3">
        <v>152</v>
      </c>
      <c r="E378" t="s">
        <v>4365</v>
      </c>
      <c r="F378" t="str">
        <f t="shared" si="5"/>
        <v>2 145 152 255</v>
      </c>
      <c r="G378">
        <v>755</v>
      </c>
      <c r="H378" t="s">
        <v>7133</v>
      </c>
      <c r="I378" t="s">
        <v>7194</v>
      </c>
      <c r="J378" s="140" t="str" cm="1">
        <f t="array" ref="J378">myRGB(B378,C378,D378)</f>
        <v/>
      </c>
    </row>
    <row r="379" spans="1:10" x14ac:dyDescent="0.2">
      <c r="A379">
        <v>757</v>
      </c>
      <c r="B379" s="3">
        <v>252</v>
      </c>
      <c r="C379" s="3">
        <v>144</v>
      </c>
      <c r="D379" s="3">
        <v>254</v>
      </c>
      <c r="E379" t="s">
        <v>4366</v>
      </c>
      <c r="F379" t="str">
        <f t="shared" si="5"/>
        <v>252 144 254 255</v>
      </c>
      <c r="G379">
        <v>757</v>
      </c>
      <c r="H379" t="s">
        <v>6180</v>
      </c>
      <c r="I379" t="s">
        <v>6181</v>
      </c>
      <c r="J379" s="469" t="str" cm="1">
        <f t="array" ref="J379">myRGB(B379,C379,D379)</f>
        <v/>
      </c>
    </row>
    <row r="380" spans="1:10" x14ac:dyDescent="0.2">
      <c r="A380">
        <v>759</v>
      </c>
      <c r="B380" s="3">
        <v>3</v>
      </c>
      <c r="C380" s="3">
        <v>146</v>
      </c>
      <c r="D380" s="3">
        <v>152</v>
      </c>
      <c r="E380" t="s">
        <v>4367</v>
      </c>
      <c r="F380" t="str">
        <f t="shared" si="5"/>
        <v>3 146 152 255</v>
      </c>
      <c r="G380">
        <v>759</v>
      </c>
      <c r="H380" t="s">
        <v>4838</v>
      </c>
      <c r="I380" t="s">
        <v>4839</v>
      </c>
      <c r="J380" s="264" t="str" cm="1">
        <f t="array" ref="J380">myRGB(B380,C380,D380)</f>
        <v/>
      </c>
    </row>
    <row r="381" spans="1:10" x14ac:dyDescent="0.2">
      <c r="A381">
        <v>763</v>
      </c>
      <c r="B381" s="3">
        <v>253</v>
      </c>
      <c r="C381" s="3">
        <v>84</v>
      </c>
      <c r="D381" s="3">
        <v>71</v>
      </c>
      <c r="E381" t="s">
        <v>4368</v>
      </c>
      <c r="F381" t="str">
        <f t="shared" si="5"/>
        <v>253 84 71 255</v>
      </c>
      <c r="G381">
        <v>763</v>
      </c>
      <c r="H381" t="s">
        <v>5952</v>
      </c>
      <c r="I381" t="s">
        <v>5953</v>
      </c>
      <c r="J381" s="677" t="str" cm="1">
        <f t="array" ref="J381">myRGB(B381,C381,D381)</f>
        <v/>
      </c>
    </row>
    <row r="382" spans="1:10" x14ac:dyDescent="0.2">
      <c r="A382">
        <v>765</v>
      </c>
      <c r="B382" s="3">
        <v>255</v>
      </c>
      <c r="C382" s="3">
        <v>176</v>
      </c>
      <c r="D382" s="3">
        <v>217</v>
      </c>
      <c r="E382" t="s">
        <v>4369</v>
      </c>
      <c r="F382" t="str">
        <f t="shared" si="5"/>
        <v>255 176 217 255</v>
      </c>
      <c r="G382">
        <v>765</v>
      </c>
      <c r="H382" t="s">
        <v>6473</v>
      </c>
      <c r="I382" t="s">
        <v>6474</v>
      </c>
      <c r="J382" s="773" t="str" cm="1">
        <f t="array" ref="J382">myRGB(B382,C382,D382)</f>
        <v/>
      </c>
    </row>
    <row r="383" spans="1:10" x14ac:dyDescent="0.2">
      <c r="A383">
        <v>767</v>
      </c>
      <c r="B383" s="3">
        <v>31</v>
      </c>
      <c r="C383" s="3">
        <v>157</v>
      </c>
      <c r="D383" s="3">
        <v>88</v>
      </c>
      <c r="E383" t="s">
        <v>4370</v>
      </c>
      <c r="F383" t="str">
        <f t="shared" si="5"/>
        <v>31 157 88 255</v>
      </c>
      <c r="G383">
        <v>767</v>
      </c>
      <c r="H383" t="s">
        <v>4634</v>
      </c>
      <c r="I383" t="s">
        <v>4635</v>
      </c>
      <c r="J383" s="53" t="str" cm="1">
        <f t="array" ref="J383">myRGB(B383,C383,D383)</f>
        <v/>
      </c>
    </row>
    <row r="384" spans="1:10" x14ac:dyDescent="0.2">
      <c r="A384">
        <v>771</v>
      </c>
      <c r="B384" s="3">
        <v>255</v>
      </c>
      <c r="C384" s="3">
        <v>155</v>
      </c>
      <c r="D384" s="3">
        <v>136</v>
      </c>
      <c r="E384" t="s">
        <v>4371</v>
      </c>
      <c r="F384" t="str">
        <f t="shared" si="5"/>
        <v>255 155 136 255</v>
      </c>
      <c r="G384">
        <v>771</v>
      </c>
      <c r="H384" t="s">
        <v>6228</v>
      </c>
      <c r="I384" t="s">
        <v>6229</v>
      </c>
      <c r="J384" s="649" t="str" cm="1">
        <f t="array" ref="J384">myRGB(B384,C384,D384)</f>
        <v/>
      </c>
    </row>
    <row r="385" spans="1:10" x14ac:dyDescent="0.2">
      <c r="A385">
        <v>772</v>
      </c>
      <c r="B385" s="3">
        <v>62</v>
      </c>
      <c r="C385" s="3">
        <v>166</v>
      </c>
      <c r="D385" s="3">
        <v>102</v>
      </c>
      <c r="E385" t="s">
        <v>4372</v>
      </c>
      <c r="F385" t="str">
        <f t="shared" si="5"/>
        <v>62 166 102 255</v>
      </c>
      <c r="G385">
        <v>772</v>
      </c>
      <c r="H385" t="s">
        <v>4990</v>
      </c>
      <c r="I385" t="s">
        <v>4991</v>
      </c>
      <c r="J385" s="195" t="str" cm="1">
        <f t="array" ref="J385">myRGB(B385,C385,D385)</f>
        <v/>
      </c>
    </row>
    <row r="386" spans="1:10" x14ac:dyDescent="0.2">
      <c r="A386">
        <v>773</v>
      </c>
      <c r="B386" s="3">
        <v>254</v>
      </c>
      <c r="C386" s="3">
        <v>177</v>
      </c>
      <c r="D386" s="3">
        <v>215</v>
      </c>
      <c r="E386" t="s">
        <v>4373</v>
      </c>
      <c r="F386" t="str">
        <f t="shared" si="5"/>
        <v>254 177 215 255</v>
      </c>
      <c r="G386">
        <v>773</v>
      </c>
      <c r="H386" t="s">
        <v>6475</v>
      </c>
      <c r="I386" t="s">
        <v>6476</v>
      </c>
      <c r="J386" s="630" t="str" cm="1">
        <f t="array" ref="J386">myRGB(B386,C386,D386)</f>
        <v/>
      </c>
    </row>
    <row r="387" spans="1:10" x14ac:dyDescent="0.2">
      <c r="A387">
        <v>774</v>
      </c>
      <c r="B387" s="3">
        <v>28</v>
      </c>
      <c r="C387" s="3">
        <v>166</v>
      </c>
      <c r="D387" s="3">
        <v>151</v>
      </c>
      <c r="E387" t="s">
        <v>4374</v>
      </c>
      <c r="F387" t="str">
        <f t="shared" ref="F387:F450" si="6">_xlfn.CONCAT(B387," ",C387," ",D387," 255")</f>
        <v>28 166 151 255</v>
      </c>
      <c r="G387">
        <v>774</v>
      </c>
      <c r="H387" t="s">
        <v>5102</v>
      </c>
      <c r="I387" t="s">
        <v>5103</v>
      </c>
      <c r="J387" s="197" t="str" cm="1">
        <f t="array" ref="J387">myRGB(B387,C387,D387)</f>
        <v/>
      </c>
    </row>
    <row r="388" spans="1:10" x14ac:dyDescent="0.2">
      <c r="A388">
        <v>776</v>
      </c>
      <c r="B388" s="3">
        <v>199</v>
      </c>
      <c r="C388" s="3">
        <v>201</v>
      </c>
      <c r="D388" s="3">
        <v>202</v>
      </c>
      <c r="E388" t="s">
        <v>4375</v>
      </c>
      <c r="F388" t="str">
        <f t="shared" si="6"/>
        <v>199 201 202 255</v>
      </c>
      <c r="G388">
        <v>776</v>
      </c>
      <c r="H388" t="s">
        <v>6842</v>
      </c>
      <c r="I388" t="s">
        <v>6843</v>
      </c>
      <c r="J388" s="551" t="str" cm="1">
        <f t="array" ref="J388">myRGB(B388,C388,D388)</f>
        <v/>
      </c>
    </row>
    <row r="389" spans="1:10" x14ac:dyDescent="0.2">
      <c r="A389">
        <v>778</v>
      </c>
      <c r="B389" s="3">
        <v>8</v>
      </c>
      <c r="C389" s="3">
        <v>131</v>
      </c>
      <c r="D389" s="3">
        <v>137</v>
      </c>
      <c r="E389" t="s">
        <v>4376</v>
      </c>
      <c r="F389" t="str">
        <f t="shared" si="6"/>
        <v>8 131 137 255</v>
      </c>
      <c r="G389">
        <v>778</v>
      </c>
      <c r="H389" t="s">
        <v>4912</v>
      </c>
      <c r="I389" t="s">
        <v>4913</v>
      </c>
      <c r="J389" s="123" t="str" cm="1">
        <f t="array" ref="J389">myRGB(B389,C389,D389)</f>
        <v/>
      </c>
    </row>
    <row r="390" spans="1:10" x14ac:dyDescent="0.2">
      <c r="A390">
        <v>780</v>
      </c>
      <c r="B390" s="3">
        <v>151</v>
      </c>
      <c r="C390" s="3">
        <v>236</v>
      </c>
      <c r="D390" s="3">
        <v>147</v>
      </c>
      <c r="E390" t="s">
        <v>4377</v>
      </c>
      <c r="F390" t="str">
        <f t="shared" si="6"/>
        <v>151 236 147 255</v>
      </c>
      <c r="G390">
        <v>780</v>
      </c>
      <c r="H390" t="s">
        <v>5600</v>
      </c>
      <c r="I390" t="s">
        <v>5601</v>
      </c>
      <c r="J390" s="89" t="str" cm="1">
        <f t="array" ref="J390">myRGB(B390,C390,D390)</f>
        <v/>
      </c>
    </row>
    <row r="391" spans="1:10" x14ac:dyDescent="0.2">
      <c r="A391">
        <v>781</v>
      </c>
      <c r="B391" s="3">
        <v>253</v>
      </c>
      <c r="C391" s="3">
        <v>178</v>
      </c>
      <c r="D391" s="3">
        <v>215</v>
      </c>
      <c r="E391" t="s">
        <v>4378</v>
      </c>
      <c r="F391" t="str">
        <f t="shared" si="6"/>
        <v>253 178 215 255</v>
      </c>
      <c r="G391">
        <v>781</v>
      </c>
      <c r="H391" t="s">
        <v>6477</v>
      </c>
      <c r="I391" t="s">
        <v>6478</v>
      </c>
      <c r="J391" s="653" t="str" cm="1">
        <f t="array" ref="J391">myRGB(B391,C391,D391)</f>
        <v/>
      </c>
    </row>
    <row r="392" spans="1:10" x14ac:dyDescent="0.2">
      <c r="A392">
        <v>783</v>
      </c>
      <c r="B392" s="3">
        <v>32</v>
      </c>
      <c r="C392" s="3">
        <v>150</v>
      </c>
      <c r="D392" s="3">
        <v>102</v>
      </c>
      <c r="E392" t="s">
        <v>4379</v>
      </c>
      <c r="F392" t="str">
        <f t="shared" si="6"/>
        <v>32 150 102 255</v>
      </c>
      <c r="G392">
        <v>783</v>
      </c>
      <c r="H392" t="s">
        <v>5072</v>
      </c>
      <c r="I392" t="s">
        <v>5073</v>
      </c>
      <c r="J392" s="26" t="str" cm="1">
        <f t="array" ref="J392">myRGB(B392,C392,D392)</f>
        <v/>
      </c>
    </row>
    <row r="393" spans="1:10" x14ac:dyDescent="0.2">
      <c r="A393">
        <v>784</v>
      </c>
      <c r="B393" s="3">
        <v>200</v>
      </c>
      <c r="C393" s="3">
        <v>199</v>
      </c>
      <c r="D393" s="3">
        <v>204</v>
      </c>
      <c r="E393" t="s">
        <v>4380</v>
      </c>
      <c r="F393" t="str">
        <f t="shared" si="6"/>
        <v>200 199 204 255</v>
      </c>
      <c r="G393">
        <v>784</v>
      </c>
      <c r="H393" t="s">
        <v>6860</v>
      </c>
      <c r="I393" t="s">
        <v>6861</v>
      </c>
      <c r="J393" s="574" t="str" cm="1">
        <f t="array" ref="J393">myRGB(B393,C393,D393)</f>
        <v/>
      </c>
    </row>
    <row r="394" spans="1:10" x14ac:dyDescent="0.2">
      <c r="A394">
        <v>786</v>
      </c>
      <c r="B394" s="3">
        <v>22</v>
      </c>
      <c r="C394" s="3">
        <v>176</v>
      </c>
      <c r="D394" s="3">
        <v>178</v>
      </c>
      <c r="E394" t="s">
        <v>4381</v>
      </c>
      <c r="F394" t="str">
        <f t="shared" si="6"/>
        <v>22 176 178 255</v>
      </c>
      <c r="G394">
        <v>786</v>
      </c>
      <c r="H394" t="s">
        <v>5214</v>
      </c>
      <c r="I394" t="s">
        <v>5215</v>
      </c>
      <c r="J394" s="322" t="str" cm="1">
        <f t="array" ref="J394">myRGB(B394,C394,D394)</f>
        <v/>
      </c>
    </row>
    <row r="395" spans="1:10" x14ac:dyDescent="0.2">
      <c r="A395">
        <v>788</v>
      </c>
      <c r="B395" s="3">
        <v>89</v>
      </c>
      <c r="C395" s="3">
        <v>217</v>
      </c>
      <c r="D395" s="3">
        <v>170</v>
      </c>
      <c r="E395" t="s">
        <v>4382</v>
      </c>
      <c r="F395" t="str">
        <f t="shared" si="6"/>
        <v>89 217 170 255</v>
      </c>
      <c r="G395">
        <v>788</v>
      </c>
      <c r="H395" t="s">
        <v>5360</v>
      </c>
      <c r="I395" t="s">
        <v>5361</v>
      </c>
      <c r="J395" s="309" t="str" cm="1">
        <f t="array" ref="J395">myRGB(B395,C395,D395)</f>
        <v/>
      </c>
    </row>
    <row r="396" spans="1:10" x14ac:dyDescent="0.2">
      <c r="A396">
        <v>791</v>
      </c>
      <c r="B396" s="3">
        <v>1</v>
      </c>
      <c r="C396" s="3">
        <v>145</v>
      </c>
      <c r="D396" s="3">
        <v>151</v>
      </c>
      <c r="E396" t="s">
        <v>4383</v>
      </c>
      <c r="F396" t="str">
        <f t="shared" si="6"/>
        <v>1 145 151 255</v>
      </c>
      <c r="G396">
        <v>791</v>
      </c>
      <c r="H396" t="s">
        <v>4840</v>
      </c>
      <c r="I396" t="s">
        <v>4841</v>
      </c>
      <c r="J396" s="225" t="str" cm="1">
        <f t="array" ref="J396">myRGB(B396,C396,D396)</f>
        <v/>
      </c>
    </row>
    <row r="397" spans="1:10" x14ac:dyDescent="0.2">
      <c r="A397">
        <v>794</v>
      </c>
      <c r="B397" s="3">
        <v>200</v>
      </c>
      <c r="C397" s="3">
        <v>202</v>
      </c>
      <c r="D397" s="3">
        <v>202</v>
      </c>
      <c r="E397" t="s">
        <v>4384</v>
      </c>
      <c r="F397" t="str">
        <f t="shared" si="6"/>
        <v>200 202 202 255</v>
      </c>
      <c r="G397">
        <v>794</v>
      </c>
      <c r="H397" t="s">
        <v>6718</v>
      </c>
      <c r="I397" t="s">
        <v>6719</v>
      </c>
      <c r="J397" s="666" t="str" cm="1">
        <f t="array" ref="J397">myRGB(B397,C397,D397)</f>
        <v/>
      </c>
    </row>
    <row r="398" spans="1:10" x14ac:dyDescent="0.2">
      <c r="A398">
        <v>795</v>
      </c>
      <c r="B398" s="3">
        <v>252</v>
      </c>
      <c r="C398" s="3">
        <v>143</v>
      </c>
      <c r="D398" s="3">
        <v>255</v>
      </c>
      <c r="E398" t="s">
        <v>4385</v>
      </c>
      <c r="F398" t="str">
        <f t="shared" si="6"/>
        <v>252 143 255 255</v>
      </c>
      <c r="G398">
        <v>795</v>
      </c>
      <c r="H398" t="s">
        <v>6138</v>
      </c>
      <c r="I398" t="s">
        <v>6139</v>
      </c>
      <c r="J398" s="406" t="str" cm="1">
        <f t="array" ref="J398">myRGB(B398,C398,D398)</f>
        <v/>
      </c>
    </row>
    <row r="399" spans="1:10" x14ac:dyDescent="0.2">
      <c r="A399">
        <v>797</v>
      </c>
      <c r="B399" s="3">
        <v>240</v>
      </c>
      <c r="C399" s="3">
        <v>72</v>
      </c>
      <c r="D399" s="3">
        <v>59</v>
      </c>
      <c r="E399" t="s">
        <v>4386</v>
      </c>
      <c r="F399" t="str">
        <f t="shared" si="6"/>
        <v>240 72 59 255</v>
      </c>
      <c r="G399">
        <v>797</v>
      </c>
      <c r="H399" t="s">
        <v>6066</v>
      </c>
      <c r="I399" t="s">
        <v>6067</v>
      </c>
      <c r="J399" s="431" t="str" cm="1">
        <f t="array" ref="J399">myRGB(B399,C399,D399)</f>
        <v/>
      </c>
    </row>
    <row r="400" spans="1:10" x14ac:dyDescent="0.2">
      <c r="A400">
        <v>798</v>
      </c>
      <c r="B400" s="3">
        <v>204</v>
      </c>
      <c r="C400" s="3">
        <v>204</v>
      </c>
      <c r="D400" s="3">
        <v>199</v>
      </c>
      <c r="E400" t="s">
        <v>4387</v>
      </c>
      <c r="F400" t="str">
        <f t="shared" si="6"/>
        <v>204 204 199 255</v>
      </c>
      <c r="G400">
        <v>798</v>
      </c>
      <c r="H400" t="s">
        <v>6720</v>
      </c>
      <c r="I400" t="s">
        <v>6721</v>
      </c>
      <c r="J400" s="668" t="str" cm="1">
        <f t="array" ref="J400">myRGB(B400,C400,D400)</f>
        <v/>
      </c>
    </row>
    <row r="401" spans="1:10" x14ac:dyDescent="0.2">
      <c r="A401">
        <v>800</v>
      </c>
      <c r="B401" s="3">
        <v>31</v>
      </c>
      <c r="C401" s="3">
        <v>152</v>
      </c>
      <c r="D401" s="3">
        <v>101</v>
      </c>
      <c r="E401" t="s">
        <v>4388</v>
      </c>
      <c r="F401" t="str">
        <f t="shared" si="6"/>
        <v>31 152 101 255</v>
      </c>
      <c r="G401">
        <v>800</v>
      </c>
      <c r="H401" t="s">
        <v>5090</v>
      </c>
      <c r="I401" t="s">
        <v>5091</v>
      </c>
      <c r="J401" s="99" t="str" cm="1">
        <f t="array" ref="J401">myRGB(B401,C401,D401)</f>
        <v/>
      </c>
    </row>
    <row r="402" spans="1:10" x14ac:dyDescent="0.2">
      <c r="A402">
        <v>802</v>
      </c>
      <c r="B402" s="3">
        <v>204</v>
      </c>
      <c r="C402" s="3">
        <v>201</v>
      </c>
      <c r="D402" s="3">
        <v>200</v>
      </c>
      <c r="E402" t="s">
        <v>4389</v>
      </c>
      <c r="F402" t="str">
        <f t="shared" si="6"/>
        <v>204 201 200 255</v>
      </c>
      <c r="G402">
        <v>802</v>
      </c>
      <c r="H402" t="s">
        <v>7030</v>
      </c>
      <c r="I402" t="s">
        <v>7031</v>
      </c>
      <c r="J402" s="822" t="str" cm="1">
        <f t="array" ref="J402">myRGB(B402,C402,D402)</f>
        <v/>
      </c>
    </row>
    <row r="403" spans="1:10" x14ac:dyDescent="0.2">
      <c r="A403">
        <v>803</v>
      </c>
      <c r="B403" s="3">
        <v>133</v>
      </c>
      <c r="C403" s="3">
        <v>153</v>
      </c>
      <c r="D403" s="3">
        <v>204</v>
      </c>
      <c r="E403" t="s">
        <v>4390</v>
      </c>
      <c r="F403" t="str">
        <f t="shared" si="6"/>
        <v>133 153 204 255</v>
      </c>
      <c r="G403">
        <v>803</v>
      </c>
      <c r="H403" t="s">
        <v>5678</v>
      </c>
      <c r="I403" t="s">
        <v>5679</v>
      </c>
      <c r="J403" s="392" t="str" cm="1">
        <f t="array" ref="J403">myRGB(B403,C403,D403)</f>
        <v/>
      </c>
    </row>
    <row r="404" spans="1:10" x14ac:dyDescent="0.2">
      <c r="A404">
        <v>804</v>
      </c>
      <c r="B404" s="3">
        <v>242</v>
      </c>
      <c r="C404" s="3">
        <v>71</v>
      </c>
      <c r="D404" s="3">
        <v>57</v>
      </c>
      <c r="E404" t="s">
        <v>4391</v>
      </c>
      <c r="F404" t="str">
        <f t="shared" si="6"/>
        <v>242 71 57 255</v>
      </c>
      <c r="G404">
        <v>804</v>
      </c>
      <c r="H404" t="s">
        <v>6070</v>
      </c>
      <c r="I404" t="s">
        <v>6071</v>
      </c>
      <c r="J404" s="734" t="str" cm="1">
        <f t="array" ref="J404">myRGB(B404,C404,D404)</f>
        <v/>
      </c>
    </row>
    <row r="405" spans="1:10" x14ac:dyDescent="0.2">
      <c r="A405">
        <v>805</v>
      </c>
      <c r="B405" s="3">
        <v>10</v>
      </c>
      <c r="C405" s="3">
        <v>133</v>
      </c>
      <c r="D405" s="3">
        <v>137</v>
      </c>
      <c r="E405" t="s">
        <v>4392</v>
      </c>
      <c r="F405" t="str">
        <f t="shared" si="6"/>
        <v>10 133 137 255</v>
      </c>
      <c r="G405">
        <v>805</v>
      </c>
      <c r="H405" t="s">
        <v>4932</v>
      </c>
      <c r="I405" t="s">
        <v>4933</v>
      </c>
      <c r="J405" s="243" t="str" cm="1">
        <f t="array" ref="J405">myRGB(B405,C405,D405)</f>
        <v/>
      </c>
    </row>
    <row r="406" spans="1:10" x14ac:dyDescent="0.2">
      <c r="A406">
        <v>806</v>
      </c>
      <c r="B406" s="3">
        <v>27</v>
      </c>
      <c r="C406" s="3">
        <v>128</v>
      </c>
      <c r="D406" s="3">
        <v>99</v>
      </c>
      <c r="E406" t="s">
        <v>4393</v>
      </c>
      <c r="F406" t="str">
        <f t="shared" si="6"/>
        <v>27 128 99 255</v>
      </c>
      <c r="G406">
        <v>806</v>
      </c>
      <c r="H406" t="s">
        <v>7126</v>
      </c>
      <c r="I406" t="s">
        <v>7187</v>
      </c>
      <c r="J406" s="253" t="str" cm="1">
        <f t="array" ref="J406">myRGB(B406,C406,D406)</f>
        <v/>
      </c>
    </row>
    <row r="407" spans="1:10" x14ac:dyDescent="0.2">
      <c r="A407">
        <v>810</v>
      </c>
      <c r="B407" s="3">
        <v>64</v>
      </c>
      <c r="C407" s="3">
        <v>165</v>
      </c>
      <c r="D407" s="3">
        <v>100</v>
      </c>
      <c r="E407" t="s">
        <v>4394</v>
      </c>
      <c r="F407" t="str">
        <f t="shared" si="6"/>
        <v>64 165 100 255</v>
      </c>
      <c r="G407">
        <v>810</v>
      </c>
      <c r="H407" t="s">
        <v>4992</v>
      </c>
      <c r="I407" t="s">
        <v>4993</v>
      </c>
      <c r="J407" s="147" t="str" cm="1">
        <f t="array" ref="J407">myRGB(B407,C407,D407)</f>
        <v/>
      </c>
    </row>
    <row r="408" spans="1:10" x14ac:dyDescent="0.2">
      <c r="A408">
        <v>811</v>
      </c>
      <c r="B408" s="3">
        <v>254</v>
      </c>
      <c r="C408" s="3">
        <v>122</v>
      </c>
      <c r="D408" s="3">
        <v>254</v>
      </c>
      <c r="E408" t="s">
        <v>4395</v>
      </c>
      <c r="F408" t="str">
        <f t="shared" si="6"/>
        <v>254 122 254 255</v>
      </c>
      <c r="G408">
        <v>811</v>
      </c>
      <c r="H408" t="s">
        <v>6088</v>
      </c>
      <c r="I408" t="s">
        <v>6089</v>
      </c>
      <c r="J408" s="805" t="str" cm="1">
        <f t="array" ref="J408">myRGB(B408,C408,D408)</f>
        <v/>
      </c>
    </row>
    <row r="409" spans="1:10" x14ac:dyDescent="0.2">
      <c r="A409">
        <v>812</v>
      </c>
      <c r="B409" s="3">
        <v>204</v>
      </c>
      <c r="C409" s="3">
        <v>199</v>
      </c>
      <c r="D409" s="3">
        <v>204</v>
      </c>
      <c r="E409" t="s">
        <v>4396</v>
      </c>
      <c r="F409" t="str">
        <f t="shared" si="6"/>
        <v>204 199 204 255</v>
      </c>
      <c r="G409">
        <v>812</v>
      </c>
      <c r="H409" t="s">
        <v>6810</v>
      </c>
      <c r="I409" t="s">
        <v>6811</v>
      </c>
      <c r="J409" s="576" t="str" cm="1">
        <f t="array" ref="J409">myRGB(B409,C409,D409)</f>
        <v/>
      </c>
    </row>
    <row r="410" spans="1:10" x14ac:dyDescent="0.2">
      <c r="A410">
        <v>814</v>
      </c>
      <c r="B410" s="3">
        <v>163</v>
      </c>
      <c r="C410" s="3">
        <v>218</v>
      </c>
      <c r="D410" s="3">
        <v>163</v>
      </c>
      <c r="E410" t="s">
        <v>4397</v>
      </c>
      <c r="F410" t="str">
        <f t="shared" si="6"/>
        <v>163 218 163 255</v>
      </c>
      <c r="G410">
        <v>814</v>
      </c>
      <c r="H410" t="s">
        <v>5294</v>
      </c>
      <c r="I410" t="s">
        <v>5295</v>
      </c>
      <c r="J410" s="92" t="str" cm="1">
        <f t="array" ref="J410">myRGB(B410,C410,D410)</f>
        <v/>
      </c>
    </row>
    <row r="411" spans="1:10" x14ac:dyDescent="0.2">
      <c r="A411">
        <v>816</v>
      </c>
      <c r="B411" s="3">
        <v>3</v>
      </c>
      <c r="C411" s="3">
        <v>147</v>
      </c>
      <c r="D411" s="3">
        <v>151</v>
      </c>
      <c r="E411" t="s">
        <v>4398</v>
      </c>
      <c r="F411" t="str">
        <f t="shared" si="6"/>
        <v>3 147 151 255</v>
      </c>
      <c r="G411">
        <v>816</v>
      </c>
      <c r="H411" t="s">
        <v>4826</v>
      </c>
      <c r="I411" t="s">
        <v>4827</v>
      </c>
      <c r="J411" s="281" t="str" cm="1">
        <f t="array" ref="J411">myRGB(B411,C411,D411)</f>
        <v/>
      </c>
    </row>
    <row r="412" spans="1:10" x14ac:dyDescent="0.2">
      <c r="A412">
        <v>819</v>
      </c>
      <c r="B412" s="3">
        <v>64</v>
      </c>
      <c r="C412" s="3">
        <v>164</v>
      </c>
      <c r="D412" s="3">
        <v>101</v>
      </c>
      <c r="E412" t="s">
        <v>4399</v>
      </c>
      <c r="F412" t="str">
        <f t="shared" si="6"/>
        <v>64 164 101 255</v>
      </c>
      <c r="G412">
        <v>819</v>
      </c>
      <c r="H412" t="s">
        <v>4994</v>
      </c>
      <c r="I412" t="s">
        <v>4995</v>
      </c>
      <c r="J412" s="136" t="str" cm="1">
        <f t="array" ref="J412">myRGB(B412,C412,D412)</f>
        <v/>
      </c>
    </row>
    <row r="413" spans="1:10" x14ac:dyDescent="0.2">
      <c r="A413">
        <v>820</v>
      </c>
      <c r="B413" s="3">
        <v>254</v>
      </c>
      <c r="C413" s="3">
        <v>121</v>
      </c>
      <c r="D413" s="3">
        <v>255</v>
      </c>
      <c r="E413" t="s">
        <v>4400</v>
      </c>
      <c r="F413" t="str">
        <f t="shared" si="6"/>
        <v>254 121 255 255</v>
      </c>
      <c r="G413">
        <v>820</v>
      </c>
      <c r="H413" t="s">
        <v>6090</v>
      </c>
      <c r="I413" t="s">
        <v>6091</v>
      </c>
      <c r="J413" s="504" t="str" cm="1">
        <f t="array" ref="J413">myRGB(B413,C413,D413)</f>
        <v/>
      </c>
    </row>
    <row r="414" spans="1:10" x14ac:dyDescent="0.2">
      <c r="A414">
        <v>821</v>
      </c>
      <c r="B414" s="3">
        <v>10</v>
      </c>
      <c r="C414" s="3">
        <v>130</v>
      </c>
      <c r="D414" s="3">
        <v>140</v>
      </c>
      <c r="E414" t="s">
        <v>4401</v>
      </c>
      <c r="F414" t="str">
        <f t="shared" si="6"/>
        <v>10 130 140 255</v>
      </c>
      <c r="G414">
        <v>821</v>
      </c>
      <c r="H414" t="s">
        <v>7138</v>
      </c>
      <c r="I414" t="s">
        <v>7199</v>
      </c>
      <c r="J414" s="345" t="str" cm="1">
        <f t="array" ref="J414">myRGB(B414,C414,D414)</f>
        <v/>
      </c>
    </row>
    <row r="415" spans="1:10" x14ac:dyDescent="0.2">
      <c r="A415">
        <v>827</v>
      </c>
      <c r="B415" s="3">
        <v>89</v>
      </c>
      <c r="C415" s="3">
        <v>178</v>
      </c>
      <c r="D415" s="3">
        <v>98</v>
      </c>
      <c r="E415" t="s">
        <v>4402</v>
      </c>
      <c r="F415" t="str">
        <f t="shared" si="6"/>
        <v>89 178 98 255</v>
      </c>
      <c r="G415">
        <v>827</v>
      </c>
      <c r="H415" t="s">
        <v>5014</v>
      </c>
      <c r="I415" t="s">
        <v>5015</v>
      </c>
      <c r="J415" s="135" t="str" cm="1">
        <f t="array" ref="J415">myRGB(B415,C415,D415)</f>
        <v/>
      </c>
    </row>
    <row r="416" spans="1:10" x14ac:dyDescent="0.2">
      <c r="A416">
        <v>828</v>
      </c>
      <c r="B416" s="3">
        <v>254</v>
      </c>
      <c r="C416" s="3">
        <v>121</v>
      </c>
      <c r="D416" s="3">
        <v>254</v>
      </c>
      <c r="E416" t="s">
        <v>4403</v>
      </c>
      <c r="F416" t="str">
        <f t="shared" si="6"/>
        <v>254 121 254 255</v>
      </c>
      <c r="G416">
        <v>828</v>
      </c>
      <c r="H416" t="s">
        <v>6092</v>
      </c>
      <c r="I416" t="s">
        <v>6093</v>
      </c>
      <c r="J416" s="466" t="str" cm="1">
        <f t="array" ref="J416">myRGB(B416,C416,D416)</f>
        <v/>
      </c>
    </row>
    <row r="417" spans="1:10" x14ac:dyDescent="0.2">
      <c r="A417">
        <v>830</v>
      </c>
      <c r="B417" s="3">
        <v>254</v>
      </c>
      <c r="C417" s="3">
        <v>84</v>
      </c>
      <c r="D417" s="3">
        <v>69</v>
      </c>
      <c r="E417" t="s">
        <v>4404</v>
      </c>
      <c r="F417" t="str">
        <f t="shared" si="6"/>
        <v>254 84 69 255</v>
      </c>
      <c r="G417">
        <v>830</v>
      </c>
      <c r="H417" t="s">
        <v>5940</v>
      </c>
      <c r="I417" t="s">
        <v>5941</v>
      </c>
      <c r="J417" s="596" t="str" cm="1">
        <f t="array" ref="J417">myRGB(B417,C417,D417)</f>
        <v/>
      </c>
    </row>
    <row r="418" spans="1:10" x14ac:dyDescent="0.2">
      <c r="A418">
        <v>831</v>
      </c>
      <c r="B418" s="3">
        <v>31</v>
      </c>
      <c r="C418" s="3">
        <v>151</v>
      </c>
      <c r="D418" s="3">
        <v>102</v>
      </c>
      <c r="E418" t="s">
        <v>4405</v>
      </c>
      <c r="F418" t="str">
        <f t="shared" si="6"/>
        <v>31 151 102 255</v>
      </c>
      <c r="G418">
        <v>831</v>
      </c>
      <c r="H418" t="s">
        <v>5074</v>
      </c>
      <c r="I418" t="s">
        <v>5075</v>
      </c>
      <c r="J418" s="174" t="str" cm="1">
        <f t="array" ref="J418">myRGB(B418,C418,D418)</f>
        <v/>
      </c>
    </row>
    <row r="419" spans="1:10" x14ac:dyDescent="0.2">
      <c r="A419">
        <v>832</v>
      </c>
      <c r="B419" s="3">
        <v>199</v>
      </c>
      <c r="C419" s="3">
        <v>204</v>
      </c>
      <c r="D419" s="3">
        <v>204</v>
      </c>
      <c r="E419" t="s">
        <v>4406</v>
      </c>
      <c r="F419" t="str">
        <f t="shared" si="6"/>
        <v>199 204 204 255</v>
      </c>
      <c r="G419">
        <v>832</v>
      </c>
      <c r="H419" t="s">
        <v>6698</v>
      </c>
      <c r="I419" t="s">
        <v>6699</v>
      </c>
      <c r="J419" s="831" t="str" cm="1">
        <f t="array" ref="J419">myRGB(B419,C419,D419)</f>
        <v/>
      </c>
    </row>
    <row r="420" spans="1:10" x14ac:dyDescent="0.2">
      <c r="A420">
        <v>834</v>
      </c>
      <c r="B420" s="3">
        <v>255</v>
      </c>
      <c r="C420" s="3">
        <v>122</v>
      </c>
      <c r="D420" s="3">
        <v>253</v>
      </c>
      <c r="E420" t="s">
        <v>4407</v>
      </c>
      <c r="F420" t="str">
        <f t="shared" si="6"/>
        <v>255 122 253 255</v>
      </c>
      <c r="G420">
        <v>834</v>
      </c>
      <c r="H420" t="s">
        <v>6084</v>
      </c>
      <c r="I420" t="s">
        <v>6085</v>
      </c>
      <c r="J420" s="484" t="str" cm="1">
        <f t="array" ref="J420">myRGB(B420,C420,D420)</f>
        <v/>
      </c>
    </row>
    <row r="421" spans="1:10" x14ac:dyDescent="0.2">
      <c r="A421">
        <v>836</v>
      </c>
      <c r="B421" s="3">
        <v>13</v>
      </c>
      <c r="C421" s="3">
        <v>159</v>
      </c>
      <c r="D421" s="3">
        <v>144</v>
      </c>
      <c r="E421" t="s">
        <v>4408</v>
      </c>
      <c r="F421" t="str">
        <f t="shared" si="6"/>
        <v>13 159 144 255</v>
      </c>
      <c r="G421">
        <v>836</v>
      </c>
      <c r="H421" t="s">
        <v>5228</v>
      </c>
      <c r="I421" t="s">
        <v>7227</v>
      </c>
      <c r="J421" s="83" t="str" cm="1">
        <f t="array" ref="J421">myRGB(B421,C421,D421)</f>
        <v/>
      </c>
    </row>
    <row r="422" spans="1:10" x14ac:dyDescent="0.2">
      <c r="A422">
        <v>838</v>
      </c>
      <c r="B422" s="3">
        <v>27</v>
      </c>
      <c r="C422" s="3">
        <v>127</v>
      </c>
      <c r="D422" s="3">
        <v>100</v>
      </c>
      <c r="E422" t="s">
        <v>4409</v>
      </c>
      <c r="F422" t="str">
        <f t="shared" si="6"/>
        <v>27 127 100 255</v>
      </c>
      <c r="G422">
        <v>838</v>
      </c>
      <c r="H422" t="s">
        <v>7118</v>
      </c>
      <c r="I422" t="s">
        <v>7179</v>
      </c>
      <c r="J422" s="131" t="str" cm="1">
        <f t="array" ref="J422">myRGB(B422,C422,D422)</f>
        <v/>
      </c>
    </row>
    <row r="423" spans="1:10" x14ac:dyDescent="0.2">
      <c r="A423">
        <v>839</v>
      </c>
      <c r="B423" s="3">
        <v>253</v>
      </c>
      <c r="C423" s="3">
        <v>177</v>
      </c>
      <c r="D423" s="3">
        <v>216</v>
      </c>
      <c r="E423" t="s">
        <v>4410</v>
      </c>
      <c r="F423" t="str">
        <f t="shared" si="6"/>
        <v>253 177 216 255</v>
      </c>
      <c r="G423">
        <v>839</v>
      </c>
      <c r="H423" t="s">
        <v>6407</v>
      </c>
      <c r="I423" t="s">
        <v>6408</v>
      </c>
      <c r="J423" s="797" t="str" cm="1">
        <f t="array" ref="J423">myRGB(B423,C423,D423)</f>
        <v/>
      </c>
    </row>
    <row r="424" spans="1:10" x14ac:dyDescent="0.2">
      <c r="A424">
        <v>841</v>
      </c>
      <c r="B424" s="3">
        <v>204</v>
      </c>
      <c r="C424" s="3">
        <v>199</v>
      </c>
      <c r="D424" s="3">
        <v>203</v>
      </c>
      <c r="E424" t="s">
        <v>4411</v>
      </c>
      <c r="F424" t="str">
        <f t="shared" si="6"/>
        <v>204 199 203 255</v>
      </c>
      <c r="G424">
        <v>841</v>
      </c>
      <c r="H424" t="s">
        <v>6734</v>
      </c>
      <c r="I424" t="s">
        <v>6735</v>
      </c>
      <c r="J424" s="784" t="str" cm="1">
        <f t="array" ref="J424">myRGB(B424,C424,D424)</f>
        <v/>
      </c>
    </row>
    <row r="425" spans="1:10" x14ac:dyDescent="0.2">
      <c r="A425">
        <v>842</v>
      </c>
      <c r="B425" s="3">
        <v>255</v>
      </c>
      <c r="C425" s="3">
        <v>120</v>
      </c>
      <c r="D425" s="3">
        <v>255</v>
      </c>
      <c r="E425" t="s">
        <v>4412</v>
      </c>
      <c r="F425" t="str">
        <f t="shared" si="6"/>
        <v>255 120 255 255</v>
      </c>
      <c r="G425">
        <v>842</v>
      </c>
      <c r="H425" t="s">
        <v>6082</v>
      </c>
      <c r="I425" t="s">
        <v>6083</v>
      </c>
      <c r="J425" s="467" t="str" cm="1">
        <f t="array" ref="J425">myRGB(B425,C425,D425)</f>
        <v/>
      </c>
    </row>
    <row r="426" spans="1:10" x14ac:dyDescent="0.2">
      <c r="A426">
        <v>843</v>
      </c>
      <c r="B426" s="3">
        <v>114</v>
      </c>
      <c r="C426" s="3">
        <v>213</v>
      </c>
      <c r="D426" s="3">
        <v>104</v>
      </c>
      <c r="E426" t="s">
        <v>4413</v>
      </c>
      <c r="F426" t="str">
        <f t="shared" si="6"/>
        <v>114 213 104 255</v>
      </c>
      <c r="G426">
        <v>843</v>
      </c>
      <c r="H426" t="s">
        <v>5508</v>
      </c>
      <c r="I426" t="s">
        <v>5509</v>
      </c>
      <c r="J426" s="452" t="str" cm="1">
        <f t="array" ref="J426">myRGB(B426,C426,D426)</f>
        <v/>
      </c>
    </row>
    <row r="427" spans="1:10" x14ac:dyDescent="0.2">
      <c r="A427">
        <v>844</v>
      </c>
      <c r="B427" s="3">
        <v>31</v>
      </c>
      <c r="C427" s="3">
        <v>155</v>
      </c>
      <c r="D427" s="3">
        <v>90</v>
      </c>
      <c r="E427" t="s">
        <v>4414</v>
      </c>
      <c r="F427" t="str">
        <f t="shared" si="6"/>
        <v>31 155 90 255</v>
      </c>
      <c r="G427">
        <v>844</v>
      </c>
      <c r="H427" t="s">
        <v>4626</v>
      </c>
      <c r="I427" t="s">
        <v>4627</v>
      </c>
      <c r="J427" s="252" t="str" cm="1">
        <f t="array" ref="J427">myRGB(B427,C427,D427)</f>
        <v/>
      </c>
    </row>
    <row r="428" spans="1:10" x14ac:dyDescent="0.2">
      <c r="A428">
        <v>846</v>
      </c>
      <c r="B428" s="3">
        <v>255</v>
      </c>
      <c r="C428" s="3">
        <v>253</v>
      </c>
      <c r="D428" s="3">
        <v>187</v>
      </c>
      <c r="E428" t="s">
        <v>4415</v>
      </c>
      <c r="F428" t="str">
        <f t="shared" si="6"/>
        <v>255 253 187 255</v>
      </c>
      <c r="G428">
        <v>846</v>
      </c>
      <c r="H428" t="s">
        <v>6659</v>
      </c>
      <c r="I428" t="s">
        <v>6660</v>
      </c>
      <c r="J428" s="499" t="str" cm="1">
        <f t="array" ref="J428">myRGB(B428,C428,D428)</f>
        <v/>
      </c>
    </row>
    <row r="429" spans="1:10" x14ac:dyDescent="0.2">
      <c r="A429">
        <v>847</v>
      </c>
      <c r="B429" s="3">
        <v>3</v>
      </c>
      <c r="C429" s="3">
        <v>145</v>
      </c>
      <c r="D429" s="3">
        <v>153</v>
      </c>
      <c r="E429" t="s">
        <v>4416</v>
      </c>
      <c r="F429" t="str">
        <f t="shared" si="6"/>
        <v>3 145 153 255</v>
      </c>
      <c r="G429">
        <v>847</v>
      </c>
      <c r="H429" t="s">
        <v>4828</v>
      </c>
      <c r="I429" t="s">
        <v>4829</v>
      </c>
      <c r="J429" s="229" t="str" cm="1">
        <f t="array" ref="J429">myRGB(B429,C429,D429)</f>
        <v/>
      </c>
    </row>
    <row r="430" spans="1:10" x14ac:dyDescent="0.2">
      <c r="A430">
        <v>849</v>
      </c>
      <c r="B430" s="3">
        <v>17</v>
      </c>
      <c r="C430" s="3">
        <v>173</v>
      </c>
      <c r="D430" s="3">
        <v>130</v>
      </c>
      <c r="E430" t="s">
        <v>4417</v>
      </c>
      <c r="F430" t="str">
        <f t="shared" si="6"/>
        <v>17 173 130 255</v>
      </c>
      <c r="G430">
        <v>849</v>
      </c>
      <c r="H430" t="s">
        <v>4794</v>
      </c>
      <c r="I430" t="s">
        <v>4795</v>
      </c>
      <c r="J430" s="340" t="str" cm="1">
        <f t="array" ref="J430">myRGB(B430,C430,D430)</f>
        <v/>
      </c>
    </row>
    <row r="431" spans="1:10" x14ac:dyDescent="0.2">
      <c r="A431">
        <v>850</v>
      </c>
      <c r="B431" s="3">
        <v>203</v>
      </c>
      <c r="C431" s="3">
        <v>201</v>
      </c>
      <c r="D431" s="3">
        <v>200</v>
      </c>
      <c r="E431" t="s">
        <v>4418</v>
      </c>
      <c r="F431" t="str">
        <f t="shared" si="6"/>
        <v>203 201 200 255</v>
      </c>
      <c r="G431">
        <v>850</v>
      </c>
      <c r="H431" t="s">
        <v>6814</v>
      </c>
      <c r="I431" t="s">
        <v>6815</v>
      </c>
      <c r="J431" s="619" t="str" cm="1">
        <f t="array" ref="J431">myRGB(B431,C431,D431)</f>
        <v/>
      </c>
    </row>
    <row r="432" spans="1:10" x14ac:dyDescent="0.2">
      <c r="A432">
        <v>851</v>
      </c>
      <c r="B432" s="3">
        <v>253</v>
      </c>
      <c r="C432" s="3">
        <v>122</v>
      </c>
      <c r="D432" s="3">
        <v>255</v>
      </c>
      <c r="E432" t="s">
        <v>4419</v>
      </c>
      <c r="F432" t="str">
        <f t="shared" si="6"/>
        <v>253 122 255 255</v>
      </c>
      <c r="G432">
        <v>851</v>
      </c>
      <c r="H432" t="s">
        <v>6080</v>
      </c>
      <c r="I432" t="s">
        <v>6081</v>
      </c>
      <c r="J432" s="404" t="str" cm="1">
        <f t="array" ref="J432">myRGB(B432,C432,D432)</f>
        <v/>
      </c>
    </row>
    <row r="433" spans="1:10" x14ac:dyDescent="0.2">
      <c r="A433">
        <v>852</v>
      </c>
      <c r="B433" s="3">
        <v>252</v>
      </c>
      <c r="C433" s="3">
        <v>179</v>
      </c>
      <c r="D433" s="3">
        <v>217</v>
      </c>
      <c r="E433" t="s">
        <v>4420</v>
      </c>
      <c r="F433" t="str">
        <f t="shared" si="6"/>
        <v>252 179 217 255</v>
      </c>
      <c r="G433">
        <v>852</v>
      </c>
      <c r="H433" t="s">
        <v>6437</v>
      </c>
      <c r="I433" t="s">
        <v>6438</v>
      </c>
      <c r="J433" s="772" t="str" cm="1">
        <f t="array" ref="J433">myRGB(B433,C433,D433)</f>
        <v/>
      </c>
    </row>
    <row r="434" spans="1:10" x14ac:dyDescent="0.2">
      <c r="A434">
        <v>854</v>
      </c>
      <c r="B434" s="3">
        <v>25</v>
      </c>
      <c r="C434" s="3">
        <v>127</v>
      </c>
      <c r="D434" s="3">
        <v>97</v>
      </c>
      <c r="E434" t="s">
        <v>4421</v>
      </c>
      <c r="F434" t="str">
        <f t="shared" si="6"/>
        <v>25 127 97 255</v>
      </c>
      <c r="G434">
        <v>854</v>
      </c>
      <c r="H434" t="s">
        <v>7123</v>
      </c>
      <c r="I434" t="s">
        <v>7184</v>
      </c>
      <c r="J434" s="58" t="str" cm="1">
        <f t="array" ref="J434">myRGB(B434,C434,D434)</f>
        <v/>
      </c>
    </row>
    <row r="435" spans="1:10" x14ac:dyDescent="0.2">
      <c r="A435">
        <v>857</v>
      </c>
      <c r="B435" s="3">
        <v>17</v>
      </c>
      <c r="C435" s="3">
        <v>172</v>
      </c>
      <c r="D435" s="3">
        <v>131</v>
      </c>
      <c r="E435" t="s">
        <v>4422</v>
      </c>
      <c r="F435" t="str">
        <f t="shared" si="6"/>
        <v>17 172 131 255</v>
      </c>
      <c r="G435">
        <v>857</v>
      </c>
      <c r="H435" t="s">
        <v>4792</v>
      </c>
      <c r="I435" t="s">
        <v>4793</v>
      </c>
      <c r="J435" s="314" t="str" cm="1">
        <f t="array" ref="J435">myRGB(B435,C435,D435)</f>
        <v/>
      </c>
    </row>
    <row r="436" spans="1:10" x14ac:dyDescent="0.2">
      <c r="A436">
        <v>859</v>
      </c>
      <c r="B436" s="3">
        <v>255</v>
      </c>
      <c r="C436" s="3">
        <v>178</v>
      </c>
      <c r="D436" s="3">
        <v>214</v>
      </c>
      <c r="E436" t="s">
        <v>4423</v>
      </c>
      <c r="F436" t="str">
        <f t="shared" si="6"/>
        <v>255 178 214 255</v>
      </c>
      <c r="G436">
        <v>859</v>
      </c>
      <c r="H436" t="s">
        <v>6439</v>
      </c>
      <c r="I436" t="s">
        <v>6440</v>
      </c>
      <c r="J436" s="711" t="str" cm="1">
        <f t="array" ref="J436">myRGB(B436,C436,D436)</f>
        <v/>
      </c>
    </row>
    <row r="437" spans="1:10" x14ac:dyDescent="0.2">
      <c r="A437">
        <v>862</v>
      </c>
      <c r="B437" s="3">
        <v>25</v>
      </c>
      <c r="C437" s="3">
        <v>125</v>
      </c>
      <c r="D437" s="3">
        <v>99</v>
      </c>
      <c r="E437" t="s">
        <v>4424</v>
      </c>
      <c r="F437" t="str">
        <f t="shared" si="6"/>
        <v>25 125 99 255</v>
      </c>
      <c r="G437">
        <v>862</v>
      </c>
      <c r="H437" t="s">
        <v>4768</v>
      </c>
      <c r="I437" t="s">
        <v>4769</v>
      </c>
      <c r="J437" s="213" t="str" cm="1">
        <f t="array" ref="J437">myRGB(B437,C437,D437)</f>
        <v/>
      </c>
    </row>
    <row r="438" spans="1:10" x14ac:dyDescent="0.2">
      <c r="A438">
        <v>863</v>
      </c>
      <c r="B438" s="3">
        <v>200</v>
      </c>
      <c r="C438" s="3">
        <v>200</v>
      </c>
      <c r="D438" s="3">
        <v>203</v>
      </c>
      <c r="E438" t="s">
        <v>4425</v>
      </c>
      <c r="F438" t="str">
        <f t="shared" si="6"/>
        <v>200 200 203 255</v>
      </c>
      <c r="G438">
        <v>863</v>
      </c>
      <c r="H438" t="s">
        <v>6920</v>
      </c>
      <c r="I438" t="s">
        <v>6921</v>
      </c>
      <c r="J438" s="688" t="str" cm="1">
        <f t="array" ref="J438">myRGB(B438,C438,D438)</f>
        <v/>
      </c>
    </row>
    <row r="439" spans="1:10" x14ac:dyDescent="0.2">
      <c r="A439">
        <v>866</v>
      </c>
      <c r="B439" s="3">
        <v>203</v>
      </c>
      <c r="C439" s="3">
        <v>199</v>
      </c>
      <c r="D439" s="3">
        <v>204</v>
      </c>
      <c r="E439" t="s">
        <v>4426</v>
      </c>
      <c r="F439" t="str">
        <f t="shared" si="6"/>
        <v>203 199 204 255</v>
      </c>
      <c r="G439">
        <v>866</v>
      </c>
      <c r="H439" t="s">
        <v>6816</v>
      </c>
      <c r="I439" t="s">
        <v>6817</v>
      </c>
      <c r="J439" s="556" t="str" cm="1">
        <f t="array" ref="J439">myRGB(B439,C439,D439)</f>
        <v/>
      </c>
    </row>
    <row r="440" spans="1:10" x14ac:dyDescent="0.2">
      <c r="A440">
        <v>867</v>
      </c>
      <c r="B440" s="3">
        <v>255</v>
      </c>
      <c r="C440" s="3">
        <v>173</v>
      </c>
      <c r="D440" s="3">
        <v>109</v>
      </c>
      <c r="E440" t="s">
        <v>4427</v>
      </c>
      <c r="F440" t="str">
        <f t="shared" si="6"/>
        <v>255 173 109 255</v>
      </c>
      <c r="G440">
        <v>867</v>
      </c>
      <c r="H440" t="s">
        <v>6242</v>
      </c>
      <c r="I440" t="s">
        <v>6243</v>
      </c>
      <c r="J440" s="766" t="str" cm="1">
        <f t="array" ref="J440">myRGB(B440,C440,D440)</f>
        <v/>
      </c>
    </row>
    <row r="441" spans="1:10" x14ac:dyDescent="0.2">
      <c r="A441">
        <v>869</v>
      </c>
      <c r="B441" s="3">
        <v>11</v>
      </c>
      <c r="C441" s="3">
        <v>133</v>
      </c>
      <c r="D441" s="3">
        <v>138</v>
      </c>
      <c r="E441" t="s">
        <v>4428</v>
      </c>
      <c r="F441" t="str">
        <f t="shared" si="6"/>
        <v>11 133 138 255</v>
      </c>
      <c r="G441">
        <v>869</v>
      </c>
      <c r="H441" t="s">
        <v>4922</v>
      </c>
      <c r="I441" t="s">
        <v>4923</v>
      </c>
      <c r="J441" s="244" t="str" cm="1">
        <f t="array" ref="J441">myRGB(B441,C441,D441)</f>
        <v/>
      </c>
    </row>
    <row r="442" spans="1:10" x14ac:dyDescent="0.2">
      <c r="A442">
        <v>872</v>
      </c>
      <c r="B442" s="3">
        <v>253</v>
      </c>
      <c r="C442" s="3">
        <v>166</v>
      </c>
      <c r="D442" s="3">
        <v>255</v>
      </c>
      <c r="E442" t="s">
        <v>4429</v>
      </c>
      <c r="F442" t="str">
        <f t="shared" si="6"/>
        <v>253 166 255 255</v>
      </c>
      <c r="G442">
        <v>872</v>
      </c>
      <c r="H442" t="s">
        <v>6224</v>
      </c>
      <c r="I442" t="s">
        <v>6225</v>
      </c>
      <c r="J442" s="500" t="str" cm="1">
        <f t="array" ref="J442">myRGB(B442,C442,D442)</f>
        <v/>
      </c>
    </row>
    <row r="443" spans="1:10" x14ac:dyDescent="0.2">
      <c r="A443">
        <v>873</v>
      </c>
      <c r="B443" s="3">
        <v>26</v>
      </c>
      <c r="C443" s="3">
        <v>126</v>
      </c>
      <c r="D443" s="3">
        <v>98</v>
      </c>
      <c r="E443" t="s">
        <v>4430</v>
      </c>
      <c r="F443" t="str">
        <f t="shared" si="6"/>
        <v>26 126 98 255</v>
      </c>
      <c r="G443">
        <v>873</v>
      </c>
      <c r="H443" t="s">
        <v>4762</v>
      </c>
      <c r="I443" t="s">
        <v>4763</v>
      </c>
      <c r="J443" s="187" t="str" cm="1">
        <f t="array" ref="J443">myRGB(B443,C443,D443)</f>
        <v/>
      </c>
    </row>
    <row r="444" spans="1:10" x14ac:dyDescent="0.2">
      <c r="A444">
        <v>874</v>
      </c>
      <c r="B444" s="3">
        <v>255</v>
      </c>
      <c r="C444" s="3">
        <v>121</v>
      </c>
      <c r="D444" s="3">
        <v>253</v>
      </c>
      <c r="E444" t="s">
        <v>4431</v>
      </c>
      <c r="F444" t="str">
        <f t="shared" si="6"/>
        <v>255 121 253 255</v>
      </c>
      <c r="G444">
        <v>874</v>
      </c>
      <c r="H444" t="s">
        <v>6098</v>
      </c>
      <c r="I444" t="s">
        <v>6099</v>
      </c>
      <c r="J444" s="503" t="str" cm="1">
        <f t="array" ref="J444">myRGB(B444,C444,D444)</f>
        <v/>
      </c>
    </row>
    <row r="445" spans="1:10" x14ac:dyDescent="0.2">
      <c r="A445">
        <v>878</v>
      </c>
      <c r="B445" s="3">
        <v>24</v>
      </c>
      <c r="C445" s="3">
        <v>126</v>
      </c>
      <c r="D445" s="3">
        <v>97</v>
      </c>
      <c r="E445" t="s">
        <v>4432</v>
      </c>
      <c r="F445" t="str">
        <f t="shared" si="6"/>
        <v>24 126 97 255</v>
      </c>
      <c r="G445">
        <v>878</v>
      </c>
      <c r="H445" t="s">
        <v>4714</v>
      </c>
      <c r="I445" t="s">
        <v>4715</v>
      </c>
      <c r="J445" s="354" t="str" cm="1">
        <f t="array" ref="J445">myRGB(B445,C445,D445)</f>
        <v/>
      </c>
    </row>
    <row r="446" spans="1:10" x14ac:dyDescent="0.2">
      <c r="A446">
        <v>880</v>
      </c>
      <c r="B446" s="3">
        <v>254</v>
      </c>
      <c r="C446" s="3">
        <v>185</v>
      </c>
      <c r="D446" s="3">
        <v>133</v>
      </c>
      <c r="E446" t="s">
        <v>4433</v>
      </c>
      <c r="F446" t="str">
        <f t="shared" si="6"/>
        <v>254 185 133 255</v>
      </c>
      <c r="G446">
        <v>880</v>
      </c>
      <c r="H446" t="s">
        <v>6277</v>
      </c>
      <c r="I446" t="s">
        <v>6278</v>
      </c>
      <c r="J446" s="704" t="str" cm="1">
        <f t="array" ref="J446">myRGB(B446,C446,D446)</f>
        <v/>
      </c>
    </row>
    <row r="447" spans="1:10" x14ac:dyDescent="0.2">
      <c r="A447">
        <v>882</v>
      </c>
      <c r="B447" s="3">
        <v>29</v>
      </c>
      <c r="C447" s="3">
        <v>157</v>
      </c>
      <c r="D447" s="3">
        <v>90</v>
      </c>
      <c r="E447" t="s">
        <v>4434</v>
      </c>
      <c r="F447" t="str">
        <f t="shared" si="6"/>
        <v>29 157 90 255</v>
      </c>
      <c r="G447">
        <v>882</v>
      </c>
      <c r="H447" t="s">
        <v>4628</v>
      </c>
      <c r="I447" t="s">
        <v>4629</v>
      </c>
      <c r="J447" s="212" t="str" cm="1">
        <f t="array" ref="J447">myRGB(B447,C447,D447)</f>
        <v/>
      </c>
    </row>
    <row r="448" spans="1:10" x14ac:dyDescent="0.2">
      <c r="A448">
        <v>884</v>
      </c>
      <c r="B448" s="3">
        <v>200</v>
      </c>
      <c r="C448" s="3">
        <v>201</v>
      </c>
      <c r="D448" s="3">
        <v>203</v>
      </c>
      <c r="E448" t="s">
        <v>4435</v>
      </c>
      <c r="F448" t="str">
        <f t="shared" si="6"/>
        <v>200 201 203 255</v>
      </c>
      <c r="G448">
        <v>884</v>
      </c>
      <c r="H448" t="s">
        <v>6940</v>
      </c>
      <c r="I448" t="s">
        <v>6941</v>
      </c>
      <c r="J448" s="613" t="str" cm="1">
        <f t="array" ref="J448">myRGB(B448,C448,D448)</f>
        <v/>
      </c>
    </row>
    <row r="449" spans="1:10" x14ac:dyDescent="0.2">
      <c r="A449">
        <v>888</v>
      </c>
      <c r="B449" s="3">
        <v>14</v>
      </c>
      <c r="C449" s="3">
        <v>149</v>
      </c>
      <c r="D449" s="3">
        <v>131</v>
      </c>
      <c r="E449" t="s">
        <v>4436</v>
      </c>
      <c r="F449" t="str">
        <f t="shared" si="6"/>
        <v>14 149 131 255</v>
      </c>
      <c r="G449">
        <v>888</v>
      </c>
      <c r="H449" t="s">
        <v>7165</v>
      </c>
      <c r="I449" t="s">
        <v>7226</v>
      </c>
      <c r="J449" s="81" t="str" cm="1">
        <f t="array" ref="J449">myRGB(B449,C449,D449)</f>
        <v/>
      </c>
    </row>
    <row r="450" spans="1:10" x14ac:dyDescent="0.2">
      <c r="A450">
        <v>889</v>
      </c>
      <c r="B450" s="3">
        <v>24</v>
      </c>
      <c r="C450" s="3">
        <v>125</v>
      </c>
      <c r="D450" s="3">
        <v>98</v>
      </c>
      <c r="E450" t="s">
        <v>4437</v>
      </c>
      <c r="F450" t="str">
        <f t="shared" si="6"/>
        <v>24 125 98 255</v>
      </c>
      <c r="G450">
        <v>889</v>
      </c>
      <c r="H450" t="s">
        <v>4672</v>
      </c>
      <c r="I450" t="s">
        <v>4673</v>
      </c>
      <c r="J450" s="353" t="str" cm="1">
        <f t="array" ref="J450">myRGB(B450,C450,D450)</f>
        <v/>
      </c>
    </row>
    <row r="451" spans="1:10" x14ac:dyDescent="0.2">
      <c r="A451">
        <v>893</v>
      </c>
      <c r="B451" s="3">
        <v>26</v>
      </c>
      <c r="C451" s="3">
        <v>128</v>
      </c>
      <c r="D451" s="3">
        <v>97</v>
      </c>
      <c r="E451" t="s">
        <v>4438</v>
      </c>
      <c r="F451" t="str">
        <f t="shared" ref="F451:F514" si="7">_xlfn.CONCAT(B451," ",C451," ",D451," 255")</f>
        <v>26 128 97 255</v>
      </c>
      <c r="G451">
        <v>893</v>
      </c>
      <c r="H451" t="s">
        <v>4770</v>
      </c>
      <c r="I451" t="s">
        <v>4771</v>
      </c>
      <c r="J451" s="56" t="str" cm="1">
        <f t="array" ref="J451">myRGB(B451,C451,D451)</f>
        <v/>
      </c>
    </row>
    <row r="452" spans="1:10" x14ac:dyDescent="0.2">
      <c r="A452">
        <v>897</v>
      </c>
      <c r="B452" s="3">
        <v>18</v>
      </c>
      <c r="C452" s="3">
        <v>173</v>
      </c>
      <c r="D452" s="3">
        <v>131</v>
      </c>
      <c r="E452" t="s">
        <v>4439</v>
      </c>
      <c r="F452" t="str">
        <f t="shared" si="7"/>
        <v>18 173 131 255</v>
      </c>
      <c r="G452">
        <v>897</v>
      </c>
      <c r="H452" t="s">
        <v>4786</v>
      </c>
      <c r="I452" t="s">
        <v>4787</v>
      </c>
      <c r="J452" s="35" t="str" cm="1">
        <f t="array" ref="J452">myRGB(B452,C452,D452)</f>
        <v/>
      </c>
    </row>
    <row r="453" spans="1:10" x14ac:dyDescent="0.2">
      <c r="A453">
        <v>898</v>
      </c>
      <c r="B453" s="3">
        <v>255</v>
      </c>
      <c r="C453" s="3">
        <v>186</v>
      </c>
      <c r="D453" s="3">
        <v>132</v>
      </c>
      <c r="E453" t="s">
        <v>4440</v>
      </c>
      <c r="F453" t="str">
        <f t="shared" si="7"/>
        <v>255 186 132 255</v>
      </c>
      <c r="G453">
        <v>898</v>
      </c>
      <c r="H453" t="s">
        <v>6283</v>
      </c>
      <c r="I453" t="s">
        <v>6284</v>
      </c>
      <c r="J453" s="645" t="str" cm="1">
        <f t="array" ref="J453">myRGB(B453,C453,D453)</f>
        <v/>
      </c>
    </row>
    <row r="454" spans="1:10" x14ac:dyDescent="0.2">
      <c r="A454">
        <v>900</v>
      </c>
      <c r="B454" s="3">
        <v>203</v>
      </c>
      <c r="C454" s="3">
        <v>203</v>
      </c>
      <c r="D454" s="3">
        <v>199</v>
      </c>
      <c r="E454" t="s">
        <v>4441</v>
      </c>
      <c r="F454" t="str">
        <f t="shared" si="7"/>
        <v>203 203 199 255</v>
      </c>
      <c r="G454">
        <v>900</v>
      </c>
      <c r="H454" t="s">
        <v>6682</v>
      </c>
      <c r="I454" t="s">
        <v>6683</v>
      </c>
      <c r="J454" s="554" t="str" cm="1">
        <f t="array" ref="J454">myRGB(B454,C454,D454)</f>
        <v/>
      </c>
    </row>
    <row r="455" spans="1:10" x14ac:dyDescent="0.2">
      <c r="A455">
        <v>902</v>
      </c>
      <c r="B455" s="3">
        <v>11</v>
      </c>
      <c r="C455" s="3">
        <v>131</v>
      </c>
      <c r="D455" s="3">
        <v>140</v>
      </c>
      <c r="E455" t="s">
        <v>4442</v>
      </c>
      <c r="F455" t="str">
        <f t="shared" si="7"/>
        <v>11 131 140 255</v>
      </c>
      <c r="G455">
        <v>902</v>
      </c>
      <c r="H455" t="s">
        <v>4924</v>
      </c>
      <c r="I455" t="s">
        <v>4925</v>
      </c>
      <c r="J455" s="204" t="str" cm="1">
        <f t="array" ref="J455">myRGB(B455,C455,D455)</f>
        <v/>
      </c>
    </row>
    <row r="456" spans="1:10" x14ac:dyDescent="0.2">
      <c r="A456">
        <v>903</v>
      </c>
      <c r="B456" s="3">
        <v>255</v>
      </c>
      <c r="C456" s="3">
        <v>162</v>
      </c>
      <c r="D456" s="3">
        <v>210</v>
      </c>
      <c r="E456" t="s">
        <v>4443</v>
      </c>
      <c r="F456" t="str">
        <f t="shared" si="7"/>
        <v>255 162 210 255</v>
      </c>
      <c r="G456">
        <v>903</v>
      </c>
      <c r="H456" t="s">
        <v>6353</v>
      </c>
      <c r="I456" t="s">
        <v>6354</v>
      </c>
      <c r="J456" s="708" t="str" cm="1">
        <f t="array" ref="J456">myRGB(B456,C456,D456)</f>
        <v/>
      </c>
    </row>
    <row r="457" spans="1:10" x14ac:dyDescent="0.2">
      <c r="A457">
        <v>905</v>
      </c>
      <c r="B457" s="3">
        <v>9</v>
      </c>
      <c r="C457" s="3">
        <v>131</v>
      </c>
      <c r="D457" s="3">
        <v>137</v>
      </c>
      <c r="E457" t="s">
        <v>4444</v>
      </c>
      <c r="F457" t="str">
        <f t="shared" si="7"/>
        <v>9 131 137 255</v>
      </c>
      <c r="G457">
        <v>905</v>
      </c>
      <c r="H457" t="s">
        <v>7135</v>
      </c>
      <c r="I457" t="s">
        <v>7196</v>
      </c>
      <c r="J457" s="42" t="str" cm="1">
        <f t="array" ref="J457">myRGB(B457,C457,D457)</f>
        <v/>
      </c>
    </row>
    <row r="458" spans="1:10" x14ac:dyDescent="0.2">
      <c r="A458">
        <v>906</v>
      </c>
      <c r="B458" s="3">
        <v>28</v>
      </c>
      <c r="C458" s="3">
        <v>165</v>
      </c>
      <c r="D458" s="3">
        <v>151</v>
      </c>
      <c r="E458" t="s">
        <v>4445</v>
      </c>
      <c r="F458" t="str">
        <f t="shared" si="7"/>
        <v>28 165 151 255</v>
      </c>
      <c r="G458">
        <v>906</v>
      </c>
      <c r="H458" t="s">
        <v>5104</v>
      </c>
      <c r="I458" t="s">
        <v>5105</v>
      </c>
      <c r="J458" s="148" t="str" cm="1">
        <f t="array" ref="J458">myRGB(B458,C458,D458)</f>
        <v/>
      </c>
    </row>
    <row r="459" spans="1:10" x14ac:dyDescent="0.2">
      <c r="A459">
        <v>907</v>
      </c>
      <c r="B459" s="3">
        <v>254</v>
      </c>
      <c r="C459" s="3">
        <v>141</v>
      </c>
      <c r="D459" s="3">
        <v>159</v>
      </c>
      <c r="E459" t="s">
        <v>4446</v>
      </c>
      <c r="F459" t="str">
        <f t="shared" si="7"/>
        <v>254 141 159 255</v>
      </c>
      <c r="G459">
        <v>907</v>
      </c>
      <c r="H459" t="s">
        <v>5860</v>
      </c>
      <c r="I459" t="s">
        <v>5861</v>
      </c>
      <c r="J459" s="693" t="str" cm="1">
        <f t="array" ref="J459">myRGB(B459,C459,D459)</f>
        <v/>
      </c>
    </row>
    <row r="460" spans="1:10" x14ac:dyDescent="0.2">
      <c r="A460">
        <v>908</v>
      </c>
      <c r="B460" s="3">
        <v>201</v>
      </c>
      <c r="C460" s="3">
        <v>201</v>
      </c>
      <c r="D460" s="3">
        <v>201</v>
      </c>
      <c r="E460" t="s">
        <v>4447</v>
      </c>
      <c r="F460" t="str">
        <f t="shared" si="7"/>
        <v>201 201 201 255</v>
      </c>
      <c r="G460">
        <v>908</v>
      </c>
      <c r="H460" t="s">
        <v>6944</v>
      </c>
      <c r="I460" t="s">
        <v>6945</v>
      </c>
      <c r="J460" s="846" t="str" cm="1">
        <f t="array" ref="J460">myRGB(B460,C460,D460)</f>
        <v/>
      </c>
    </row>
    <row r="461" spans="1:10" x14ac:dyDescent="0.2">
      <c r="A461">
        <v>910</v>
      </c>
      <c r="B461" s="3">
        <v>34</v>
      </c>
      <c r="C461" s="3">
        <v>136</v>
      </c>
      <c r="D461" s="3">
        <v>94</v>
      </c>
      <c r="E461" t="s">
        <v>4448</v>
      </c>
      <c r="F461" t="str">
        <f t="shared" si="7"/>
        <v>34 136 94 255</v>
      </c>
      <c r="G461">
        <v>910</v>
      </c>
      <c r="H461" t="s">
        <v>5048</v>
      </c>
      <c r="I461" t="s">
        <v>5049</v>
      </c>
      <c r="J461" s="313" t="str" cm="1">
        <f t="array" ref="J461">myRGB(B461,C461,D461)</f>
        <v/>
      </c>
    </row>
    <row r="462" spans="1:10" x14ac:dyDescent="0.2">
      <c r="A462">
        <v>911</v>
      </c>
      <c r="B462" s="3">
        <v>200</v>
      </c>
      <c r="C462" s="3">
        <v>201</v>
      </c>
      <c r="D462" s="3">
        <v>200</v>
      </c>
      <c r="E462" t="s">
        <v>4449</v>
      </c>
      <c r="F462" t="str">
        <f t="shared" si="7"/>
        <v>200 201 200 255</v>
      </c>
      <c r="G462">
        <v>911</v>
      </c>
      <c r="H462" t="s">
        <v>6704</v>
      </c>
      <c r="I462" t="s">
        <v>6705</v>
      </c>
      <c r="J462" s="848" t="str" cm="1">
        <f t="array" ref="J462">myRGB(B462,C462,D462)</f>
        <v/>
      </c>
    </row>
    <row r="463" spans="1:10" x14ac:dyDescent="0.2">
      <c r="A463">
        <v>912</v>
      </c>
      <c r="B463" s="3">
        <v>254</v>
      </c>
      <c r="C463" s="3">
        <v>250</v>
      </c>
      <c r="D463" s="3">
        <v>145</v>
      </c>
      <c r="E463" t="s">
        <v>4450</v>
      </c>
      <c r="F463" t="str">
        <f t="shared" si="7"/>
        <v>254 250 145 255</v>
      </c>
      <c r="G463">
        <v>912</v>
      </c>
      <c r="H463" t="s">
        <v>6501</v>
      </c>
      <c r="I463" t="s">
        <v>6502</v>
      </c>
      <c r="J463" s="396" t="str" cm="1">
        <f t="array" ref="J463">myRGB(B463,C463,D463)</f>
        <v/>
      </c>
    </row>
    <row r="464" spans="1:10" x14ac:dyDescent="0.2">
      <c r="A464">
        <v>914</v>
      </c>
      <c r="B464" s="3">
        <v>254</v>
      </c>
      <c r="C464" s="3">
        <v>83</v>
      </c>
      <c r="D464" s="3">
        <v>70</v>
      </c>
      <c r="E464" t="s">
        <v>4451</v>
      </c>
      <c r="F464" t="str">
        <f t="shared" si="7"/>
        <v>254 83 70 255</v>
      </c>
      <c r="G464">
        <v>914</v>
      </c>
      <c r="H464" t="s">
        <v>5954</v>
      </c>
      <c r="I464" t="s">
        <v>5955</v>
      </c>
      <c r="J464" s="529" t="str" cm="1">
        <f t="array" ref="J464">myRGB(B464,C464,D464)</f>
        <v/>
      </c>
    </row>
    <row r="465" spans="1:10" x14ac:dyDescent="0.2">
      <c r="A465">
        <v>916</v>
      </c>
      <c r="B465" s="3">
        <v>199</v>
      </c>
      <c r="C465" s="3">
        <v>203</v>
      </c>
      <c r="D465" s="3">
        <v>203</v>
      </c>
      <c r="E465" t="s">
        <v>4452</v>
      </c>
      <c r="F465" t="str">
        <f t="shared" si="7"/>
        <v>199 203 203 255</v>
      </c>
      <c r="G465">
        <v>916</v>
      </c>
      <c r="H465" t="s">
        <v>6688</v>
      </c>
      <c r="I465" t="s">
        <v>6689</v>
      </c>
      <c r="J465" s="801" t="str" cm="1">
        <f t="array" ref="J465">myRGB(B465,C465,D465)</f>
        <v/>
      </c>
    </row>
    <row r="466" spans="1:10" x14ac:dyDescent="0.2">
      <c r="A466">
        <v>919</v>
      </c>
      <c r="B466" s="3">
        <v>63</v>
      </c>
      <c r="C466" s="3">
        <v>166</v>
      </c>
      <c r="D466" s="3">
        <v>100</v>
      </c>
      <c r="E466" t="s">
        <v>4453</v>
      </c>
      <c r="F466" t="str">
        <f t="shared" si="7"/>
        <v>63 166 100 255</v>
      </c>
      <c r="G466">
        <v>919</v>
      </c>
      <c r="H466" t="s">
        <v>4982</v>
      </c>
      <c r="I466" t="s">
        <v>4983</v>
      </c>
      <c r="J466" s="196" t="str" cm="1">
        <f t="array" ref="J466">myRGB(B466,C466,D466)</f>
        <v/>
      </c>
    </row>
    <row r="467" spans="1:10" x14ac:dyDescent="0.2">
      <c r="A467">
        <v>924</v>
      </c>
      <c r="B467" s="3">
        <v>204</v>
      </c>
      <c r="C467" s="3">
        <v>202</v>
      </c>
      <c r="D467" s="3">
        <v>199</v>
      </c>
      <c r="E467" t="s">
        <v>4454</v>
      </c>
      <c r="F467" t="str">
        <f t="shared" si="7"/>
        <v>204 202 199 255</v>
      </c>
      <c r="G467">
        <v>924</v>
      </c>
      <c r="H467" t="s">
        <v>6864</v>
      </c>
      <c r="I467" t="s">
        <v>6865</v>
      </c>
      <c r="J467" s="782" t="str" cm="1">
        <f t="array" ref="J467">myRGB(B467,C467,D467)</f>
        <v/>
      </c>
    </row>
    <row r="468" spans="1:10" x14ac:dyDescent="0.2">
      <c r="A468">
        <v>927</v>
      </c>
      <c r="B468" s="3">
        <v>63</v>
      </c>
      <c r="C468" s="3">
        <v>164</v>
      </c>
      <c r="D468" s="3">
        <v>102</v>
      </c>
      <c r="E468" t="s">
        <v>4455</v>
      </c>
      <c r="F468" t="str">
        <f t="shared" si="7"/>
        <v>63 164 102 255</v>
      </c>
      <c r="G468">
        <v>927</v>
      </c>
      <c r="H468" t="s">
        <v>4984</v>
      </c>
      <c r="I468" t="s">
        <v>4985</v>
      </c>
      <c r="J468" s="137" t="str" cm="1">
        <f t="array" ref="J468">myRGB(B468,C468,D468)</f>
        <v/>
      </c>
    </row>
    <row r="469" spans="1:10" x14ac:dyDescent="0.2">
      <c r="A469">
        <v>929</v>
      </c>
      <c r="B469" s="3">
        <v>27</v>
      </c>
      <c r="C469" s="3">
        <v>126</v>
      </c>
      <c r="D469" s="3">
        <v>100</v>
      </c>
      <c r="E469" t="s">
        <v>4456</v>
      </c>
      <c r="F469" t="str">
        <f t="shared" si="7"/>
        <v>27 126 100 255</v>
      </c>
      <c r="G469">
        <v>929</v>
      </c>
      <c r="H469" t="s">
        <v>4674</v>
      </c>
      <c r="I469" t="s">
        <v>4675</v>
      </c>
      <c r="J469" s="327" t="str" cm="1">
        <f t="array" ref="J469">myRGB(B469,C469,D469)</f>
        <v/>
      </c>
    </row>
    <row r="470" spans="1:10" x14ac:dyDescent="0.2">
      <c r="A470">
        <v>930</v>
      </c>
      <c r="B470" s="3">
        <v>252</v>
      </c>
      <c r="C470" s="3">
        <v>144</v>
      </c>
      <c r="D470" s="3">
        <v>158</v>
      </c>
      <c r="E470" t="s">
        <v>4457</v>
      </c>
      <c r="F470" t="str">
        <f t="shared" si="7"/>
        <v>252 144 158 255</v>
      </c>
      <c r="G470">
        <v>930</v>
      </c>
      <c r="H470" t="s">
        <v>5864</v>
      </c>
      <c r="I470" t="s">
        <v>5865</v>
      </c>
      <c r="J470" s="418" t="str" cm="1">
        <f t="array" ref="J470">myRGB(B470,C470,D470)</f>
        <v/>
      </c>
    </row>
    <row r="471" spans="1:10" x14ac:dyDescent="0.2">
      <c r="A471">
        <v>931</v>
      </c>
      <c r="B471" s="3">
        <v>255</v>
      </c>
      <c r="C471" s="3">
        <v>184</v>
      </c>
      <c r="D471" s="3">
        <v>133</v>
      </c>
      <c r="E471" t="s">
        <v>4458</v>
      </c>
      <c r="F471" t="str">
        <f t="shared" si="7"/>
        <v>255 184 133 255</v>
      </c>
      <c r="G471">
        <v>931</v>
      </c>
      <c r="H471" t="s">
        <v>6285</v>
      </c>
      <c r="I471" t="s">
        <v>6286</v>
      </c>
      <c r="J471" s="598" t="str" cm="1">
        <f t="array" ref="J471">myRGB(B471,C471,D471)</f>
        <v/>
      </c>
    </row>
    <row r="472" spans="1:10" x14ac:dyDescent="0.2">
      <c r="A472">
        <v>935</v>
      </c>
      <c r="B472" s="3">
        <v>62</v>
      </c>
      <c r="C472" s="3">
        <v>166</v>
      </c>
      <c r="D472" s="3">
        <v>101</v>
      </c>
      <c r="E472" t="s">
        <v>4459</v>
      </c>
      <c r="F472" t="str">
        <f t="shared" si="7"/>
        <v>62 166 101 255</v>
      </c>
      <c r="G472">
        <v>935</v>
      </c>
      <c r="H472" t="s">
        <v>4978</v>
      </c>
      <c r="I472" t="s">
        <v>4979</v>
      </c>
      <c r="J472" s="359" t="str" cm="1">
        <f t="array" ref="J472">myRGB(B472,C472,D472)</f>
        <v/>
      </c>
    </row>
    <row r="473" spans="1:10" x14ac:dyDescent="0.2">
      <c r="A473">
        <v>936</v>
      </c>
      <c r="B473" s="3">
        <v>254</v>
      </c>
      <c r="C473" s="3">
        <v>250</v>
      </c>
      <c r="D473" s="3">
        <v>144</v>
      </c>
      <c r="E473" t="s">
        <v>4460</v>
      </c>
      <c r="F473" t="str">
        <f t="shared" si="7"/>
        <v>254 250 144 255</v>
      </c>
      <c r="G473">
        <v>936</v>
      </c>
      <c r="H473" t="s">
        <v>6553</v>
      </c>
      <c r="I473" t="s">
        <v>6554</v>
      </c>
      <c r="J473" s="395" t="str" cm="1">
        <f t="array" ref="J473">myRGB(B473,C473,D473)</f>
        <v/>
      </c>
    </row>
    <row r="474" spans="1:10" x14ac:dyDescent="0.2">
      <c r="A474">
        <v>939</v>
      </c>
      <c r="B474" s="3">
        <v>254</v>
      </c>
      <c r="C474" s="3">
        <v>179</v>
      </c>
      <c r="D474" s="3">
        <v>214</v>
      </c>
      <c r="E474" t="s">
        <v>4461</v>
      </c>
      <c r="F474" t="str">
        <f t="shared" si="7"/>
        <v>254 179 214 255</v>
      </c>
      <c r="G474">
        <v>939</v>
      </c>
      <c r="H474" t="s">
        <v>6403</v>
      </c>
      <c r="I474" t="s">
        <v>6404</v>
      </c>
      <c r="J474" s="819" t="str" cm="1">
        <f t="array" ref="J474">myRGB(B474,C474,D474)</f>
        <v/>
      </c>
    </row>
    <row r="475" spans="1:10" x14ac:dyDescent="0.2">
      <c r="A475">
        <v>940</v>
      </c>
      <c r="B475" s="3">
        <v>202</v>
      </c>
      <c r="C475" s="3">
        <v>204</v>
      </c>
      <c r="D475" s="3">
        <v>199</v>
      </c>
      <c r="E475" t="s">
        <v>4462</v>
      </c>
      <c r="F475" t="str">
        <f t="shared" si="7"/>
        <v>202 204 199 255</v>
      </c>
      <c r="G475">
        <v>940</v>
      </c>
      <c r="H475" t="s">
        <v>6946</v>
      </c>
      <c r="I475" t="s">
        <v>6947</v>
      </c>
      <c r="J475" s="823" t="str" cm="1">
        <f t="array" ref="J475">myRGB(B475,C475,D475)</f>
        <v/>
      </c>
    </row>
    <row r="476" spans="1:10" x14ac:dyDescent="0.2">
      <c r="A476">
        <v>943</v>
      </c>
      <c r="B476" s="3">
        <v>31</v>
      </c>
      <c r="C476" s="3">
        <v>156</v>
      </c>
      <c r="D476" s="3">
        <v>88</v>
      </c>
      <c r="E476" t="s">
        <v>4463</v>
      </c>
      <c r="F476" t="str">
        <f t="shared" si="7"/>
        <v>31 156 88 255</v>
      </c>
      <c r="G476">
        <v>943</v>
      </c>
      <c r="H476" t="s">
        <v>7114</v>
      </c>
      <c r="I476" t="s">
        <v>7175</v>
      </c>
      <c r="J476" s="186" t="str" cm="1">
        <f t="array" ref="J476">myRGB(B476,C476,D476)</f>
        <v/>
      </c>
    </row>
    <row r="477" spans="1:10" x14ac:dyDescent="0.2">
      <c r="A477">
        <v>944</v>
      </c>
      <c r="B477" s="3">
        <v>253</v>
      </c>
      <c r="C477" s="3">
        <v>251</v>
      </c>
      <c r="D477" s="3">
        <v>144</v>
      </c>
      <c r="E477" t="s">
        <v>4464</v>
      </c>
      <c r="F477" t="str">
        <f t="shared" si="7"/>
        <v>253 251 144 255</v>
      </c>
      <c r="G477">
        <v>944</v>
      </c>
      <c r="H477" t="s">
        <v>6561</v>
      </c>
      <c r="I477" t="s">
        <v>6562</v>
      </c>
      <c r="J477" s="379" t="str" cm="1">
        <f t="array" ref="J477">myRGB(B477,C477,D477)</f>
        <v/>
      </c>
    </row>
    <row r="478" spans="1:10" x14ac:dyDescent="0.2">
      <c r="A478">
        <v>945</v>
      </c>
      <c r="B478" s="3">
        <v>25</v>
      </c>
      <c r="C478" s="3">
        <v>125</v>
      </c>
      <c r="D478" s="3">
        <v>97</v>
      </c>
      <c r="E478" t="s">
        <v>4465</v>
      </c>
      <c r="F478" t="str">
        <f t="shared" si="7"/>
        <v>25 125 97 255</v>
      </c>
      <c r="G478">
        <v>945</v>
      </c>
      <c r="H478" t="s">
        <v>4732</v>
      </c>
      <c r="I478" t="s">
        <v>4733</v>
      </c>
      <c r="J478" s="129" t="str" cm="1">
        <f t="array" ref="J478">myRGB(B478,C478,D478)</f>
        <v/>
      </c>
    </row>
    <row r="479" spans="1:10" x14ac:dyDescent="0.2">
      <c r="A479">
        <v>946</v>
      </c>
      <c r="B479" s="3">
        <v>253</v>
      </c>
      <c r="C479" s="3">
        <v>75</v>
      </c>
      <c r="D479" s="3">
        <v>60</v>
      </c>
      <c r="E479" t="s">
        <v>4466</v>
      </c>
      <c r="F479" t="str">
        <f t="shared" si="7"/>
        <v>253 75 60 255</v>
      </c>
      <c r="G479">
        <v>946</v>
      </c>
      <c r="H479" t="s">
        <v>6046</v>
      </c>
      <c r="I479" t="s">
        <v>6047</v>
      </c>
      <c r="J479" s="426" t="str" cm="1">
        <f t="array" ref="J479">myRGB(B479,C479,D479)</f>
        <v/>
      </c>
    </row>
    <row r="480" spans="1:10" x14ac:dyDescent="0.2">
      <c r="A480">
        <v>949</v>
      </c>
      <c r="B480" s="3">
        <v>202</v>
      </c>
      <c r="C480" s="3">
        <v>200</v>
      </c>
      <c r="D480" s="3">
        <v>201</v>
      </c>
      <c r="E480" t="s">
        <v>4467</v>
      </c>
      <c r="F480" t="str">
        <f t="shared" si="7"/>
        <v>202 200 201 255</v>
      </c>
      <c r="G480">
        <v>949</v>
      </c>
      <c r="H480" t="s">
        <v>6668</v>
      </c>
      <c r="I480" t="s">
        <v>6669</v>
      </c>
      <c r="J480" s="634" t="str" cm="1">
        <f t="array" ref="J480">myRGB(B480,C480,D480)</f>
        <v/>
      </c>
    </row>
    <row r="481" spans="1:10" x14ac:dyDescent="0.2">
      <c r="A481">
        <v>950</v>
      </c>
      <c r="B481" s="3">
        <v>27</v>
      </c>
      <c r="C481" s="3">
        <v>127</v>
      </c>
      <c r="D481" s="3">
        <v>98</v>
      </c>
      <c r="E481" t="s">
        <v>4468</v>
      </c>
      <c r="F481" t="str">
        <f t="shared" si="7"/>
        <v>27 127 98 255</v>
      </c>
      <c r="G481">
        <v>950</v>
      </c>
      <c r="H481" t="s">
        <v>4716</v>
      </c>
      <c r="I481" t="s">
        <v>4717</v>
      </c>
      <c r="J481" s="328" t="str" cm="1">
        <f t="array" ref="J481">myRGB(B481,C481,D481)</f>
        <v/>
      </c>
    </row>
    <row r="482" spans="1:10" x14ac:dyDescent="0.2">
      <c r="A482">
        <v>951</v>
      </c>
      <c r="B482" s="3">
        <v>251</v>
      </c>
      <c r="C482" s="3">
        <v>252</v>
      </c>
      <c r="D482" s="3">
        <v>145</v>
      </c>
      <c r="E482" t="s">
        <v>4469</v>
      </c>
      <c r="F482" t="str">
        <f t="shared" si="7"/>
        <v>251 252 145 255</v>
      </c>
      <c r="G482">
        <v>951</v>
      </c>
      <c r="H482" t="s">
        <v>6569</v>
      </c>
      <c r="I482" t="s">
        <v>6570</v>
      </c>
      <c r="J482" s="746" t="str" cm="1">
        <f t="array" ref="J482">myRGB(B482,C482,D482)</f>
        <v/>
      </c>
    </row>
    <row r="483" spans="1:10" x14ac:dyDescent="0.2">
      <c r="A483">
        <v>952</v>
      </c>
      <c r="B483" s="3">
        <v>160</v>
      </c>
      <c r="C483" s="3">
        <v>238</v>
      </c>
      <c r="D483" s="3">
        <v>156</v>
      </c>
      <c r="E483" t="s">
        <v>4470</v>
      </c>
      <c r="F483" t="str">
        <f t="shared" si="7"/>
        <v>160 238 156 255</v>
      </c>
      <c r="G483">
        <v>952</v>
      </c>
      <c r="H483" t="s">
        <v>5580</v>
      </c>
      <c r="I483" t="s">
        <v>5581</v>
      </c>
      <c r="J483" s="12" t="str" cm="1">
        <f t="array" ref="J483">myRGB(B483,C483,D483)</f>
        <v/>
      </c>
    </row>
    <row r="484" spans="1:10" x14ac:dyDescent="0.2">
      <c r="A484">
        <v>954</v>
      </c>
      <c r="B484" s="3">
        <v>1</v>
      </c>
      <c r="C484" s="3">
        <v>147</v>
      </c>
      <c r="D484" s="3">
        <v>150</v>
      </c>
      <c r="E484" t="s">
        <v>4471</v>
      </c>
      <c r="F484" t="str">
        <f t="shared" si="7"/>
        <v>1 147 150 255</v>
      </c>
      <c r="G484">
        <v>954</v>
      </c>
      <c r="H484" t="s">
        <v>4830</v>
      </c>
      <c r="I484" t="s">
        <v>4831</v>
      </c>
      <c r="J484" s="200" t="str" cm="1">
        <f t="array" ref="J484">myRGB(B484,C484,D484)</f>
        <v/>
      </c>
    </row>
    <row r="485" spans="1:10" x14ac:dyDescent="0.2">
      <c r="A485">
        <v>955</v>
      </c>
      <c r="B485" s="3">
        <v>252</v>
      </c>
      <c r="C485" s="3">
        <v>179</v>
      </c>
      <c r="D485" s="3">
        <v>215</v>
      </c>
      <c r="E485" t="s">
        <v>4472</v>
      </c>
      <c r="F485" t="str">
        <f t="shared" si="7"/>
        <v>252 179 215 255</v>
      </c>
      <c r="G485">
        <v>955</v>
      </c>
      <c r="H485" t="s">
        <v>6425</v>
      </c>
      <c r="I485" t="s">
        <v>6426</v>
      </c>
      <c r="J485" s="680" t="str" cm="1">
        <f t="array" ref="J485">myRGB(B485,C485,D485)</f>
        <v/>
      </c>
    </row>
    <row r="486" spans="1:10" x14ac:dyDescent="0.2">
      <c r="A486">
        <v>956</v>
      </c>
      <c r="B486" s="3">
        <v>202</v>
      </c>
      <c r="C486" s="3">
        <v>199</v>
      </c>
      <c r="D486" s="3">
        <v>204</v>
      </c>
      <c r="E486" t="s">
        <v>4473</v>
      </c>
      <c r="F486" t="str">
        <f t="shared" si="7"/>
        <v>202 199 204 255</v>
      </c>
      <c r="G486">
        <v>956</v>
      </c>
      <c r="H486" t="s">
        <v>6844</v>
      </c>
      <c r="I486" t="s">
        <v>6845</v>
      </c>
      <c r="J486" s="683" t="str" cm="1">
        <f t="array" ref="J486">myRGB(B486,C486,D486)</f>
        <v/>
      </c>
    </row>
    <row r="487" spans="1:10" x14ac:dyDescent="0.2">
      <c r="A487">
        <v>957</v>
      </c>
      <c r="B487" s="3">
        <v>255</v>
      </c>
      <c r="C487" s="3">
        <v>250</v>
      </c>
      <c r="D487" s="3">
        <v>143</v>
      </c>
      <c r="E487" t="s">
        <v>4474</v>
      </c>
      <c r="F487" t="str">
        <f t="shared" si="7"/>
        <v>255 250 143 255</v>
      </c>
      <c r="G487">
        <v>957</v>
      </c>
      <c r="H487" t="s">
        <v>6577</v>
      </c>
      <c r="I487" t="s">
        <v>6578</v>
      </c>
      <c r="J487" s="306" t="str" cm="1">
        <f t="array" ref="J487">myRGB(B487,C487,D487)</f>
        <v/>
      </c>
    </row>
    <row r="488" spans="1:10" x14ac:dyDescent="0.2">
      <c r="A488">
        <v>959</v>
      </c>
      <c r="B488" s="3">
        <v>1</v>
      </c>
      <c r="C488" s="3">
        <v>144</v>
      </c>
      <c r="D488" s="3">
        <v>153</v>
      </c>
      <c r="E488" t="s">
        <v>4475</v>
      </c>
      <c r="F488" t="str">
        <f t="shared" si="7"/>
        <v>1 144 153 255</v>
      </c>
      <c r="G488">
        <v>959</v>
      </c>
      <c r="H488" t="s">
        <v>4848</v>
      </c>
      <c r="I488" t="s">
        <v>4849</v>
      </c>
      <c r="J488" s="365" t="str" cm="1">
        <f t="array" ref="J488">myRGB(B488,C488,D488)</f>
        <v/>
      </c>
    </row>
    <row r="489" spans="1:10" x14ac:dyDescent="0.2">
      <c r="A489">
        <v>961</v>
      </c>
      <c r="B489" s="3">
        <v>106</v>
      </c>
      <c r="C489" s="3">
        <v>202</v>
      </c>
      <c r="D489" s="3">
        <v>185</v>
      </c>
      <c r="E489" t="s">
        <v>4476</v>
      </c>
      <c r="F489" t="str">
        <f t="shared" si="7"/>
        <v>106 202 185 255</v>
      </c>
      <c r="G489">
        <v>961</v>
      </c>
      <c r="H489" t="s">
        <v>5304</v>
      </c>
      <c r="I489" t="s">
        <v>5305</v>
      </c>
      <c r="J489" s="69" t="str" cm="1">
        <f t="array" ref="J489">myRGB(B489,C489,D489)</f>
        <v/>
      </c>
    </row>
    <row r="490" spans="1:10" x14ac:dyDescent="0.2">
      <c r="A490">
        <v>962</v>
      </c>
      <c r="B490" s="3">
        <v>30</v>
      </c>
      <c r="C490" s="3">
        <v>157</v>
      </c>
      <c r="D490" s="3">
        <v>88</v>
      </c>
      <c r="E490" t="s">
        <v>4477</v>
      </c>
      <c r="F490" t="str">
        <f t="shared" si="7"/>
        <v>30 157 88 255</v>
      </c>
      <c r="G490">
        <v>962</v>
      </c>
      <c r="H490" t="s">
        <v>7115</v>
      </c>
      <c r="I490" t="s">
        <v>7176</v>
      </c>
      <c r="J490" s="251" t="str" cm="1">
        <f t="array" ref="J490">myRGB(B490,C490,D490)</f>
        <v/>
      </c>
    </row>
    <row r="491" spans="1:10" x14ac:dyDescent="0.2">
      <c r="A491">
        <v>963</v>
      </c>
      <c r="B491" s="3">
        <v>254</v>
      </c>
      <c r="C491" s="3">
        <v>176</v>
      </c>
      <c r="D491" s="3">
        <v>217</v>
      </c>
      <c r="E491" t="s">
        <v>4478</v>
      </c>
      <c r="F491" t="str">
        <f t="shared" si="7"/>
        <v>254 176 217 255</v>
      </c>
      <c r="G491">
        <v>963</v>
      </c>
      <c r="H491" t="s">
        <v>6427</v>
      </c>
      <c r="I491" t="s">
        <v>6428</v>
      </c>
      <c r="J491" s="655" t="str" cm="1">
        <f t="array" ref="J491">myRGB(B491,C491,D491)</f>
        <v/>
      </c>
    </row>
    <row r="492" spans="1:10" x14ac:dyDescent="0.2">
      <c r="A492">
        <v>964</v>
      </c>
      <c r="B492" s="3">
        <v>201</v>
      </c>
      <c r="C492" s="3">
        <v>200</v>
      </c>
      <c r="D492" s="3">
        <v>202</v>
      </c>
      <c r="E492" t="s">
        <v>4479</v>
      </c>
      <c r="F492" t="str">
        <f t="shared" si="7"/>
        <v>201 200 202 255</v>
      </c>
      <c r="G492">
        <v>964</v>
      </c>
      <c r="H492" t="s">
        <v>6848</v>
      </c>
      <c r="I492" t="s">
        <v>6849</v>
      </c>
      <c r="J492" s="550" t="str" cm="1">
        <f t="array" ref="J492">myRGB(B492,C492,D492)</f>
        <v/>
      </c>
    </row>
    <row r="493" spans="1:10" x14ac:dyDescent="0.2">
      <c r="A493">
        <v>965</v>
      </c>
      <c r="B493" s="3">
        <v>26</v>
      </c>
      <c r="C493" s="3">
        <v>164</v>
      </c>
      <c r="D493" s="3">
        <v>150</v>
      </c>
      <c r="E493" t="s">
        <v>4480</v>
      </c>
      <c r="F493" t="str">
        <f t="shared" si="7"/>
        <v>26 164 150 255</v>
      </c>
      <c r="G493">
        <v>965</v>
      </c>
      <c r="H493" t="s">
        <v>7155</v>
      </c>
      <c r="I493" t="s">
        <v>7216</v>
      </c>
      <c r="J493" s="138" t="str" cm="1">
        <f t="array" ref="J493">myRGB(B493,C493,D493)</f>
        <v/>
      </c>
    </row>
    <row r="494" spans="1:10" x14ac:dyDescent="0.2">
      <c r="A494">
        <v>966</v>
      </c>
      <c r="B494" s="3">
        <v>160</v>
      </c>
      <c r="C494" s="3">
        <v>237</v>
      </c>
      <c r="D494" s="3">
        <v>157</v>
      </c>
      <c r="E494" t="s">
        <v>4481</v>
      </c>
      <c r="F494" t="str">
        <f t="shared" si="7"/>
        <v>160 237 157 255</v>
      </c>
      <c r="G494">
        <v>966</v>
      </c>
      <c r="H494" t="s">
        <v>5582</v>
      </c>
      <c r="I494" t="s">
        <v>5583</v>
      </c>
      <c r="J494" s="11" t="str" cm="1">
        <f t="array" ref="J494">myRGB(B494,C494,D494)</f>
        <v/>
      </c>
    </row>
    <row r="495" spans="1:10" x14ac:dyDescent="0.2">
      <c r="A495">
        <v>968</v>
      </c>
      <c r="B495" s="3">
        <v>253</v>
      </c>
      <c r="C495" s="3">
        <v>252</v>
      </c>
      <c r="D495" s="3">
        <v>143</v>
      </c>
      <c r="E495" t="s">
        <v>4482</v>
      </c>
      <c r="F495" t="str">
        <f t="shared" si="7"/>
        <v>253 252 143 255</v>
      </c>
      <c r="G495">
        <v>968</v>
      </c>
      <c r="H495" t="s">
        <v>6585</v>
      </c>
      <c r="I495" t="s">
        <v>6586</v>
      </c>
      <c r="J495" s="480" t="str" cm="1">
        <f t="array" ref="J495">myRGB(B495,C495,D495)</f>
        <v/>
      </c>
    </row>
    <row r="496" spans="1:10" x14ac:dyDescent="0.2">
      <c r="A496">
        <v>969</v>
      </c>
      <c r="B496" s="3">
        <v>36</v>
      </c>
      <c r="C496" s="3">
        <v>138</v>
      </c>
      <c r="D496" s="3">
        <v>91</v>
      </c>
      <c r="E496" t="s">
        <v>4483</v>
      </c>
      <c r="F496" t="str">
        <f t="shared" si="7"/>
        <v>36 138 91 255</v>
      </c>
      <c r="G496">
        <v>969</v>
      </c>
      <c r="H496" t="s">
        <v>5056</v>
      </c>
      <c r="I496" t="s">
        <v>5057</v>
      </c>
      <c r="J496" s="84" t="str" cm="1">
        <f t="array" ref="J496">myRGB(B496,C496,D496)</f>
        <v/>
      </c>
    </row>
    <row r="497" spans="1:10" x14ac:dyDescent="0.2">
      <c r="A497">
        <v>970</v>
      </c>
      <c r="B497" s="3">
        <v>252</v>
      </c>
      <c r="C497" s="3">
        <v>179</v>
      </c>
      <c r="D497" s="3">
        <v>216</v>
      </c>
      <c r="E497" t="s">
        <v>4484</v>
      </c>
      <c r="F497" t="str">
        <f t="shared" si="7"/>
        <v>252 179 216 255</v>
      </c>
      <c r="G497">
        <v>970</v>
      </c>
      <c r="H497" t="s">
        <v>6443</v>
      </c>
      <c r="I497" t="s">
        <v>6444</v>
      </c>
      <c r="J497" s="605" t="str" cm="1">
        <f t="array" ref="J497">myRGB(B497,C497,D497)</f>
        <v/>
      </c>
    </row>
    <row r="498" spans="1:10" x14ac:dyDescent="0.2">
      <c r="A498">
        <v>971</v>
      </c>
      <c r="B498" s="3">
        <v>200</v>
      </c>
      <c r="C498" s="3">
        <v>201</v>
      </c>
      <c r="D498" s="3">
        <v>202</v>
      </c>
      <c r="E498" t="s">
        <v>4485</v>
      </c>
      <c r="F498" t="str">
        <f t="shared" si="7"/>
        <v>200 201 202 255</v>
      </c>
      <c r="G498">
        <v>971</v>
      </c>
      <c r="H498" t="s">
        <v>6852</v>
      </c>
      <c r="I498" t="s">
        <v>6853</v>
      </c>
      <c r="J498" s="826" t="str" cm="1">
        <f t="array" ref="J498">myRGB(B498,C498,D498)</f>
        <v/>
      </c>
    </row>
    <row r="499" spans="1:10" x14ac:dyDescent="0.2">
      <c r="A499">
        <v>973</v>
      </c>
      <c r="B499" s="3">
        <v>10</v>
      </c>
      <c r="C499" s="3">
        <v>132</v>
      </c>
      <c r="D499" s="3">
        <v>137</v>
      </c>
      <c r="E499" t="s">
        <v>4486</v>
      </c>
      <c r="F499" t="str">
        <f t="shared" si="7"/>
        <v>10 132 137 255</v>
      </c>
      <c r="G499">
        <v>973</v>
      </c>
      <c r="H499" t="s">
        <v>7137</v>
      </c>
      <c r="I499" t="s">
        <v>7198</v>
      </c>
      <c r="J499" s="179" t="str" cm="1">
        <f t="array" ref="J499">myRGB(B499,C499,D499)</f>
        <v/>
      </c>
    </row>
    <row r="500" spans="1:10" x14ac:dyDescent="0.2">
      <c r="A500">
        <v>974</v>
      </c>
      <c r="B500" s="3">
        <v>27</v>
      </c>
      <c r="C500" s="3">
        <v>126</v>
      </c>
      <c r="D500" s="3">
        <v>99</v>
      </c>
      <c r="E500" t="s">
        <v>4487</v>
      </c>
      <c r="F500" t="str">
        <f t="shared" si="7"/>
        <v>27 126 99 255</v>
      </c>
      <c r="G500">
        <v>974</v>
      </c>
      <c r="H500" t="s">
        <v>4718</v>
      </c>
      <c r="I500" t="s">
        <v>4719</v>
      </c>
      <c r="J500" s="63" t="str" cm="1">
        <f t="array" ref="J500">myRGB(B500,C500,D500)</f>
        <v/>
      </c>
    </row>
    <row r="501" spans="1:10" x14ac:dyDescent="0.2">
      <c r="A501">
        <v>975</v>
      </c>
      <c r="B501" s="3">
        <v>254</v>
      </c>
      <c r="C501" s="3">
        <v>143</v>
      </c>
      <c r="D501" s="3">
        <v>252</v>
      </c>
      <c r="E501" t="s">
        <v>4488</v>
      </c>
      <c r="F501" t="str">
        <f t="shared" si="7"/>
        <v>254 143 252 255</v>
      </c>
      <c r="G501">
        <v>975</v>
      </c>
      <c r="H501" t="s">
        <v>6174</v>
      </c>
      <c r="I501" t="s">
        <v>6175</v>
      </c>
      <c r="J501" s="446" t="str" cm="1">
        <f t="array" ref="J501">myRGB(B501,C501,D501)</f>
        <v/>
      </c>
    </row>
    <row r="502" spans="1:10" x14ac:dyDescent="0.2">
      <c r="A502">
        <v>976</v>
      </c>
      <c r="B502" s="3">
        <v>253</v>
      </c>
      <c r="C502" s="3">
        <v>250</v>
      </c>
      <c r="D502" s="3">
        <v>145</v>
      </c>
      <c r="E502" t="s">
        <v>4489</v>
      </c>
      <c r="F502" t="str">
        <f t="shared" si="7"/>
        <v>253 250 145 255</v>
      </c>
      <c r="G502">
        <v>976</v>
      </c>
      <c r="H502" t="s">
        <v>6511</v>
      </c>
      <c r="I502" t="s">
        <v>6512</v>
      </c>
      <c r="J502" s="804" t="str" cm="1">
        <f t="array" ref="J502">myRGB(B502,C502,D502)</f>
        <v/>
      </c>
    </row>
    <row r="503" spans="1:10" x14ac:dyDescent="0.2">
      <c r="A503">
        <v>977</v>
      </c>
      <c r="B503" s="3">
        <v>14</v>
      </c>
      <c r="C503" s="3">
        <v>159</v>
      </c>
      <c r="D503" s="3">
        <v>145</v>
      </c>
      <c r="E503" t="s">
        <v>4490</v>
      </c>
      <c r="F503" t="str">
        <f t="shared" si="7"/>
        <v>14 159 145 255</v>
      </c>
      <c r="G503">
        <v>977</v>
      </c>
      <c r="H503" t="s">
        <v>5230</v>
      </c>
      <c r="I503" t="s">
        <v>7230</v>
      </c>
      <c r="J503" s="29" t="str" cm="1">
        <f t="array" ref="J503">myRGB(B503,C503,D503)</f>
        <v/>
      </c>
    </row>
    <row r="504" spans="1:10" x14ac:dyDescent="0.2">
      <c r="A504">
        <v>978</v>
      </c>
      <c r="B504" s="3">
        <v>252</v>
      </c>
      <c r="C504" s="3">
        <v>178</v>
      </c>
      <c r="D504" s="3">
        <v>217</v>
      </c>
      <c r="E504" t="s">
        <v>4491</v>
      </c>
      <c r="F504" t="str">
        <f t="shared" si="7"/>
        <v>252 178 217 255</v>
      </c>
      <c r="G504">
        <v>978</v>
      </c>
      <c r="H504" t="s">
        <v>6445</v>
      </c>
      <c r="I504" t="s">
        <v>6446</v>
      </c>
      <c r="J504" s="738" t="str" cm="1">
        <f t="array" ref="J504">myRGB(B504,C504,D504)</f>
        <v/>
      </c>
    </row>
    <row r="505" spans="1:10" x14ac:dyDescent="0.2">
      <c r="A505">
        <v>980</v>
      </c>
      <c r="B505" s="3">
        <v>252</v>
      </c>
      <c r="C505" s="3">
        <v>76</v>
      </c>
      <c r="D505" s="3">
        <v>62</v>
      </c>
      <c r="E505" t="s">
        <v>4492</v>
      </c>
      <c r="F505" t="str">
        <f t="shared" si="7"/>
        <v>252 76 62 255</v>
      </c>
      <c r="G505">
        <v>980</v>
      </c>
      <c r="H505" t="s">
        <v>6022</v>
      </c>
      <c r="I505" t="s">
        <v>6023</v>
      </c>
      <c r="J505" s="625" t="str" cm="1">
        <f t="array" ref="J505">myRGB(B505,C505,D505)</f>
        <v/>
      </c>
    </row>
    <row r="506" spans="1:10" x14ac:dyDescent="0.2">
      <c r="A506">
        <v>981</v>
      </c>
      <c r="B506" s="3">
        <v>24</v>
      </c>
      <c r="C506" s="3">
        <v>128</v>
      </c>
      <c r="D506" s="3">
        <v>96</v>
      </c>
      <c r="E506" t="s">
        <v>4493</v>
      </c>
      <c r="F506" t="str">
        <f t="shared" si="7"/>
        <v>24 128 96 255</v>
      </c>
      <c r="G506">
        <v>981</v>
      </c>
      <c r="H506" t="s">
        <v>4678</v>
      </c>
      <c r="I506" t="s">
        <v>4679</v>
      </c>
      <c r="J506" s="258" t="str" cm="1">
        <f t="array" ref="J506">myRGB(B506,C506,D506)</f>
        <v/>
      </c>
    </row>
    <row r="507" spans="1:10" x14ac:dyDescent="0.2">
      <c r="A507">
        <v>982</v>
      </c>
      <c r="B507" s="3">
        <v>126</v>
      </c>
      <c r="C507" s="3">
        <v>205</v>
      </c>
      <c r="D507" s="3">
        <v>74</v>
      </c>
      <c r="E507" t="s">
        <v>4494</v>
      </c>
      <c r="F507" t="str">
        <f t="shared" si="7"/>
        <v>126 205 74 255</v>
      </c>
      <c r="G507">
        <v>982</v>
      </c>
      <c r="H507" t="s">
        <v>5452</v>
      </c>
      <c r="I507" t="s">
        <v>5453</v>
      </c>
      <c r="J507" s="579" t="str" cm="1">
        <f t="array" ref="J507">myRGB(B507,C507,D507)</f>
        <v/>
      </c>
    </row>
    <row r="508" spans="1:10" x14ac:dyDescent="0.2">
      <c r="A508">
        <v>984</v>
      </c>
      <c r="B508" s="3">
        <v>255</v>
      </c>
      <c r="C508" s="3">
        <v>252</v>
      </c>
      <c r="D508" s="3">
        <v>142</v>
      </c>
      <c r="E508" t="s">
        <v>4495</v>
      </c>
      <c r="F508" t="str">
        <f t="shared" si="7"/>
        <v>255 252 142 255</v>
      </c>
      <c r="G508">
        <v>984</v>
      </c>
      <c r="H508" t="s">
        <v>6519</v>
      </c>
      <c r="I508" t="s">
        <v>6520</v>
      </c>
      <c r="J508" s="496" t="str" cm="1">
        <f t="array" ref="J508">myRGB(B508,C508,D508)</f>
        <v/>
      </c>
    </row>
    <row r="509" spans="1:10" x14ac:dyDescent="0.2">
      <c r="A509">
        <v>986</v>
      </c>
      <c r="B509" s="3">
        <v>199</v>
      </c>
      <c r="C509" s="3">
        <v>202</v>
      </c>
      <c r="D509" s="3">
        <v>204</v>
      </c>
      <c r="E509" t="s">
        <v>4496</v>
      </c>
      <c r="F509" t="str">
        <f t="shared" si="7"/>
        <v>199 202 204 255</v>
      </c>
      <c r="G509">
        <v>986</v>
      </c>
      <c r="H509" t="s">
        <v>6858</v>
      </c>
      <c r="I509" t="s">
        <v>6859</v>
      </c>
      <c r="J509" s="783" t="str" cm="1">
        <f t="array" ref="J509">myRGB(B509,C509,D509)</f>
        <v/>
      </c>
    </row>
    <row r="510" spans="1:10" x14ac:dyDescent="0.2">
      <c r="A510">
        <v>988</v>
      </c>
      <c r="B510" s="3">
        <v>13</v>
      </c>
      <c r="C510" s="3">
        <v>158</v>
      </c>
      <c r="D510" s="3">
        <v>144</v>
      </c>
      <c r="E510" t="s">
        <v>4497</v>
      </c>
      <c r="F510" t="str">
        <f t="shared" si="7"/>
        <v>13 158 144 255</v>
      </c>
      <c r="G510">
        <v>988</v>
      </c>
      <c r="H510" t="s">
        <v>5229</v>
      </c>
      <c r="I510" t="s">
        <v>7229</v>
      </c>
      <c r="J510" s="116" t="str" cm="1">
        <f t="array" ref="J510">myRGB(B510,C510,D510)</f>
        <v/>
      </c>
    </row>
    <row r="511" spans="1:10" x14ac:dyDescent="0.2">
      <c r="A511">
        <v>989</v>
      </c>
      <c r="B511" s="3">
        <v>255</v>
      </c>
      <c r="C511" s="3">
        <v>252</v>
      </c>
      <c r="D511" s="3">
        <v>188</v>
      </c>
      <c r="E511" t="s">
        <v>4498</v>
      </c>
      <c r="F511" t="str">
        <f t="shared" si="7"/>
        <v>255 252 188 255</v>
      </c>
      <c r="G511">
        <v>989</v>
      </c>
      <c r="H511" t="s">
        <v>6655</v>
      </c>
      <c r="I511" t="s">
        <v>6656</v>
      </c>
      <c r="J511" s="461" t="str" cm="1">
        <f t="array" ref="J511">myRGB(B511,C511,D511)</f>
        <v/>
      </c>
    </row>
    <row r="512" spans="1:10" x14ac:dyDescent="0.2">
      <c r="A512">
        <v>990</v>
      </c>
      <c r="B512" s="3">
        <v>2</v>
      </c>
      <c r="C512" s="3">
        <v>145</v>
      </c>
      <c r="D512" s="3">
        <v>151</v>
      </c>
      <c r="E512" t="s">
        <v>4499</v>
      </c>
      <c r="F512" t="str">
        <f t="shared" si="7"/>
        <v>2 145 151 255</v>
      </c>
      <c r="G512">
        <v>990</v>
      </c>
      <c r="H512" t="s">
        <v>4850</v>
      </c>
      <c r="I512" t="s">
        <v>4851</v>
      </c>
      <c r="J512" s="278" t="str" cm="1">
        <f t="array" ref="J512">myRGB(B512,C512,D512)</f>
        <v/>
      </c>
    </row>
    <row r="513" spans="1:10" x14ac:dyDescent="0.2">
      <c r="A513">
        <v>996</v>
      </c>
      <c r="B513" s="3">
        <v>32</v>
      </c>
      <c r="C513" s="3">
        <v>151</v>
      </c>
      <c r="D513" s="3">
        <v>100</v>
      </c>
      <c r="E513" t="s">
        <v>4500</v>
      </c>
      <c r="F513" t="str">
        <f t="shared" si="7"/>
        <v>32 151 100 255</v>
      </c>
      <c r="G513">
        <v>996</v>
      </c>
      <c r="H513" t="s">
        <v>5068</v>
      </c>
      <c r="I513" t="s">
        <v>5069</v>
      </c>
      <c r="J513" s="102" t="str" cm="1">
        <f t="array" ref="J513">myRGB(B513,C513,D513)</f>
        <v/>
      </c>
    </row>
    <row r="514" spans="1:10" x14ac:dyDescent="0.2">
      <c r="A514">
        <v>997</v>
      </c>
      <c r="B514" s="3">
        <v>0</v>
      </c>
      <c r="C514" s="3">
        <v>0</v>
      </c>
      <c r="D514" s="3">
        <v>0</v>
      </c>
      <c r="E514" t="s">
        <v>4501</v>
      </c>
      <c r="F514" t="str">
        <f t="shared" si="7"/>
        <v>0 0 0 255</v>
      </c>
      <c r="G514">
        <v>997</v>
      </c>
      <c r="H514" t="s">
        <v>4590</v>
      </c>
      <c r="I514" t="s">
        <v>4590</v>
      </c>
      <c r="J514" s="562" t="str" cm="1">
        <f t="array" ref="J514">myRGB(B514,C514,D514)</f>
        <v/>
      </c>
    </row>
    <row r="515" spans="1:10" x14ac:dyDescent="0.2">
      <c r="A515">
        <v>998</v>
      </c>
      <c r="B515" s="3">
        <v>126</v>
      </c>
      <c r="C515" s="3">
        <v>205</v>
      </c>
      <c r="D515" s="3">
        <v>248</v>
      </c>
      <c r="E515" t="s">
        <v>4502</v>
      </c>
      <c r="F515" t="str">
        <f t="shared" ref="F515:F578" si="8">_xlfn.CONCAT(B515," ",C515," ",D515," 255")</f>
        <v>126 205 248 255</v>
      </c>
      <c r="G515">
        <v>998</v>
      </c>
      <c r="H515" t="s">
        <v>5614</v>
      </c>
      <c r="I515" t="s">
        <v>5615</v>
      </c>
      <c r="J515" s="439" t="str" cm="1">
        <f t="array" ref="J515">myRGB(B515,C515,D515)</f>
        <v/>
      </c>
    </row>
    <row r="516" spans="1:10" x14ac:dyDescent="0.2">
      <c r="A516">
        <v>1004</v>
      </c>
      <c r="B516" s="3">
        <v>255</v>
      </c>
      <c r="C516" s="3">
        <v>75</v>
      </c>
      <c r="D516" s="3">
        <v>59</v>
      </c>
      <c r="E516" t="s">
        <v>4503</v>
      </c>
      <c r="F516" t="str">
        <f t="shared" si="8"/>
        <v>255 75 59 255</v>
      </c>
      <c r="G516">
        <v>1004</v>
      </c>
      <c r="H516" t="s">
        <v>6024</v>
      </c>
      <c r="I516" t="s">
        <v>6025</v>
      </c>
      <c r="J516" s="699" t="str" cm="1">
        <f t="array" ref="J516">myRGB(B516,C516,D516)</f>
        <v/>
      </c>
    </row>
    <row r="517" spans="1:10" x14ac:dyDescent="0.2">
      <c r="A517">
        <v>1005</v>
      </c>
      <c r="B517" s="3">
        <v>3</v>
      </c>
      <c r="C517" s="3">
        <v>145</v>
      </c>
      <c r="D517" s="3">
        <v>152</v>
      </c>
      <c r="E517" t="s">
        <v>4504</v>
      </c>
      <c r="F517" t="str">
        <f t="shared" si="8"/>
        <v>3 145 152 255</v>
      </c>
      <c r="G517">
        <v>1005</v>
      </c>
      <c r="H517" t="s">
        <v>4832</v>
      </c>
      <c r="I517" t="s">
        <v>4833</v>
      </c>
      <c r="J517" s="156" t="str" cm="1">
        <f t="array" ref="J517">myRGB(B517,C517,D517)</f>
        <v/>
      </c>
    </row>
    <row r="518" spans="1:10" x14ac:dyDescent="0.2">
      <c r="A518">
        <v>1006</v>
      </c>
      <c r="B518" s="3">
        <v>24</v>
      </c>
      <c r="C518" s="3">
        <v>124</v>
      </c>
      <c r="D518" s="3">
        <v>100</v>
      </c>
      <c r="E518" t="s">
        <v>4505</v>
      </c>
      <c r="F518" t="str">
        <f t="shared" si="8"/>
        <v>24 124 100 255</v>
      </c>
      <c r="G518">
        <v>1006</v>
      </c>
      <c r="H518" t="s">
        <v>4738</v>
      </c>
      <c r="I518" t="s">
        <v>4739</v>
      </c>
      <c r="J518" s="255" t="str" cm="1">
        <f t="array" ref="J518">myRGB(B518,C518,D518)</f>
        <v/>
      </c>
    </row>
    <row r="519" spans="1:10" x14ac:dyDescent="0.2">
      <c r="A519">
        <v>1007</v>
      </c>
      <c r="B519" s="3">
        <v>253</v>
      </c>
      <c r="C519" s="3">
        <v>251</v>
      </c>
      <c r="D519" s="3">
        <v>143</v>
      </c>
      <c r="E519" t="s">
        <v>4506</v>
      </c>
      <c r="F519" t="str">
        <f t="shared" si="8"/>
        <v>253 251 143 255</v>
      </c>
      <c r="G519">
        <v>1007</v>
      </c>
      <c r="H519" t="s">
        <v>6595</v>
      </c>
      <c r="I519" t="s">
        <v>6596</v>
      </c>
      <c r="J519" s="640" t="str" cm="1">
        <f t="array" ref="J519">myRGB(B519,C519,D519)</f>
        <v/>
      </c>
    </row>
    <row r="520" spans="1:10" x14ac:dyDescent="0.2">
      <c r="A520">
        <v>1009</v>
      </c>
      <c r="B520" s="3">
        <v>202</v>
      </c>
      <c r="C520" s="3">
        <v>199</v>
      </c>
      <c r="D520" s="3">
        <v>203</v>
      </c>
      <c r="E520" t="s">
        <v>4507</v>
      </c>
      <c r="F520" t="str">
        <f t="shared" si="8"/>
        <v>202 199 203 255</v>
      </c>
      <c r="G520">
        <v>1009</v>
      </c>
      <c r="H520" t="s">
        <v>6663</v>
      </c>
      <c r="I520" t="s">
        <v>6663</v>
      </c>
      <c r="J520" s="744" t="str" cm="1">
        <f t="array" ref="J520">myRGB(B520,C520,D520)</f>
        <v/>
      </c>
    </row>
    <row r="521" spans="1:10" x14ac:dyDescent="0.2">
      <c r="A521">
        <v>1010</v>
      </c>
      <c r="B521" s="3">
        <v>17</v>
      </c>
      <c r="C521" s="3">
        <v>172</v>
      </c>
      <c r="D521" s="3">
        <v>130</v>
      </c>
      <c r="E521" t="s">
        <v>4508</v>
      </c>
      <c r="F521" t="str">
        <f t="shared" si="8"/>
        <v>17 172 130 255</v>
      </c>
      <c r="G521">
        <v>1010</v>
      </c>
      <c r="H521" t="s">
        <v>4788</v>
      </c>
      <c r="I521" t="s">
        <v>4789</v>
      </c>
      <c r="J521" s="177" t="str" cm="1">
        <f t="array" ref="J521">myRGB(B521,C521,D521)</f>
        <v/>
      </c>
    </row>
    <row r="522" spans="1:10" x14ac:dyDescent="0.2">
      <c r="A522">
        <v>1015</v>
      </c>
      <c r="B522" s="3">
        <v>62</v>
      </c>
      <c r="C522" s="3">
        <v>165</v>
      </c>
      <c r="D522" s="3">
        <v>102</v>
      </c>
      <c r="E522" t="s">
        <v>4509</v>
      </c>
      <c r="F522" t="str">
        <f t="shared" si="8"/>
        <v>62 165 102 255</v>
      </c>
      <c r="G522">
        <v>1015</v>
      </c>
      <c r="H522" t="s">
        <v>4980</v>
      </c>
      <c r="I522" t="s">
        <v>4981</v>
      </c>
      <c r="J522" s="262" t="str" cm="1">
        <f t="array" ref="J522">myRGB(B522,C522,D522)</f>
        <v/>
      </c>
    </row>
    <row r="523" spans="1:10" x14ac:dyDescent="0.2">
      <c r="A523">
        <v>1016</v>
      </c>
      <c r="B523" s="3">
        <v>199</v>
      </c>
      <c r="C523" s="3">
        <v>203</v>
      </c>
      <c r="D523" s="3">
        <v>202</v>
      </c>
      <c r="E523" t="s">
        <v>4510</v>
      </c>
      <c r="F523" t="str">
        <f t="shared" si="8"/>
        <v>199 203 202 255</v>
      </c>
      <c r="G523">
        <v>1016</v>
      </c>
      <c r="H523" t="s">
        <v>6672</v>
      </c>
      <c r="I523" t="s">
        <v>6673</v>
      </c>
      <c r="J523" s="743" t="str" cm="1">
        <f t="array" ref="J523">myRGB(B523,C523,D523)</f>
        <v/>
      </c>
    </row>
    <row r="524" spans="1:10" x14ac:dyDescent="0.2">
      <c r="A524">
        <v>1020</v>
      </c>
      <c r="B524" s="3">
        <v>255</v>
      </c>
      <c r="C524" s="3">
        <v>142</v>
      </c>
      <c r="D524" s="3">
        <v>156</v>
      </c>
      <c r="E524" t="s">
        <v>4511</v>
      </c>
      <c r="F524" t="str">
        <f t="shared" si="8"/>
        <v>255 142 156 255</v>
      </c>
      <c r="G524">
        <v>1020</v>
      </c>
      <c r="H524" t="s">
        <v>5800</v>
      </c>
      <c r="I524" t="s">
        <v>5801</v>
      </c>
      <c r="J524" s="590" t="str" cm="1">
        <f t="array" ref="J524">myRGB(B524,C524,D524)</f>
        <v/>
      </c>
    </row>
    <row r="525" spans="1:10" x14ac:dyDescent="0.2">
      <c r="A525">
        <v>1021</v>
      </c>
      <c r="B525" s="3">
        <v>29</v>
      </c>
      <c r="C525" s="3">
        <v>156</v>
      </c>
      <c r="D525" s="3">
        <v>90</v>
      </c>
      <c r="E525" t="s">
        <v>4512</v>
      </c>
      <c r="F525" t="str">
        <f t="shared" si="8"/>
        <v>29 156 90 255</v>
      </c>
      <c r="G525">
        <v>1021</v>
      </c>
      <c r="H525" t="s">
        <v>4636</v>
      </c>
      <c r="I525" t="s">
        <v>4637</v>
      </c>
      <c r="J525" s="127" t="str" cm="1">
        <f t="array" ref="J525">myRGB(B525,C525,D525)</f>
        <v/>
      </c>
    </row>
    <row r="526" spans="1:10" x14ac:dyDescent="0.2">
      <c r="A526">
        <v>1022</v>
      </c>
      <c r="B526" s="3">
        <v>133</v>
      </c>
      <c r="C526" s="3">
        <v>152</v>
      </c>
      <c r="D526" s="3">
        <v>204</v>
      </c>
      <c r="E526" t="s">
        <v>4513</v>
      </c>
      <c r="F526" t="str">
        <f t="shared" si="8"/>
        <v>133 152 204 255</v>
      </c>
      <c r="G526">
        <v>1022</v>
      </c>
      <c r="H526" t="s">
        <v>5682</v>
      </c>
      <c r="I526" t="s">
        <v>5683</v>
      </c>
      <c r="J526" s="298" t="str" cm="1">
        <f t="array" ref="J526">myRGB(B526,C526,D526)</f>
        <v/>
      </c>
    </row>
    <row r="527" spans="1:10" x14ac:dyDescent="0.2">
      <c r="A527">
        <v>1023</v>
      </c>
      <c r="B527" s="3">
        <v>1</v>
      </c>
      <c r="C527" s="3">
        <v>144</v>
      </c>
      <c r="D527" s="3">
        <v>152</v>
      </c>
      <c r="E527" t="s">
        <v>4514</v>
      </c>
      <c r="F527" t="str">
        <f t="shared" si="8"/>
        <v>1 144 152 255</v>
      </c>
      <c r="G527">
        <v>1023</v>
      </c>
      <c r="H527" t="s">
        <v>4852</v>
      </c>
      <c r="I527" t="s">
        <v>4853</v>
      </c>
      <c r="J527" s="279" t="str" cm="1">
        <f t="array" ref="J527">myRGB(B527,C527,D527)</f>
        <v/>
      </c>
    </row>
    <row r="528" spans="1:10" x14ac:dyDescent="0.2">
      <c r="A528">
        <v>1025</v>
      </c>
      <c r="B528" s="3">
        <v>255</v>
      </c>
      <c r="C528" s="3">
        <v>251</v>
      </c>
      <c r="D528" s="3">
        <v>142</v>
      </c>
      <c r="E528" t="s">
        <v>4515</v>
      </c>
      <c r="F528" t="str">
        <f t="shared" si="8"/>
        <v>255 251 142 255</v>
      </c>
      <c r="G528">
        <v>1025</v>
      </c>
      <c r="H528" t="s">
        <v>6621</v>
      </c>
      <c r="I528" t="s">
        <v>6622</v>
      </c>
      <c r="J528" s="380" t="str" cm="1">
        <f t="array" ref="J528">myRGB(B528,C528,D528)</f>
        <v/>
      </c>
    </row>
    <row r="529" spans="1:10" x14ac:dyDescent="0.2">
      <c r="A529">
        <v>1026</v>
      </c>
      <c r="B529" s="3">
        <v>28</v>
      </c>
      <c r="C529" s="3">
        <v>128</v>
      </c>
      <c r="D529" s="3">
        <v>100</v>
      </c>
      <c r="E529" t="s">
        <v>4516</v>
      </c>
      <c r="F529" t="str">
        <f t="shared" si="8"/>
        <v>28 128 100 255</v>
      </c>
      <c r="G529">
        <v>1026</v>
      </c>
      <c r="H529" t="s">
        <v>4734</v>
      </c>
      <c r="I529" t="s">
        <v>4735</v>
      </c>
      <c r="J529" s="59" t="str" cm="1">
        <f t="array" ref="J529">myRGB(B529,C529,D529)</f>
        <v/>
      </c>
    </row>
    <row r="530" spans="1:10" x14ac:dyDescent="0.2">
      <c r="A530">
        <v>1029</v>
      </c>
      <c r="B530" s="3">
        <v>255</v>
      </c>
      <c r="C530" s="3">
        <v>141</v>
      </c>
      <c r="D530" s="3">
        <v>157</v>
      </c>
      <c r="E530" t="s">
        <v>4517</v>
      </c>
      <c r="F530" t="str">
        <f t="shared" si="8"/>
        <v>255 141 157 255</v>
      </c>
      <c r="G530">
        <v>1029</v>
      </c>
      <c r="H530" t="s">
        <v>5802</v>
      </c>
      <c r="I530" t="s">
        <v>5803</v>
      </c>
      <c r="J530" s="523" t="str" cm="1">
        <f t="array" ref="J530">myRGB(B530,C530,D530)</f>
        <v/>
      </c>
    </row>
    <row r="531" spans="1:10" x14ac:dyDescent="0.2">
      <c r="A531">
        <v>1030</v>
      </c>
      <c r="B531" s="3">
        <v>24</v>
      </c>
      <c r="C531" s="3">
        <v>127</v>
      </c>
      <c r="D531" s="3">
        <v>96</v>
      </c>
      <c r="E531" t="s">
        <v>4518</v>
      </c>
      <c r="F531" t="str">
        <f t="shared" si="8"/>
        <v>24 127 96 255</v>
      </c>
      <c r="G531">
        <v>1030</v>
      </c>
      <c r="H531" t="s">
        <v>4702</v>
      </c>
      <c r="I531" t="s">
        <v>4703</v>
      </c>
      <c r="J531" s="192" t="str" cm="1">
        <f t="array" ref="J531">myRGB(B531,C531,D531)</f>
        <v/>
      </c>
    </row>
    <row r="532" spans="1:10" x14ac:dyDescent="0.2">
      <c r="A532">
        <v>1031</v>
      </c>
      <c r="B532" s="3">
        <v>132</v>
      </c>
      <c r="C532" s="3">
        <v>153</v>
      </c>
      <c r="D532" s="3">
        <v>204</v>
      </c>
      <c r="E532" t="s">
        <v>4519</v>
      </c>
      <c r="F532" t="str">
        <f t="shared" si="8"/>
        <v>132 153 204 255</v>
      </c>
      <c r="G532">
        <v>1031</v>
      </c>
      <c r="H532" t="s">
        <v>5684</v>
      </c>
      <c r="I532" t="s">
        <v>5685</v>
      </c>
      <c r="J532" s="479" t="str" cm="1">
        <f t="array" ref="J532">myRGB(B532,C532,D532)</f>
        <v/>
      </c>
    </row>
    <row r="533" spans="1:10" x14ac:dyDescent="0.2">
      <c r="A533">
        <v>1033</v>
      </c>
      <c r="B533" s="3">
        <v>255</v>
      </c>
      <c r="C533" s="3">
        <v>249</v>
      </c>
      <c r="D533" s="3">
        <v>144</v>
      </c>
      <c r="E533" t="s">
        <v>4520</v>
      </c>
      <c r="F533" t="str">
        <f t="shared" si="8"/>
        <v>255 249 144 255</v>
      </c>
      <c r="G533">
        <v>1033</v>
      </c>
      <c r="H533" t="s">
        <v>6629</v>
      </c>
      <c r="I533" t="s">
        <v>6630</v>
      </c>
      <c r="J533" s="581" t="str" cm="1">
        <f t="array" ref="J533">myRGB(B533,C533,D533)</f>
        <v/>
      </c>
    </row>
    <row r="534" spans="1:10" x14ac:dyDescent="0.2">
      <c r="A534">
        <v>1035</v>
      </c>
      <c r="B534" s="3">
        <v>24</v>
      </c>
      <c r="C534" s="3">
        <v>124</v>
      </c>
      <c r="D534" s="3">
        <v>99</v>
      </c>
      <c r="E534" t="s">
        <v>4521</v>
      </c>
      <c r="F534" t="str">
        <f t="shared" si="8"/>
        <v>24 124 99 255</v>
      </c>
      <c r="G534">
        <v>1035</v>
      </c>
      <c r="H534" t="s">
        <v>4764</v>
      </c>
      <c r="I534" t="s">
        <v>4765</v>
      </c>
      <c r="J534" s="325" t="str" cm="1">
        <f t="array" ref="J534">myRGB(B534,C534,D534)</f>
        <v/>
      </c>
    </row>
    <row r="535" spans="1:10" x14ac:dyDescent="0.2">
      <c r="A535">
        <v>1037</v>
      </c>
      <c r="B535" s="3">
        <v>71</v>
      </c>
      <c r="C535" s="3">
        <v>200</v>
      </c>
      <c r="D535" s="3">
        <v>60</v>
      </c>
      <c r="E535" t="s">
        <v>4522</v>
      </c>
      <c r="F535" t="str">
        <f t="shared" si="8"/>
        <v>71 200 60 255</v>
      </c>
      <c r="G535">
        <v>1037</v>
      </c>
      <c r="H535" t="s">
        <v>5516</v>
      </c>
      <c r="I535" t="s">
        <v>5517</v>
      </c>
      <c r="J535" s="515" t="str" cm="1">
        <f t="array" ref="J535">myRGB(B535,C535,D535)</f>
        <v/>
      </c>
    </row>
    <row r="536" spans="1:10" x14ac:dyDescent="0.2">
      <c r="A536">
        <v>1038</v>
      </c>
      <c r="B536" s="3">
        <v>25</v>
      </c>
      <c r="C536" s="3">
        <v>128</v>
      </c>
      <c r="D536" s="3">
        <v>96</v>
      </c>
      <c r="E536" t="s">
        <v>4523</v>
      </c>
      <c r="F536" t="str">
        <f t="shared" si="8"/>
        <v>25 128 96 255</v>
      </c>
      <c r="G536">
        <v>1038</v>
      </c>
      <c r="H536" t="s">
        <v>4684</v>
      </c>
      <c r="I536" t="s">
        <v>4685</v>
      </c>
      <c r="J536" s="193" t="str" cm="1">
        <f t="array" ref="J536">myRGB(B536,C536,D536)</f>
        <v/>
      </c>
    </row>
    <row r="537" spans="1:10" x14ac:dyDescent="0.2">
      <c r="A537">
        <v>1039</v>
      </c>
      <c r="B537" s="3">
        <v>254</v>
      </c>
      <c r="C537" s="3">
        <v>163</v>
      </c>
      <c r="D537" s="3">
        <v>208</v>
      </c>
      <c r="E537" t="s">
        <v>4524</v>
      </c>
      <c r="F537" t="str">
        <f t="shared" si="8"/>
        <v>254 163 208 255</v>
      </c>
      <c r="G537">
        <v>1039</v>
      </c>
      <c r="H537" t="s">
        <v>6351</v>
      </c>
      <c r="I537" t="s">
        <v>6352</v>
      </c>
      <c r="J537" s="813" t="str" cm="1">
        <f t="array" ref="J537">myRGB(B537,C537,D537)</f>
        <v/>
      </c>
    </row>
    <row r="538" spans="1:10" x14ac:dyDescent="0.2">
      <c r="A538">
        <v>1041</v>
      </c>
      <c r="B538" s="3">
        <v>255</v>
      </c>
      <c r="C538" s="3">
        <v>252</v>
      </c>
      <c r="D538" s="3">
        <v>141</v>
      </c>
      <c r="E538" t="s">
        <v>4525</v>
      </c>
      <c r="F538" t="str">
        <f t="shared" si="8"/>
        <v>255 252 141 255</v>
      </c>
      <c r="G538">
        <v>1041</v>
      </c>
      <c r="H538" t="s">
        <v>6637</v>
      </c>
      <c r="I538" t="s">
        <v>6638</v>
      </c>
      <c r="J538" s="497" t="str" cm="1">
        <f t="array" ref="J538">myRGB(B538,C538,D538)</f>
        <v/>
      </c>
    </row>
    <row r="539" spans="1:10" x14ac:dyDescent="0.2">
      <c r="A539">
        <v>1043</v>
      </c>
      <c r="B539" s="3">
        <v>200</v>
      </c>
      <c r="C539" s="3">
        <v>200</v>
      </c>
      <c r="D539" s="3">
        <v>204</v>
      </c>
      <c r="E539" t="s">
        <v>4526</v>
      </c>
      <c r="F539" t="str">
        <f t="shared" si="8"/>
        <v>200 200 204 255</v>
      </c>
      <c r="G539">
        <v>1043</v>
      </c>
      <c r="H539" t="s">
        <v>6918</v>
      </c>
      <c r="I539" t="s">
        <v>6919</v>
      </c>
      <c r="J539" s="561" t="str" cm="1">
        <f t="array" ref="J539">myRGB(B539,C539,D539)</f>
        <v/>
      </c>
    </row>
    <row r="540" spans="1:10" x14ac:dyDescent="0.2">
      <c r="A540">
        <v>1044</v>
      </c>
      <c r="B540" s="3">
        <v>253</v>
      </c>
      <c r="C540" s="3">
        <v>127</v>
      </c>
      <c r="D540" s="3">
        <v>132</v>
      </c>
      <c r="E540" t="s">
        <v>4527</v>
      </c>
      <c r="F540" t="str">
        <f t="shared" si="8"/>
        <v>253 127 132 255</v>
      </c>
      <c r="G540">
        <v>1044</v>
      </c>
      <c r="H540" t="s">
        <v>5774</v>
      </c>
      <c r="I540" t="s">
        <v>5775</v>
      </c>
      <c r="J540" s="751" t="str" cm="1">
        <f t="array" ref="J540">myRGB(B540,C540,D540)</f>
        <v/>
      </c>
    </row>
    <row r="541" spans="1:10" x14ac:dyDescent="0.2">
      <c r="A541">
        <v>1045</v>
      </c>
      <c r="B541" s="3">
        <v>14</v>
      </c>
      <c r="C541" s="3">
        <v>159</v>
      </c>
      <c r="D541" s="3">
        <v>144</v>
      </c>
      <c r="E541" t="s">
        <v>4528</v>
      </c>
      <c r="F541" t="str">
        <f t="shared" si="8"/>
        <v>14 159 144 255</v>
      </c>
      <c r="G541">
        <v>1045</v>
      </c>
      <c r="H541" t="s">
        <v>5231</v>
      </c>
      <c r="I541" t="s">
        <v>7231</v>
      </c>
      <c r="J541" s="175" t="str" cm="1">
        <f t="array" ref="J541">myRGB(B541,C541,D541)</f>
        <v/>
      </c>
    </row>
    <row r="542" spans="1:10" x14ac:dyDescent="0.2">
      <c r="A542">
        <v>1046</v>
      </c>
      <c r="B542" s="3">
        <v>10</v>
      </c>
      <c r="C542" s="3">
        <v>130</v>
      </c>
      <c r="D542" s="3">
        <v>139</v>
      </c>
      <c r="E542" t="s">
        <v>4529</v>
      </c>
      <c r="F542" t="str">
        <f t="shared" si="8"/>
        <v>10 130 139 255</v>
      </c>
      <c r="G542">
        <v>1046</v>
      </c>
      <c r="H542" t="s">
        <v>4890</v>
      </c>
      <c r="I542" t="s">
        <v>4891</v>
      </c>
      <c r="J542" s="45" t="str" cm="1">
        <f t="array" ref="J542">myRGB(B542,C542,D542)</f>
        <v/>
      </c>
    </row>
    <row r="543" spans="1:10" x14ac:dyDescent="0.2">
      <c r="A543">
        <v>1047</v>
      </c>
      <c r="B543" s="3">
        <v>25</v>
      </c>
      <c r="C543" s="3">
        <v>124</v>
      </c>
      <c r="D543" s="3">
        <v>100</v>
      </c>
      <c r="E543" t="s">
        <v>4530</v>
      </c>
      <c r="F543" t="str">
        <f t="shared" si="8"/>
        <v>25 124 100 255</v>
      </c>
      <c r="G543">
        <v>1047</v>
      </c>
      <c r="H543" t="s">
        <v>4680</v>
      </c>
      <c r="I543" t="s">
        <v>4681</v>
      </c>
      <c r="J543" s="144" t="str" cm="1">
        <f t="array" ref="J543">myRGB(B543,C543,D543)</f>
        <v/>
      </c>
    </row>
    <row r="544" spans="1:10" x14ac:dyDescent="0.2">
      <c r="A544">
        <v>1048</v>
      </c>
      <c r="B544" s="3">
        <v>254</v>
      </c>
      <c r="C544" s="3">
        <v>176</v>
      </c>
      <c r="D544" s="3">
        <v>216</v>
      </c>
      <c r="E544" t="s">
        <v>4531</v>
      </c>
      <c r="F544" t="str">
        <f t="shared" si="8"/>
        <v>254 176 216 255</v>
      </c>
      <c r="G544">
        <v>1048</v>
      </c>
      <c r="H544" t="s">
        <v>6411</v>
      </c>
      <c r="I544" t="s">
        <v>6412</v>
      </c>
      <c r="J544" s="776" t="str" cm="1">
        <f t="array" ref="J544">myRGB(B544,C544,D544)</f>
        <v/>
      </c>
    </row>
    <row r="545" spans="1:10" x14ac:dyDescent="0.2">
      <c r="A545">
        <v>1049</v>
      </c>
      <c r="B545" s="3">
        <v>254</v>
      </c>
      <c r="C545" s="3">
        <v>249</v>
      </c>
      <c r="D545" s="3">
        <v>145</v>
      </c>
      <c r="E545" t="s">
        <v>4532</v>
      </c>
      <c r="F545" t="str">
        <f t="shared" si="8"/>
        <v>254 249 145 255</v>
      </c>
      <c r="G545">
        <v>1049</v>
      </c>
      <c r="H545" t="s">
        <v>6645</v>
      </c>
      <c r="I545" t="s">
        <v>6646</v>
      </c>
      <c r="J545" s="459" t="str" cm="1">
        <f t="array" ref="J545">myRGB(B545,C545,D545)</f>
        <v/>
      </c>
    </row>
    <row r="546" spans="1:10" x14ac:dyDescent="0.2">
      <c r="A546">
        <v>1052</v>
      </c>
      <c r="B546" s="3">
        <v>255</v>
      </c>
      <c r="C546" s="3">
        <v>165</v>
      </c>
      <c r="D546" s="3">
        <v>253</v>
      </c>
      <c r="E546" t="s">
        <v>4533</v>
      </c>
      <c r="F546" t="str">
        <f t="shared" si="8"/>
        <v>255 165 253 255</v>
      </c>
      <c r="G546">
        <v>1052</v>
      </c>
      <c r="H546" t="s">
        <v>6196</v>
      </c>
      <c r="I546" t="s">
        <v>6197</v>
      </c>
      <c r="J546" s="445" t="str" cm="1">
        <f t="array" ref="J546">myRGB(B546,C546,D546)</f>
        <v/>
      </c>
    </row>
    <row r="547" spans="1:10" x14ac:dyDescent="0.2">
      <c r="A547">
        <v>1054</v>
      </c>
      <c r="B547" s="3">
        <v>88</v>
      </c>
      <c r="C547" s="3">
        <v>179</v>
      </c>
      <c r="D547" s="3">
        <v>98</v>
      </c>
      <c r="E547" t="s">
        <v>4534</v>
      </c>
      <c r="F547" t="str">
        <f t="shared" si="8"/>
        <v>88 179 98 255</v>
      </c>
      <c r="G547">
        <v>1054</v>
      </c>
      <c r="H547" t="s">
        <v>5016</v>
      </c>
      <c r="I547" t="s">
        <v>5017</v>
      </c>
      <c r="J547" s="271" t="str" cm="1">
        <f t="array" ref="J547">myRGB(B547,C547,D547)</f>
        <v/>
      </c>
    </row>
    <row r="548" spans="1:10" x14ac:dyDescent="0.2">
      <c r="A548">
        <v>1056</v>
      </c>
      <c r="B548" s="3">
        <v>252</v>
      </c>
      <c r="C548" s="3">
        <v>252</v>
      </c>
      <c r="D548" s="3">
        <v>144</v>
      </c>
      <c r="E548" t="s">
        <v>4535</v>
      </c>
      <c r="F548" t="str">
        <f t="shared" si="8"/>
        <v>252 252 144 255</v>
      </c>
      <c r="G548">
        <v>1056</v>
      </c>
      <c r="H548" t="s">
        <v>6605</v>
      </c>
      <c r="I548" t="s">
        <v>6606</v>
      </c>
      <c r="J548" s="460" t="str" cm="1">
        <f t="array" ref="J548">myRGB(B548,C548,D548)</f>
        <v/>
      </c>
    </row>
    <row r="549" spans="1:10" x14ac:dyDescent="0.2">
      <c r="A549">
        <v>1058</v>
      </c>
      <c r="B549" s="3">
        <v>18</v>
      </c>
      <c r="C549" s="3">
        <v>173</v>
      </c>
      <c r="D549" s="3">
        <v>130</v>
      </c>
      <c r="E549" t="s">
        <v>4536</v>
      </c>
      <c r="F549" t="str">
        <f t="shared" si="8"/>
        <v>18 173 130 255</v>
      </c>
      <c r="G549">
        <v>1058</v>
      </c>
      <c r="H549" t="s">
        <v>4790</v>
      </c>
      <c r="I549" t="s">
        <v>4791</v>
      </c>
      <c r="J549" s="36" t="str" cm="1">
        <f t="array" ref="J549">myRGB(B549,C549,D549)</f>
        <v/>
      </c>
    </row>
    <row r="550" spans="1:10" x14ac:dyDescent="0.2">
      <c r="A550">
        <v>1060</v>
      </c>
      <c r="B550" s="3">
        <v>202</v>
      </c>
      <c r="C550" s="3">
        <v>202</v>
      </c>
      <c r="D550" s="3">
        <v>199</v>
      </c>
      <c r="E550" t="s">
        <v>4537</v>
      </c>
      <c r="F550" t="str">
        <f t="shared" si="8"/>
        <v>202 202 199 255</v>
      </c>
      <c r="G550">
        <v>1060</v>
      </c>
      <c r="H550" t="s">
        <v>6916</v>
      </c>
      <c r="I550" t="s">
        <v>6917</v>
      </c>
      <c r="J550" s="790" t="str" cm="1">
        <f t="array" ref="J550">myRGB(B550,C550,D550)</f>
        <v/>
      </c>
    </row>
    <row r="551" spans="1:10" x14ac:dyDescent="0.2">
      <c r="A551">
        <v>1061</v>
      </c>
      <c r="B551" s="3">
        <v>252</v>
      </c>
      <c r="C551" s="3">
        <v>143</v>
      </c>
      <c r="D551" s="3">
        <v>254</v>
      </c>
      <c r="E551" t="s">
        <v>4538</v>
      </c>
      <c r="F551" t="str">
        <f t="shared" si="8"/>
        <v>252 143 254 255</v>
      </c>
      <c r="G551">
        <v>1061</v>
      </c>
      <c r="H551" t="s">
        <v>6160</v>
      </c>
      <c r="I551" t="s">
        <v>6161</v>
      </c>
      <c r="J551" s="474" t="str" cm="1">
        <f t="array" ref="J551">myRGB(B551,C551,D551)</f>
        <v/>
      </c>
    </row>
    <row r="552" spans="1:10" x14ac:dyDescent="0.2">
      <c r="A552">
        <v>1062</v>
      </c>
      <c r="B552" s="3">
        <v>26</v>
      </c>
      <c r="C552" s="3">
        <v>126</v>
      </c>
      <c r="D552" s="3">
        <v>97</v>
      </c>
      <c r="E552" t="s">
        <v>4539</v>
      </c>
      <c r="F552" t="str">
        <f t="shared" si="8"/>
        <v>26 126 97 255</v>
      </c>
      <c r="G552">
        <v>1062</v>
      </c>
      <c r="H552" t="s">
        <v>4686</v>
      </c>
      <c r="I552" t="s">
        <v>4687</v>
      </c>
      <c r="J552" s="134" t="str" cm="1">
        <f t="array" ref="J552">myRGB(B552,C552,D552)</f>
        <v/>
      </c>
    </row>
    <row r="553" spans="1:10" x14ac:dyDescent="0.2">
      <c r="A553">
        <v>1064</v>
      </c>
      <c r="B553" s="3">
        <v>252</v>
      </c>
      <c r="C553" s="3">
        <v>250</v>
      </c>
      <c r="D553" s="3">
        <v>145</v>
      </c>
      <c r="E553" t="s">
        <v>4540</v>
      </c>
      <c r="F553" t="str">
        <f t="shared" si="8"/>
        <v>252 250 145 255</v>
      </c>
      <c r="G553">
        <v>1064</v>
      </c>
      <c r="H553" t="s">
        <v>6613</v>
      </c>
      <c r="I553" t="s">
        <v>6614</v>
      </c>
      <c r="J553" s="397" t="str" cm="1">
        <f t="array" ref="J553">myRGB(B553,C553,D553)</f>
        <v/>
      </c>
    </row>
    <row r="554" spans="1:10" x14ac:dyDescent="0.2">
      <c r="A554">
        <v>1066</v>
      </c>
      <c r="B554" s="3">
        <v>11</v>
      </c>
      <c r="C554" s="3">
        <v>132</v>
      </c>
      <c r="D554" s="3">
        <v>138</v>
      </c>
      <c r="E554" t="s">
        <v>4541</v>
      </c>
      <c r="F554" t="str">
        <f t="shared" si="8"/>
        <v>11 132 138 255</v>
      </c>
      <c r="G554">
        <v>1066</v>
      </c>
      <c r="H554" t="s">
        <v>7136</v>
      </c>
      <c r="I554" t="s">
        <v>7197</v>
      </c>
      <c r="J554" s="247" t="str" cm="1">
        <f t="array" ref="J554">myRGB(B554,C554,D554)</f>
        <v/>
      </c>
    </row>
    <row r="555" spans="1:10" x14ac:dyDescent="0.2">
      <c r="A555">
        <v>1069</v>
      </c>
      <c r="B555" s="3">
        <v>252</v>
      </c>
      <c r="C555" s="3">
        <v>178</v>
      </c>
      <c r="D555" s="3">
        <v>216</v>
      </c>
      <c r="E555" t="s">
        <v>4542</v>
      </c>
      <c r="F555" t="str">
        <f t="shared" si="8"/>
        <v>252 178 216 255</v>
      </c>
      <c r="G555">
        <v>1069</v>
      </c>
      <c r="H555" t="s">
        <v>6457</v>
      </c>
      <c r="I555" t="s">
        <v>6458</v>
      </c>
      <c r="J555" s="656" t="str" cm="1">
        <f t="array" ref="J555">myRGB(B555,C555,D555)</f>
        <v/>
      </c>
    </row>
    <row r="556" spans="1:10" x14ac:dyDescent="0.2">
      <c r="A556">
        <v>1070</v>
      </c>
      <c r="B556" s="3">
        <v>26</v>
      </c>
      <c r="C556" s="3">
        <v>125</v>
      </c>
      <c r="D556" s="3">
        <v>98</v>
      </c>
      <c r="E556" t="s">
        <v>4543</v>
      </c>
      <c r="F556" t="str">
        <f t="shared" si="8"/>
        <v>26 125 98 255</v>
      </c>
      <c r="G556">
        <v>1070</v>
      </c>
      <c r="H556" t="s">
        <v>4682</v>
      </c>
      <c r="I556" t="s">
        <v>4683</v>
      </c>
      <c r="J556" s="356" t="str" cm="1">
        <f t="array" ref="J556">myRGB(B556,C556,D556)</f>
        <v/>
      </c>
    </row>
    <row r="557" spans="1:10" x14ac:dyDescent="0.2">
      <c r="A557">
        <v>1072</v>
      </c>
      <c r="B557" s="3">
        <v>254</v>
      </c>
      <c r="C557" s="3">
        <v>127</v>
      </c>
      <c r="D557" s="3">
        <v>130</v>
      </c>
      <c r="E557" t="s">
        <v>4544</v>
      </c>
      <c r="F557" t="str">
        <f t="shared" si="8"/>
        <v>254 127 130 255</v>
      </c>
      <c r="G557">
        <v>1072</v>
      </c>
      <c r="H557" t="s">
        <v>5780</v>
      </c>
      <c r="I557" t="s">
        <v>5781</v>
      </c>
      <c r="J557" s="415" t="str" cm="1">
        <f t="array" ref="J557">myRGB(B557,C557,D557)</f>
        <v/>
      </c>
    </row>
    <row r="558" spans="1:10" x14ac:dyDescent="0.2">
      <c r="A558">
        <v>1074</v>
      </c>
      <c r="B558" s="3">
        <v>11</v>
      </c>
      <c r="C558" s="3">
        <v>131</v>
      </c>
      <c r="D558" s="3">
        <v>139</v>
      </c>
      <c r="E558" t="s">
        <v>4545</v>
      </c>
      <c r="F558" t="str">
        <f t="shared" si="8"/>
        <v>11 131 139 255</v>
      </c>
      <c r="G558">
        <v>1074</v>
      </c>
      <c r="H558" t="s">
        <v>4872</v>
      </c>
      <c r="I558" t="s">
        <v>4873</v>
      </c>
      <c r="J558" s="318" t="str" cm="1">
        <f t="array" ref="J558">myRGB(B558,C558,D558)</f>
        <v/>
      </c>
    </row>
    <row r="559" spans="1:10" x14ac:dyDescent="0.2">
      <c r="A559">
        <v>1077</v>
      </c>
      <c r="B559" s="3">
        <v>253</v>
      </c>
      <c r="C559" s="3">
        <v>144</v>
      </c>
      <c r="D559" s="3">
        <v>156</v>
      </c>
      <c r="E559" t="s">
        <v>4546</v>
      </c>
      <c r="F559" t="str">
        <f t="shared" si="8"/>
        <v>253 144 156 255</v>
      </c>
      <c r="G559">
        <v>1077</v>
      </c>
      <c r="H559" t="s">
        <v>5842</v>
      </c>
      <c r="I559" t="s">
        <v>5843</v>
      </c>
      <c r="J559" s="420" t="str" cm="1">
        <f t="array" ref="J559">myRGB(B559,C559,D559)</f>
        <v/>
      </c>
    </row>
    <row r="560" spans="1:10" x14ac:dyDescent="0.2">
      <c r="A560">
        <v>1079</v>
      </c>
      <c r="B560" s="3">
        <v>254</v>
      </c>
      <c r="C560" s="3">
        <v>126</v>
      </c>
      <c r="D560" s="3">
        <v>131</v>
      </c>
      <c r="E560" t="s">
        <v>4547</v>
      </c>
      <c r="F560" t="str">
        <f t="shared" si="8"/>
        <v>254 126 131 255</v>
      </c>
      <c r="G560">
        <v>1079</v>
      </c>
      <c r="H560" t="s">
        <v>5782</v>
      </c>
      <c r="I560" t="s">
        <v>5783</v>
      </c>
      <c r="J560" s="386" t="str" cm="1">
        <f t="array" ref="J560">myRGB(B560,C560,D560)</f>
        <v/>
      </c>
    </row>
    <row r="561" spans="1:10" x14ac:dyDescent="0.2">
      <c r="A561">
        <v>1081</v>
      </c>
      <c r="B561" s="3">
        <v>88</v>
      </c>
      <c r="C561" s="3">
        <v>178</v>
      </c>
      <c r="D561" s="3">
        <v>99</v>
      </c>
      <c r="E561" t="s">
        <v>4548</v>
      </c>
      <c r="F561" t="str">
        <f t="shared" si="8"/>
        <v>88 178 99 255</v>
      </c>
      <c r="G561">
        <v>1081</v>
      </c>
      <c r="H561" t="s">
        <v>5018</v>
      </c>
      <c r="I561" t="s">
        <v>5019</v>
      </c>
      <c r="J561" s="261" t="str" cm="1">
        <f t="array" ref="J561">myRGB(B561,C561,D561)</f>
        <v/>
      </c>
    </row>
    <row r="562" spans="1:10" x14ac:dyDescent="0.2">
      <c r="A562">
        <v>1084</v>
      </c>
      <c r="B562" s="3">
        <v>89</v>
      </c>
      <c r="C562" s="3">
        <v>184</v>
      </c>
      <c r="D562" s="3">
        <v>71</v>
      </c>
      <c r="E562" t="s">
        <v>4549</v>
      </c>
      <c r="F562" t="str">
        <f t="shared" si="8"/>
        <v>89 184 71 255</v>
      </c>
      <c r="G562">
        <v>1084</v>
      </c>
      <c r="H562" t="s">
        <v>5524</v>
      </c>
      <c r="I562" t="s">
        <v>5525</v>
      </c>
      <c r="J562" s="166" t="str" cm="1">
        <f t="array" ref="J562">myRGB(B562,C562,D562)</f>
        <v/>
      </c>
    </row>
    <row r="563" spans="1:10" x14ac:dyDescent="0.2">
      <c r="A563">
        <v>1085</v>
      </c>
      <c r="B563" s="3">
        <v>30</v>
      </c>
      <c r="C563" s="3">
        <v>156</v>
      </c>
      <c r="D563" s="3">
        <v>88</v>
      </c>
      <c r="E563" t="s">
        <v>4550</v>
      </c>
      <c r="F563" t="str">
        <f t="shared" si="8"/>
        <v>30 156 88 255</v>
      </c>
      <c r="G563">
        <v>1085</v>
      </c>
      <c r="H563" t="s">
        <v>4638</v>
      </c>
      <c r="I563" t="s">
        <v>4639</v>
      </c>
      <c r="J563" s="349" t="str" cm="1">
        <f t="array" ref="J563">myRGB(B563,C563,D563)</f>
        <v/>
      </c>
    </row>
    <row r="564" spans="1:10" x14ac:dyDescent="0.2">
      <c r="A564">
        <v>1086</v>
      </c>
      <c r="B564" s="3">
        <v>27</v>
      </c>
      <c r="C564" s="3">
        <v>126</v>
      </c>
      <c r="D564" s="3">
        <v>98</v>
      </c>
      <c r="E564" t="s">
        <v>4551</v>
      </c>
      <c r="F564" t="str">
        <f t="shared" si="8"/>
        <v>27 126 98 255</v>
      </c>
      <c r="G564">
        <v>1086</v>
      </c>
      <c r="H564" t="s">
        <v>4740</v>
      </c>
      <c r="I564" t="s">
        <v>4741</v>
      </c>
      <c r="J564" s="215" t="str" cm="1">
        <f t="array" ref="J564">myRGB(B564,C564,D564)</f>
        <v/>
      </c>
    </row>
    <row r="565" spans="1:10" x14ac:dyDescent="0.2">
      <c r="A565">
        <v>1088</v>
      </c>
      <c r="B565" s="3">
        <v>253</v>
      </c>
      <c r="C565" s="3">
        <v>127</v>
      </c>
      <c r="D565" s="3">
        <v>131</v>
      </c>
      <c r="E565" t="s">
        <v>4552</v>
      </c>
      <c r="F565" t="str">
        <f t="shared" si="8"/>
        <v>253 127 131 255</v>
      </c>
      <c r="G565">
        <v>1088</v>
      </c>
      <c r="H565" t="s">
        <v>5784</v>
      </c>
      <c r="I565" t="s">
        <v>5785</v>
      </c>
      <c r="J565" s="791" t="str" cm="1">
        <f t="array" ref="J565">myRGB(B565,C565,D565)</f>
        <v/>
      </c>
    </row>
    <row r="566" spans="1:10" x14ac:dyDescent="0.2">
      <c r="A566">
        <v>1089</v>
      </c>
      <c r="B566" s="3">
        <v>125</v>
      </c>
      <c r="C566" s="3">
        <v>205</v>
      </c>
      <c r="D566" s="3">
        <v>75</v>
      </c>
      <c r="E566" t="s">
        <v>4553</v>
      </c>
      <c r="F566" t="str">
        <f t="shared" si="8"/>
        <v>125 205 75 255</v>
      </c>
      <c r="G566">
        <v>1089</v>
      </c>
      <c r="H566" t="s">
        <v>5380</v>
      </c>
      <c r="I566" t="s">
        <v>5381</v>
      </c>
      <c r="J566" s="295" t="str" cm="1">
        <f t="array" ref="J566">myRGB(B566,C566,D566)</f>
        <v/>
      </c>
    </row>
    <row r="567" spans="1:10" x14ac:dyDescent="0.2">
      <c r="A567">
        <v>1090</v>
      </c>
      <c r="B567" s="3">
        <v>28</v>
      </c>
      <c r="C567" s="3">
        <v>128</v>
      </c>
      <c r="D567" s="3">
        <v>99</v>
      </c>
      <c r="E567" t="s">
        <v>4554</v>
      </c>
      <c r="F567" t="str">
        <f t="shared" si="8"/>
        <v>28 128 99 255</v>
      </c>
      <c r="G567">
        <v>1090</v>
      </c>
      <c r="H567" t="s">
        <v>4766</v>
      </c>
      <c r="I567" t="s">
        <v>4767</v>
      </c>
      <c r="J567" s="57" t="str" cm="1">
        <f t="array" ref="J567">myRGB(B567,C567,D567)</f>
        <v/>
      </c>
    </row>
    <row r="568" spans="1:10" x14ac:dyDescent="0.2">
      <c r="A568">
        <v>1091</v>
      </c>
      <c r="B568" s="3">
        <v>252</v>
      </c>
      <c r="C568" s="3">
        <v>251</v>
      </c>
      <c r="D568" s="3">
        <v>144</v>
      </c>
      <c r="E568" t="s">
        <v>4555</v>
      </c>
      <c r="F568" t="str">
        <f t="shared" si="8"/>
        <v>252 251 144 255</v>
      </c>
      <c r="G568">
        <v>1091</v>
      </c>
      <c r="H568" t="s">
        <v>6545</v>
      </c>
      <c r="I568" t="s">
        <v>6546</v>
      </c>
      <c r="J568" s="307" t="str" cm="1">
        <f t="array" ref="J568">myRGB(B568,C568,D568)</f>
        <v/>
      </c>
    </row>
    <row r="569" spans="1:10" x14ac:dyDescent="0.2">
      <c r="A569">
        <v>1092</v>
      </c>
      <c r="B569" s="3">
        <v>199</v>
      </c>
      <c r="C569" s="3">
        <v>202</v>
      </c>
      <c r="D569" s="3">
        <v>202</v>
      </c>
      <c r="E569" t="s">
        <v>4556</v>
      </c>
      <c r="F569" t="str">
        <f t="shared" si="8"/>
        <v>199 202 202 255</v>
      </c>
      <c r="G569">
        <v>1092</v>
      </c>
      <c r="H569" t="s">
        <v>6884</v>
      </c>
      <c r="I569" t="s">
        <v>6885</v>
      </c>
      <c r="J569" s="662" t="str" cm="1">
        <f t="array" ref="J569">myRGB(B569,C569,D569)</f>
        <v/>
      </c>
    </row>
    <row r="570" spans="1:10" x14ac:dyDescent="0.2">
      <c r="A570">
        <v>1093</v>
      </c>
      <c r="B570" s="3">
        <v>253</v>
      </c>
      <c r="C570" s="3">
        <v>186</v>
      </c>
      <c r="D570" s="3">
        <v>134</v>
      </c>
      <c r="E570" t="s">
        <v>4557</v>
      </c>
      <c r="F570" t="str">
        <f t="shared" si="8"/>
        <v>253 186 134 255</v>
      </c>
      <c r="G570">
        <v>1093</v>
      </c>
      <c r="H570" t="s">
        <v>6287</v>
      </c>
      <c r="I570" t="s">
        <v>6288</v>
      </c>
      <c r="J570" s="600" t="str" cm="1">
        <f t="array" ref="J570">myRGB(B570,C570,D570)</f>
        <v/>
      </c>
    </row>
    <row r="571" spans="1:10" x14ac:dyDescent="0.2">
      <c r="A571">
        <v>1094</v>
      </c>
      <c r="B571" s="3">
        <v>28</v>
      </c>
      <c r="C571" s="3">
        <v>127</v>
      </c>
      <c r="D571" s="3">
        <v>100</v>
      </c>
      <c r="E571" t="s">
        <v>4558</v>
      </c>
      <c r="F571" t="str">
        <f t="shared" si="8"/>
        <v>28 127 100 255</v>
      </c>
      <c r="G571">
        <v>1094</v>
      </c>
      <c r="H571" t="s">
        <v>4704</v>
      </c>
      <c r="I571" t="s">
        <v>4705</v>
      </c>
      <c r="J571" s="133" t="str" cm="1">
        <f t="array" ref="J571">myRGB(B571,C571,D571)</f>
        <v/>
      </c>
    </row>
    <row r="572" spans="1:10" x14ac:dyDescent="0.2">
      <c r="A572">
        <v>1096</v>
      </c>
      <c r="B572" s="3">
        <v>253</v>
      </c>
      <c r="C572" s="3">
        <v>141</v>
      </c>
      <c r="D572" s="3">
        <v>159</v>
      </c>
      <c r="E572" t="s">
        <v>4559</v>
      </c>
      <c r="F572" t="str">
        <f t="shared" si="8"/>
        <v>253 141 159 255</v>
      </c>
      <c r="G572">
        <v>1096</v>
      </c>
      <c r="H572" t="s">
        <v>5816</v>
      </c>
      <c r="I572" t="s">
        <v>5817</v>
      </c>
      <c r="J572" s="522" t="str" cm="1">
        <f t="array" ref="J572">myRGB(B572,C572,D572)</f>
        <v/>
      </c>
    </row>
    <row r="573" spans="1:10" x14ac:dyDescent="0.2">
      <c r="A573">
        <v>1097</v>
      </c>
      <c r="B573" s="3">
        <v>230</v>
      </c>
      <c r="C573" s="3">
        <v>68</v>
      </c>
      <c r="D573" s="3">
        <v>56</v>
      </c>
      <c r="E573" t="s">
        <v>4560</v>
      </c>
      <c r="F573" t="str">
        <f t="shared" si="8"/>
        <v>230 68 56 255</v>
      </c>
      <c r="G573">
        <v>1097</v>
      </c>
      <c r="H573" t="s">
        <v>5892</v>
      </c>
      <c r="I573" t="s">
        <v>5893</v>
      </c>
      <c r="J573" s="795" t="str" cm="1">
        <f t="array" ref="J573">myRGB(B573,C573,D573)</f>
        <v/>
      </c>
    </row>
    <row r="574" spans="1:10" x14ac:dyDescent="0.2">
      <c r="A574">
        <v>1098</v>
      </c>
      <c r="B574" s="3">
        <v>253</v>
      </c>
      <c r="C574" s="3">
        <v>177</v>
      </c>
      <c r="D574" s="3">
        <v>215</v>
      </c>
      <c r="E574" t="s">
        <v>4561</v>
      </c>
      <c r="F574" t="str">
        <f t="shared" si="8"/>
        <v>253 177 215 255</v>
      </c>
      <c r="G574">
        <v>1098</v>
      </c>
      <c r="H574" t="s">
        <v>6433</v>
      </c>
      <c r="I574" t="s">
        <v>6434</v>
      </c>
      <c r="J574" s="713" t="str" cm="1">
        <f t="array" ref="J574">myRGB(B574,C574,D574)</f>
        <v/>
      </c>
    </row>
    <row r="575" spans="1:10" x14ac:dyDescent="0.2">
      <c r="A575">
        <v>1101</v>
      </c>
      <c r="B575" s="3">
        <v>32</v>
      </c>
      <c r="C575" s="3">
        <v>150</v>
      </c>
      <c r="D575" s="3">
        <v>101</v>
      </c>
      <c r="E575" t="s">
        <v>4562</v>
      </c>
      <c r="F575" t="str">
        <f t="shared" si="8"/>
        <v>32 150 101 255</v>
      </c>
      <c r="G575">
        <v>1101</v>
      </c>
      <c r="H575" t="s">
        <v>5070</v>
      </c>
      <c r="I575" t="s">
        <v>5071</v>
      </c>
      <c r="J575" s="103" t="str" cm="1">
        <f t="array" ref="J575">myRGB(B575,C575,D575)</f>
        <v/>
      </c>
    </row>
    <row r="576" spans="1:10" x14ac:dyDescent="0.2">
      <c r="A576">
        <v>1102</v>
      </c>
      <c r="B576" s="3">
        <v>24</v>
      </c>
      <c r="C576" s="3">
        <v>125</v>
      </c>
      <c r="D576" s="3">
        <v>97</v>
      </c>
      <c r="E576" t="s">
        <v>4563</v>
      </c>
      <c r="F576" t="str">
        <f t="shared" si="8"/>
        <v>24 125 97 255</v>
      </c>
      <c r="G576">
        <v>1102</v>
      </c>
      <c r="H576" t="s">
        <v>4720</v>
      </c>
      <c r="I576" t="s">
        <v>4721</v>
      </c>
      <c r="J576" s="191" t="str" cm="1">
        <f t="array" ref="J576">myRGB(B576,C576,D576)</f>
        <v/>
      </c>
    </row>
    <row r="577" spans="1:10" x14ac:dyDescent="0.2">
      <c r="A577">
        <v>1104</v>
      </c>
      <c r="B577" s="3">
        <v>252</v>
      </c>
      <c r="C577" s="3">
        <v>144</v>
      </c>
      <c r="D577" s="3">
        <v>157</v>
      </c>
      <c r="E577" t="s">
        <v>4564</v>
      </c>
      <c r="F577" t="str">
        <f t="shared" si="8"/>
        <v>252 144 157 255</v>
      </c>
      <c r="G577">
        <v>1104</v>
      </c>
      <c r="H577" t="s">
        <v>5818</v>
      </c>
      <c r="I577" t="s">
        <v>5819</v>
      </c>
      <c r="J577" s="421" t="str" cm="1">
        <f t="array" ref="J577">myRGB(B577,C577,D577)</f>
        <v/>
      </c>
    </row>
    <row r="578" spans="1:10" x14ac:dyDescent="0.2">
      <c r="A578">
        <v>1105</v>
      </c>
      <c r="B578" s="3">
        <v>128</v>
      </c>
      <c r="C578" s="3">
        <v>190</v>
      </c>
      <c r="D578" s="3">
        <v>226</v>
      </c>
      <c r="E578" t="s">
        <v>4565</v>
      </c>
      <c r="F578" t="str">
        <f t="shared" si="8"/>
        <v>128 190 226 255</v>
      </c>
      <c r="G578">
        <v>1105</v>
      </c>
      <c r="H578" t="s">
        <v>5660</v>
      </c>
      <c r="I578" t="s">
        <v>5661</v>
      </c>
      <c r="J578" s="580" t="str" cm="1">
        <f t="array" ref="J578">myRGB(B578,C578,D578)</f>
        <v/>
      </c>
    </row>
    <row r="579" spans="1:10" x14ac:dyDescent="0.2">
      <c r="A579">
        <v>1106</v>
      </c>
      <c r="B579" s="3">
        <v>18</v>
      </c>
      <c r="C579" s="3">
        <v>172</v>
      </c>
      <c r="D579" s="3">
        <v>131</v>
      </c>
      <c r="E579" t="s">
        <v>4566</v>
      </c>
      <c r="F579" t="str">
        <f t="shared" ref="F579:F597" si="9">_xlfn.CONCAT(B579," ",C579," ",D579," 255")</f>
        <v>18 172 131 255</v>
      </c>
      <c r="G579">
        <v>1106</v>
      </c>
      <c r="H579" t="s">
        <v>7128</v>
      </c>
      <c r="I579" t="s">
        <v>7189</v>
      </c>
      <c r="J579" s="118" t="str" cm="1">
        <f t="array" ref="J579">myRGB(B579,C579,D579)</f>
        <v/>
      </c>
    </row>
    <row r="580" spans="1:10" x14ac:dyDescent="0.2">
      <c r="A580">
        <v>1107</v>
      </c>
      <c r="B580" s="3">
        <v>255</v>
      </c>
      <c r="C580" s="3">
        <v>177</v>
      </c>
      <c r="D580" s="3">
        <v>214</v>
      </c>
      <c r="E580" t="s">
        <v>4567</v>
      </c>
      <c r="F580" t="str">
        <f t="shared" si="9"/>
        <v>255 177 214 255</v>
      </c>
      <c r="G580">
        <v>1107</v>
      </c>
      <c r="H580" t="s">
        <v>6435</v>
      </c>
      <c r="I580" t="s">
        <v>6436</v>
      </c>
      <c r="J580" s="654" t="str" cm="1">
        <f t="array" ref="J580">myRGB(B580,C580,D580)</f>
        <v/>
      </c>
    </row>
    <row r="581" spans="1:10" x14ac:dyDescent="0.2">
      <c r="A581">
        <v>1108</v>
      </c>
      <c r="B581" s="3">
        <v>204</v>
      </c>
      <c r="C581" s="3">
        <v>199</v>
      </c>
      <c r="D581" s="3">
        <v>201</v>
      </c>
      <c r="E581" t="s">
        <v>4568</v>
      </c>
      <c r="F581" t="str">
        <f t="shared" si="9"/>
        <v>204 199 201 255</v>
      </c>
      <c r="G581">
        <v>1108</v>
      </c>
      <c r="H581" t="s">
        <v>6850</v>
      </c>
      <c r="I581" t="s">
        <v>6851</v>
      </c>
      <c r="J581" s="827" t="str" cm="1">
        <f t="array" ref="J581">myRGB(B581,C581,D581)</f>
        <v/>
      </c>
    </row>
    <row r="582" spans="1:10" x14ac:dyDescent="0.2">
      <c r="A582">
        <v>1109</v>
      </c>
      <c r="B582" s="3">
        <v>253</v>
      </c>
      <c r="C582" s="3">
        <v>84</v>
      </c>
      <c r="D582" s="3">
        <v>70</v>
      </c>
      <c r="E582" t="s">
        <v>4569</v>
      </c>
      <c r="F582" t="str">
        <f t="shared" si="9"/>
        <v>253 84 70 255</v>
      </c>
      <c r="G582">
        <v>1109</v>
      </c>
      <c r="H582" t="s">
        <v>5956</v>
      </c>
      <c r="I582" t="s">
        <v>5957</v>
      </c>
      <c r="J582" s="568" t="str" cm="1">
        <f t="array" ref="J582">myRGB(B582,C582,D582)</f>
        <v/>
      </c>
    </row>
    <row r="583" spans="1:10" x14ac:dyDescent="0.2">
      <c r="A583">
        <v>1111</v>
      </c>
      <c r="B583" s="3">
        <v>25</v>
      </c>
      <c r="C583" s="3">
        <v>127</v>
      </c>
      <c r="D583" s="3">
        <v>96</v>
      </c>
      <c r="E583" t="s">
        <v>4570</v>
      </c>
      <c r="F583" t="str">
        <f t="shared" si="9"/>
        <v>25 127 96 255</v>
      </c>
      <c r="G583">
        <v>1111</v>
      </c>
      <c r="H583" t="s">
        <v>4742</v>
      </c>
      <c r="I583" t="s">
        <v>4743</v>
      </c>
      <c r="J583" s="189" t="str" cm="1">
        <f t="array" ref="J583">myRGB(B583,C583,D583)</f>
        <v/>
      </c>
    </row>
    <row r="584" spans="1:10" x14ac:dyDescent="0.2">
      <c r="A584">
        <v>1113</v>
      </c>
      <c r="B584" s="3">
        <v>252</v>
      </c>
      <c r="C584" s="3">
        <v>142</v>
      </c>
      <c r="D584" s="3">
        <v>159</v>
      </c>
      <c r="E584" t="s">
        <v>4571</v>
      </c>
      <c r="F584" t="str">
        <f t="shared" si="9"/>
        <v>252 142 159 255</v>
      </c>
      <c r="G584">
        <v>1113</v>
      </c>
      <c r="H584" t="s">
        <v>5824</v>
      </c>
      <c r="I584" t="s">
        <v>5825</v>
      </c>
      <c r="J584" s="422" t="str" cm="1">
        <f t="array" ref="J584">myRGB(B584,C584,D584)</f>
        <v/>
      </c>
    </row>
    <row r="585" spans="1:10" x14ac:dyDescent="0.2">
      <c r="A585">
        <v>1114</v>
      </c>
      <c r="B585" s="3">
        <v>8</v>
      </c>
      <c r="C585" s="3">
        <v>133</v>
      </c>
      <c r="D585" s="3">
        <v>136</v>
      </c>
      <c r="E585" t="s">
        <v>4572</v>
      </c>
      <c r="F585" t="str">
        <f t="shared" si="9"/>
        <v>8 133 136 255</v>
      </c>
      <c r="G585">
        <v>1114</v>
      </c>
      <c r="H585" t="s">
        <v>4874</v>
      </c>
      <c r="I585" t="s">
        <v>4875</v>
      </c>
      <c r="J585" s="43" t="str" cm="1">
        <f t="array" ref="J585">myRGB(B585,C585,D585)</f>
        <v/>
      </c>
    </row>
    <row r="586" spans="1:10" x14ac:dyDescent="0.2">
      <c r="A586">
        <v>1116</v>
      </c>
      <c r="B586" s="3">
        <v>201</v>
      </c>
      <c r="C586" s="3">
        <v>204</v>
      </c>
      <c r="D586" s="3">
        <v>199</v>
      </c>
      <c r="E586" t="s">
        <v>4573</v>
      </c>
      <c r="F586" t="str">
        <f t="shared" si="9"/>
        <v>201 204 199 255</v>
      </c>
      <c r="G586">
        <v>1116</v>
      </c>
      <c r="H586" t="s">
        <v>6724</v>
      </c>
      <c r="I586" t="s">
        <v>6725</v>
      </c>
      <c r="J586" s="555" t="str" cm="1">
        <f t="array" ref="J586">myRGB(B586,C586,D586)</f>
        <v/>
      </c>
    </row>
    <row r="587" spans="1:10" x14ac:dyDescent="0.2">
      <c r="A587">
        <v>1120</v>
      </c>
      <c r="B587" s="3">
        <v>254</v>
      </c>
      <c r="C587" s="3">
        <v>142</v>
      </c>
      <c r="D587" s="3">
        <v>156</v>
      </c>
      <c r="E587" t="s">
        <v>4574</v>
      </c>
      <c r="F587" t="str">
        <f t="shared" si="9"/>
        <v>254 142 156 255</v>
      </c>
      <c r="G587">
        <v>1120</v>
      </c>
      <c r="H587" t="s">
        <v>5822</v>
      </c>
      <c r="I587" t="s">
        <v>5823</v>
      </c>
      <c r="J587" s="675" t="str" cm="1">
        <f t="array" ref="J587">myRGB(B587,C587,D587)</f>
        <v/>
      </c>
    </row>
    <row r="588" spans="1:10" x14ac:dyDescent="0.2">
      <c r="A588">
        <v>1121</v>
      </c>
      <c r="B588" s="3">
        <v>50</v>
      </c>
      <c r="C588" s="3">
        <v>183</v>
      </c>
      <c r="D588" s="3">
        <v>34</v>
      </c>
      <c r="E588" t="s">
        <v>4575</v>
      </c>
      <c r="F588" t="str">
        <f t="shared" si="9"/>
        <v>50 183 34 255</v>
      </c>
      <c r="G588">
        <v>1121</v>
      </c>
      <c r="H588" t="s">
        <v>5462</v>
      </c>
      <c r="I588" t="s">
        <v>5463</v>
      </c>
      <c r="J588" s="164" t="str" cm="1">
        <f t="array" ref="J588">myRGB(B588,C588,D588)</f>
        <v/>
      </c>
    </row>
    <row r="589" spans="1:10" x14ac:dyDescent="0.2">
      <c r="A589">
        <v>1123</v>
      </c>
      <c r="B589" s="3">
        <v>201</v>
      </c>
      <c r="C589" s="3">
        <v>201</v>
      </c>
      <c r="D589" s="3">
        <v>200</v>
      </c>
      <c r="E589" t="s">
        <v>4576</v>
      </c>
      <c r="F589" t="str">
        <f t="shared" si="9"/>
        <v>201 201 200 255</v>
      </c>
      <c r="G589">
        <v>1123</v>
      </c>
      <c r="H589" t="s">
        <v>6820</v>
      </c>
      <c r="I589" t="s">
        <v>6821</v>
      </c>
      <c r="J589" s="560" t="str" cm="1">
        <f t="array" ref="J589">myRGB(B589,C589,D589)</f>
        <v/>
      </c>
    </row>
    <row r="590" spans="1:10" x14ac:dyDescent="0.2">
      <c r="A590">
        <v>1125</v>
      </c>
      <c r="B590" s="3">
        <v>35</v>
      </c>
      <c r="C590" s="3">
        <v>136</v>
      </c>
      <c r="D590" s="3">
        <v>92</v>
      </c>
      <c r="E590" t="s">
        <v>4577</v>
      </c>
      <c r="F590" t="str">
        <f t="shared" si="9"/>
        <v>35 136 92 255</v>
      </c>
      <c r="G590">
        <v>1125</v>
      </c>
      <c r="H590" t="s">
        <v>5058</v>
      </c>
      <c r="I590" t="s">
        <v>5059</v>
      </c>
      <c r="J590" s="85" t="str" cm="1">
        <f t="array" ref="J590">myRGB(B590,C590,D590)</f>
        <v/>
      </c>
    </row>
    <row r="591" spans="1:10" x14ac:dyDescent="0.2">
      <c r="A591">
        <v>1126</v>
      </c>
      <c r="B591" s="3">
        <v>252</v>
      </c>
      <c r="C591" s="3">
        <v>76</v>
      </c>
      <c r="D591" s="3">
        <v>61</v>
      </c>
      <c r="E591" t="s">
        <v>4578</v>
      </c>
      <c r="F591" t="str">
        <f t="shared" si="9"/>
        <v>252 76 61 255</v>
      </c>
      <c r="G591">
        <v>1126</v>
      </c>
      <c r="H591" t="s">
        <v>6010</v>
      </c>
      <c r="I591" t="s">
        <v>6011</v>
      </c>
      <c r="J591" s="525" t="str" cm="1">
        <f t="array" ref="J591">myRGB(B591,C591,D591)</f>
        <v/>
      </c>
    </row>
    <row r="592" spans="1:10" x14ac:dyDescent="0.2">
      <c r="A592">
        <v>1127</v>
      </c>
      <c r="B592" s="3">
        <v>22</v>
      </c>
      <c r="C592" s="3">
        <v>175</v>
      </c>
      <c r="D592" s="3">
        <v>179</v>
      </c>
      <c r="E592" t="s">
        <v>4579</v>
      </c>
      <c r="F592" t="str">
        <f t="shared" si="9"/>
        <v>22 175 179 255</v>
      </c>
      <c r="G592">
        <v>1127</v>
      </c>
      <c r="H592" t="s">
        <v>7164</v>
      </c>
      <c r="I592" t="s">
        <v>7225</v>
      </c>
      <c r="J592" s="185" t="str" cm="1">
        <f t="array" ref="J592">myRGB(B592,C592,D592)</f>
        <v/>
      </c>
    </row>
    <row r="593" spans="1:10" x14ac:dyDescent="0.2">
      <c r="A593">
        <v>1128</v>
      </c>
      <c r="B593" s="3">
        <v>25</v>
      </c>
      <c r="C593" s="3">
        <v>124</v>
      </c>
      <c r="D593" s="3">
        <v>99</v>
      </c>
      <c r="E593" t="s">
        <v>4580</v>
      </c>
      <c r="F593" t="str">
        <f t="shared" si="9"/>
        <v>25 124 99 255</v>
      </c>
      <c r="G593">
        <v>1128</v>
      </c>
      <c r="H593" t="s">
        <v>4706</v>
      </c>
      <c r="I593" t="s">
        <v>4707</v>
      </c>
      <c r="J593" s="355" t="str" cm="1">
        <f t="array" ref="J593">myRGB(B593,C593,D593)</f>
        <v/>
      </c>
    </row>
    <row r="594" spans="1:10" x14ac:dyDescent="0.2">
      <c r="A594">
        <v>1139</v>
      </c>
      <c r="B594" s="3">
        <v>148</v>
      </c>
      <c r="C594" s="3">
        <v>228</v>
      </c>
      <c r="D594" s="3">
        <v>199</v>
      </c>
      <c r="E594" t="s">
        <v>4581</v>
      </c>
      <c r="F594" t="str">
        <f t="shared" si="9"/>
        <v>148 228 199 255</v>
      </c>
      <c r="G594">
        <v>1139</v>
      </c>
      <c r="H594" t="s">
        <v>5322</v>
      </c>
      <c r="I594" t="s">
        <v>5323</v>
      </c>
      <c r="J594" s="172" t="str" cm="1">
        <f t="array" ref="J594">myRGB(B594,C594,D594)</f>
        <v/>
      </c>
    </row>
    <row r="595" spans="1:10" x14ac:dyDescent="0.2">
      <c r="A595">
        <v>1140</v>
      </c>
      <c r="B595" s="3">
        <v>241</v>
      </c>
      <c r="C595" s="3">
        <v>71</v>
      </c>
      <c r="D595" s="3">
        <v>58</v>
      </c>
      <c r="E595" t="s">
        <v>4582</v>
      </c>
      <c r="F595" t="str">
        <f t="shared" si="9"/>
        <v>241 71 58 255</v>
      </c>
      <c r="G595">
        <v>1140</v>
      </c>
      <c r="H595" t="s">
        <v>6072</v>
      </c>
      <c r="I595" t="s">
        <v>6073</v>
      </c>
      <c r="J595" s="764" t="str" cm="1">
        <f t="array" ref="J595">myRGB(B595,C595,D595)</f>
        <v/>
      </c>
    </row>
    <row r="596" spans="1:10" x14ac:dyDescent="0.2">
      <c r="A596">
        <v>1141</v>
      </c>
      <c r="B596" s="3">
        <v>123</v>
      </c>
      <c r="C596" s="3">
        <v>208</v>
      </c>
      <c r="D596" s="3">
        <v>74</v>
      </c>
      <c r="E596" t="s">
        <v>4583</v>
      </c>
      <c r="F596" t="str">
        <f t="shared" si="9"/>
        <v>123 208 74 255</v>
      </c>
      <c r="G596">
        <v>1141</v>
      </c>
      <c r="H596" t="s">
        <v>5420</v>
      </c>
      <c r="I596" t="s">
        <v>5421</v>
      </c>
      <c r="J596" s="293" t="str" cm="1">
        <f t="array" ref="J596">myRGB(B596,C596,D596)</f>
        <v/>
      </c>
    </row>
    <row r="597" spans="1:10" x14ac:dyDescent="0.2">
      <c r="A597">
        <v>1142</v>
      </c>
      <c r="B597" s="3">
        <v>126</v>
      </c>
      <c r="C597" s="3">
        <v>206</v>
      </c>
      <c r="D597" s="3">
        <v>74</v>
      </c>
      <c r="E597" t="s">
        <v>4584</v>
      </c>
      <c r="F597" t="str">
        <f t="shared" si="9"/>
        <v>126 206 74 255</v>
      </c>
      <c r="G597">
        <v>1142</v>
      </c>
      <c r="H597" t="s">
        <v>5422</v>
      </c>
      <c r="I597" t="s">
        <v>5423</v>
      </c>
      <c r="J597" s="377" t="str" cm="1">
        <f t="array" ref="J597">myRGB(B597,C597,D597)</f>
        <v/>
      </c>
    </row>
    <row r="598" spans="1:10" x14ac:dyDescent="0.2">
      <c r="B598" s="3"/>
      <c r="C598" s="3"/>
      <c r="D598" s="3"/>
      <c r="G598">
        <f>G2+20000</f>
        <v>20001</v>
      </c>
      <c r="H598" t="s">
        <v>6012</v>
      </c>
      <c r="I598" t="s">
        <v>6013</v>
      </c>
      <c r="J598" s="1338" t="str" cm="1">
        <f t="array" ref="J598">myRGB(B598,C598,D598)</f>
        <v/>
      </c>
    </row>
    <row r="599" spans="1:10" x14ac:dyDescent="0.2">
      <c r="G599">
        <f t="shared" ref="G599:G662" si="10">G3+20000</f>
        <v>20002</v>
      </c>
      <c r="H599" t="s">
        <v>4722</v>
      </c>
      <c r="I599" t="s">
        <v>4723</v>
      </c>
      <c r="J599" s="1338" t="str" cm="1">
        <f t="array" ref="J599">myRGB(B599,C599,D599)</f>
        <v/>
      </c>
    </row>
    <row r="600" spans="1:10" x14ac:dyDescent="0.2">
      <c r="G600">
        <f t="shared" si="10"/>
        <v>20006</v>
      </c>
      <c r="H600" t="s">
        <v>6862</v>
      </c>
      <c r="I600" t="s">
        <v>6863</v>
      </c>
      <c r="J600" s="1338" t="str" cm="1">
        <f t="array" ref="J600">myRGB(B600,C600,D600)</f>
        <v/>
      </c>
    </row>
    <row r="601" spans="1:10" x14ac:dyDescent="0.2">
      <c r="G601">
        <f t="shared" si="10"/>
        <v>20007</v>
      </c>
      <c r="H601" t="s">
        <v>6240</v>
      </c>
      <c r="I601" t="s">
        <v>6241</v>
      </c>
      <c r="J601" s="1338" t="str" cm="1">
        <f t="array" ref="J601">myRGB(B601,C601,D601)</f>
        <v/>
      </c>
    </row>
    <row r="602" spans="1:10" x14ac:dyDescent="0.2">
      <c r="G602">
        <f t="shared" si="10"/>
        <v>20009</v>
      </c>
      <c r="H602" t="s">
        <v>4744</v>
      </c>
      <c r="I602" t="s">
        <v>4745</v>
      </c>
      <c r="J602" s="1338" t="str" cm="1">
        <f t="array" ref="J602">myRGB(B602,C602,D602)</f>
        <v/>
      </c>
    </row>
    <row r="603" spans="1:10" x14ac:dyDescent="0.2">
      <c r="G603">
        <f t="shared" si="10"/>
        <v>20010</v>
      </c>
      <c r="H603" t="s">
        <v>6130</v>
      </c>
      <c r="I603" t="s">
        <v>6131</v>
      </c>
      <c r="J603" s="1338" t="str" cm="1">
        <f t="array" ref="J603">myRGB(B603,C603,D603)</f>
        <v/>
      </c>
    </row>
    <row r="604" spans="1:10" x14ac:dyDescent="0.2">
      <c r="G604">
        <f t="shared" si="10"/>
        <v>20012</v>
      </c>
      <c r="H604" t="s">
        <v>6200</v>
      </c>
      <c r="I604" t="s">
        <v>6201</v>
      </c>
      <c r="J604" s="1338" t="str" cm="1">
        <f t="array" ref="J604">myRGB(B604,C604,D604)</f>
        <v/>
      </c>
    </row>
    <row r="605" spans="1:10" x14ac:dyDescent="0.2">
      <c r="G605">
        <f t="shared" si="10"/>
        <v>20015</v>
      </c>
      <c r="H605" t="s">
        <v>5848</v>
      </c>
      <c r="I605" t="s">
        <v>5849</v>
      </c>
      <c r="J605" s="1338" t="str" cm="1">
        <f t="array" ref="J605">myRGB(B605,C605,D605)</f>
        <v/>
      </c>
    </row>
    <row r="606" spans="1:10" x14ac:dyDescent="0.2">
      <c r="G606">
        <f t="shared" si="10"/>
        <v>20017</v>
      </c>
      <c r="H606" t="s">
        <v>6128</v>
      </c>
      <c r="I606" t="s">
        <v>6129</v>
      </c>
      <c r="J606" s="1338" t="str" cm="1">
        <f t="array" ref="J606">myRGB(B606,C606,D606)</f>
        <v/>
      </c>
    </row>
    <row r="607" spans="1:10" x14ac:dyDescent="0.2">
      <c r="G607">
        <f t="shared" si="10"/>
        <v>20019</v>
      </c>
      <c r="H607" t="s">
        <v>5454</v>
      </c>
      <c r="I607" t="s">
        <v>5455</v>
      </c>
      <c r="J607" s="1338" t="str" cm="1">
        <f t="array" ref="J607">myRGB(B607,C607,D607)</f>
        <v/>
      </c>
    </row>
    <row r="608" spans="1:10" x14ac:dyDescent="0.2">
      <c r="G608">
        <f t="shared" si="10"/>
        <v>20020</v>
      </c>
      <c r="H608" t="s">
        <v>5464</v>
      </c>
      <c r="I608" t="s">
        <v>5465</v>
      </c>
      <c r="J608" s="1338" t="str" cm="1">
        <f t="array" ref="J608">myRGB(B608,C608,D608)</f>
        <v/>
      </c>
    </row>
    <row r="609" spans="7:10" x14ac:dyDescent="0.2">
      <c r="G609">
        <f t="shared" si="10"/>
        <v>20022</v>
      </c>
      <c r="H609" t="s">
        <v>5168</v>
      </c>
      <c r="I609" t="s">
        <v>8094</v>
      </c>
      <c r="J609" s="1338" t="str" cm="1">
        <f t="array" ref="J609">myRGB(B609,C609,D609)</f>
        <v/>
      </c>
    </row>
    <row r="610" spans="7:10" x14ac:dyDescent="0.2">
      <c r="G610">
        <f t="shared" si="10"/>
        <v>20023</v>
      </c>
      <c r="H610" t="s">
        <v>5648</v>
      </c>
      <c r="I610" t="s">
        <v>5649</v>
      </c>
      <c r="J610" s="1338" t="str" cm="1">
        <f t="array" ref="J610">myRGB(B610,C610,D610)</f>
        <v/>
      </c>
    </row>
    <row r="611" spans="7:10" x14ac:dyDescent="0.2">
      <c r="G611">
        <f t="shared" si="10"/>
        <v>20026</v>
      </c>
      <c r="H611" t="s">
        <v>6124</v>
      </c>
      <c r="I611" t="s">
        <v>6125</v>
      </c>
      <c r="J611" s="1338" t="str" cm="1">
        <f t="array" ref="J611">myRGB(B611,C611,D611)</f>
        <v/>
      </c>
    </row>
    <row r="612" spans="7:10" x14ac:dyDescent="0.2">
      <c r="G612">
        <f t="shared" si="10"/>
        <v>20027</v>
      </c>
      <c r="H612" t="s">
        <v>5872</v>
      </c>
      <c r="I612" t="s">
        <v>5873</v>
      </c>
      <c r="J612" s="1338" t="str" cm="1">
        <f t="array" ref="J612">myRGB(B612,C612,D612)</f>
        <v/>
      </c>
    </row>
    <row r="613" spans="7:10" x14ac:dyDescent="0.2">
      <c r="G613">
        <f t="shared" si="10"/>
        <v>20028</v>
      </c>
      <c r="H613" t="s">
        <v>5476</v>
      </c>
      <c r="I613" t="s">
        <v>5477</v>
      </c>
      <c r="J613" s="1338" t="str" cm="1">
        <f t="array" ref="J613">myRGB(B613,C613,D613)</f>
        <v/>
      </c>
    </row>
    <row r="614" spans="7:10" x14ac:dyDescent="0.2">
      <c r="G614">
        <f t="shared" si="10"/>
        <v>20030</v>
      </c>
      <c r="H614" t="s">
        <v>5924</v>
      </c>
      <c r="I614" t="s">
        <v>5925</v>
      </c>
      <c r="J614" s="1338" t="str" cm="1">
        <f t="array" ref="J614">myRGB(B614,C614,D614)</f>
        <v/>
      </c>
    </row>
    <row r="615" spans="7:10" x14ac:dyDescent="0.2">
      <c r="G615">
        <f t="shared" si="10"/>
        <v>20033</v>
      </c>
      <c r="H615" t="s">
        <v>4914</v>
      </c>
      <c r="I615" t="s">
        <v>4915</v>
      </c>
      <c r="J615" s="1338" t="str" cm="1">
        <f t="array" ref="J615">myRGB(B615,C615,D615)</f>
        <v/>
      </c>
    </row>
    <row r="616" spans="7:10" x14ac:dyDescent="0.2">
      <c r="G616">
        <f t="shared" si="10"/>
        <v>20035</v>
      </c>
      <c r="H616" t="s">
        <v>6170</v>
      </c>
      <c r="I616" t="s">
        <v>6171</v>
      </c>
      <c r="J616" s="1338" t="str" cm="1">
        <f t="array" ref="J616">myRGB(B616,C616,D616)</f>
        <v/>
      </c>
    </row>
    <row r="617" spans="7:10" x14ac:dyDescent="0.2">
      <c r="G617">
        <f t="shared" si="10"/>
        <v>20036</v>
      </c>
      <c r="H617" t="s">
        <v>4774</v>
      </c>
      <c r="I617" t="s">
        <v>4775</v>
      </c>
      <c r="J617" s="1338" t="str" cm="1">
        <f t="array" ref="J617">myRGB(B617,C617,D617)</f>
        <v/>
      </c>
    </row>
    <row r="618" spans="7:10" x14ac:dyDescent="0.2">
      <c r="G618">
        <f t="shared" si="10"/>
        <v>20038</v>
      </c>
      <c r="H618" t="s">
        <v>5902</v>
      </c>
      <c r="I618" t="s">
        <v>5903</v>
      </c>
      <c r="J618" s="1338" t="str" cm="1">
        <f t="array" ref="J618">myRGB(B618,C618,D618)</f>
        <v/>
      </c>
    </row>
    <row r="619" spans="7:10" x14ac:dyDescent="0.2">
      <c r="G619">
        <f t="shared" si="10"/>
        <v>20041</v>
      </c>
      <c r="H619" t="s">
        <v>7140</v>
      </c>
      <c r="I619" t="s">
        <v>7412</v>
      </c>
      <c r="J619" s="1338" t="str" cm="1">
        <f t="array" ref="J619">myRGB(B619,C619,D619)</f>
        <v/>
      </c>
    </row>
    <row r="620" spans="7:10" x14ac:dyDescent="0.2">
      <c r="G620">
        <f t="shared" si="10"/>
        <v>20042</v>
      </c>
      <c r="H620" t="s">
        <v>6126</v>
      </c>
      <c r="I620" t="s">
        <v>6127</v>
      </c>
      <c r="J620" s="1338" t="str" cm="1">
        <f t="array" ref="J620">myRGB(B620,C620,D620)</f>
        <v/>
      </c>
    </row>
    <row r="621" spans="7:10" x14ac:dyDescent="0.2">
      <c r="G621">
        <f t="shared" si="10"/>
        <v>20050</v>
      </c>
      <c r="H621" t="s">
        <v>6140</v>
      </c>
      <c r="I621" t="s">
        <v>6141</v>
      </c>
      <c r="J621" s="1338" t="str" cm="1">
        <f t="array" ref="J621">myRGB(B621,C621,D621)</f>
        <v/>
      </c>
    </row>
    <row r="622" spans="7:10" x14ac:dyDescent="0.2">
      <c r="G622">
        <f t="shared" si="10"/>
        <v>20052</v>
      </c>
      <c r="H622" t="s">
        <v>5470</v>
      </c>
      <c r="I622" t="s">
        <v>5471</v>
      </c>
      <c r="J622" s="1338" t="str" cm="1">
        <f t="array" ref="J622">myRGB(B622,C622,D622)</f>
        <v/>
      </c>
    </row>
    <row r="623" spans="7:10" x14ac:dyDescent="0.2">
      <c r="G623">
        <f t="shared" si="10"/>
        <v>20054</v>
      </c>
      <c r="H623" t="s">
        <v>6984</v>
      </c>
      <c r="I623" t="s">
        <v>6985</v>
      </c>
      <c r="J623" s="1338" t="str" cm="1">
        <f t="array" ref="J623">myRGB(B623,C623,D623)</f>
        <v/>
      </c>
    </row>
    <row r="624" spans="7:10" x14ac:dyDescent="0.2">
      <c r="G624">
        <f t="shared" si="10"/>
        <v>20056</v>
      </c>
      <c r="H624" t="s">
        <v>5612</v>
      </c>
      <c r="I624" t="s">
        <v>5613</v>
      </c>
      <c r="J624" s="1338" t="str" cm="1">
        <f t="array" ref="J624">myRGB(B624,C624,D624)</f>
        <v/>
      </c>
    </row>
    <row r="625" spans="7:10" x14ac:dyDescent="0.2">
      <c r="G625">
        <f t="shared" si="10"/>
        <v>20058</v>
      </c>
      <c r="H625" t="s">
        <v>6188</v>
      </c>
      <c r="I625" t="s">
        <v>6189</v>
      </c>
      <c r="J625" s="1338" t="str" cm="1">
        <f t="array" ref="J625">myRGB(B625,C625,D625)</f>
        <v/>
      </c>
    </row>
    <row r="626" spans="7:10" x14ac:dyDescent="0.2">
      <c r="G626">
        <f t="shared" si="10"/>
        <v>20059</v>
      </c>
      <c r="H626" t="s">
        <v>5830</v>
      </c>
      <c r="I626" t="s">
        <v>5831</v>
      </c>
      <c r="J626" s="1338" t="str" cm="1">
        <f t="array" ref="J626">myRGB(B626,C626,D626)</f>
        <v/>
      </c>
    </row>
    <row r="627" spans="7:10" x14ac:dyDescent="0.2">
      <c r="G627">
        <f t="shared" si="10"/>
        <v>20062</v>
      </c>
      <c r="H627" t="s">
        <v>6700</v>
      </c>
      <c r="I627" t="s">
        <v>6701</v>
      </c>
      <c r="J627" s="1338" t="str" cm="1">
        <f t="array" ref="J627">myRGB(B627,C627,D627)</f>
        <v/>
      </c>
    </row>
    <row r="628" spans="7:10" x14ac:dyDescent="0.2">
      <c r="G628">
        <f t="shared" si="10"/>
        <v>20063</v>
      </c>
      <c r="H628" t="s">
        <v>6026</v>
      </c>
      <c r="I628" t="s">
        <v>6027</v>
      </c>
      <c r="J628" s="1338" t="str" cm="1">
        <f t="array" ref="J628">myRGB(B628,C628,D628)</f>
        <v/>
      </c>
    </row>
    <row r="629" spans="7:10" x14ac:dyDescent="0.2">
      <c r="G629">
        <f t="shared" si="10"/>
        <v>20064</v>
      </c>
      <c r="H629" t="s">
        <v>5820</v>
      </c>
      <c r="I629" t="s">
        <v>5821</v>
      </c>
      <c r="J629" s="1338" t="str" cm="1">
        <f t="array" ref="J629">myRGB(B629,C629,D629)</f>
        <v/>
      </c>
    </row>
    <row r="630" spans="7:10" x14ac:dyDescent="0.2">
      <c r="G630">
        <f t="shared" si="10"/>
        <v>20066</v>
      </c>
      <c r="H630" t="s">
        <v>6184</v>
      </c>
      <c r="I630" t="s">
        <v>6185</v>
      </c>
      <c r="J630" s="1338" t="str" cm="1">
        <f t="array" ref="J630">myRGB(B630,C630,D630)</f>
        <v/>
      </c>
    </row>
    <row r="631" spans="7:10" x14ac:dyDescent="0.2">
      <c r="G631">
        <f t="shared" si="10"/>
        <v>20067</v>
      </c>
      <c r="H631" t="s">
        <v>6142</v>
      </c>
      <c r="I631" t="s">
        <v>6143</v>
      </c>
      <c r="J631" s="1338" t="str" cm="1">
        <f t="array" ref="J631">myRGB(B631,C631,D631)</f>
        <v/>
      </c>
    </row>
    <row r="632" spans="7:10" x14ac:dyDescent="0.2">
      <c r="G632">
        <f t="shared" si="10"/>
        <v>20068</v>
      </c>
      <c r="H632" t="s">
        <v>4602</v>
      </c>
      <c r="I632" t="s">
        <v>4603</v>
      </c>
      <c r="J632" s="1338" t="str" cm="1">
        <f t="array" ref="J632">myRGB(B632,C632,D632)</f>
        <v/>
      </c>
    </row>
    <row r="633" spans="7:10" x14ac:dyDescent="0.2">
      <c r="G633">
        <f t="shared" si="10"/>
        <v>20072</v>
      </c>
      <c r="H633" t="s">
        <v>5932</v>
      </c>
      <c r="I633" t="s">
        <v>5933</v>
      </c>
      <c r="J633" s="1338" t="str" cm="1">
        <f t="array" ref="J633">myRGB(B633,C633,D633)</f>
        <v/>
      </c>
    </row>
    <row r="634" spans="7:10" x14ac:dyDescent="0.2">
      <c r="G634">
        <f t="shared" si="10"/>
        <v>20074</v>
      </c>
      <c r="H634" t="s">
        <v>4902</v>
      </c>
      <c r="I634" t="s">
        <v>4903</v>
      </c>
      <c r="J634" s="1338" t="str" cm="1">
        <f t="array" ref="J634">myRGB(B634,C634,D634)</f>
        <v/>
      </c>
    </row>
    <row r="635" spans="7:10" x14ac:dyDescent="0.2">
      <c r="G635">
        <f t="shared" si="10"/>
        <v>20075</v>
      </c>
      <c r="H635" t="s">
        <v>6186</v>
      </c>
      <c r="I635" t="s">
        <v>6187</v>
      </c>
      <c r="J635" s="1338" t="str" cm="1">
        <f t="array" ref="J635">myRGB(B635,C635,D635)</f>
        <v/>
      </c>
    </row>
    <row r="636" spans="7:10" x14ac:dyDescent="0.2">
      <c r="G636">
        <f t="shared" si="10"/>
        <v>20078</v>
      </c>
      <c r="H636" t="s">
        <v>6818</v>
      </c>
      <c r="I636" t="s">
        <v>6819</v>
      </c>
      <c r="J636" s="1338" t="str" cm="1">
        <f t="array" ref="J636">myRGB(B636,C636,D636)</f>
        <v/>
      </c>
    </row>
    <row r="637" spans="7:10" x14ac:dyDescent="0.2">
      <c r="G637">
        <f t="shared" si="10"/>
        <v>20081</v>
      </c>
      <c r="H637" t="s">
        <v>7046</v>
      </c>
      <c r="I637" t="s">
        <v>7047</v>
      </c>
      <c r="J637" s="1338" t="str" cm="1">
        <f t="array" ref="J637">myRGB(B637,C637,D637)</f>
        <v/>
      </c>
    </row>
    <row r="638" spans="7:10" x14ac:dyDescent="0.2">
      <c r="G638">
        <f t="shared" si="10"/>
        <v>20083</v>
      </c>
      <c r="H638" t="s">
        <v>6415</v>
      </c>
      <c r="I638" t="s">
        <v>6416</v>
      </c>
      <c r="J638" s="1338" t="str" cm="1">
        <f t="array" ref="J638">myRGB(B638,C638,D638)</f>
        <v/>
      </c>
    </row>
    <row r="639" spans="7:10" x14ac:dyDescent="0.2">
      <c r="G639">
        <f t="shared" si="10"/>
        <v>20084</v>
      </c>
      <c r="H639" t="s">
        <v>5004</v>
      </c>
      <c r="I639" t="s">
        <v>5005</v>
      </c>
      <c r="J639" s="1338" t="str" cm="1">
        <f t="array" ref="J639">myRGB(B639,C639,D639)</f>
        <v/>
      </c>
    </row>
    <row r="640" spans="7:10" x14ac:dyDescent="0.2">
      <c r="G640">
        <f t="shared" si="10"/>
        <v>20088</v>
      </c>
      <c r="H640" t="s">
        <v>5976</v>
      </c>
      <c r="I640" t="s">
        <v>5977</v>
      </c>
      <c r="J640" s="1338" t="str" cm="1">
        <f t="array" ref="J640">myRGB(B640,C640,D640)</f>
        <v/>
      </c>
    </row>
    <row r="641" spans="7:10" x14ac:dyDescent="0.2">
      <c r="G641">
        <f t="shared" si="10"/>
        <v>20091</v>
      </c>
      <c r="H641" t="s">
        <v>6657</v>
      </c>
      <c r="I641" t="s">
        <v>6658</v>
      </c>
      <c r="J641" s="1338" t="str" cm="1">
        <f t="array" ref="J641">myRGB(B641,C641,D641)</f>
        <v/>
      </c>
    </row>
    <row r="642" spans="7:10" x14ac:dyDescent="0.2">
      <c r="G642">
        <f t="shared" si="10"/>
        <v>20093</v>
      </c>
      <c r="H642" t="s">
        <v>6712</v>
      </c>
      <c r="I642" t="s">
        <v>6713</v>
      </c>
      <c r="J642" s="1338" t="str" cm="1">
        <f t="array" ref="J642">myRGB(B642,C642,D642)</f>
        <v/>
      </c>
    </row>
    <row r="643" spans="7:10" x14ac:dyDescent="0.2">
      <c r="G643">
        <f t="shared" si="10"/>
        <v>20096</v>
      </c>
      <c r="H643" t="s">
        <v>6343</v>
      </c>
      <c r="I643" t="s">
        <v>6344</v>
      </c>
      <c r="J643" s="1338" t="str" cm="1">
        <f t="array" ref="J643">myRGB(B643,C643,D643)</f>
        <v/>
      </c>
    </row>
    <row r="644" spans="7:10" x14ac:dyDescent="0.2">
      <c r="G644">
        <f t="shared" si="10"/>
        <v>20097</v>
      </c>
      <c r="H644" t="s">
        <v>5206</v>
      </c>
      <c r="I644" t="s">
        <v>5207</v>
      </c>
      <c r="J644" s="1338" t="str" cm="1">
        <f t="array" ref="J644">myRGB(B644,C644,D644)</f>
        <v/>
      </c>
    </row>
    <row r="645" spans="7:10" x14ac:dyDescent="0.2">
      <c r="G645">
        <f t="shared" si="10"/>
        <v>20098</v>
      </c>
      <c r="H645" t="s">
        <v>7050</v>
      </c>
      <c r="I645" t="s">
        <v>7051</v>
      </c>
      <c r="J645" s="1338" t="str" cm="1">
        <f t="array" ref="J645">myRGB(B645,C645,D645)</f>
        <v/>
      </c>
    </row>
    <row r="646" spans="7:10" x14ac:dyDescent="0.2">
      <c r="G646">
        <f t="shared" si="10"/>
        <v>20100</v>
      </c>
      <c r="H646" t="s">
        <v>6202</v>
      </c>
      <c r="I646" t="s">
        <v>6203</v>
      </c>
      <c r="J646" s="1338" t="str" cm="1">
        <f t="array" ref="J646">myRGB(B646,C646,D646)</f>
        <v/>
      </c>
    </row>
    <row r="647" spans="7:10" x14ac:dyDescent="0.2">
      <c r="G647">
        <f t="shared" si="10"/>
        <v>20101</v>
      </c>
      <c r="H647" t="s">
        <v>6345</v>
      </c>
      <c r="I647" t="s">
        <v>6346</v>
      </c>
      <c r="J647" s="1338" t="str" cm="1">
        <f t="array" ref="J647">myRGB(B647,C647,D647)</f>
        <v/>
      </c>
    </row>
    <row r="648" spans="7:10" x14ac:dyDescent="0.2">
      <c r="G648">
        <f t="shared" si="10"/>
        <v>20102</v>
      </c>
      <c r="H648" t="s">
        <v>6902</v>
      </c>
      <c r="I648" t="s">
        <v>6903</v>
      </c>
      <c r="J648" s="1338" t="str" cm="1">
        <f t="array" ref="J648">myRGB(B648,C648,D648)</f>
        <v/>
      </c>
    </row>
    <row r="649" spans="7:10" x14ac:dyDescent="0.2">
      <c r="G649">
        <f t="shared" si="10"/>
        <v>20105</v>
      </c>
      <c r="H649" t="s">
        <v>6270</v>
      </c>
      <c r="I649" t="s">
        <v>6271</v>
      </c>
      <c r="J649" s="1338" t="str" cm="1">
        <f t="array" ref="J649">myRGB(B649,C649,D649)</f>
        <v/>
      </c>
    </row>
    <row r="650" spans="7:10" x14ac:dyDescent="0.2">
      <c r="G650">
        <f t="shared" si="10"/>
        <v>20106</v>
      </c>
      <c r="H650" t="s">
        <v>6419</v>
      </c>
      <c r="I650" t="s">
        <v>6420</v>
      </c>
      <c r="J650" s="1338" t="str" cm="1">
        <f t="array" ref="J650">myRGB(B650,C650,D650)</f>
        <v/>
      </c>
    </row>
    <row r="651" spans="7:10" x14ac:dyDescent="0.2">
      <c r="G651">
        <f t="shared" si="10"/>
        <v>20108</v>
      </c>
      <c r="H651" t="s">
        <v>7052</v>
      </c>
      <c r="I651" t="s">
        <v>7053</v>
      </c>
      <c r="J651" s="1338" t="str" cm="1">
        <f t="array" ref="J651">myRGB(B651,C651,D651)</f>
        <v/>
      </c>
    </row>
    <row r="652" spans="7:10" x14ac:dyDescent="0.2">
      <c r="G652">
        <f t="shared" si="10"/>
        <v>20113</v>
      </c>
      <c r="H652" t="s">
        <v>7121</v>
      </c>
      <c r="I652" t="s">
        <v>7182</v>
      </c>
      <c r="J652" s="1338" t="str" cm="1">
        <f t="array" ref="J652">myRGB(B652,C652,D652)</f>
        <v/>
      </c>
    </row>
    <row r="653" spans="7:10" x14ac:dyDescent="0.2">
      <c r="G653">
        <f t="shared" si="10"/>
        <v>20114</v>
      </c>
      <c r="H653" t="s">
        <v>6272</v>
      </c>
      <c r="I653" t="s">
        <v>6273</v>
      </c>
      <c r="J653" s="1338" t="str" cm="1">
        <f t="array" ref="J653">myRGB(B653,C653,D653)</f>
        <v/>
      </c>
    </row>
    <row r="654" spans="7:10" x14ac:dyDescent="0.2">
      <c r="G654">
        <f t="shared" si="10"/>
        <v>20115</v>
      </c>
      <c r="H654" t="s">
        <v>6176</v>
      </c>
      <c r="I654" t="s">
        <v>6177</v>
      </c>
      <c r="J654" s="1338" t="str" cm="1">
        <f t="array" ref="J654">myRGB(B654,C654,D654)</f>
        <v/>
      </c>
    </row>
    <row r="655" spans="7:10" x14ac:dyDescent="0.2">
      <c r="G655">
        <f t="shared" si="10"/>
        <v>20117</v>
      </c>
      <c r="H655" t="s">
        <v>6692</v>
      </c>
      <c r="I655" t="s">
        <v>6693</v>
      </c>
      <c r="J655" s="1338" t="str" cm="1">
        <f t="array" ref="J655">myRGB(B655,C655,D655)</f>
        <v/>
      </c>
    </row>
    <row r="656" spans="7:10" x14ac:dyDescent="0.2">
      <c r="G656">
        <f t="shared" si="10"/>
        <v>20118</v>
      </c>
      <c r="H656" t="s">
        <v>5926</v>
      </c>
      <c r="I656" t="s">
        <v>5927</v>
      </c>
      <c r="J656" s="1338" t="str" cm="1">
        <f t="array" ref="J656">myRGB(B656,C656,D656)</f>
        <v/>
      </c>
    </row>
    <row r="657" spans="7:10" x14ac:dyDescent="0.2">
      <c r="G657">
        <f t="shared" si="10"/>
        <v>20120</v>
      </c>
      <c r="H657" t="s">
        <v>5078</v>
      </c>
      <c r="I657" t="s">
        <v>5079</v>
      </c>
      <c r="J657" s="1338" t="str" cm="1">
        <f t="array" ref="J657">myRGB(B657,C657,D657)</f>
        <v/>
      </c>
    </row>
    <row r="658" spans="7:10" x14ac:dyDescent="0.2">
      <c r="G658">
        <f t="shared" si="10"/>
        <v>20121</v>
      </c>
      <c r="H658" t="s">
        <v>4904</v>
      </c>
      <c r="I658" t="s">
        <v>4905</v>
      </c>
      <c r="J658" s="1338" t="str" cm="1">
        <f t="array" ref="J658">myRGB(B658,C658,D658)</f>
        <v/>
      </c>
    </row>
    <row r="659" spans="7:10" x14ac:dyDescent="0.2">
      <c r="G659">
        <f t="shared" si="10"/>
        <v>20122</v>
      </c>
      <c r="H659" t="s">
        <v>6268</v>
      </c>
      <c r="I659" t="s">
        <v>6269</v>
      </c>
      <c r="J659" s="1338" t="str" cm="1">
        <f t="array" ref="J659">myRGB(B659,C659,D659)</f>
        <v/>
      </c>
    </row>
    <row r="660" spans="7:10" x14ac:dyDescent="0.2">
      <c r="G660">
        <f t="shared" si="10"/>
        <v>20123</v>
      </c>
      <c r="H660" t="s">
        <v>6244</v>
      </c>
      <c r="I660" t="s">
        <v>6245</v>
      </c>
      <c r="J660" s="1338" t="str" cm="1">
        <f t="array" ref="J660">myRGB(B660,C660,D660)</f>
        <v/>
      </c>
    </row>
    <row r="661" spans="7:10" x14ac:dyDescent="0.2">
      <c r="G661">
        <f t="shared" si="10"/>
        <v>20125</v>
      </c>
      <c r="H661" t="s">
        <v>6694</v>
      </c>
      <c r="I661" t="s">
        <v>6695</v>
      </c>
      <c r="J661" s="1338" t="str" cm="1">
        <f t="array" ref="J661">myRGB(B661,C661,D661)</f>
        <v/>
      </c>
    </row>
    <row r="662" spans="7:10" x14ac:dyDescent="0.2">
      <c r="G662">
        <f t="shared" si="10"/>
        <v>20126</v>
      </c>
      <c r="H662" t="s">
        <v>5960</v>
      </c>
      <c r="I662" t="s">
        <v>5961</v>
      </c>
      <c r="J662" s="1338" t="str" cm="1">
        <f t="array" ref="J662">myRGB(B662,C662,D662)</f>
        <v/>
      </c>
    </row>
    <row r="663" spans="7:10" x14ac:dyDescent="0.2">
      <c r="G663">
        <f t="shared" ref="G663:G726" si="11">G67+20000</f>
        <v>20128</v>
      </c>
      <c r="H663" t="s">
        <v>6114</v>
      </c>
      <c r="I663" t="s">
        <v>6115</v>
      </c>
      <c r="J663" s="1338" t="str" cm="1">
        <f t="array" ref="J663">myRGB(B663,C663,D663)</f>
        <v/>
      </c>
    </row>
    <row r="664" spans="7:10" x14ac:dyDescent="0.2">
      <c r="G664">
        <f t="shared" si="11"/>
        <v>20129</v>
      </c>
      <c r="H664" t="s">
        <v>7058</v>
      </c>
      <c r="I664" t="s">
        <v>7059</v>
      </c>
      <c r="J664" s="1338" t="str" cm="1">
        <f t="array" ref="J664">myRGB(B664,C664,D664)</f>
        <v/>
      </c>
    </row>
    <row r="665" spans="7:10" x14ac:dyDescent="0.2">
      <c r="G665">
        <f t="shared" si="11"/>
        <v>20131</v>
      </c>
      <c r="H665" t="s">
        <v>5584</v>
      </c>
      <c r="I665" t="s">
        <v>5585</v>
      </c>
      <c r="J665" s="1338" t="str" cm="1">
        <f t="array" ref="J665">myRGB(B665,C665,D665)</f>
        <v/>
      </c>
    </row>
    <row r="666" spans="7:10" x14ac:dyDescent="0.2">
      <c r="G666">
        <f t="shared" si="11"/>
        <v>20132</v>
      </c>
      <c r="H666" t="s">
        <v>5006</v>
      </c>
      <c r="I666" t="s">
        <v>5007</v>
      </c>
      <c r="J666" s="1338" t="str" cm="1">
        <f t="array" ref="J666">myRGB(B666,C666,D666)</f>
        <v/>
      </c>
    </row>
    <row r="667" spans="7:10" x14ac:dyDescent="0.2">
      <c r="G667">
        <f t="shared" si="11"/>
        <v>20133</v>
      </c>
      <c r="H667" t="s">
        <v>5962</v>
      </c>
      <c r="I667" t="s">
        <v>5963</v>
      </c>
      <c r="J667" s="1338" t="str" cm="1">
        <f t="array" ref="J667">myRGB(B667,C667,D667)</f>
        <v/>
      </c>
    </row>
    <row r="668" spans="7:10" x14ac:dyDescent="0.2">
      <c r="G668">
        <f t="shared" si="11"/>
        <v>20136</v>
      </c>
      <c r="H668" t="s">
        <v>6417</v>
      </c>
      <c r="I668" t="s">
        <v>6418</v>
      </c>
      <c r="J668" s="1338" t="str" cm="1">
        <f t="array" ref="J668">myRGB(B668,C668,D668)</f>
        <v/>
      </c>
    </row>
    <row r="669" spans="7:10" x14ac:dyDescent="0.2">
      <c r="G669">
        <f t="shared" si="11"/>
        <v>20139</v>
      </c>
      <c r="H669" t="s">
        <v>5474</v>
      </c>
      <c r="I669" t="s">
        <v>5475</v>
      </c>
      <c r="J669" s="1338" t="str" cm="1">
        <f t="array" ref="J669">myRGB(B669,C669,D669)</f>
        <v/>
      </c>
    </row>
    <row r="670" spans="7:10" x14ac:dyDescent="0.2">
      <c r="G670">
        <f t="shared" si="11"/>
        <v>20140</v>
      </c>
      <c r="H670" t="s">
        <v>7060</v>
      </c>
      <c r="I670" t="s">
        <v>7061</v>
      </c>
      <c r="J670" s="1338" t="str" cm="1">
        <f t="array" ref="J670">myRGB(B670,C670,D670)</f>
        <v/>
      </c>
    </row>
    <row r="671" spans="7:10" x14ac:dyDescent="0.2">
      <c r="G671">
        <f t="shared" si="11"/>
        <v>20143</v>
      </c>
      <c r="H671" t="s">
        <v>6405</v>
      </c>
      <c r="I671" t="s">
        <v>6406</v>
      </c>
      <c r="J671" s="1338" t="str" cm="1">
        <f t="array" ref="J671">myRGB(B671,C671,D671)</f>
        <v/>
      </c>
    </row>
    <row r="672" spans="7:10" x14ac:dyDescent="0.2">
      <c r="G672">
        <f t="shared" si="11"/>
        <v>20145</v>
      </c>
      <c r="H672" t="s">
        <v>7062</v>
      </c>
      <c r="I672" t="s">
        <v>7063</v>
      </c>
      <c r="J672" s="1338" t="str" cm="1">
        <f t="array" ref="J672">myRGB(B672,C672,D672)</f>
        <v/>
      </c>
    </row>
    <row r="673" spans="7:10" x14ac:dyDescent="0.2">
      <c r="G673">
        <f t="shared" si="11"/>
        <v>20146</v>
      </c>
      <c r="H673" t="s">
        <v>6323</v>
      </c>
      <c r="I673" t="s">
        <v>6324</v>
      </c>
      <c r="J673" s="1338" t="str" cm="1">
        <f t="array" ref="J673">myRGB(B673,C673,D673)</f>
        <v/>
      </c>
    </row>
    <row r="674" spans="7:10" x14ac:dyDescent="0.2">
      <c r="G674">
        <f t="shared" si="11"/>
        <v>20147</v>
      </c>
      <c r="H674" t="s">
        <v>6317</v>
      </c>
      <c r="I674" t="s">
        <v>6318</v>
      </c>
      <c r="J674" s="1338" t="str" cm="1">
        <f t="array" ref="J674">myRGB(B674,C674,D674)</f>
        <v/>
      </c>
    </row>
    <row r="675" spans="7:10" x14ac:dyDescent="0.2">
      <c r="G675">
        <f t="shared" si="11"/>
        <v>20148</v>
      </c>
      <c r="H675" t="s">
        <v>4776</v>
      </c>
      <c r="I675" t="s">
        <v>4777</v>
      </c>
      <c r="J675" s="1338" t="str" cm="1">
        <f t="array" ref="J675">myRGB(B675,C675,D675)</f>
        <v/>
      </c>
    </row>
    <row r="676" spans="7:10" x14ac:dyDescent="0.2">
      <c r="G676">
        <f t="shared" si="11"/>
        <v>20149</v>
      </c>
      <c r="H676" t="s">
        <v>5846</v>
      </c>
      <c r="I676" t="s">
        <v>5847</v>
      </c>
      <c r="J676" s="1338" t="str" cm="1">
        <f t="array" ref="J676">myRGB(B676,C676,D676)</f>
        <v/>
      </c>
    </row>
    <row r="677" spans="7:10" x14ac:dyDescent="0.2">
      <c r="G677">
        <f t="shared" si="11"/>
        <v>20153</v>
      </c>
      <c r="H677" t="s">
        <v>7064</v>
      </c>
      <c r="I677" t="s">
        <v>7065</v>
      </c>
      <c r="J677" s="1338" t="str" cm="1">
        <f t="array" ref="J677">myRGB(B677,C677,D677)</f>
        <v/>
      </c>
    </row>
    <row r="678" spans="7:10" x14ac:dyDescent="0.2">
      <c r="G678">
        <f t="shared" si="11"/>
        <v>20155</v>
      </c>
      <c r="H678" t="s">
        <v>5826</v>
      </c>
      <c r="I678" t="s">
        <v>5827</v>
      </c>
      <c r="J678" s="1338" t="str" cm="1">
        <f t="array" ref="J678">myRGB(B678,C678,D678)</f>
        <v/>
      </c>
    </row>
    <row r="679" spans="7:10" x14ac:dyDescent="0.2">
      <c r="G679">
        <f t="shared" si="11"/>
        <v>20156</v>
      </c>
      <c r="H679" t="s">
        <v>4806</v>
      </c>
      <c r="I679" t="s">
        <v>4807</v>
      </c>
      <c r="J679" s="1338" t="str" cm="1">
        <f t="array" ref="J679">myRGB(B679,C679,D679)</f>
        <v/>
      </c>
    </row>
    <row r="680" spans="7:10" x14ac:dyDescent="0.2">
      <c r="G680">
        <f t="shared" si="11"/>
        <v>20158</v>
      </c>
      <c r="H680" t="s">
        <v>6702</v>
      </c>
      <c r="I680" t="s">
        <v>6703</v>
      </c>
      <c r="J680" s="1338" t="str" cm="1">
        <f t="array" ref="J680">myRGB(B680,C680,D680)</f>
        <v/>
      </c>
    </row>
    <row r="681" spans="7:10" x14ac:dyDescent="0.2">
      <c r="G681">
        <f t="shared" si="11"/>
        <v>20159</v>
      </c>
      <c r="H681" t="s">
        <v>5254</v>
      </c>
      <c r="I681" t="s">
        <v>5255</v>
      </c>
      <c r="J681" s="1338" t="str" cm="1">
        <f t="array" ref="J681">myRGB(B681,C681,D681)</f>
        <v/>
      </c>
    </row>
    <row r="682" spans="7:10" x14ac:dyDescent="0.2">
      <c r="G682">
        <f t="shared" si="11"/>
        <v>20162</v>
      </c>
      <c r="H682" t="s">
        <v>6319</v>
      </c>
      <c r="I682" t="s">
        <v>6320</v>
      </c>
      <c r="J682" s="1338" t="str" cm="1">
        <f t="array" ref="J682">myRGB(B682,C682,D682)</f>
        <v/>
      </c>
    </row>
    <row r="683" spans="7:10" x14ac:dyDescent="0.2">
      <c r="G683">
        <f t="shared" si="11"/>
        <v>20163</v>
      </c>
      <c r="H683" t="s">
        <v>7153</v>
      </c>
      <c r="I683" t="s">
        <v>7214</v>
      </c>
      <c r="J683" s="1338" t="str" cm="1">
        <f t="array" ref="J683">myRGB(B683,C683,D683)</f>
        <v/>
      </c>
    </row>
    <row r="684" spans="7:10" x14ac:dyDescent="0.2">
      <c r="G684">
        <f t="shared" si="11"/>
        <v>20164</v>
      </c>
      <c r="H684" t="s">
        <v>7066</v>
      </c>
      <c r="I684" t="s">
        <v>7238</v>
      </c>
      <c r="J684" s="1338" t="str" cm="1">
        <f t="array" ref="J684">myRGB(B684,C684,D684)</f>
        <v/>
      </c>
    </row>
    <row r="685" spans="7:10" x14ac:dyDescent="0.2">
      <c r="G685">
        <f t="shared" si="11"/>
        <v>20169</v>
      </c>
      <c r="H685" t="s">
        <v>6453</v>
      </c>
      <c r="I685" t="s">
        <v>6454</v>
      </c>
      <c r="J685" s="1338" t="str" cm="1">
        <f t="array" ref="J685">myRGB(B685,C685,D685)</f>
        <v/>
      </c>
    </row>
    <row r="686" spans="7:10" x14ac:dyDescent="0.2">
      <c r="G686">
        <f t="shared" si="11"/>
        <v>20171</v>
      </c>
      <c r="H686" t="s">
        <v>4998</v>
      </c>
      <c r="I686" t="s">
        <v>4999</v>
      </c>
      <c r="J686" s="1338" t="str" cm="1">
        <f t="array" ref="J686">myRGB(B686,C686,D686)</f>
        <v/>
      </c>
    </row>
    <row r="687" spans="7:10" x14ac:dyDescent="0.2">
      <c r="G687">
        <f t="shared" si="11"/>
        <v>20173</v>
      </c>
      <c r="H687" t="s">
        <v>6060</v>
      </c>
      <c r="I687" t="s">
        <v>6061</v>
      </c>
      <c r="J687" s="1338" t="str" cm="1">
        <f t="array" ref="J687">myRGB(B687,C687,D687)</f>
        <v/>
      </c>
    </row>
    <row r="688" spans="7:10" x14ac:dyDescent="0.2">
      <c r="G688">
        <f t="shared" si="11"/>
        <v>20177</v>
      </c>
      <c r="H688" t="s">
        <v>6451</v>
      </c>
      <c r="I688" t="s">
        <v>6452</v>
      </c>
      <c r="J688" s="1338" t="str" cm="1">
        <f t="array" ref="J688">myRGB(B688,C688,D688)</f>
        <v/>
      </c>
    </row>
    <row r="689" spans="7:10" x14ac:dyDescent="0.2">
      <c r="G689">
        <f t="shared" si="11"/>
        <v>20178</v>
      </c>
      <c r="H689" t="s">
        <v>5876</v>
      </c>
      <c r="I689" t="s">
        <v>5877</v>
      </c>
      <c r="J689" s="1338" t="str" cm="1">
        <f t="array" ref="J689">myRGB(B689,C689,D689)</f>
        <v/>
      </c>
    </row>
    <row r="690" spans="7:10" x14ac:dyDescent="0.2">
      <c r="G690">
        <f t="shared" si="11"/>
        <v>20180</v>
      </c>
      <c r="H690" t="s">
        <v>7127</v>
      </c>
      <c r="I690" t="s">
        <v>7188</v>
      </c>
      <c r="J690" s="1338" t="str" cm="1">
        <f t="array" ref="J690">myRGB(B690,C690,D690)</f>
        <v/>
      </c>
    </row>
    <row r="691" spans="7:10" x14ac:dyDescent="0.2">
      <c r="G691">
        <f t="shared" si="11"/>
        <v>20181</v>
      </c>
      <c r="H691" t="s">
        <v>5850</v>
      </c>
      <c r="I691" t="s">
        <v>5851</v>
      </c>
      <c r="J691" s="1338" t="str" cm="1">
        <f t="array" ref="J691">myRGB(B691,C691,D691)</f>
        <v/>
      </c>
    </row>
    <row r="692" spans="7:10" x14ac:dyDescent="0.2">
      <c r="G692">
        <f t="shared" si="11"/>
        <v>20184</v>
      </c>
      <c r="H692" t="s">
        <v>4600</v>
      </c>
      <c r="I692" t="s">
        <v>4601</v>
      </c>
      <c r="J692" s="1338" t="str" cm="1">
        <f t="array" ref="J692">myRGB(B692,C692,D692)</f>
        <v/>
      </c>
    </row>
    <row r="693" spans="7:10" x14ac:dyDescent="0.2">
      <c r="G693">
        <f t="shared" si="11"/>
        <v>20186</v>
      </c>
      <c r="H693" t="s">
        <v>5888</v>
      </c>
      <c r="I693" t="s">
        <v>5889</v>
      </c>
      <c r="J693" s="1338" t="str" cm="1">
        <f t="array" ref="J693">myRGB(B693,C693,D693)</f>
        <v/>
      </c>
    </row>
    <row r="694" spans="7:10" x14ac:dyDescent="0.2">
      <c r="G694">
        <f t="shared" si="11"/>
        <v>20187</v>
      </c>
      <c r="H694" t="s">
        <v>4778</v>
      </c>
      <c r="I694" t="s">
        <v>4779</v>
      </c>
      <c r="J694" s="1338" t="str" cm="1">
        <f t="array" ref="J694">myRGB(B694,C694,D694)</f>
        <v/>
      </c>
    </row>
    <row r="695" spans="7:10" x14ac:dyDescent="0.2">
      <c r="G695">
        <f t="shared" si="11"/>
        <v>20188</v>
      </c>
      <c r="H695" t="s">
        <v>5248</v>
      </c>
      <c r="I695" t="s">
        <v>5249</v>
      </c>
      <c r="J695" s="1338" t="str" cm="1">
        <f t="array" ref="J695">myRGB(B695,C695,D695)</f>
        <v/>
      </c>
    </row>
    <row r="696" spans="7:10" x14ac:dyDescent="0.2">
      <c r="G696">
        <f t="shared" si="11"/>
        <v>20189</v>
      </c>
      <c r="H696" t="s">
        <v>5856</v>
      </c>
      <c r="I696" t="s">
        <v>5857</v>
      </c>
      <c r="J696" s="1338" t="str" cm="1">
        <f t="array" ref="J696">myRGB(B696,C696,D696)</f>
        <v/>
      </c>
    </row>
    <row r="697" spans="7:10" x14ac:dyDescent="0.2">
      <c r="G697">
        <f t="shared" si="11"/>
        <v>20190</v>
      </c>
      <c r="H697" t="s">
        <v>6874</v>
      </c>
      <c r="I697" t="s">
        <v>6875</v>
      </c>
      <c r="J697" s="1338" t="str" cm="1">
        <f t="array" ref="J697">myRGB(B697,C697,D697)</f>
        <v/>
      </c>
    </row>
    <row r="698" spans="7:10" x14ac:dyDescent="0.2">
      <c r="G698">
        <f t="shared" si="11"/>
        <v>20194</v>
      </c>
      <c r="H698" t="s">
        <v>6050</v>
      </c>
      <c r="I698" t="s">
        <v>6051</v>
      </c>
      <c r="J698" s="1338" t="str" cm="1">
        <f t="array" ref="J698">myRGB(B698,C698,D698)</f>
        <v/>
      </c>
    </row>
    <row r="699" spans="7:10" x14ac:dyDescent="0.2">
      <c r="G699">
        <f t="shared" si="11"/>
        <v>20196</v>
      </c>
      <c r="H699" t="s">
        <v>5250</v>
      </c>
      <c r="I699" t="s">
        <v>5251</v>
      </c>
      <c r="J699" s="1338" t="str" cm="1">
        <f t="array" ref="J699">myRGB(B699,C699,D699)</f>
        <v/>
      </c>
    </row>
    <row r="700" spans="7:10" x14ac:dyDescent="0.2">
      <c r="G700">
        <f t="shared" si="11"/>
        <v>20197</v>
      </c>
      <c r="H700" t="s">
        <v>6220</v>
      </c>
      <c r="I700" t="s">
        <v>6221</v>
      </c>
      <c r="J700" s="1338" t="str" cm="1">
        <f t="array" ref="J700">myRGB(B700,C700,D700)</f>
        <v/>
      </c>
    </row>
    <row r="701" spans="7:10" x14ac:dyDescent="0.2">
      <c r="G701">
        <f t="shared" si="11"/>
        <v>20198</v>
      </c>
      <c r="H701" t="s">
        <v>6876</v>
      </c>
      <c r="I701" t="s">
        <v>6877</v>
      </c>
      <c r="J701" s="1338" t="str" cm="1">
        <f t="array" ref="J701">myRGB(B701,C701,D701)</f>
        <v/>
      </c>
    </row>
    <row r="702" spans="7:10" x14ac:dyDescent="0.2">
      <c r="G702">
        <f t="shared" si="11"/>
        <v>20201</v>
      </c>
      <c r="H702" t="s">
        <v>7119</v>
      </c>
      <c r="I702" t="s">
        <v>7180</v>
      </c>
      <c r="J702" s="1338" t="str" cm="1">
        <f t="array" ref="J702">myRGB(B702,C702,D702)</f>
        <v/>
      </c>
    </row>
    <row r="703" spans="7:10" x14ac:dyDescent="0.2">
      <c r="G703">
        <f t="shared" si="11"/>
        <v>20202</v>
      </c>
      <c r="H703" t="s">
        <v>6467</v>
      </c>
      <c r="I703" t="s">
        <v>6468</v>
      </c>
      <c r="J703" s="1338" t="str" cm="1">
        <f t="array" ref="J703">myRGB(B703,C703,D703)</f>
        <v/>
      </c>
    </row>
    <row r="704" spans="7:10" x14ac:dyDescent="0.2">
      <c r="G704">
        <f t="shared" si="11"/>
        <v>20203</v>
      </c>
      <c r="H704" t="s">
        <v>6421</v>
      </c>
      <c r="I704" t="s">
        <v>6422</v>
      </c>
      <c r="J704" s="1338" t="str" cm="1">
        <f t="array" ref="J704">myRGB(B704,C704,D704)</f>
        <v/>
      </c>
    </row>
    <row r="705" spans="7:10" x14ac:dyDescent="0.2">
      <c r="G705">
        <f t="shared" si="11"/>
        <v>20204</v>
      </c>
      <c r="H705" t="s">
        <v>5252</v>
      </c>
      <c r="I705" t="s">
        <v>5253</v>
      </c>
      <c r="J705" s="1338" t="str" cm="1">
        <f t="array" ref="J705">myRGB(B705,C705,D705)</f>
        <v/>
      </c>
    </row>
    <row r="706" spans="7:10" x14ac:dyDescent="0.2">
      <c r="G706">
        <f t="shared" si="11"/>
        <v>20206</v>
      </c>
      <c r="H706" t="s">
        <v>6483</v>
      </c>
      <c r="I706" t="s">
        <v>6484</v>
      </c>
      <c r="J706" s="1338" t="str" cm="1">
        <f t="array" ref="J706">myRGB(B706,C706,D706)</f>
        <v/>
      </c>
    </row>
    <row r="707" spans="7:10" x14ac:dyDescent="0.2">
      <c r="G707">
        <f t="shared" si="11"/>
        <v>20207</v>
      </c>
      <c r="H707" t="s">
        <v>6335</v>
      </c>
      <c r="I707" t="s">
        <v>6336</v>
      </c>
      <c r="J707" s="1338" t="str" cm="1">
        <f t="array" ref="J707">myRGB(B707,C707,D707)</f>
        <v/>
      </c>
    </row>
    <row r="708" spans="7:10" x14ac:dyDescent="0.2">
      <c r="G708">
        <f t="shared" si="11"/>
        <v>20209</v>
      </c>
      <c r="H708" t="s">
        <v>6465</v>
      </c>
      <c r="I708" t="s">
        <v>6466</v>
      </c>
      <c r="J708" s="1338" t="str" cm="1">
        <f t="array" ref="J708">myRGB(B708,C708,D708)</f>
        <v/>
      </c>
    </row>
    <row r="709" spans="7:10" x14ac:dyDescent="0.2">
      <c r="G709">
        <f t="shared" si="11"/>
        <v>20210</v>
      </c>
      <c r="H709" t="s">
        <v>5988</v>
      </c>
      <c r="I709" t="s">
        <v>5989</v>
      </c>
      <c r="J709" s="1338" t="str" cm="1">
        <f t="array" ref="J709">myRGB(B709,C709,D709)</f>
        <v/>
      </c>
    </row>
    <row r="710" spans="7:10" x14ac:dyDescent="0.2">
      <c r="G710">
        <f t="shared" si="11"/>
        <v>20211</v>
      </c>
      <c r="H710" t="s">
        <v>7144</v>
      </c>
      <c r="I710" t="s">
        <v>7205</v>
      </c>
      <c r="J710" s="1338" t="str" cm="1">
        <f t="array" ref="J710">myRGB(B710,C710,D710)</f>
        <v/>
      </c>
    </row>
    <row r="711" spans="7:10" x14ac:dyDescent="0.2">
      <c r="G711">
        <f t="shared" si="11"/>
        <v>20214</v>
      </c>
      <c r="H711" t="s">
        <v>6168</v>
      </c>
      <c r="I711" t="s">
        <v>6169</v>
      </c>
      <c r="J711" s="1338" t="str" cm="1">
        <f t="array" ref="J711">myRGB(B711,C711,D711)</f>
        <v/>
      </c>
    </row>
    <row r="712" spans="7:10" x14ac:dyDescent="0.2">
      <c r="G712">
        <f t="shared" si="11"/>
        <v>20215</v>
      </c>
      <c r="H712" t="s">
        <v>6150</v>
      </c>
      <c r="I712" t="s">
        <v>6151</v>
      </c>
      <c r="J712" s="1338" t="str" cm="1">
        <f t="array" ref="J712">myRGB(B712,C712,D712)</f>
        <v/>
      </c>
    </row>
    <row r="713" spans="7:10" x14ac:dyDescent="0.2">
      <c r="G713">
        <f t="shared" si="11"/>
        <v>20217</v>
      </c>
      <c r="H713" t="s">
        <v>6471</v>
      </c>
      <c r="I713" t="s">
        <v>6472</v>
      </c>
      <c r="J713" s="1338" t="str" cm="1">
        <f t="array" ref="J713">myRGB(B713,C713,D713)</f>
        <v/>
      </c>
    </row>
    <row r="714" spans="7:10" x14ac:dyDescent="0.2">
      <c r="G714">
        <f t="shared" si="11"/>
        <v>20218</v>
      </c>
      <c r="H714" t="s">
        <v>5798</v>
      </c>
      <c r="I714" t="s">
        <v>5799</v>
      </c>
      <c r="J714" s="1338" t="str" cm="1">
        <f t="array" ref="J714">myRGB(B714,C714,D714)</f>
        <v/>
      </c>
    </row>
    <row r="715" spans="7:10" x14ac:dyDescent="0.2">
      <c r="G715">
        <f t="shared" si="11"/>
        <v>20222</v>
      </c>
      <c r="H715" t="s">
        <v>6487</v>
      </c>
      <c r="I715" t="s">
        <v>6488</v>
      </c>
      <c r="J715" s="1338" t="str" cm="1">
        <f t="array" ref="J715">myRGB(B715,C715,D715)</f>
        <v/>
      </c>
    </row>
    <row r="716" spans="7:10" x14ac:dyDescent="0.2">
      <c r="G716">
        <f t="shared" si="11"/>
        <v>20223</v>
      </c>
      <c r="H716" t="s">
        <v>5928</v>
      </c>
      <c r="I716" t="s">
        <v>5929</v>
      </c>
      <c r="J716" s="1338" t="str" cm="1">
        <f t="array" ref="J716">myRGB(B716,C716,D716)</f>
        <v/>
      </c>
    </row>
    <row r="717" spans="7:10" x14ac:dyDescent="0.2">
      <c r="G717">
        <f t="shared" si="11"/>
        <v>20225</v>
      </c>
      <c r="H717" t="s">
        <v>6469</v>
      </c>
      <c r="I717" t="s">
        <v>6470</v>
      </c>
      <c r="J717" s="1338" t="str" cm="1">
        <f t="array" ref="J717">myRGB(B717,C717,D717)</f>
        <v/>
      </c>
    </row>
    <row r="718" spans="7:10" x14ac:dyDescent="0.2">
      <c r="G718">
        <f t="shared" si="11"/>
        <v>20226</v>
      </c>
      <c r="H718" t="s">
        <v>6052</v>
      </c>
      <c r="I718" t="s">
        <v>6053</v>
      </c>
      <c r="J718" s="1338" t="str" cm="1">
        <f t="array" ref="J718">myRGB(B718,C718,D718)</f>
        <v/>
      </c>
    </row>
    <row r="719" spans="7:10" x14ac:dyDescent="0.2">
      <c r="G719">
        <f t="shared" si="11"/>
        <v>20229</v>
      </c>
      <c r="H719" t="s">
        <v>6714</v>
      </c>
      <c r="I719" t="s">
        <v>6715</v>
      </c>
      <c r="J719" s="1338" t="str" cm="1">
        <f t="array" ref="J719">myRGB(B719,C719,D719)</f>
        <v/>
      </c>
    </row>
    <row r="720" spans="7:10" x14ac:dyDescent="0.2">
      <c r="G720">
        <f t="shared" si="11"/>
        <v>20230</v>
      </c>
      <c r="H720" t="s">
        <v>6485</v>
      </c>
      <c r="I720" t="s">
        <v>6486</v>
      </c>
      <c r="J720" s="1338" t="str" cm="1">
        <f t="array" ref="J720">myRGB(B720,C720,D720)</f>
        <v/>
      </c>
    </row>
    <row r="721" spans="7:10" x14ac:dyDescent="0.2">
      <c r="G721">
        <f t="shared" si="11"/>
        <v>20231</v>
      </c>
      <c r="H721" t="s">
        <v>6182</v>
      </c>
      <c r="I721" t="s">
        <v>6183</v>
      </c>
      <c r="J721" s="1338" t="str" cm="1">
        <f t="array" ref="J721">myRGB(B721,C721,D721)</f>
        <v/>
      </c>
    </row>
    <row r="722" spans="7:10" x14ac:dyDescent="0.2">
      <c r="G722">
        <f t="shared" si="11"/>
        <v>20233</v>
      </c>
      <c r="H722" t="s">
        <v>4876</v>
      </c>
      <c r="I722" t="s">
        <v>4877</v>
      </c>
      <c r="J722" s="1338" t="str" cm="1">
        <f t="array" ref="J722">myRGB(B722,C722,D722)</f>
        <v/>
      </c>
    </row>
    <row r="723" spans="7:10" x14ac:dyDescent="0.2">
      <c r="G723">
        <f t="shared" si="11"/>
        <v>20234</v>
      </c>
      <c r="H723" t="s">
        <v>5208</v>
      </c>
      <c r="I723" t="s">
        <v>5209</v>
      </c>
      <c r="J723" s="1338" t="str" cm="1">
        <f t="array" ref="J723">myRGB(B723,C723,D723)</f>
        <v/>
      </c>
    </row>
    <row r="724" spans="7:10" x14ac:dyDescent="0.2">
      <c r="G724">
        <f t="shared" si="11"/>
        <v>20237</v>
      </c>
      <c r="H724" t="s">
        <v>6750</v>
      </c>
      <c r="I724" t="s">
        <v>6751</v>
      </c>
      <c r="J724" s="1338" t="str" cm="1">
        <f t="array" ref="J724">myRGB(B724,C724,D724)</f>
        <v/>
      </c>
    </row>
    <row r="725" spans="7:10" x14ac:dyDescent="0.2">
      <c r="G725">
        <f t="shared" si="11"/>
        <v>20238</v>
      </c>
      <c r="H725" t="s">
        <v>6325</v>
      </c>
      <c r="I725" t="s">
        <v>6326</v>
      </c>
      <c r="J725" s="1338" t="str" cm="1">
        <f t="array" ref="J725">myRGB(B725,C725,D725)</f>
        <v/>
      </c>
    </row>
    <row r="726" spans="7:10" x14ac:dyDescent="0.2">
      <c r="G726">
        <f t="shared" si="11"/>
        <v>20243</v>
      </c>
      <c r="H726" t="s">
        <v>4808</v>
      </c>
      <c r="I726" t="s">
        <v>4809</v>
      </c>
      <c r="J726" s="1338" t="str" cm="1">
        <f t="array" ref="J726">myRGB(B726,C726,D726)</f>
        <v/>
      </c>
    </row>
    <row r="727" spans="7:10" x14ac:dyDescent="0.2">
      <c r="G727">
        <f t="shared" ref="G727:G790" si="12">G131+20000</f>
        <v>20246</v>
      </c>
      <c r="H727" t="s">
        <v>6112</v>
      </c>
      <c r="I727" t="s">
        <v>6113</v>
      </c>
      <c r="J727" s="1338" t="str" cm="1">
        <f t="array" ref="J727">myRGB(B727,C727,D727)</f>
        <v/>
      </c>
    </row>
    <row r="728" spans="7:10" x14ac:dyDescent="0.2">
      <c r="G728">
        <f t="shared" si="12"/>
        <v>20249</v>
      </c>
      <c r="H728" t="s">
        <v>4842</v>
      </c>
      <c r="I728" t="s">
        <v>4843</v>
      </c>
      <c r="J728" s="1338" t="str" cm="1">
        <f t="array" ref="J728">myRGB(B728,C728,D728)</f>
        <v/>
      </c>
    </row>
    <row r="729" spans="7:10" x14ac:dyDescent="0.2">
      <c r="G729">
        <f t="shared" si="12"/>
        <v>20250</v>
      </c>
      <c r="H729" t="s">
        <v>5636</v>
      </c>
      <c r="I729" t="s">
        <v>5637</v>
      </c>
      <c r="J729" s="1338" t="str" cm="1">
        <f t="array" ref="J729">myRGB(B729,C729,D729)</f>
        <v/>
      </c>
    </row>
    <row r="730" spans="7:10" x14ac:dyDescent="0.2">
      <c r="G730">
        <f t="shared" si="12"/>
        <v>20251</v>
      </c>
      <c r="H730" t="s">
        <v>7131</v>
      </c>
      <c r="I730" t="s">
        <v>7192</v>
      </c>
      <c r="J730" s="1338" t="str" cm="1">
        <f t="array" ref="J730">myRGB(B730,C730,D730)</f>
        <v/>
      </c>
    </row>
    <row r="731" spans="7:10" x14ac:dyDescent="0.2">
      <c r="G731">
        <f t="shared" si="12"/>
        <v>20252</v>
      </c>
      <c r="H731" t="s">
        <v>4804</v>
      </c>
      <c r="I731" t="s">
        <v>4805</v>
      </c>
      <c r="J731" s="1338" t="str" cm="1">
        <f t="array" ref="J731">myRGB(B731,C731,D731)</f>
        <v/>
      </c>
    </row>
    <row r="732" spans="7:10" x14ac:dyDescent="0.2">
      <c r="G732">
        <f t="shared" si="12"/>
        <v>20255</v>
      </c>
      <c r="H732" t="s">
        <v>5812</v>
      </c>
      <c r="I732" t="s">
        <v>5813</v>
      </c>
      <c r="J732" s="1338" t="str" cm="1">
        <f t="array" ref="J732">myRGB(B732,C732,D732)</f>
        <v/>
      </c>
    </row>
    <row r="733" spans="7:10" x14ac:dyDescent="0.2">
      <c r="G733">
        <f t="shared" si="12"/>
        <v>20257</v>
      </c>
      <c r="H733" t="s">
        <v>4938</v>
      </c>
      <c r="I733" t="s">
        <v>4939</v>
      </c>
      <c r="J733" s="1338" t="str" cm="1">
        <f t="array" ref="J733">myRGB(B733,C733,D733)</f>
        <v/>
      </c>
    </row>
    <row r="734" spans="7:10" x14ac:dyDescent="0.2">
      <c r="G734">
        <f t="shared" si="12"/>
        <v>20258</v>
      </c>
      <c r="H734" t="s">
        <v>5638</v>
      </c>
      <c r="I734" t="s">
        <v>5639</v>
      </c>
      <c r="J734" s="1338" t="str" cm="1">
        <f t="array" ref="J734">myRGB(B734,C734,D734)</f>
        <v/>
      </c>
    </row>
    <row r="735" spans="7:10" x14ac:dyDescent="0.2">
      <c r="G735">
        <f t="shared" si="12"/>
        <v>20260</v>
      </c>
      <c r="H735" t="s">
        <v>5318</v>
      </c>
      <c r="I735" t="s">
        <v>5319</v>
      </c>
      <c r="J735" s="1338" t="str" cm="1">
        <f t="array" ref="J735">myRGB(B735,C735,D735)</f>
        <v/>
      </c>
    </row>
    <row r="736" spans="7:10" x14ac:dyDescent="0.2">
      <c r="G736">
        <f t="shared" si="12"/>
        <v>20262</v>
      </c>
      <c r="H736" t="s">
        <v>5868</v>
      </c>
      <c r="I736" t="s">
        <v>5869</v>
      </c>
      <c r="J736" s="1338" t="str" cm="1">
        <f t="array" ref="J736">myRGB(B736,C736,D736)</f>
        <v/>
      </c>
    </row>
    <row r="737" spans="7:10" x14ac:dyDescent="0.2">
      <c r="G737">
        <f t="shared" si="12"/>
        <v>20263</v>
      </c>
      <c r="H737" t="s">
        <v>5936</v>
      </c>
      <c r="I737" t="s">
        <v>5937</v>
      </c>
      <c r="J737" s="1338" t="str" cm="1">
        <f t="array" ref="J737">myRGB(B737,C737,D737)</f>
        <v/>
      </c>
    </row>
    <row r="738" spans="7:10" x14ac:dyDescent="0.2">
      <c r="G738">
        <f t="shared" si="12"/>
        <v>20266</v>
      </c>
      <c r="H738" t="s">
        <v>5640</v>
      </c>
      <c r="I738" t="s">
        <v>5641</v>
      </c>
      <c r="J738" s="1338" t="str" cm="1">
        <f t="array" ref="J738">myRGB(B738,C738,D738)</f>
        <v/>
      </c>
    </row>
    <row r="739" spans="7:10" x14ac:dyDescent="0.2">
      <c r="G739">
        <f t="shared" si="12"/>
        <v>20268</v>
      </c>
      <c r="H739" t="s">
        <v>5320</v>
      </c>
      <c r="I739" t="s">
        <v>5321</v>
      </c>
      <c r="J739" s="1338" t="str" cm="1">
        <f t="array" ref="J739">myRGB(B739,C739,D739)</f>
        <v/>
      </c>
    </row>
    <row r="740" spans="7:10" x14ac:dyDescent="0.2">
      <c r="G740">
        <f t="shared" si="12"/>
        <v>20269</v>
      </c>
      <c r="H740" t="s">
        <v>7139</v>
      </c>
      <c r="I740" t="s">
        <v>7200</v>
      </c>
      <c r="J740" s="1338" t="str" cm="1">
        <f t="array" ref="J740">myRGB(B740,C740,D740)</f>
        <v/>
      </c>
    </row>
    <row r="741" spans="7:10" x14ac:dyDescent="0.2">
      <c r="G741">
        <f t="shared" si="12"/>
        <v>20271</v>
      </c>
      <c r="H741" t="s">
        <v>6096</v>
      </c>
      <c r="I741" t="s">
        <v>6097</v>
      </c>
      <c r="J741" s="1338" t="str" cm="1">
        <f t="array" ref="J741">myRGB(B741,C741,D741)</f>
        <v/>
      </c>
    </row>
    <row r="742" spans="7:10" x14ac:dyDescent="0.2">
      <c r="G742">
        <f t="shared" si="12"/>
        <v>20272</v>
      </c>
      <c r="H742" t="s">
        <v>5938</v>
      </c>
      <c r="I742" t="s">
        <v>5939</v>
      </c>
      <c r="J742" s="1338" t="str" cm="1">
        <f t="array" ref="J742">myRGB(B742,C742,D742)</f>
        <v/>
      </c>
    </row>
    <row r="743" spans="7:10" x14ac:dyDescent="0.2">
      <c r="G743">
        <f t="shared" si="12"/>
        <v>20274</v>
      </c>
      <c r="H743" t="s">
        <v>5152</v>
      </c>
      <c r="I743" t="s">
        <v>5153</v>
      </c>
      <c r="J743" s="1338" t="str" cm="1">
        <f t="array" ref="J743">myRGB(B743,C743,D743)</f>
        <v/>
      </c>
    </row>
    <row r="744" spans="7:10" x14ac:dyDescent="0.2">
      <c r="G744">
        <f t="shared" si="12"/>
        <v>20279</v>
      </c>
      <c r="H744" t="s">
        <v>5106</v>
      </c>
      <c r="I744" t="s">
        <v>5107</v>
      </c>
      <c r="J744" s="1338" t="str" cm="1">
        <f t="array" ref="J744">myRGB(B744,C744,D744)</f>
        <v/>
      </c>
    </row>
    <row r="745" spans="7:10" x14ac:dyDescent="0.2">
      <c r="G745">
        <f t="shared" si="12"/>
        <v>20280</v>
      </c>
      <c r="H745" t="s">
        <v>3985</v>
      </c>
      <c r="I745" t="s">
        <v>6276</v>
      </c>
      <c r="J745" s="1338" t="str" cm="1">
        <f t="array" ref="J745">myRGB(B745,C745,D745)</f>
        <v/>
      </c>
    </row>
    <row r="746" spans="7:10" x14ac:dyDescent="0.2">
      <c r="G746">
        <f t="shared" si="12"/>
        <v>20281</v>
      </c>
      <c r="H746" t="s">
        <v>4884</v>
      </c>
      <c r="I746" t="s">
        <v>4885</v>
      </c>
      <c r="J746" s="1338" t="str" cm="1">
        <f t="array" ref="J746">myRGB(B746,C746,D746)</f>
        <v/>
      </c>
    </row>
    <row r="747" spans="7:10" x14ac:dyDescent="0.2">
      <c r="G747">
        <f t="shared" si="12"/>
        <v>20286</v>
      </c>
      <c r="H747" t="s">
        <v>5966</v>
      </c>
      <c r="I747" t="s">
        <v>5967</v>
      </c>
      <c r="J747" s="1338" t="str" cm="1">
        <f t="array" ref="J747">myRGB(B747,C747,D747)</f>
        <v/>
      </c>
    </row>
    <row r="748" spans="7:10" x14ac:dyDescent="0.2">
      <c r="G748">
        <f t="shared" si="12"/>
        <v>20287</v>
      </c>
      <c r="H748" t="s">
        <v>5738</v>
      </c>
      <c r="I748" t="s">
        <v>5739</v>
      </c>
      <c r="J748" s="1338" t="str" cm="1">
        <f t="array" ref="J748">myRGB(B748,C748,D748)</f>
        <v/>
      </c>
    </row>
    <row r="749" spans="7:10" x14ac:dyDescent="0.2">
      <c r="G749">
        <f t="shared" si="12"/>
        <v>20288</v>
      </c>
      <c r="H749" t="s">
        <v>7151</v>
      </c>
      <c r="I749" t="s">
        <v>7212</v>
      </c>
      <c r="J749" s="1338" t="str" cm="1">
        <f t="array" ref="J749">myRGB(B749,C749,D749)</f>
        <v/>
      </c>
    </row>
    <row r="750" spans="7:10" x14ac:dyDescent="0.2">
      <c r="G750">
        <f t="shared" si="12"/>
        <v>20289</v>
      </c>
      <c r="H750" t="s">
        <v>5210</v>
      </c>
      <c r="I750" t="s">
        <v>5211</v>
      </c>
      <c r="J750" s="1338" t="str" cm="1">
        <f t="array" ref="J750">myRGB(B750,C750,D750)</f>
        <v/>
      </c>
    </row>
    <row r="751" spans="7:10" x14ac:dyDescent="0.2">
      <c r="G751">
        <f t="shared" si="12"/>
        <v>20292</v>
      </c>
      <c r="H751" t="s">
        <v>5650</v>
      </c>
      <c r="I751" t="s">
        <v>5651</v>
      </c>
      <c r="J751" s="1338" t="str" cm="1">
        <f t="array" ref="J751">myRGB(B751,C751,D751)</f>
        <v/>
      </c>
    </row>
    <row r="752" spans="7:10" x14ac:dyDescent="0.2">
      <c r="G752">
        <f t="shared" si="12"/>
        <v>20296</v>
      </c>
      <c r="H752" t="s">
        <v>7145</v>
      </c>
      <c r="I752" t="s">
        <v>7206</v>
      </c>
      <c r="J752" s="1338" t="str" cm="1">
        <f t="array" ref="J752">myRGB(B752,C752,D752)</f>
        <v/>
      </c>
    </row>
    <row r="753" spans="7:10" x14ac:dyDescent="0.2">
      <c r="G753">
        <f t="shared" si="12"/>
        <v>20298</v>
      </c>
      <c r="H753" t="s">
        <v>5690</v>
      </c>
      <c r="I753" t="s">
        <v>5691</v>
      </c>
      <c r="J753" s="1338" t="str" cm="1">
        <f t="array" ref="J753">myRGB(B753,C753,D753)</f>
        <v/>
      </c>
    </row>
    <row r="754" spans="7:10" x14ac:dyDescent="0.2">
      <c r="G754">
        <f t="shared" si="12"/>
        <v>20301</v>
      </c>
      <c r="H754" t="s">
        <v>6978</v>
      </c>
      <c r="I754" t="s">
        <v>6979</v>
      </c>
      <c r="J754" s="1338" t="str" cm="1">
        <f t="array" ref="J754">myRGB(B754,C754,D754)</f>
        <v/>
      </c>
    </row>
    <row r="755" spans="7:10" x14ac:dyDescent="0.2">
      <c r="G755">
        <f t="shared" si="12"/>
        <v>20303</v>
      </c>
      <c r="H755" t="s">
        <v>5588</v>
      </c>
      <c r="I755" t="s">
        <v>5589</v>
      </c>
      <c r="J755" s="1338" t="str" cm="1">
        <f t="array" ref="J755">myRGB(B755,C755,D755)</f>
        <v/>
      </c>
    </row>
    <row r="756" spans="7:10" x14ac:dyDescent="0.2">
      <c r="G756">
        <f t="shared" si="12"/>
        <v>20304</v>
      </c>
      <c r="H756" t="s">
        <v>7146</v>
      </c>
      <c r="I756" t="s">
        <v>7207</v>
      </c>
      <c r="J756" s="1338" t="str" cm="1">
        <f t="array" ref="J756">myRGB(B756,C756,D756)</f>
        <v/>
      </c>
    </row>
    <row r="757" spans="7:10" x14ac:dyDescent="0.2">
      <c r="G757">
        <f t="shared" si="12"/>
        <v>20305</v>
      </c>
      <c r="H757" t="s">
        <v>4916</v>
      </c>
      <c r="I757" t="s">
        <v>4917</v>
      </c>
      <c r="J757" s="1338" t="str" cm="1">
        <f t="array" ref="J757">myRGB(B757,C757,D757)</f>
        <v/>
      </c>
    </row>
    <row r="758" spans="7:10" x14ac:dyDescent="0.2">
      <c r="G758">
        <f t="shared" si="12"/>
        <v>20307</v>
      </c>
      <c r="H758" t="s">
        <v>6429</v>
      </c>
      <c r="I758" t="s">
        <v>6430</v>
      </c>
      <c r="J758" s="1338" t="str" cm="1">
        <f t="array" ref="J758">myRGB(B758,C758,D758)</f>
        <v/>
      </c>
    </row>
    <row r="759" spans="7:10" x14ac:dyDescent="0.2">
      <c r="G759">
        <f t="shared" si="12"/>
        <v>20310</v>
      </c>
      <c r="H759" t="s">
        <v>5642</v>
      </c>
      <c r="I759" t="s">
        <v>5643</v>
      </c>
      <c r="J759" s="1338" t="str" cm="1">
        <f t="array" ref="J759">myRGB(B759,C759,D759)</f>
        <v/>
      </c>
    </row>
    <row r="760" spans="7:10" x14ac:dyDescent="0.2">
      <c r="G760">
        <f t="shared" si="12"/>
        <v>20311</v>
      </c>
      <c r="H760" t="s">
        <v>5590</v>
      </c>
      <c r="I760" t="s">
        <v>5591</v>
      </c>
      <c r="J760" s="1338" t="str" cm="1">
        <f t="array" ref="J760">myRGB(B760,C760,D760)</f>
        <v/>
      </c>
    </row>
    <row r="761" spans="7:10" x14ac:dyDescent="0.2">
      <c r="G761">
        <f t="shared" si="12"/>
        <v>20313</v>
      </c>
      <c r="H761" t="s">
        <v>6074</v>
      </c>
      <c r="I761" t="s">
        <v>6075</v>
      </c>
      <c r="J761" s="1338" t="str" cm="1">
        <f t="array" ref="J761">myRGB(B761,C761,D761)</f>
        <v/>
      </c>
    </row>
    <row r="762" spans="7:10" x14ac:dyDescent="0.2">
      <c r="G762">
        <f t="shared" si="12"/>
        <v>20314</v>
      </c>
      <c r="H762" t="s">
        <v>5082</v>
      </c>
      <c r="I762" t="s">
        <v>5083</v>
      </c>
      <c r="J762" s="1338" t="str" cm="1">
        <f t="array" ref="J762">myRGB(B762,C762,D762)</f>
        <v/>
      </c>
    </row>
    <row r="763" spans="7:10" x14ac:dyDescent="0.2">
      <c r="G763">
        <f t="shared" si="12"/>
        <v>20318</v>
      </c>
      <c r="H763" t="s">
        <v>6291</v>
      </c>
      <c r="I763" t="s">
        <v>6292</v>
      </c>
      <c r="J763" s="1338" t="str" cm="1">
        <f t="array" ref="J763">myRGB(B763,C763,D763)</f>
        <v/>
      </c>
    </row>
    <row r="764" spans="7:10" x14ac:dyDescent="0.2">
      <c r="G764">
        <f t="shared" si="12"/>
        <v>20320</v>
      </c>
      <c r="H764" t="s">
        <v>4622</v>
      </c>
      <c r="I764" t="s">
        <v>4623</v>
      </c>
      <c r="J764" s="1338" t="str" cm="1">
        <f t="array" ref="J764">myRGB(B764,C764,D764)</f>
        <v/>
      </c>
    </row>
    <row r="765" spans="7:10" x14ac:dyDescent="0.2">
      <c r="G765">
        <f t="shared" si="12"/>
        <v>20321</v>
      </c>
      <c r="H765" t="s">
        <v>5882</v>
      </c>
      <c r="I765" t="s">
        <v>5883</v>
      </c>
      <c r="J765" s="1338" t="str" cm="1">
        <f t="array" ref="J765">myRGB(B765,C765,D765)</f>
        <v/>
      </c>
    </row>
    <row r="766" spans="7:10" x14ac:dyDescent="0.2">
      <c r="G766">
        <f t="shared" si="12"/>
        <v>20325</v>
      </c>
      <c r="H766" t="s">
        <v>5804</v>
      </c>
      <c r="I766" t="s">
        <v>5805</v>
      </c>
      <c r="J766" s="1338" t="str" cm="1">
        <f t="array" ref="J766">myRGB(B766,C766,D766)</f>
        <v/>
      </c>
    </row>
    <row r="767" spans="7:10" x14ac:dyDescent="0.2">
      <c r="G767">
        <f t="shared" si="12"/>
        <v>20326</v>
      </c>
      <c r="H767" t="s">
        <v>6808</v>
      </c>
      <c r="I767" t="s">
        <v>6809</v>
      </c>
      <c r="J767" s="1338" t="str" cm="1">
        <f t="array" ref="J767">myRGB(B767,C767,D767)</f>
        <v/>
      </c>
    </row>
    <row r="768" spans="7:10" x14ac:dyDescent="0.2">
      <c r="G768">
        <f t="shared" si="12"/>
        <v>20327</v>
      </c>
      <c r="H768" t="s">
        <v>5596</v>
      </c>
      <c r="I768" t="s">
        <v>5597</v>
      </c>
      <c r="J768" s="1338" t="str" cm="1">
        <f t="array" ref="J768">myRGB(B768,C768,D768)</f>
        <v/>
      </c>
    </row>
    <row r="769" spans="7:10" x14ac:dyDescent="0.2">
      <c r="G769">
        <f t="shared" si="12"/>
        <v>20328</v>
      </c>
      <c r="H769" t="s">
        <v>7152</v>
      </c>
      <c r="I769" t="s">
        <v>7213</v>
      </c>
      <c r="J769" s="1338" t="str" cm="1">
        <f t="array" ref="J769">myRGB(B769,C769,D769)</f>
        <v/>
      </c>
    </row>
    <row r="770" spans="7:10" x14ac:dyDescent="0.2">
      <c r="G770">
        <f t="shared" si="12"/>
        <v>20329</v>
      </c>
      <c r="H770" t="s">
        <v>4676</v>
      </c>
      <c r="I770" t="s">
        <v>8095</v>
      </c>
      <c r="J770" s="1338" t="str" cm="1">
        <f t="array" ref="J770">myRGB(B770,C770,D770)</f>
        <v/>
      </c>
    </row>
    <row r="771" spans="7:10" x14ac:dyDescent="0.2">
      <c r="G771">
        <f t="shared" si="12"/>
        <v>20330</v>
      </c>
      <c r="H771" t="s">
        <v>5154</v>
      </c>
      <c r="I771" t="s">
        <v>5155</v>
      </c>
      <c r="J771" s="1338" t="str" cm="1">
        <f t="array" ref="J771">myRGB(B771,C771,D771)</f>
        <v/>
      </c>
    </row>
    <row r="772" spans="7:10" x14ac:dyDescent="0.2">
      <c r="G772">
        <f t="shared" si="12"/>
        <v>20332</v>
      </c>
      <c r="H772" t="s">
        <v>5898</v>
      </c>
      <c r="I772" t="s">
        <v>5899</v>
      </c>
      <c r="J772" s="1338" t="str" cm="1">
        <f t="array" ref="J772">myRGB(B772,C772,D772)</f>
        <v/>
      </c>
    </row>
    <row r="773" spans="7:10" x14ac:dyDescent="0.2">
      <c r="G773">
        <f t="shared" si="12"/>
        <v>20333</v>
      </c>
      <c r="H773" t="s">
        <v>5644</v>
      </c>
      <c r="I773" t="s">
        <v>5645</v>
      </c>
      <c r="J773" s="1338" t="str" cm="1">
        <f t="array" ref="J773">myRGB(B773,C773,D773)</f>
        <v/>
      </c>
    </row>
    <row r="774" spans="7:10" x14ac:dyDescent="0.2">
      <c r="G774">
        <f t="shared" si="12"/>
        <v>20334</v>
      </c>
      <c r="H774" t="s">
        <v>5598</v>
      </c>
      <c r="I774" t="s">
        <v>5599</v>
      </c>
      <c r="J774" s="1338" t="str" cm="1">
        <f t="array" ref="J774">myRGB(B774,C774,D774)</f>
        <v/>
      </c>
    </row>
    <row r="775" spans="7:10" x14ac:dyDescent="0.2">
      <c r="G775">
        <f t="shared" si="12"/>
        <v>20335</v>
      </c>
      <c r="H775" t="s">
        <v>5222</v>
      </c>
      <c r="I775" t="s">
        <v>5223</v>
      </c>
      <c r="J775" s="1338" t="str" cm="1">
        <f t="array" ref="J775">myRGB(B775,C775,D775)</f>
        <v/>
      </c>
    </row>
    <row r="776" spans="7:10" x14ac:dyDescent="0.2">
      <c r="G776">
        <f t="shared" si="12"/>
        <v>20336</v>
      </c>
      <c r="H776" t="s">
        <v>6690</v>
      </c>
      <c r="I776" t="s">
        <v>6691</v>
      </c>
      <c r="J776" s="1338" t="str" cm="1">
        <f t="array" ref="J776">myRGB(B776,C776,D776)</f>
        <v/>
      </c>
    </row>
    <row r="777" spans="7:10" x14ac:dyDescent="0.2">
      <c r="G777">
        <f t="shared" si="12"/>
        <v>20338</v>
      </c>
      <c r="H777" t="s">
        <v>5968</v>
      </c>
      <c r="I777" t="s">
        <v>5969</v>
      </c>
      <c r="J777" s="1338" t="str" cm="1">
        <f t="array" ref="J777">myRGB(B777,C777,D777)</f>
        <v/>
      </c>
    </row>
    <row r="778" spans="7:10" x14ac:dyDescent="0.2">
      <c r="G778">
        <f t="shared" si="12"/>
        <v>20342</v>
      </c>
      <c r="H778" t="s">
        <v>5688</v>
      </c>
      <c r="I778" t="s">
        <v>5689</v>
      </c>
      <c r="J778" s="1338" t="str" cm="1">
        <f t="array" ref="J778">myRGB(B778,C778,D778)</f>
        <v/>
      </c>
    </row>
    <row r="779" spans="7:10" x14ac:dyDescent="0.2">
      <c r="G779">
        <f t="shared" si="12"/>
        <v>20344</v>
      </c>
      <c r="H779" t="s">
        <v>5080</v>
      </c>
      <c r="I779" t="s">
        <v>5081</v>
      </c>
      <c r="J779" s="1338" t="str" cm="1">
        <f t="array" ref="J779">myRGB(B779,C779,D779)</f>
        <v/>
      </c>
    </row>
    <row r="780" spans="7:10" x14ac:dyDescent="0.2">
      <c r="G780">
        <f t="shared" si="12"/>
        <v>20347</v>
      </c>
      <c r="H780" t="s">
        <v>5964</v>
      </c>
      <c r="I780" t="s">
        <v>5965</v>
      </c>
      <c r="J780" s="1338" t="str" cm="1">
        <f t="array" ref="J780">myRGB(B780,C780,D780)</f>
        <v/>
      </c>
    </row>
    <row r="781" spans="7:10" x14ac:dyDescent="0.2">
      <c r="G781">
        <f t="shared" si="12"/>
        <v>20349</v>
      </c>
      <c r="H781" t="s">
        <v>6990</v>
      </c>
      <c r="I781" t="s">
        <v>6991</v>
      </c>
      <c r="J781" s="1338" t="str" cm="1">
        <f t="array" ref="J781">myRGB(B781,C781,D781)</f>
        <v/>
      </c>
    </row>
    <row r="782" spans="7:10" x14ac:dyDescent="0.2">
      <c r="G782">
        <f t="shared" si="12"/>
        <v>20350</v>
      </c>
      <c r="H782" t="s">
        <v>6327</v>
      </c>
      <c r="I782" t="s">
        <v>6328</v>
      </c>
      <c r="J782" s="1338" t="str" cm="1">
        <f t="array" ref="J782">myRGB(B782,C782,D782)</f>
        <v/>
      </c>
    </row>
    <row r="783" spans="7:10" x14ac:dyDescent="0.2">
      <c r="G783">
        <f t="shared" si="12"/>
        <v>20351</v>
      </c>
      <c r="H783" t="s">
        <v>5704</v>
      </c>
      <c r="I783" t="s">
        <v>5705</v>
      </c>
      <c r="J783" s="1338" t="str" cm="1">
        <f t="array" ref="J783">myRGB(B783,C783,D783)</f>
        <v/>
      </c>
    </row>
    <row r="784" spans="7:10" x14ac:dyDescent="0.2">
      <c r="G784">
        <f t="shared" si="12"/>
        <v>20354</v>
      </c>
      <c r="H784" t="s">
        <v>6331</v>
      </c>
      <c r="I784" t="s">
        <v>6332</v>
      </c>
      <c r="J784" s="1338" t="str" cm="1">
        <f t="array" ref="J784">myRGB(B784,C784,D784)</f>
        <v/>
      </c>
    </row>
    <row r="785" spans="7:10" x14ac:dyDescent="0.2">
      <c r="G785">
        <f t="shared" si="12"/>
        <v>20355</v>
      </c>
      <c r="H785" t="s">
        <v>5084</v>
      </c>
      <c r="I785" t="s">
        <v>5085</v>
      </c>
      <c r="J785" s="1338" t="str" cm="1">
        <f t="array" ref="J785">myRGB(B785,C785,D785)</f>
        <v/>
      </c>
    </row>
    <row r="786" spans="7:10" x14ac:dyDescent="0.2">
      <c r="G786">
        <f t="shared" si="12"/>
        <v>20356</v>
      </c>
      <c r="H786" t="s">
        <v>6054</v>
      </c>
      <c r="I786" t="s">
        <v>6055</v>
      </c>
      <c r="J786" s="1338" t="str" cm="1">
        <f t="array" ref="J786">myRGB(B786,C786,D786)</f>
        <v/>
      </c>
    </row>
    <row r="787" spans="7:10" x14ac:dyDescent="0.2">
      <c r="G787">
        <f t="shared" si="12"/>
        <v>20358</v>
      </c>
      <c r="H787" t="s">
        <v>6329</v>
      </c>
      <c r="I787" t="s">
        <v>6330</v>
      </c>
      <c r="J787" s="1338" t="str" cm="1">
        <f t="array" ref="J787">myRGB(B787,C787,D787)</f>
        <v/>
      </c>
    </row>
    <row r="788" spans="7:10" x14ac:dyDescent="0.2">
      <c r="G788">
        <f t="shared" si="12"/>
        <v>20362</v>
      </c>
      <c r="H788" t="s">
        <v>5832</v>
      </c>
      <c r="I788" t="s">
        <v>5833</v>
      </c>
      <c r="J788" s="1338" t="str" cm="1">
        <f t="array" ref="J788">myRGB(B788,C788,D788)</f>
        <v/>
      </c>
    </row>
    <row r="789" spans="7:10" x14ac:dyDescent="0.2">
      <c r="G789">
        <f t="shared" si="12"/>
        <v>20363</v>
      </c>
      <c r="H789" t="s">
        <v>5002</v>
      </c>
      <c r="I789" t="s">
        <v>5003</v>
      </c>
      <c r="J789" s="1338" t="str" cm="1">
        <f t="array" ref="J789">myRGB(B789,C789,D789)</f>
        <v/>
      </c>
    </row>
    <row r="790" spans="7:10" x14ac:dyDescent="0.2">
      <c r="G790">
        <f t="shared" si="12"/>
        <v>20364</v>
      </c>
      <c r="H790" t="s">
        <v>6056</v>
      </c>
      <c r="I790" t="s">
        <v>6057</v>
      </c>
      <c r="J790" s="1338" t="str" cm="1">
        <f t="array" ref="J790">myRGB(B790,C790,D790)</f>
        <v/>
      </c>
    </row>
    <row r="791" spans="7:10" x14ac:dyDescent="0.2">
      <c r="G791">
        <f t="shared" ref="G791:G854" si="13">G195+20000</f>
        <v>20366</v>
      </c>
      <c r="H791" t="s">
        <v>5840</v>
      </c>
      <c r="I791" t="s">
        <v>5841</v>
      </c>
      <c r="J791" s="1338" t="str" cm="1">
        <f t="array" ref="J791">myRGB(B791,C791,D791)</f>
        <v/>
      </c>
    </row>
    <row r="792" spans="7:10" x14ac:dyDescent="0.2">
      <c r="G792">
        <f t="shared" si="13"/>
        <v>20368</v>
      </c>
      <c r="H792" t="s">
        <v>5224</v>
      </c>
      <c r="I792" t="s">
        <v>5225</v>
      </c>
      <c r="J792" s="1338" t="str" cm="1">
        <f t="array" ref="J792">myRGB(B792,C792,D792)</f>
        <v/>
      </c>
    </row>
    <row r="793" spans="7:10" x14ac:dyDescent="0.2">
      <c r="G793">
        <f t="shared" si="13"/>
        <v>20372</v>
      </c>
      <c r="H793" t="s">
        <v>6413</v>
      </c>
      <c r="I793" t="s">
        <v>6414</v>
      </c>
      <c r="J793" s="1338" t="str" cm="1">
        <f t="array" ref="J793">myRGB(B793,C793,D793)</f>
        <v/>
      </c>
    </row>
    <row r="794" spans="7:10" x14ac:dyDescent="0.2">
      <c r="G794">
        <f t="shared" si="13"/>
        <v>20374</v>
      </c>
      <c r="H794" t="s">
        <v>6194</v>
      </c>
      <c r="I794" t="s">
        <v>6195</v>
      </c>
      <c r="J794" s="1338" t="str" cm="1">
        <f t="array" ref="J794">myRGB(B794,C794,D794)</f>
        <v/>
      </c>
    </row>
    <row r="795" spans="7:10" x14ac:dyDescent="0.2">
      <c r="G795">
        <f t="shared" si="13"/>
        <v>20377</v>
      </c>
      <c r="H795" t="s">
        <v>4926</v>
      </c>
      <c r="I795" t="s">
        <v>4927</v>
      </c>
      <c r="J795" s="1338" t="str" cm="1">
        <f t="array" ref="J795">myRGB(B795,C795,D795)</f>
        <v/>
      </c>
    </row>
    <row r="796" spans="7:10" x14ac:dyDescent="0.2">
      <c r="G796">
        <f t="shared" si="13"/>
        <v>20380</v>
      </c>
      <c r="H796" t="s">
        <v>6772</v>
      </c>
      <c r="I796" t="s">
        <v>6773</v>
      </c>
      <c r="J796" s="1338" t="str" cm="1">
        <f t="array" ref="J796">myRGB(B796,C796,D796)</f>
        <v/>
      </c>
    </row>
    <row r="797" spans="7:10" x14ac:dyDescent="0.2">
      <c r="G797">
        <f t="shared" si="13"/>
        <v>20381</v>
      </c>
      <c r="H797" t="s">
        <v>6106</v>
      </c>
      <c r="I797" t="s">
        <v>6107</v>
      </c>
      <c r="J797" s="1338" t="str" cm="1">
        <f t="array" ref="J797">myRGB(B797,C797,D797)</f>
        <v/>
      </c>
    </row>
    <row r="798" spans="7:10" x14ac:dyDescent="0.2">
      <c r="G798">
        <f t="shared" si="13"/>
        <v>20382</v>
      </c>
      <c r="H798" t="s">
        <v>5386</v>
      </c>
      <c r="I798" t="s">
        <v>5387</v>
      </c>
      <c r="J798" s="1338" t="str" cm="1">
        <f t="array" ref="J798">myRGB(B798,C798,D798)</f>
        <v/>
      </c>
    </row>
    <row r="799" spans="7:10" x14ac:dyDescent="0.2">
      <c r="G799">
        <f t="shared" si="13"/>
        <v>20390</v>
      </c>
      <c r="H799" t="s">
        <v>5896</v>
      </c>
      <c r="I799" t="s">
        <v>5897</v>
      </c>
      <c r="J799" s="1338" t="str" cm="1">
        <f t="array" ref="J799">myRGB(B799,C799,D799)</f>
        <v/>
      </c>
    </row>
    <row r="800" spans="7:10" x14ac:dyDescent="0.2">
      <c r="G800">
        <f t="shared" si="13"/>
        <v>20393</v>
      </c>
      <c r="H800" t="s">
        <v>4928</v>
      </c>
      <c r="I800" t="s">
        <v>4929</v>
      </c>
      <c r="J800" s="1338" t="str" cm="1">
        <f t="array" ref="J800">myRGB(B800,C800,D800)</f>
        <v/>
      </c>
    </row>
    <row r="801" spans="7:10" x14ac:dyDescent="0.2">
      <c r="G801">
        <f t="shared" si="13"/>
        <v>20397</v>
      </c>
      <c r="H801" t="s">
        <v>6922</v>
      </c>
      <c r="I801" t="s">
        <v>6923</v>
      </c>
      <c r="J801" s="1338" t="str" cm="1">
        <f t="array" ref="J801">myRGB(B801,C801,D801)</f>
        <v/>
      </c>
    </row>
    <row r="802" spans="7:10" x14ac:dyDescent="0.2">
      <c r="G802">
        <f t="shared" si="13"/>
        <v>20401</v>
      </c>
      <c r="H802" t="s">
        <v>4886</v>
      </c>
      <c r="I802" t="s">
        <v>4887</v>
      </c>
      <c r="J802" s="1338" t="str" cm="1">
        <f t="array" ref="J802">myRGB(B802,C802,D802)</f>
        <v/>
      </c>
    </row>
    <row r="803" spans="7:10" x14ac:dyDescent="0.2">
      <c r="G803">
        <f t="shared" si="13"/>
        <v>20403</v>
      </c>
      <c r="H803" t="s">
        <v>5662</v>
      </c>
      <c r="I803" t="s">
        <v>5663</v>
      </c>
      <c r="J803" s="1338" t="str" cm="1">
        <f t="array" ref="J803">myRGB(B803,C803,D803)</f>
        <v/>
      </c>
    </row>
    <row r="804" spans="7:10" x14ac:dyDescent="0.2">
      <c r="G804">
        <f t="shared" si="13"/>
        <v>20412</v>
      </c>
      <c r="H804" t="s">
        <v>7149</v>
      </c>
      <c r="I804" t="s">
        <v>7210</v>
      </c>
      <c r="J804" s="1338" t="str" cm="1">
        <f t="array" ref="J804">myRGB(B804,C804,D804)</f>
        <v/>
      </c>
    </row>
    <row r="805" spans="7:10" x14ac:dyDescent="0.2">
      <c r="G805">
        <f t="shared" si="13"/>
        <v>20413</v>
      </c>
      <c r="H805" t="s">
        <v>6730</v>
      </c>
      <c r="I805" t="s">
        <v>6731</v>
      </c>
      <c r="J805" s="1338" t="str" cm="1">
        <f t="array" ref="J805">myRGB(B805,C805,D805)</f>
        <v/>
      </c>
    </row>
    <row r="806" spans="7:10" x14ac:dyDescent="0.2">
      <c r="G806">
        <f t="shared" si="13"/>
        <v>20414</v>
      </c>
      <c r="H806" t="s">
        <v>5768</v>
      </c>
      <c r="I806" t="s">
        <v>5769</v>
      </c>
      <c r="J806" s="1338" t="str" cm="1">
        <f t="array" ref="J806">myRGB(B806,C806,D806)</f>
        <v/>
      </c>
    </row>
    <row r="807" spans="7:10" x14ac:dyDescent="0.2">
      <c r="G807">
        <f t="shared" si="13"/>
        <v>20421</v>
      </c>
      <c r="H807" t="s">
        <v>4896</v>
      </c>
      <c r="I807" t="s">
        <v>4897</v>
      </c>
      <c r="J807" s="1338" t="str" cm="1">
        <f t="array" ref="J807">myRGB(B807,C807,D807)</f>
        <v/>
      </c>
    </row>
    <row r="808" spans="7:10" x14ac:dyDescent="0.2">
      <c r="G808">
        <f t="shared" si="13"/>
        <v>20422</v>
      </c>
      <c r="H808" t="s">
        <v>5770</v>
      </c>
      <c r="I808" t="s">
        <v>5771</v>
      </c>
      <c r="J808" s="1338" t="str" cm="1">
        <f t="array" ref="J808">myRGB(B808,C808,D808)</f>
        <v/>
      </c>
    </row>
    <row r="809" spans="7:10" x14ac:dyDescent="0.2">
      <c r="G809">
        <f t="shared" si="13"/>
        <v>20423</v>
      </c>
      <c r="H809" t="s">
        <v>5396</v>
      </c>
      <c r="I809" t="s">
        <v>5397</v>
      </c>
      <c r="J809" s="1338" t="str" cm="1">
        <f t="array" ref="J809">myRGB(B809,C809,D809)</f>
        <v/>
      </c>
    </row>
    <row r="810" spans="7:10" x14ac:dyDescent="0.2">
      <c r="G810">
        <f t="shared" si="13"/>
        <v>20427</v>
      </c>
      <c r="H810" t="s">
        <v>7166</v>
      </c>
      <c r="I810" t="s">
        <v>7228</v>
      </c>
      <c r="J810" s="1338" t="str" cm="1">
        <f t="array" ref="J810">myRGB(B810,C810,D810)</f>
        <v/>
      </c>
    </row>
    <row r="811" spans="7:10" x14ac:dyDescent="0.2">
      <c r="G811">
        <f t="shared" si="13"/>
        <v>20428</v>
      </c>
      <c r="H811" t="s">
        <v>6962</v>
      </c>
      <c r="I811" t="s">
        <v>6963</v>
      </c>
      <c r="J811" s="1338" t="str" cm="1">
        <f t="array" ref="J811">myRGB(B811,C811,D811)</f>
        <v/>
      </c>
    </row>
    <row r="812" spans="7:10" x14ac:dyDescent="0.2">
      <c r="G812">
        <f t="shared" si="13"/>
        <v>20429</v>
      </c>
      <c r="H812" t="s">
        <v>6369</v>
      </c>
      <c r="I812" t="s">
        <v>6370</v>
      </c>
      <c r="J812" s="1338" t="str" cm="1">
        <f t="array" ref="J812">myRGB(B812,C812,D812)</f>
        <v/>
      </c>
    </row>
    <row r="813" spans="7:10" x14ac:dyDescent="0.2">
      <c r="G813">
        <f t="shared" si="13"/>
        <v>20430</v>
      </c>
      <c r="H813" t="s">
        <v>7160</v>
      </c>
      <c r="I813" t="s">
        <v>7221</v>
      </c>
      <c r="J813" s="1338" t="str" cm="1">
        <f t="array" ref="J813">myRGB(B813,C813,D813)</f>
        <v/>
      </c>
    </row>
    <row r="814" spans="7:10" x14ac:dyDescent="0.2">
      <c r="G814">
        <f t="shared" si="13"/>
        <v>20433</v>
      </c>
      <c r="H814" t="s">
        <v>4888</v>
      </c>
      <c r="I814" t="s">
        <v>4889</v>
      </c>
      <c r="J814" s="1338" t="str" cm="1">
        <f t="array" ref="J814">myRGB(B814,C814,D814)</f>
        <v/>
      </c>
    </row>
    <row r="815" spans="7:10" x14ac:dyDescent="0.2">
      <c r="G815">
        <f t="shared" si="13"/>
        <v>20434</v>
      </c>
      <c r="H815" t="s">
        <v>7159</v>
      </c>
      <c r="I815" t="s">
        <v>7220</v>
      </c>
      <c r="J815" s="1338" t="str" cm="1">
        <f t="array" ref="J815">myRGB(B815,C815,D815)</f>
        <v/>
      </c>
    </row>
    <row r="816" spans="7:10" x14ac:dyDescent="0.2">
      <c r="G816">
        <f t="shared" si="13"/>
        <v>20436</v>
      </c>
      <c r="H816" t="s">
        <v>6964</v>
      </c>
      <c r="I816" t="s">
        <v>6965</v>
      </c>
      <c r="J816" s="1338" t="str" cm="1">
        <f t="array" ref="J816">myRGB(B816,C816,D816)</f>
        <v/>
      </c>
    </row>
    <row r="817" spans="7:10" x14ac:dyDescent="0.2">
      <c r="G817">
        <f t="shared" si="13"/>
        <v>20437</v>
      </c>
      <c r="H817" t="s">
        <v>6371</v>
      </c>
      <c r="I817" t="s">
        <v>6372</v>
      </c>
      <c r="J817" s="1338" t="str" cm="1">
        <f t="array" ref="J817">myRGB(B817,C817,D817)</f>
        <v/>
      </c>
    </row>
    <row r="818" spans="7:10" x14ac:dyDescent="0.2">
      <c r="G818">
        <f t="shared" si="13"/>
        <v>20440</v>
      </c>
      <c r="H818" t="s">
        <v>5036</v>
      </c>
      <c r="I818" t="s">
        <v>5037</v>
      </c>
      <c r="J818" s="1338" t="str" cm="1">
        <f t="array" ref="J818">myRGB(B818,C818,D818)</f>
        <v/>
      </c>
    </row>
    <row r="819" spans="7:10" x14ac:dyDescent="0.2">
      <c r="G819">
        <f t="shared" si="13"/>
        <v>20441</v>
      </c>
      <c r="H819" t="s">
        <v>4892</v>
      </c>
      <c r="I819" t="s">
        <v>4893</v>
      </c>
      <c r="J819" s="1338" t="str" cm="1">
        <f t="array" ref="J819">myRGB(B819,C819,D819)</f>
        <v/>
      </c>
    </row>
    <row r="820" spans="7:10" x14ac:dyDescent="0.2">
      <c r="G820">
        <f t="shared" si="13"/>
        <v>20442</v>
      </c>
      <c r="H820" t="s">
        <v>5146</v>
      </c>
      <c r="I820" t="s">
        <v>5147</v>
      </c>
      <c r="J820" s="1338" t="str" cm="1">
        <f t="array" ref="J820">myRGB(B820,C820,D820)</f>
        <v/>
      </c>
    </row>
    <row r="821" spans="7:10" x14ac:dyDescent="0.2">
      <c r="G821">
        <f t="shared" si="13"/>
        <v>20443</v>
      </c>
      <c r="H821" t="s">
        <v>6968</v>
      </c>
      <c r="I821" t="s">
        <v>6969</v>
      </c>
      <c r="J821" s="1338" t="str" cm="1">
        <f t="array" ref="J821">myRGB(B821,C821,D821)</f>
        <v/>
      </c>
    </row>
    <row r="822" spans="7:10" x14ac:dyDescent="0.2">
      <c r="G822">
        <f t="shared" si="13"/>
        <v>20445</v>
      </c>
      <c r="H822" t="s">
        <v>6373</v>
      </c>
      <c r="I822" t="s">
        <v>6374</v>
      </c>
      <c r="J822" s="1338" t="str" cm="1">
        <f t="array" ref="J822">myRGB(B822,C822,D822)</f>
        <v/>
      </c>
    </row>
    <row r="823" spans="7:10" x14ac:dyDescent="0.2">
      <c r="G823">
        <f t="shared" si="13"/>
        <v>20448</v>
      </c>
      <c r="H823" t="s">
        <v>5032</v>
      </c>
      <c r="I823" t="s">
        <v>5033</v>
      </c>
      <c r="J823" s="1338" t="str" cm="1">
        <f t="array" ref="J823">myRGB(B823,C823,D823)</f>
        <v/>
      </c>
    </row>
    <row r="824" spans="7:10" x14ac:dyDescent="0.2">
      <c r="G824">
        <f t="shared" si="13"/>
        <v>20449</v>
      </c>
      <c r="H824" t="s">
        <v>6970</v>
      </c>
      <c r="I824" t="s">
        <v>6971</v>
      </c>
      <c r="J824" s="1338" t="str" cm="1">
        <f t="array" ref="J824">myRGB(B824,C824,D824)</f>
        <v/>
      </c>
    </row>
    <row r="825" spans="7:10" x14ac:dyDescent="0.2">
      <c r="G825">
        <f t="shared" si="13"/>
        <v>20450</v>
      </c>
      <c r="H825" t="s">
        <v>4726</v>
      </c>
      <c r="I825" t="s">
        <v>4727</v>
      </c>
      <c r="J825" s="1338" t="str" cm="1">
        <f t="array" ref="J825">myRGB(B825,C825,D825)</f>
        <v/>
      </c>
    </row>
    <row r="826" spans="7:10" x14ac:dyDescent="0.2">
      <c r="G826">
        <f t="shared" si="13"/>
        <v>20451</v>
      </c>
      <c r="H826" t="s">
        <v>5592</v>
      </c>
      <c r="I826" t="s">
        <v>5593</v>
      </c>
      <c r="J826" s="1338" t="str" cm="1">
        <f t="array" ref="J826">myRGB(B826,C826,D826)</f>
        <v/>
      </c>
    </row>
    <row r="827" spans="7:10" x14ac:dyDescent="0.2">
      <c r="G827">
        <f t="shared" si="13"/>
        <v>20452</v>
      </c>
      <c r="H827" t="s">
        <v>5948</v>
      </c>
      <c r="I827" t="s">
        <v>5949</v>
      </c>
      <c r="J827" s="1338" t="str" cm="1">
        <f t="array" ref="J827">myRGB(B827,C827,D827)</f>
        <v/>
      </c>
    </row>
    <row r="828" spans="7:10" x14ac:dyDescent="0.2">
      <c r="G828">
        <f t="shared" si="13"/>
        <v>20456</v>
      </c>
      <c r="H828" t="s">
        <v>4844</v>
      </c>
      <c r="I828" t="s">
        <v>4845</v>
      </c>
      <c r="J828" s="1338" t="str" cm="1">
        <f t="array" ref="J828">myRGB(B828,C828,D828)</f>
        <v/>
      </c>
    </row>
    <row r="829" spans="7:10" x14ac:dyDescent="0.2">
      <c r="G829">
        <f t="shared" si="13"/>
        <v>20460</v>
      </c>
      <c r="H829" t="s">
        <v>6100</v>
      </c>
      <c r="I829" t="s">
        <v>6101</v>
      </c>
      <c r="J829" s="1338" t="str" cm="1">
        <f t="array" ref="J829">myRGB(B829,C829,D829)</f>
        <v/>
      </c>
    </row>
    <row r="830" spans="7:10" x14ac:dyDescent="0.2">
      <c r="G830">
        <f t="shared" si="13"/>
        <v>20461</v>
      </c>
      <c r="H830" t="s">
        <v>4746</v>
      </c>
      <c r="I830" t="s">
        <v>4747</v>
      </c>
      <c r="J830" s="1338" t="str" cm="1">
        <f t="array" ref="J830">myRGB(B830,C830,D830)</f>
        <v/>
      </c>
    </row>
    <row r="831" spans="7:10" x14ac:dyDescent="0.2">
      <c r="G831">
        <f t="shared" si="13"/>
        <v>20463</v>
      </c>
      <c r="H831" t="s">
        <v>5406</v>
      </c>
      <c r="I831" t="s">
        <v>5407</v>
      </c>
      <c r="J831" s="1338" t="str" cm="1">
        <f t="array" ref="J831">myRGB(B831,C831,D831)</f>
        <v/>
      </c>
    </row>
    <row r="832" spans="7:10" x14ac:dyDescent="0.2">
      <c r="G832">
        <f t="shared" si="13"/>
        <v>20466</v>
      </c>
      <c r="H832" t="s">
        <v>6950</v>
      </c>
      <c r="I832" t="s">
        <v>6951</v>
      </c>
      <c r="J832" s="1338" t="str" cm="1">
        <f t="array" ref="J832">myRGB(B832,C832,D832)</f>
        <v/>
      </c>
    </row>
    <row r="833" spans="7:10" x14ac:dyDescent="0.2">
      <c r="G833">
        <f t="shared" si="13"/>
        <v>20469</v>
      </c>
      <c r="H833" t="s">
        <v>4940</v>
      </c>
      <c r="I833" t="s">
        <v>4941</v>
      </c>
      <c r="J833" s="1338" t="str" cm="1">
        <f t="array" ref="J833">myRGB(B833,C833,D833)</f>
        <v/>
      </c>
    </row>
    <row r="834" spans="7:10" x14ac:dyDescent="0.2">
      <c r="G834">
        <f t="shared" si="13"/>
        <v>20470</v>
      </c>
      <c r="H834" t="s">
        <v>6062</v>
      </c>
      <c r="I834" t="s">
        <v>6063</v>
      </c>
      <c r="J834" s="1338" t="str" cm="1">
        <f t="array" ref="J834">myRGB(B834,C834,D834)</f>
        <v/>
      </c>
    </row>
    <row r="835" spans="7:10" x14ac:dyDescent="0.2">
      <c r="G835">
        <f t="shared" si="13"/>
        <v>20477</v>
      </c>
      <c r="H835" t="s">
        <v>5604</v>
      </c>
      <c r="I835" t="s">
        <v>5605</v>
      </c>
      <c r="J835" s="1338" t="str" cm="1">
        <f t="array" ref="J835">myRGB(B835,C835,D835)</f>
        <v/>
      </c>
    </row>
    <row r="836" spans="7:10" x14ac:dyDescent="0.2">
      <c r="G836">
        <f t="shared" si="13"/>
        <v>20478</v>
      </c>
      <c r="H836" t="s">
        <v>4708</v>
      </c>
      <c r="I836" t="s">
        <v>4709</v>
      </c>
      <c r="J836" s="1338" t="str" cm="1">
        <f t="array" ref="J836">myRGB(B836,C836,D836)</f>
        <v/>
      </c>
    </row>
    <row r="837" spans="7:10" x14ac:dyDescent="0.2">
      <c r="G837">
        <f t="shared" si="13"/>
        <v>20482</v>
      </c>
      <c r="H837" t="s">
        <v>6744</v>
      </c>
      <c r="I837" t="s">
        <v>6745</v>
      </c>
      <c r="J837" s="1338" t="str" cm="1">
        <f t="array" ref="J837">myRGB(B837,C837,D837)</f>
        <v/>
      </c>
    </row>
    <row r="838" spans="7:10" x14ac:dyDescent="0.2">
      <c r="G838">
        <f t="shared" si="13"/>
        <v>20483</v>
      </c>
      <c r="H838" t="s">
        <v>5886</v>
      </c>
      <c r="I838" t="s">
        <v>5887</v>
      </c>
      <c r="J838" s="1338" t="str" cm="1">
        <f t="array" ref="J838">myRGB(B838,C838,D838)</f>
        <v/>
      </c>
    </row>
    <row r="839" spans="7:10" x14ac:dyDescent="0.2">
      <c r="G839">
        <f t="shared" si="13"/>
        <v>20484</v>
      </c>
      <c r="H839" t="s">
        <v>5042</v>
      </c>
      <c r="I839" t="s">
        <v>5043</v>
      </c>
      <c r="J839" s="1338" t="str" cm="1">
        <f t="array" ref="J839">myRGB(B839,C839,D839)</f>
        <v/>
      </c>
    </row>
    <row r="840" spans="7:10" x14ac:dyDescent="0.2">
      <c r="G840">
        <f t="shared" si="13"/>
        <v>20488</v>
      </c>
      <c r="H840" t="s">
        <v>5038</v>
      </c>
      <c r="I840" t="s">
        <v>5039</v>
      </c>
      <c r="J840" s="1338" t="str" cm="1">
        <f t="array" ref="J840">myRGB(B840,C840,D840)</f>
        <v/>
      </c>
    </row>
    <row r="841" spans="7:10" x14ac:dyDescent="0.2">
      <c r="G841">
        <f t="shared" si="13"/>
        <v>20501</v>
      </c>
      <c r="H841" t="s">
        <v>4934</v>
      </c>
      <c r="I841" t="s">
        <v>4935</v>
      </c>
      <c r="J841" s="1338" t="str" cm="1">
        <f t="array" ref="J841">myRGB(B841,C841,D841)</f>
        <v/>
      </c>
    </row>
    <row r="842" spans="7:10" x14ac:dyDescent="0.2">
      <c r="G842">
        <f t="shared" si="13"/>
        <v>20502</v>
      </c>
      <c r="H842" t="s">
        <v>5532</v>
      </c>
      <c r="I842" t="s">
        <v>5533</v>
      </c>
      <c r="J842" s="1338" t="str" cm="1">
        <f t="array" ref="J842">myRGB(B842,C842,D842)</f>
        <v/>
      </c>
    </row>
    <row r="843" spans="7:10" x14ac:dyDescent="0.2">
      <c r="G843">
        <f t="shared" si="13"/>
        <v>20506</v>
      </c>
      <c r="H843" t="s">
        <v>6738</v>
      </c>
      <c r="I843" t="s">
        <v>6739</v>
      </c>
      <c r="J843" s="1338" t="str" cm="1">
        <f t="array" ref="J843">myRGB(B843,C843,D843)</f>
        <v/>
      </c>
    </row>
    <row r="844" spans="7:10" x14ac:dyDescent="0.2">
      <c r="G844">
        <f t="shared" si="13"/>
        <v>20507</v>
      </c>
      <c r="H844" t="s">
        <v>5234</v>
      </c>
      <c r="I844" t="s">
        <v>5235</v>
      </c>
      <c r="J844" s="1338" t="str" cm="1">
        <f t="array" ref="J844">myRGB(B844,C844,D844)</f>
        <v/>
      </c>
    </row>
    <row r="845" spans="7:10" x14ac:dyDescent="0.2">
      <c r="G845">
        <f t="shared" si="13"/>
        <v>20510</v>
      </c>
      <c r="H845" t="s">
        <v>4710</v>
      </c>
      <c r="I845" t="s">
        <v>4711</v>
      </c>
      <c r="J845" s="1338" t="str" cm="1">
        <f t="array" ref="J845">myRGB(B845,C845,D845)</f>
        <v/>
      </c>
    </row>
    <row r="846" spans="7:10" x14ac:dyDescent="0.2">
      <c r="G846">
        <f t="shared" si="13"/>
        <v>20512</v>
      </c>
      <c r="H846" t="s">
        <v>6489</v>
      </c>
      <c r="I846" t="s">
        <v>6490</v>
      </c>
      <c r="J846" s="1338" t="str" cm="1">
        <f t="array" ref="J846">myRGB(B846,C846,D846)</f>
        <v/>
      </c>
    </row>
    <row r="847" spans="7:10" x14ac:dyDescent="0.2">
      <c r="G847">
        <f t="shared" si="13"/>
        <v>20515</v>
      </c>
      <c r="H847" t="s">
        <v>6014</v>
      </c>
      <c r="I847" t="s">
        <v>6015</v>
      </c>
      <c r="J847" s="1338" t="str" cm="1">
        <f t="array" ref="J847">myRGB(B847,C847,D847)</f>
        <v/>
      </c>
    </row>
    <row r="848" spans="7:10" x14ac:dyDescent="0.2">
      <c r="G848">
        <f t="shared" si="13"/>
        <v>20520</v>
      </c>
      <c r="H848" t="s">
        <v>4854</v>
      </c>
      <c r="I848" t="s">
        <v>4855</v>
      </c>
      <c r="J848" s="1338" t="str" cm="1">
        <f t="array" ref="J848">myRGB(B848,C848,D848)</f>
        <v/>
      </c>
    </row>
    <row r="849" spans="7:10" x14ac:dyDescent="0.2">
      <c r="G849">
        <f t="shared" si="13"/>
        <v>20523</v>
      </c>
      <c r="H849" t="s">
        <v>5950</v>
      </c>
      <c r="I849" t="s">
        <v>5951</v>
      </c>
      <c r="J849" s="1338" t="str" cm="1">
        <f t="array" ref="J849">myRGB(B849,C849,D849)</f>
        <v/>
      </c>
    </row>
    <row r="850" spans="7:10" x14ac:dyDescent="0.2">
      <c r="G850">
        <f t="shared" si="13"/>
        <v>20525</v>
      </c>
      <c r="H850" t="s">
        <v>6002</v>
      </c>
      <c r="I850" t="s">
        <v>6003</v>
      </c>
      <c r="J850" s="1338" t="str" cm="1">
        <f t="array" ref="J850">myRGB(B850,C850,D850)</f>
        <v/>
      </c>
    </row>
    <row r="851" spans="7:10" x14ac:dyDescent="0.2">
      <c r="G851">
        <f t="shared" si="13"/>
        <v>20526</v>
      </c>
      <c r="H851" t="s">
        <v>5482</v>
      </c>
      <c r="I851" t="s">
        <v>5483</v>
      </c>
      <c r="J851" s="1338" t="str" cm="1">
        <f t="array" ref="J851">myRGB(B851,C851,D851)</f>
        <v/>
      </c>
    </row>
    <row r="852" spans="7:10" x14ac:dyDescent="0.2">
      <c r="G852">
        <f t="shared" si="13"/>
        <v>20527</v>
      </c>
      <c r="H852" t="s">
        <v>4800</v>
      </c>
      <c r="I852" t="s">
        <v>4801</v>
      </c>
      <c r="J852" s="1338" t="str" cm="1">
        <f t="array" ref="J852">myRGB(B852,C852,D852)</f>
        <v/>
      </c>
    </row>
    <row r="853" spans="7:10" x14ac:dyDescent="0.2">
      <c r="G853">
        <f t="shared" si="13"/>
        <v>20530</v>
      </c>
      <c r="H853" t="s">
        <v>6952</v>
      </c>
      <c r="I853" t="s">
        <v>6953</v>
      </c>
      <c r="J853" s="1338" t="str" cm="1">
        <f t="array" ref="J853">myRGB(B853,C853,D853)</f>
        <v/>
      </c>
    </row>
    <row r="854" spans="7:10" x14ac:dyDescent="0.2">
      <c r="G854">
        <f t="shared" si="13"/>
        <v>20531</v>
      </c>
      <c r="H854" t="s">
        <v>6152</v>
      </c>
      <c r="I854" t="s">
        <v>6153</v>
      </c>
      <c r="J854" s="1338" t="str" cm="1">
        <f t="array" ref="J854">myRGB(B854,C854,D854)</f>
        <v/>
      </c>
    </row>
    <row r="855" spans="7:10" x14ac:dyDescent="0.2">
      <c r="G855">
        <f t="shared" ref="G855:G918" si="14">G259+20000</f>
        <v>20534</v>
      </c>
      <c r="H855" t="s">
        <v>6295</v>
      </c>
      <c r="I855" t="s">
        <v>6296</v>
      </c>
      <c r="J855" s="1338" t="str" cm="1">
        <f t="array" ref="J855">myRGB(B855,C855,D855)</f>
        <v/>
      </c>
    </row>
    <row r="856" spans="7:10" x14ac:dyDescent="0.2">
      <c r="G856">
        <f t="shared" si="14"/>
        <v>20538</v>
      </c>
      <c r="H856" t="s">
        <v>6678</v>
      </c>
      <c r="I856" t="s">
        <v>6679</v>
      </c>
      <c r="J856" s="1338" t="str" cm="1">
        <f t="array" ref="J856">myRGB(B856,C856,D856)</f>
        <v/>
      </c>
    </row>
    <row r="857" spans="7:10" x14ac:dyDescent="0.2">
      <c r="G857">
        <f t="shared" si="14"/>
        <v>20540</v>
      </c>
      <c r="H857" t="s">
        <v>5218</v>
      </c>
      <c r="I857" t="s">
        <v>5219</v>
      </c>
      <c r="J857" s="1338" t="str" cm="1">
        <f t="array" ref="J857">myRGB(B857,C857,D857)</f>
        <v/>
      </c>
    </row>
    <row r="858" spans="7:10" x14ac:dyDescent="0.2">
      <c r="G858">
        <f t="shared" si="14"/>
        <v>20542</v>
      </c>
      <c r="H858" t="s">
        <v>5158</v>
      </c>
      <c r="I858" t="s">
        <v>5159</v>
      </c>
      <c r="J858" s="1338" t="str" cm="1">
        <f t="array" ref="J858">myRGB(B858,C858,D858)</f>
        <v/>
      </c>
    </row>
    <row r="859" spans="7:10" x14ac:dyDescent="0.2">
      <c r="G859">
        <f t="shared" si="14"/>
        <v>20543</v>
      </c>
      <c r="H859" t="s">
        <v>5484</v>
      </c>
      <c r="I859" t="s">
        <v>5485</v>
      </c>
      <c r="J859" s="1338" t="str" cm="1">
        <f t="array" ref="J859">myRGB(B859,C859,D859)</f>
        <v/>
      </c>
    </row>
    <row r="860" spans="7:10" x14ac:dyDescent="0.2">
      <c r="G860">
        <f t="shared" si="14"/>
        <v>20544</v>
      </c>
      <c r="H860" t="s">
        <v>5654</v>
      </c>
      <c r="I860" t="s">
        <v>5655</v>
      </c>
      <c r="J860" s="1338" t="str" cm="1">
        <f t="array" ref="J860">myRGB(B860,C860,D860)</f>
        <v/>
      </c>
    </row>
    <row r="861" spans="7:10" x14ac:dyDescent="0.2">
      <c r="G861">
        <f t="shared" si="14"/>
        <v>20549</v>
      </c>
      <c r="H861" t="s">
        <v>5744</v>
      </c>
      <c r="I861" t="s">
        <v>5745</v>
      </c>
      <c r="J861" s="1338" t="str" cm="1">
        <f t="array" ref="J861">myRGB(B861,C861,D861)</f>
        <v/>
      </c>
    </row>
    <row r="862" spans="7:10" x14ac:dyDescent="0.2">
      <c r="G862">
        <f t="shared" si="14"/>
        <v>20551</v>
      </c>
      <c r="H862" t="s">
        <v>5656</v>
      </c>
      <c r="I862" t="s">
        <v>5657</v>
      </c>
      <c r="J862" s="1338" t="str" cm="1">
        <f t="array" ref="J862">myRGB(B862,C862,D862)</f>
        <v/>
      </c>
    </row>
    <row r="863" spans="7:10" x14ac:dyDescent="0.2">
      <c r="G863">
        <f t="shared" si="14"/>
        <v>20553</v>
      </c>
      <c r="H863" t="s">
        <v>6822</v>
      </c>
      <c r="I863" t="s">
        <v>6823</v>
      </c>
      <c r="J863" s="1338" t="str" cm="1">
        <f t="array" ref="J863">myRGB(B863,C863,D863)</f>
        <v/>
      </c>
    </row>
    <row r="864" spans="7:10" x14ac:dyDescent="0.2">
      <c r="G864">
        <f t="shared" si="14"/>
        <v>20556</v>
      </c>
      <c r="H864" t="s">
        <v>7147</v>
      </c>
      <c r="I864" t="s">
        <v>7208</v>
      </c>
      <c r="J864" s="1338" t="str" cm="1">
        <f t="array" ref="J864">myRGB(B864,C864,D864)</f>
        <v/>
      </c>
    </row>
    <row r="865" spans="7:10" x14ac:dyDescent="0.2">
      <c r="G865">
        <f t="shared" si="14"/>
        <v>20558</v>
      </c>
      <c r="H865" t="s">
        <v>4666</v>
      </c>
      <c r="I865" t="s">
        <v>4667</v>
      </c>
      <c r="J865" s="1338" t="str" cm="1">
        <f t="array" ref="J865">myRGB(B865,C865,D865)</f>
        <v/>
      </c>
    </row>
    <row r="866" spans="7:10" x14ac:dyDescent="0.2">
      <c r="G866">
        <f t="shared" si="14"/>
        <v>20559</v>
      </c>
      <c r="H866" t="s">
        <v>5658</v>
      </c>
      <c r="I866" t="s">
        <v>5659</v>
      </c>
      <c r="J866" s="1338" t="str" cm="1">
        <f t="array" ref="J866">myRGB(B866,C866,D866)</f>
        <v/>
      </c>
    </row>
    <row r="867" spans="7:10" x14ac:dyDescent="0.2">
      <c r="G867">
        <f t="shared" si="14"/>
        <v>20564</v>
      </c>
      <c r="H867" t="s">
        <v>5696</v>
      </c>
      <c r="I867" t="s">
        <v>5697</v>
      </c>
      <c r="J867" s="1338" t="str" cm="1">
        <f t="array" ref="J867">myRGB(B867,C867,D867)</f>
        <v/>
      </c>
    </row>
    <row r="868" spans="7:10" x14ac:dyDescent="0.2">
      <c r="G868">
        <f t="shared" si="14"/>
        <v>20565</v>
      </c>
      <c r="H868" t="s">
        <v>4936</v>
      </c>
      <c r="I868" t="s">
        <v>4937</v>
      </c>
      <c r="J868" s="1338" t="str" cm="1">
        <f t="array" ref="J868">myRGB(B868,C868,D868)</f>
        <v/>
      </c>
    </row>
    <row r="869" spans="7:10" x14ac:dyDescent="0.2">
      <c r="G869">
        <f t="shared" si="14"/>
        <v>20566</v>
      </c>
      <c r="H869" t="s">
        <v>5370</v>
      </c>
      <c r="I869" t="s">
        <v>5371</v>
      </c>
      <c r="J869" s="1338" t="str" cm="1">
        <f t="array" ref="J869">myRGB(B869,C869,D869)</f>
        <v/>
      </c>
    </row>
    <row r="870" spans="7:10" x14ac:dyDescent="0.2">
      <c r="G870">
        <f t="shared" si="14"/>
        <v>20573</v>
      </c>
      <c r="H870" t="s">
        <v>4898</v>
      </c>
      <c r="I870" t="s">
        <v>4899</v>
      </c>
      <c r="J870" s="1338" t="str" cm="1">
        <f t="array" ref="J870">myRGB(B870,C870,D870)</f>
        <v/>
      </c>
    </row>
    <row r="871" spans="7:10" x14ac:dyDescent="0.2">
      <c r="G871">
        <f t="shared" si="14"/>
        <v>20574</v>
      </c>
      <c r="H871" t="s">
        <v>6297</v>
      </c>
      <c r="I871" t="s">
        <v>6298</v>
      </c>
      <c r="J871" s="1338" t="str" cm="1">
        <f t="array" ref="J871">myRGB(B871,C871,D871)</f>
        <v/>
      </c>
    </row>
    <row r="872" spans="7:10" x14ac:dyDescent="0.2">
      <c r="G872">
        <f t="shared" si="14"/>
        <v>20575</v>
      </c>
      <c r="H872" t="s">
        <v>5862</v>
      </c>
      <c r="I872" t="s">
        <v>5863</v>
      </c>
      <c r="J872" s="1338" t="str" cm="1">
        <f t="array" ref="J872">myRGB(B872,C872,D872)</f>
        <v/>
      </c>
    </row>
    <row r="873" spans="7:10" x14ac:dyDescent="0.2">
      <c r="G873">
        <f t="shared" si="14"/>
        <v>20576</v>
      </c>
      <c r="H873" t="s">
        <v>6397</v>
      </c>
      <c r="I873" t="s">
        <v>6398</v>
      </c>
      <c r="J873" s="1338" t="str" cm="1">
        <f t="array" ref="J873">myRGB(B873,C873,D873)</f>
        <v/>
      </c>
    </row>
    <row r="874" spans="7:10" x14ac:dyDescent="0.2">
      <c r="G874">
        <f t="shared" si="14"/>
        <v>20577</v>
      </c>
      <c r="H874" t="s">
        <v>4728</v>
      </c>
      <c r="I874" t="s">
        <v>4729</v>
      </c>
      <c r="J874" s="1338" t="str" cm="1">
        <f t="array" ref="J874">myRGB(B874,C874,D874)</f>
        <v/>
      </c>
    </row>
    <row r="875" spans="7:10" x14ac:dyDescent="0.2">
      <c r="G875">
        <f t="shared" si="14"/>
        <v>20579</v>
      </c>
      <c r="H875" t="s">
        <v>6846</v>
      </c>
      <c r="I875" t="s">
        <v>6847</v>
      </c>
      <c r="J875" s="1338" t="str" cm="1">
        <f t="array" ref="J875">myRGB(B875,C875,D875)</f>
        <v/>
      </c>
    </row>
    <row r="876" spans="7:10" x14ac:dyDescent="0.2">
      <c r="G876">
        <f t="shared" si="14"/>
        <v>20580</v>
      </c>
      <c r="H876" t="s">
        <v>6094</v>
      </c>
      <c r="I876" t="s">
        <v>6095</v>
      </c>
      <c r="J876" s="1338" t="str" cm="1">
        <f t="array" ref="J876">myRGB(B876,C876,D876)</f>
        <v/>
      </c>
    </row>
    <row r="877" spans="7:10" x14ac:dyDescent="0.2">
      <c r="G877">
        <f t="shared" si="14"/>
        <v>20581</v>
      </c>
      <c r="H877" t="s">
        <v>5700</v>
      </c>
      <c r="I877" t="s">
        <v>5701</v>
      </c>
      <c r="J877" s="1338" t="str" cm="1">
        <f t="array" ref="J877">myRGB(B877,C877,D877)</f>
        <v/>
      </c>
    </row>
    <row r="878" spans="7:10" x14ac:dyDescent="0.2">
      <c r="G878">
        <f t="shared" si="14"/>
        <v>20582</v>
      </c>
      <c r="H878" t="s">
        <v>7150</v>
      </c>
      <c r="I878" t="s">
        <v>7211</v>
      </c>
      <c r="J878" s="1338" t="str" cm="1">
        <f t="array" ref="J878">myRGB(B878,C878,D878)</f>
        <v/>
      </c>
    </row>
    <row r="879" spans="7:10" x14ac:dyDescent="0.2">
      <c r="G879">
        <f t="shared" si="14"/>
        <v>20583</v>
      </c>
      <c r="H879" t="s">
        <v>5576</v>
      </c>
      <c r="I879" t="s">
        <v>5577</v>
      </c>
      <c r="J879" s="1338" t="str" cm="1">
        <f t="array" ref="J879">myRGB(B879,C879,D879)</f>
        <v/>
      </c>
    </row>
    <row r="880" spans="7:10" x14ac:dyDescent="0.2">
      <c r="G880">
        <f t="shared" si="14"/>
        <v>20587</v>
      </c>
      <c r="H880" t="s">
        <v>6144</v>
      </c>
      <c r="I880" t="s">
        <v>6145</v>
      </c>
      <c r="J880" s="1338" t="str" cm="1">
        <f t="array" ref="J880">myRGB(B880,C880,D880)</f>
        <v/>
      </c>
    </row>
    <row r="881" spans="7:10" x14ac:dyDescent="0.2">
      <c r="G881">
        <f t="shared" si="14"/>
        <v>20588</v>
      </c>
      <c r="H881" t="s">
        <v>4988</v>
      </c>
      <c r="I881" t="s">
        <v>4989</v>
      </c>
      <c r="J881" s="1338" t="str" cm="1">
        <f t="array" ref="J881">myRGB(B881,C881,D881)</f>
        <v/>
      </c>
    </row>
    <row r="882" spans="7:10" x14ac:dyDescent="0.2">
      <c r="G882">
        <f t="shared" si="14"/>
        <v>20590</v>
      </c>
      <c r="H882" t="s">
        <v>5164</v>
      </c>
      <c r="I882" t="s">
        <v>5165</v>
      </c>
      <c r="J882" s="1338" t="str" cm="1">
        <f t="array" ref="J882">myRGB(B882,C882,D882)</f>
        <v/>
      </c>
    </row>
    <row r="883" spans="7:10" x14ac:dyDescent="0.2">
      <c r="G883">
        <f t="shared" si="14"/>
        <v>20591</v>
      </c>
      <c r="H883" t="s">
        <v>6222</v>
      </c>
      <c r="I883" t="s">
        <v>6223</v>
      </c>
      <c r="J883" s="1338" t="str" cm="1">
        <f t="array" ref="J883">myRGB(B883,C883,D883)</f>
        <v/>
      </c>
    </row>
    <row r="884" spans="7:10" x14ac:dyDescent="0.2">
      <c r="G884">
        <f t="shared" si="14"/>
        <v>20593</v>
      </c>
      <c r="H884" t="s">
        <v>4908</v>
      </c>
      <c r="I884" t="s">
        <v>4909</v>
      </c>
      <c r="J884" s="1338" t="str" cm="1">
        <f t="array" ref="J884">myRGB(B884,C884,D884)</f>
        <v/>
      </c>
    </row>
    <row r="885" spans="7:10" x14ac:dyDescent="0.2">
      <c r="G885">
        <f t="shared" si="14"/>
        <v>20595</v>
      </c>
      <c r="H885" t="s">
        <v>7032</v>
      </c>
      <c r="I885" t="s">
        <v>7033</v>
      </c>
      <c r="J885" s="1338" t="str" cm="1">
        <f t="array" ref="J885">myRGB(B885,C885,D885)</f>
        <v/>
      </c>
    </row>
    <row r="886" spans="7:10" x14ac:dyDescent="0.2">
      <c r="G886">
        <f t="shared" si="14"/>
        <v>20596</v>
      </c>
      <c r="H886" t="s">
        <v>5698</v>
      </c>
      <c r="I886" t="s">
        <v>5699</v>
      </c>
      <c r="J886" s="1338" t="str" cm="1">
        <f t="array" ref="J886">myRGB(B886,C886,D886)</f>
        <v/>
      </c>
    </row>
    <row r="887" spans="7:10" x14ac:dyDescent="0.2">
      <c r="G887">
        <f t="shared" si="14"/>
        <v>20597</v>
      </c>
      <c r="H887" t="s">
        <v>5272</v>
      </c>
      <c r="I887" t="s">
        <v>5273</v>
      </c>
      <c r="J887" s="1338" t="str" cm="1">
        <f t="array" ref="J887">myRGB(B887,C887,D887)</f>
        <v/>
      </c>
    </row>
    <row r="888" spans="7:10" x14ac:dyDescent="0.2">
      <c r="G888">
        <f t="shared" si="14"/>
        <v>20598</v>
      </c>
      <c r="H888" t="s">
        <v>4856</v>
      </c>
      <c r="I888" t="s">
        <v>4857</v>
      </c>
      <c r="J888" s="1338" t="str" cm="1">
        <f t="array" ref="J888">myRGB(B888,C888,D888)</f>
        <v/>
      </c>
    </row>
    <row r="889" spans="7:10" x14ac:dyDescent="0.2">
      <c r="G889">
        <f t="shared" si="14"/>
        <v>20599</v>
      </c>
      <c r="H889" t="s">
        <v>5858</v>
      </c>
      <c r="I889" t="s">
        <v>5859</v>
      </c>
      <c r="J889" s="1338" t="str" cm="1">
        <f t="array" ref="J889">myRGB(B889,C889,D889)</f>
        <v/>
      </c>
    </row>
    <row r="890" spans="7:10" x14ac:dyDescent="0.2">
      <c r="G890">
        <f t="shared" si="14"/>
        <v>20600</v>
      </c>
      <c r="H890" t="s">
        <v>7129</v>
      </c>
      <c r="I890" t="s">
        <v>7190</v>
      </c>
      <c r="J890" s="1338" t="str" cm="1">
        <f t="array" ref="J890">myRGB(B890,C890,D890)</f>
        <v/>
      </c>
    </row>
    <row r="891" spans="7:10" x14ac:dyDescent="0.2">
      <c r="G891">
        <f t="shared" si="14"/>
        <v>20601</v>
      </c>
      <c r="H891" t="s">
        <v>4878</v>
      </c>
      <c r="I891" t="s">
        <v>4879</v>
      </c>
      <c r="J891" s="1338" t="str" cm="1">
        <f t="array" ref="J891">myRGB(B891,C891,D891)</f>
        <v/>
      </c>
    </row>
    <row r="892" spans="7:10" x14ac:dyDescent="0.2">
      <c r="G892">
        <f t="shared" si="14"/>
        <v>20603</v>
      </c>
      <c r="H892" t="s">
        <v>6954</v>
      </c>
      <c r="I892" t="s">
        <v>6955</v>
      </c>
      <c r="J892" s="1338" t="str" cm="1">
        <f t="array" ref="J892">myRGB(B892,C892,D892)</f>
        <v/>
      </c>
    </row>
    <row r="893" spans="7:10" x14ac:dyDescent="0.2">
      <c r="G893">
        <f t="shared" si="14"/>
        <v>20604</v>
      </c>
      <c r="H893" t="s">
        <v>6321</v>
      </c>
      <c r="I893" t="s">
        <v>6322</v>
      </c>
      <c r="J893" s="1338" t="str" cm="1">
        <f t="array" ref="J893">myRGB(B893,C893,D893)</f>
        <v/>
      </c>
    </row>
    <row r="894" spans="7:10" x14ac:dyDescent="0.2">
      <c r="G894">
        <f t="shared" si="14"/>
        <v>20605</v>
      </c>
      <c r="H894" t="s">
        <v>5284</v>
      </c>
      <c r="I894" t="s">
        <v>5285</v>
      </c>
      <c r="J894" s="1338" t="str" cm="1">
        <f t="array" ref="J894">myRGB(B894,C894,D894)</f>
        <v/>
      </c>
    </row>
    <row r="895" spans="7:10" x14ac:dyDescent="0.2">
      <c r="G895">
        <f t="shared" si="14"/>
        <v>20608</v>
      </c>
      <c r="H895" t="s">
        <v>5060</v>
      </c>
      <c r="I895" t="s">
        <v>5061</v>
      </c>
      <c r="J895" s="1338" t="str" cm="1">
        <f t="array" ref="J895">myRGB(B895,C895,D895)</f>
        <v/>
      </c>
    </row>
    <row r="896" spans="7:10" x14ac:dyDescent="0.2">
      <c r="G896">
        <f t="shared" si="14"/>
        <v>20609</v>
      </c>
      <c r="H896" t="s">
        <v>5772</v>
      </c>
      <c r="I896" t="s">
        <v>5773</v>
      </c>
      <c r="J896" s="1338" t="str" cm="1">
        <f t="array" ref="J896">myRGB(B896,C896,D896)</f>
        <v/>
      </c>
    </row>
    <row r="897" spans="7:10" x14ac:dyDescent="0.2">
      <c r="G897">
        <f t="shared" si="14"/>
        <v>20610</v>
      </c>
      <c r="H897" t="s">
        <v>5150</v>
      </c>
      <c r="I897" t="s">
        <v>5151</v>
      </c>
      <c r="J897" s="1338" t="str" cm="1">
        <f t="array" ref="J897">myRGB(B897,C897,D897)</f>
        <v/>
      </c>
    </row>
    <row r="898" spans="7:10" x14ac:dyDescent="0.2">
      <c r="G898">
        <f t="shared" si="14"/>
        <v>20611</v>
      </c>
      <c r="H898" t="s">
        <v>7034</v>
      </c>
      <c r="I898" t="s">
        <v>7035</v>
      </c>
      <c r="J898" s="1338" t="str" cm="1">
        <f t="array" ref="J898">myRGB(B898,C898,D898)</f>
        <v/>
      </c>
    </row>
    <row r="899" spans="7:10" x14ac:dyDescent="0.2">
      <c r="G899">
        <f t="shared" si="14"/>
        <v>20612</v>
      </c>
      <c r="H899" t="s">
        <v>6232</v>
      </c>
      <c r="I899" t="s">
        <v>6233</v>
      </c>
      <c r="J899" s="1338" t="str" cm="1">
        <f t="array" ref="J899">myRGB(B899,C899,D899)</f>
        <v/>
      </c>
    </row>
    <row r="900" spans="7:10" x14ac:dyDescent="0.2">
      <c r="G900">
        <f t="shared" si="14"/>
        <v>20613</v>
      </c>
      <c r="H900" t="s">
        <v>4900</v>
      </c>
      <c r="I900" t="s">
        <v>4901</v>
      </c>
      <c r="J900" s="1338" t="str" cm="1">
        <f t="array" ref="J900">myRGB(B900,C900,D900)</f>
        <v/>
      </c>
    </row>
    <row r="901" spans="7:10" x14ac:dyDescent="0.2">
      <c r="G901">
        <f t="shared" si="14"/>
        <v>20614</v>
      </c>
      <c r="H901" t="s">
        <v>6064</v>
      </c>
      <c r="I901" t="s">
        <v>6065</v>
      </c>
      <c r="J901" s="1338" t="str" cm="1">
        <f t="array" ref="J901">myRGB(B901,C901,D901)</f>
        <v/>
      </c>
    </row>
    <row r="902" spans="7:10" x14ac:dyDescent="0.2">
      <c r="G902">
        <f t="shared" si="14"/>
        <v>20616</v>
      </c>
      <c r="H902" t="s">
        <v>6166</v>
      </c>
      <c r="I902" t="s">
        <v>6167</v>
      </c>
      <c r="J902" s="1338" t="str" cm="1">
        <f t="array" ref="J902">myRGB(B902,C902,D902)</f>
        <v/>
      </c>
    </row>
    <row r="903" spans="7:10" x14ac:dyDescent="0.2">
      <c r="G903">
        <f t="shared" si="14"/>
        <v>20620</v>
      </c>
      <c r="H903" t="s">
        <v>5046</v>
      </c>
      <c r="I903" t="s">
        <v>5047</v>
      </c>
      <c r="J903" s="1338" t="str" cm="1">
        <f t="array" ref="J903">myRGB(B903,C903,D903)</f>
        <v/>
      </c>
    </row>
    <row r="904" spans="7:10" x14ac:dyDescent="0.2">
      <c r="G904">
        <f t="shared" si="14"/>
        <v>20621</v>
      </c>
      <c r="H904" t="s">
        <v>6299</v>
      </c>
      <c r="I904" t="s">
        <v>6300</v>
      </c>
      <c r="J904" s="1338" t="str" cm="1">
        <f t="array" ref="J904">myRGB(B904,C904,D904)</f>
        <v/>
      </c>
    </row>
    <row r="905" spans="7:10" x14ac:dyDescent="0.2">
      <c r="G905">
        <f t="shared" si="14"/>
        <v>20622</v>
      </c>
      <c r="H905" t="s">
        <v>5166</v>
      </c>
      <c r="I905" t="s">
        <v>5167</v>
      </c>
      <c r="J905" s="1338" t="str" cm="1">
        <f t="array" ref="J905">myRGB(B905,C905,D905)</f>
        <v/>
      </c>
    </row>
    <row r="906" spans="7:10" x14ac:dyDescent="0.2">
      <c r="G906">
        <f t="shared" si="14"/>
        <v>20625</v>
      </c>
      <c r="H906" t="s">
        <v>4730</v>
      </c>
      <c r="I906" t="s">
        <v>4731</v>
      </c>
      <c r="J906" s="1338" t="str" cm="1">
        <f t="array" ref="J906">myRGB(B906,C906,D906)</f>
        <v/>
      </c>
    </row>
    <row r="907" spans="7:10" x14ac:dyDescent="0.2">
      <c r="G907">
        <f t="shared" si="14"/>
        <v>20628</v>
      </c>
      <c r="H907" t="s">
        <v>6154</v>
      </c>
      <c r="I907" t="s">
        <v>6155</v>
      </c>
      <c r="J907" s="1338" t="str" cm="1">
        <f t="array" ref="J907">myRGB(B907,C907,D907)</f>
        <v/>
      </c>
    </row>
    <row r="908" spans="7:10" x14ac:dyDescent="0.2">
      <c r="G908">
        <f t="shared" si="14"/>
        <v>20629</v>
      </c>
      <c r="H908" t="s">
        <v>5750</v>
      </c>
      <c r="I908" t="s">
        <v>5751</v>
      </c>
      <c r="J908" s="1338" t="str" cm="1">
        <f t="array" ref="J908">myRGB(B908,C908,D908)</f>
        <v/>
      </c>
    </row>
    <row r="909" spans="7:10" x14ac:dyDescent="0.2">
      <c r="G909">
        <f t="shared" si="14"/>
        <v>20630</v>
      </c>
      <c r="H909" t="s">
        <v>5034</v>
      </c>
      <c r="I909" t="s">
        <v>5035</v>
      </c>
      <c r="J909" s="1338" t="str" cm="1">
        <f t="array" ref="J909">myRGB(B909,C909,D909)</f>
        <v/>
      </c>
    </row>
    <row r="910" spans="7:10" x14ac:dyDescent="0.2">
      <c r="G910">
        <f t="shared" si="14"/>
        <v>20632</v>
      </c>
      <c r="H910" t="s">
        <v>5424</v>
      </c>
      <c r="I910" t="s">
        <v>5425</v>
      </c>
      <c r="J910" s="1338" t="str" cm="1">
        <f t="array" ref="J910">myRGB(B910,C910,D910)</f>
        <v/>
      </c>
    </row>
    <row r="911" spans="7:10" x14ac:dyDescent="0.2">
      <c r="G911">
        <f t="shared" si="14"/>
        <v>20633</v>
      </c>
      <c r="H911" t="s">
        <v>6742</v>
      </c>
      <c r="I911" t="s">
        <v>6743</v>
      </c>
      <c r="J911" s="1338" t="str" cm="1">
        <f t="array" ref="J911">myRGB(B911,C911,D911)</f>
        <v/>
      </c>
    </row>
    <row r="912" spans="7:10" x14ac:dyDescent="0.2">
      <c r="G912">
        <f t="shared" si="14"/>
        <v>20634</v>
      </c>
      <c r="H912" t="s">
        <v>6156</v>
      </c>
      <c r="I912" t="s">
        <v>6157</v>
      </c>
      <c r="J912" s="1338" t="str" cm="1">
        <f t="array" ref="J912">myRGB(B912,C912,D912)</f>
        <v/>
      </c>
    </row>
    <row r="913" spans="7:10" x14ac:dyDescent="0.2">
      <c r="G913">
        <f t="shared" si="14"/>
        <v>20638</v>
      </c>
      <c r="H913" t="s">
        <v>4780</v>
      </c>
      <c r="I913" t="s">
        <v>4781</v>
      </c>
      <c r="J913" s="1338" t="str" cm="1">
        <f t="array" ref="J913">myRGB(B913,C913,D913)</f>
        <v/>
      </c>
    </row>
    <row r="914" spans="7:10" x14ac:dyDescent="0.2">
      <c r="G914">
        <f t="shared" si="14"/>
        <v>20639</v>
      </c>
      <c r="H914" t="s">
        <v>5326</v>
      </c>
      <c r="I914" t="s">
        <v>5327</v>
      </c>
      <c r="J914" s="1338" t="str" cm="1">
        <f t="array" ref="J914">myRGB(B914,C914,D914)</f>
        <v/>
      </c>
    </row>
    <row r="915" spans="7:10" x14ac:dyDescent="0.2">
      <c r="G915">
        <f t="shared" si="14"/>
        <v>20642</v>
      </c>
      <c r="H915" t="s">
        <v>6355</v>
      </c>
      <c r="I915" t="s">
        <v>6356</v>
      </c>
      <c r="J915" s="1338" t="str" cm="1">
        <f t="array" ref="J915">myRGB(B915,C915,D915)</f>
        <v/>
      </c>
    </row>
    <row r="916" spans="7:10" x14ac:dyDescent="0.2">
      <c r="G916">
        <f t="shared" si="14"/>
        <v>20643</v>
      </c>
      <c r="H916" t="s">
        <v>7132</v>
      </c>
      <c r="I916" t="s">
        <v>7193</v>
      </c>
      <c r="J916" s="1338" t="str" cm="1">
        <f t="array" ref="J916">myRGB(B916,C916,D916)</f>
        <v/>
      </c>
    </row>
    <row r="917" spans="7:10" x14ac:dyDescent="0.2">
      <c r="G917">
        <f t="shared" si="14"/>
        <v>20648</v>
      </c>
      <c r="H917" t="s">
        <v>4624</v>
      </c>
      <c r="I917" t="s">
        <v>4625</v>
      </c>
      <c r="J917" s="1338" t="str" cm="1">
        <f t="array" ref="J917">myRGB(B917,C917,D917)</f>
        <v/>
      </c>
    </row>
    <row r="918" spans="7:10" x14ac:dyDescent="0.2">
      <c r="G918">
        <f t="shared" si="14"/>
        <v>20649</v>
      </c>
      <c r="H918" t="s">
        <v>4880</v>
      </c>
      <c r="I918" t="s">
        <v>4881</v>
      </c>
      <c r="J918" s="1338" t="str" cm="1">
        <f t="array" ref="J918">myRGB(B918,C918,D918)</f>
        <v/>
      </c>
    </row>
    <row r="919" spans="7:10" x14ac:dyDescent="0.2">
      <c r="G919">
        <f t="shared" ref="G919:G982" si="15">G323+20000</f>
        <v>20651</v>
      </c>
      <c r="H919" t="s">
        <v>6357</v>
      </c>
      <c r="I919" t="s">
        <v>6358</v>
      </c>
      <c r="J919" s="1338" t="str" cm="1">
        <f t="array" ref="J919">myRGB(B919,C919,D919)</f>
        <v/>
      </c>
    </row>
    <row r="920" spans="7:10" x14ac:dyDescent="0.2">
      <c r="G920">
        <f t="shared" si="15"/>
        <v>20653</v>
      </c>
      <c r="H920" t="s">
        <v>6391</v>
      </c>
      <c r="I920" t="s">
        <v>6392</v>
      </c>
      <c r="J920" s="1338" t="str" cm="1">
        <f t="array" ref="J920">myRGB(B920,C920,D920)</f>
        <v/>
      </c>
    </row>
    <row r="921" spans="7:10" x14ac:dyDescent="0.2">
      <c r="G921">
        <f t="shared" si="15"/>
        <v>20654</v>
      </c>
      <c r="H921" t="s">
        <v>4668</v>
      </c>
      <c r="I921" t="s">
        <v>4669</v>
      </c>
      <c r="J921" s="1338" t="str" cm="1">
        <f t="array" ref="J921">myRGB(B921,C921,D921)</f>
        <v/>
      </c>
    </row>
    <row r="922" spans="7:10" x14ac:dyDescent="0.2">
      <c r="G922">
        <f t="shared" si="15"/>
        <v>20655</v>
      </c>
      <c r="H922" t="s">
        <v>5336</v>
      </c>
      <c r="I922" t="s">
        <v>5337</v>
      </c>
      <c r="J922" s="1338" t="str" cm="1">
        <f t="array" ref="J922">myRGB(B922,C922,D922)</f>
        <v/>
      </c>
    </row>
    <row r="923" spans="7:10" x14ac:dyDescent="0.2">
      <c r="G923">
        <f t="shared" si="15"/>
        <v>20656</v>
      </c>
      <c r="H923" t="s">
        <v>4632</v>
      </c>
      <c r="I923" t="s">
        <v>4633</v>
      </c>
      <c r="J923" s="1338" t="str" cm="1">
        <f t="array" ref="J923">myRGB(B923,C923,D923)</f>
        <v/>
      </c>
    </row>
    <row r="924" spans="7:10" x14ac:dyDescent="0.2">
      <c r="G924">
        <f t="shared" si="15"/>
        <v>20657</v>
      </c>
      <c r="H924" t="s">
        <v>7122</v>
      </c>
      <c r="I924" t="s">
        <v>7183</v>
      </c>
      <c r="J924" s="1338" t="str" cm="1">
        <f t="array" ref="J924">myRGB(B924,C924,D924)</f>
        <v/>
      </c>
    </row>
    <row r="925" spans="7:10" x14ac:dyDescent="0.2">
      <c r="G925">
        <f t="shared" si="15"/>
        <v>20658</v>
      </c>
      <c r="H925" t="s">
        <v>6740</v>
      </c>
      <c r="I925" t="s">
        <v>6741</v>
      </c>
      <c r="J925" s="1338" t="str" cm="1">
        <f t="array" ref="J925">myRGB(B925,C925,D925)</f>
        <v/>
      </c>
    </row>
    <row r="926" spans="7:10" x14ac:dyDescent="0.2">
      <c r="G926">
        <f t="shared" si="15"/>
        <v>20661</v>
      </c>
      <c r="H926" t="s">
        <v>6395</v>
      </c>
      <c r="I926" t="s">
        <v>6396</v>
      </c>
      <c r="J926" s="1338" t="str" cm="1">
        <f t="array" ref="J926">myRGB(B926,C926,D926)</f>
        <v/>
      </c>
    </row>
    <row r="927" spans="7:10" x14ac:dyDescent="0.2">
      <c r="G927">
        <f t="shared" si="15"/>
        <v>20662</v>
      </c>
      <c r="H927" t="s">
        <v>4782</v>
      </c>
      <c r="I927" t="s">
        <v>4783</v>
      </c>
      <c r="J927" s="1338" t="str" cm="1">
        <f t="array" ref="J927">myRGB(B927,C927,D927)</f>
        <v/>
      </c>
    </row>
    <row r="928" spans="7:10" x14ac:dyDescent="0.2">
      <c r="G928">
        <f t="shared" si="15"/>
        <v>20663</v>
      </c>
      <c r="H928" t="s">
        <v>5348</v>
      </c>
      <c r="I928" t="s">
        <v>5349</v>
      </c>
      <c r="J928" s="1338" t="str" cm="1">
        <f t="array" ref="J928">myRGB(B928,C928,D928)</f>
        <v/>
      </c>
    </row>
    <row r="929" spans="7:10" x14ac:dyDescent="0.2">
      <c r="G929">
        <f t="shared" si="15"/>
        <v>20664</v>
      </c>
      <c r="H929" t="s">
        <v>5490</v>
      </c>
      <c r="I929" t="s">
        <v>5491</v>
      </c>
      <c r="J929" s="1338" t="str" cm="1">
        <f t="array" ref="J929">myRGB(B929,C929,D929)</f>
        <v/>
      </c>
    </row>
    <row r="930" spans="7:10" x14ac:dyDescent="0.2">
      <c r="G930">
        <f t="shared" si="15"/>
        <v>20665</v>
      </c>
      <c r="H930" t="s">
        <v>6676</v>
      </c>
      <c r="I930" t="s">
        <v>6677</v>
      </c>
      <c r="J930" s="1338" t="str" cm="1">
        <f t="array" ref="J930">myRGB(B930,C930,D930)</f>
        <v/>
      </c>
    </row>
    <row r="931" spans="7:10" x14ac:dyDescent="0.2">
      <c r="G931">
        <f t="shared" si="15"/>
        <v>20667</v>
      </c>
      <c r="H931" t="s">
        <v>7112</v>
      </c>
      <c r="I931" t="s">
        <v>7173</v>
      </c>
      <c r="J931" s="1338" t="str" cm="1">
        <f t="array" ref="J931">myRGB(B931,C931,D931)</f>
        <v/>
      </c>
    </row>
    <row r="932" spans="7:10" x14ac:dyDescent="0.2">
      <c r="G932">
        <f t="shared" si="15"/>
        <v>20670</v>
      </c>
      <c r="H932" t="s">
        <v>7124</v>
      </c>
      <c r="I932" t="s">
        <v>7185</v>
      </c>
      <c r="J932" s="1338" t="str" cm="1">
        <f t="array" ref="J932">myRGB(B932,C932,D932)</f>
        <v/>
      </c>
    </row>
    <row r="933" spans="7:10" x14ac:dyDescent="0.2">
      <c r="G933">
        <f t="shared" si="15"/>
        <v>20671</v>
      </c>
      <c r="H933" t="s">
        <v>5100</v>
      </c>
      <c r="I933" t="s">
        <v>5101</v>
      </c>
      <c r="J933" s="1338" t="str" cm="1">
        <f t="array" ref="J933">myRGB(B933,C933,D933)</f>
        <v/>
      </c>
    </row>
    <row r="934" spans="7:10" x14ac:dyDescent="0.2">
      <c r="G934">
        <f t="shared" si="15"/>
        <v>20672</v>
      </c>
      <c r="H934" t="s">
        <v>5608</v>
      </c>
      <c r="I934" t="s">
        <v>5609</v>
      </c>
      <c r="J934" s="1338" t="str" cm="1">
        <f t="array" ref="J934">myRGB(B934,C934,D934)</f>
        <v/>
      </c>
    </row>
    <row r="935" spans="7:10" x14ac:dyDescent="0.2">
      <c r="G935">
        <f t="shared" si="15"/>
        <v>20673</v>
      </c>
      <c r="H935" t="s">
        <v>7022</v>
      </c>
      <c r="I935" t="s">
        <v>7023</v>
      </c>
      <c r="J935" s="1338" t="str" cm="1">
        <f t="array" ref="J935">myRGB(B935,C935,D935)</f>
        <v/>
      </c>
    </row>
    <row r="936" spans="7:10" x14ac:dyDescent="0.2">
      <c r="G936">
        <f t="shared" si="15"/>
        <v>20675</v>
      </c>
      <c r="H936" t="s">
        <v>5092</v>
      </c>
      <c r="I936" t="s">
        <v>5093</v>
      </c>
      <c r="J936" s="1338" t="str" cm="1">
        <f t="array" ref="J936">myRGB(B936,C936,D936)</f>
        <v/>
      </c>
    </row>
    <row r="937" spans="7:10" x14ac:dyDescent="0.2">
      <c r="G937">
        <f t="shared" si="15"/>
        <v>20678</v>
      </c>
      <c r="H937" t="s">
        <v>4802</v>
      </c>
      <c r="I937" t="s">
        <v>4803</v>
      </c>
      <c r="J937" s="1338" t="str" cm="1">
        <f t="array" ref="J937">myRGB(B937,C937,D937)</f>
        <v/>
      </c>
    </row>
    <row r="938" spans="7:10" x14ac:dyDescent="0.2">
      <c r="G938">
        <f t="shared" si="15"/>
        <v>20679</v>
      </c>
      <c r="H938" t="s">
        <v>6311</v>
      </c>
      <c r="I938" t="s">
        <v>6312</v>
      </c>
      <c r="J938" s="1338" t="str" cm="1">
        <f t="array" ref="J938">myRGB(B938,C938,D938)</f>
        <v/>
      </c>
    </row>
    <row r="939" spans="7:10" x14ac:dyDescent="0.2">
      <c r="G939">
        <f t="shared" si="15"/>
        <v>20680</v>
      </c>
      <c r="H939" t="s">
        <v>5062</v>
      </c>
      <c r="I939" t="s">
        <v>5063</v>
      </c>
      <c r="J939" s="1338" t="str" cm="1">
        <f t="array" ref="J939">myRGB(B939,C939,D939)</f>
        <v/>
      </c>
    </row>
    <row r="940" spans="7:10" x14ac:dyDescent="0.2">
      <c r="G940">
        <f t="shared" si="15"/>
        <v>20681</v>
      </c>
      <c r="H940" t="s">
        <v>7020</v>
      </c>
      <c r="I940" t="s">
        <v>7021</v>
      </c>
      <c r="J940" s="1338" t="str" cm="1">
        <f t="array" ref="J940">myRGB(B940,C940,D940)</f>
        <v/>
      </c>
    </row>
    <row r="941" spans="7:10" x14ac:dyDescent="0.2">
      <c r="G941">
        <f t="shared" si="15"/>
        <v>20685</v>
      </c>
      <c r="H941" t="s">
        <v>5752</v>
      </c>
      <c r="I941" t="s">
        <v>5753</v>
      </c>
      <c r="J941" s="1338" t="str" cm="1">
        <f t="array" ref="J941">myRGB(B941,C941,D941)</f>
        <v/>
      </c>
    </row>
    <row r="942" spans="7:10" x14ac:dyDescent="0.2">
      <c r="G942">
        <f t="shared" si="15"/>
        <v>20687</v>
      </c>
      <c r="H942" t="s">
        <v>5162</v>
      </c>
      <c r="I942" t="s">
        <v>5163</v>
      </c>
      <c r="J942" s="1338" t="str" cm="1">
        <f t="array" ref="J942">myRGB(B942,C942,D942)</f>
        <v/>
      </c>
    </row>
    <row r="943" spans="7:10" x14ac:dyDescent="0.2">
      <c r="G943">
        <f t="shared" si="15"/>
        <v>20689</v>
      </c>
      <c r="H943" t="s">
        <v>5972</v>
      </c>
      <c r="I943" t="s">
        <v>5973</v>
      </c>
      <c r="J943" s="1338" t="str" cm="1">
        <f t="array" ref="J943">myRGB(B943,C943,D943)</f>
        <v/>
      </c>
    </row>
    <row r="944" spans="7:10" x14ac:dyDescent="0.2">
      <c r="G944">
        <f t="shared" si="15"/>
        <v>20690</v>
      </c>
      <c r="H944" t="s">
        <v>7018</v>
      </c>
      <c r="I944" t="s">
        <v>7019</v>
      </c>
      <c r="J944" s="1338" t="str" cm="1">
        <f t="array" ref="J944">myRGB(B944,C944,D944)</f>
        <v/>
      </c>
    </row>
    <row r="945" spans="7:10" x14ac:dyDescent="0.2">
      <c r="G945">
        <f t="shared" si="15"/>
        <v>20692</v>
      </c>
      <c r="H945" t="s">
        <v>5220</v>
      </c>
      <c r="I945" t="s">
        <v>5221</v>
      </c>
      <c r="J945" s="1338" t="str" cm="1">
        <f t="array" ref="J945">myRGB(B945,C945,D945)</f>
        <v/>
      </c>
    </row>
    <row r="946" spans="7:10" x14ac:dyDescent="0.2">
      <c r="G946">
        <f t="shared" si="15"/>
        <v>20693</v>
      </c>
      <c r="H946" t="s">
        <v>6036</v>
      </c>
      <c r="I946" t="s">
        <v>6037</v>
      </c>
      <c r="J946" s="1338" t="str" cm="1">
        <f t="array" ref="J946">myRGB(B946,C946,D946)</f>
        <v/>
      </c>
    </row>
    <row r="947" spans="7:10" x14ac:dyDescent="0.2">
      <c r="G947">
        <f t="shared" si="15"/>
        <v>20694</v>
      </c>
      <c r="H947" t="s">
        <v>7154</v>
      </c>
      <c r="I947" t="s">
        <v>7215</v>
      </c>
      <c r="J947" s="1338" t="str" cm="1">
        <f t="array" ref="J947">myRGB(B947,C947,D947)</f>
        <v/>
      </c>
    </row>
    <row r="948" spans="7:10" x14ac:dyDescent="0.2">
      <c r="G948">
        <f t="shared" si="15"/>
        <v>20696</v>
      </c>
      <c r="H948" t="s">
        <v>4836</v>
      </c>
      <c r="I948" t="s">
        <v>4837</v>
      </c>
      <c r="J948" s="1338" t="str" cm="1">
        <f t="array" ref="J948">myRGB(B948,C948,D948)</f>
        <v/>
      </c>
    </row>
    <row r="949" spans="7:10" x14ac:dyDescent="0.2">
      <c r="G949">
        <f t="shared" si="15"/>
        <v>20697</v>
      </c>
      <c r="H949" t="s">
        <v>6778</v>
      </c>
      <c r="I949" t="s">
        <v>6779</v>
      </c>
      <c r="J949" s="1338" t="str" cm="1">
        <f t="array" ref="J949">myRGB(B949,C949,D949)</f>
        <v/>
      </c>
    </row>
    <row r="950" spans="7:10" x14ac:dyDescent="0.2">
      <c r="G950">
        <f t="shared" si="15"/>
        <v>20698</v>
      </c>
      <c r="H950" t="s">
        <v>5232</v>
      </c>
      <c r="I950" t="s">
        <v>5233</v>
      </c>
      <c r="J950" s="1338" t="str" cm="1">
        <f t="array" ref="J950">myRGB(B950,C950,D950)</f>
        <v/>
      </c>
    </row>
    <row r="951" spans="7:10" x14ac:dyDescent="0.2">
      <c r="G951">
        <f t="shared" si="15"/>
        <v>20699</v>
      </c>
      <c r="H951" t="s">
        <v>5094</v>
      </c>
      <c r="I951" t="s">
        <v>5095</v>
      </c>
      <c r="J951" s="1338" t="str" cm="1">
        <f t="array" ref="J951">myRGB(B951,C951,D951)</f>
        <v/>
      </c>
    </row>
    <row r="952" spans="7:10" x14ac:dyDescent="0.2">
      <c r="G952">
        <f t="shared" si="15"/>
        <v>20702</v>
      </c>
      <c r="H952" t="s">
        <v>4670</v>
      </c>
      <c r="I952" t="s">
        <v>4671</v>
      </c>
      <c r="J952" s="1338" t="str" cm="1">
        <f t="array" ref="J952">myRGB(B952,C952,D952)</f>
        <v/>
      </c>
    </row>
    <row r="953" spans="7:10" x14ac:dyDescent="0.2">
      <c r="G953">
        <f t="shared" si="15"/>
        <v>20703</v>
      </c>
      <c r="H953" t="s">
        <v>5572</v>
      </c>
      <c r="I953" t="s">
        <v>5573</v>
      </c>
      <c r="J953" s="1338" t="str" cm="1">
        <f t="array" ref="J953">myRGB(B953,C953,D953)</f>
        <v/>
      </c>
    </row>
    <row r="954" spans="7:10" x14ac:dyDescent="0.2">
      <c r="G954">
        <f t="shared" si="15"/>
        <v>20704</v>
      </c>
      <c r="H954" t="s">
        <v>5088</v>
      </c>
      <c r="I954" t="s">
        <v>5089</v>
      </c>
      <c r="J954" s="1338" t="str" cm="1">
        <f t="array" ref="J954">myRGB(B954,C954,D954)</f>
        <v/>
      </c>
    </row>
    <row r="955" spans="7:10" x14ac:dyDescent="0.2">
      <c r="G955">
        <f t="shared" si="15"/>
        <v>20706</v>
      </c>
      <c r="H955" t="s">
        <v>6158</v>
      </c>
      <c r="I955" t="s">
        <v>6159</v>
      </c>
      <c r="J955" s="1338" t="str" cm="1">
        <f t="array" ref="J955">myRGB(B955,C955,D955)</f>
        <v/>
      </c>
    </row>
    <row r="956" spans="7:10" x14ac:dyDescent="0.2">
      <c r="G956">
        <f t="shared" si="15"/>
        <v>20707</v>
      </c>
      <c r="H956" t="s">
        <v>5010</v>
      </c>
      <c r="I956" t="s">
        <v>5011</v>
      </c>
      <c r="J956" s="1338" t="str" cm="1">
        <f t="array" ref="J956">myRGB(B956,C956,D956)</f>
        <v/>
      </c>
    </row>
    <row r="957" spans="7:10" x14ac:dyDescent="0.2">
      <c r="G957">
        <f t="shared" si="15"/>
        <v>20711</v>
      </c>
      <c r="H957" t="s">
        <v>6349</v>
      </c>
      <c r="I957" t="s">
        <v>6350</v>
      </c>
      <c r="J957" s="1338" t="str" cm="1">
        <f t="array" ref="J957">myRGB(B957,C957,D957)</f>
        <v/>
      </c>
    </row>
    <row r="958" spans="7:10" x14ac:dyDescent="0.2">
      <c r="G958">
        <f t="shared" si="15"/>
        <v>20718</v>
      </c>
      <c r="H958" t="s">
        <v>5756</v>
      </c>
      <c r="I958" t="s">
        <v>5757</v>
      </c>
      <c r="J958" s="1338" t="str" cm="1">
        <f t="array" ref="J958">myRGB(B958,C958,D958)</f>
        <v/>
      </c>
    </row>
    <row r="959" spans="7:10" x14ac:dyDescent="0.2">
      <c r="G959">
        <f t="shared" si="15"/>
        <v>20721</v>
      </c>
      <c r="H959" t="s">
        <v>4910</v>
      </c>
      <c r="I959" t="s">
        <v>4911</v>
      </c>
      <c r="J959" s="1338" t="str" cm="1">
        <f t="array" ref="J959">myRGB(B959,C959,D959)</f>
        <v/>
      </c>
    </row>
    <row r="960" spans="7:10" x14ac:dyDescent="0.2">
      <c r="G960">
        <f t="shared" si="15"/>
        <v>20725</v>
      </c>
      <c r="H960" t="s">
        <v>5758</v>
      </c>
      <c r="I960" t="s">
        <v>5759</v>
      </c>
      <c r="J960" s="1338" t="str" cm="1">
        <f t="array" ref="J960">myRGB(B960,C960,D960)</f>
        <v/>
      </c>
    </row>
    <row r="961" spans="7:10" x14ac:dyDescent="0.2">
      <c r="G961">
        <f t="shared" si="15"/>
        <v>20727</v>
      </c>
      <c r="H961" t="s">
        <v>5494</v>
      </c>
      <c r="I961" t="s">
        <v>5495</v>
      </c>
      <c r="J961" s="1338" t="str" cm="1">
        <f t="array" ref="J961">myRGB(B961,C961,D961)</f>
        <v/>
      </c>
    </row>
    <row r="962" spans="7:10" x14ac:dyDescent="0.2">
      <c r="G962">
        <f t="shared" si="15"/>
        <v>20728</v>
      </c>
      <c r="H962" t="s">
        <v>6836</v>
      </c>
      <c r="I962" t="s">
        <v>6837</v>
      </c>
      <c r="J962" s="1338" t="str" cm="1">
        <f t="array" ref="J962">myRGB(B962,C962,D962)</f>
        <v/>
      </c>
    </row>
    <row r="963" spans="7:10" x14ac:dyDescent="0.2">
      <c r="G963">
        <f t="shared" si="15"/>
        <v>20729</v>
      </c>
      <c r="H963" t="s">
        <v>5212</v>
      </c>
      <c r="I963" t="s">
        <v>5213</v>
      </c>
      <c r="J963" s="1338" t="str" cm="1">
        <f t="array" ref="J963">myRGB(B963,C963,D963)</f>
        <v/>
      </c>
    </row>
    <row r="964" spans="7:10" x14ac:dyDescent="0.2">
      <c r="G964">
        <f t="shared" si="15"/>
        <v>20732</v>
      </c>
      <c r="H964" t="s">
        <v>8096</v>
      </c>
      <c r="I964" t="s">
        <v>5993</v>
      </c>
      <c r="J964" s="1338" t="str" cm="1">
        <f t="array" ref="J964">myRGB(B964,C964,D964)</f>
        <v/>
      </c>
    </row>
    <row r="965" spans="7:10" x14ac:dyDescent="0.2">
      <c r="G965">
        <f t="shared" si="15"/>
        <v>20733</v>
      </c>
      <c r="H965" t="s">
        <v>5760</v>
      </c>
      <c r="I965" t="s">
        <v>5761</v>
      </c>
      <c r="J965" s="1338" t="str" cm="1">
        <f t="array" ref="J965">myRGB(B965,C965,D965)</f>
        <v/>
      </c>
    </row>
    <row r="966" spans="7:10" x14ac:dyDescent="0.2">
      <c r="G966">
        <f t="shared" si="15"/>
        <v>20735</v>
      </c>
      <c r="H966" t="s">
        <v>4824</v>
      </c>
      <c r="I966" t="s">
        <v>4825</v>
      </c>
      <c r="J966" s="1338" t="str" cm="1">
        <f t="array" ref="J966">myRGB(B966,C966,D966)</f>
        <v/>
      </c>
    </row>
    <row r="967" spans="7:10" x14ac:dyDescent="0.2">
      <c r="G967">
        <f t="shared" si="15"/>
        <v>20741</v>
      </c>
      <c r="H967" t="s">
        <v>5762</v>
      </c>
      <c r="I967" t="s">
        <v>5763</v>
      </c>
      <c r="J967" s="1338" t="str" cm="1">
        <f t="array" ref="J967">myRGB(B967,C967,D967)</f>
        <v/>
      </c>
    </row>
    <row r="968" spans="7:10" x14ac:dyDescent="0.2">
      <c r="G968">
        <f t="shared" si="15"/>
        <v>20743</v>
      </c>
      <c r="H968" t="s">
        <v>5496</v>
      </c>
      <c r="I968" t="s">
        <v>5497</v>
      </c>
      <c r="J968" s="1338" t="str" cm="1">
        <f t="array" ref="J968">myRGB(B968,C968,D968)</f>
        <v/>
      </c>
    </row>
    <row r="969" spans="7:10" x14ac:dyDescent="0.2">
      <c r="G969">
        <f t="shared" si="15"/>
        <v>20744</v>
      </c>
      <c r="H969" t="s">
        <v>6804</v>
      </c>
      <c r="I969" t="s">
        <v>6805</v>
      </c>
      <c r="J969" s="1338" t="str" cm="1">
        <f t="array" ref="J969">myRGB(B969,C969,D969)</f>
        <v/>
      </c>
    </row>
    <row r="970" spans="7:10" x14ac:dyDescent="0.2">
      <c r="G970">
        <f t="shared" si="15"/>
        <v>20749</v>
      </c>
      <c r="H970" t="s">
        <v>6108</v>
      </c>
      <c r="I970" t="s">
        <v>6109</v>
      </c>
      <c r="J970" s="1338" t="str" cm="1">
        <f t="array" ref="J970">myRGB(B970,C970,D970)</f>
        <v/>
      </c>
    </row>
    <row r="971" spans="7:10" x14ac:dyDescent="0.2">
      <c r="G971">
        <f t="shared" si="15"/>
        <v>20750</v>
      </c>
      <c r="H971" t="s">
        <v>4920</v>
      </c>
      <c r="I971" t="s">
        <v>4921</v>
      </c>
      <c r="J971" s="1338" t="str" cm="1">
        <f t="array" ref="J971">myRGB(B971,C971,D971)</f>
        <v/>
      </c>
    </row>
    <row r="972" spans="7:10" x14ac:dyDescent="0.2">
      <c r="G972">
        <f t="shared" si="15"/>
        <v>20753</v>
      </c>
      <c r="H972" t="s">
        <v>7016</v>
      </c>
      <c r="I972" t="s">
        <v>7017</v>
      </c>
      <c r="J972" s="1338" t="str" cm="1">
        <f t="array" ref="J972">myRGB(B972,C972,D972)</f>
        <v/>
      </c>
    </row>
    <row r="973" spans="7:10" x14ac:dyDescent="0.2">
      <c r="G973">
        <f t="shared" si="15"/>
        <v>20754</v>
      </c>
      <c r="H973" t="s">
        <v>5616</v>
      </c>
      <c r="I973" t="s">
        <v>5617</v>
      </c>
      <c r="J973" s="1338" t="str" cm="1">
        <f t="array" ref="J973">myRGB(B973,C973,D973)</f>
        <v/>
      </c>
    </row>
    <row r="974" spans="7:10" x14ac:dyDescent="0.2">
      <c r="G974">
        <f t="shared" si="15"/>
        <v>20755</v>
      </c>
      <c r="H974" t="s">
        <v>7133</v>
      </c>
      <c r="I974" t="s">
        <v>7194</v>
      </c>
      <c r="J974" s="1338" t="str" cm="1">
        <f t="array" ref="J974">myRGB(B974,C974,D974)</f>
        <v/>
      </c>
    </row>
    <row r="975" spans="7:10" x14ac:dyDescent="0.2">
      <c r="G975">
        <f t="shared" si="15"/>
        <v>20757</v>
      </c>
      <c r="H975" t="s">
        <v>6180</v>
      </c>
      <c r="I975" t="s">
        <v>6181</v>
      </c>
      <c r="J975" s="1338" t="str" cm="1">
        <f t="array" ref="J975">myRGB(B975,C975,D975)</f>
        <v/>
      </c>
    </row>
    <row r="976" spans="7:10" x14ac:dyDescent="0.2">
      <c r="G976">
        <f t="shared" si="15"/>
        <v>20759</v>
      </c>
      <c r="H976" t="s">
        <v>4838</v>
      </c>
      <c r="I976" t="s">
        <v>4839</v>
      </c>
      <c r="J976" s="1338" t="str" cm="1">
        <f t="array" ref="J976">myRGB(B976,C976,D976)</f>
        <v/>
      </c>
    </row>
    <row r="977" spans="7:10" x14ac:dyDescent="0.2">
      <c r="G977">
        <f t="shared" si="15"/>
        <v>20763</v>
      </c>
      <c r="H977" t="s">
        <v>5952</v>
      </c>
      <c r="I977" t="s">
        <v>5953</v>
      </c>
      <c r="J977" s="1338" t="str" cm="1">
        <f t="array" ref="J977">myRGB(B977,C977,D977)</f>
        <v/>
      </c>
    </row>
    <row r="978" spans="7:10" x14ac:dyDescent="0.2">
      <c r="G978">
        <f t="shared" si="15"/>
        <v>20765</v>
      </c>
      <c r="H978" t="s">
        <v>6473</v>
      </c>
      <c r="I978" t="s">
        <v>6474</v>
      </c>
      <c r="J978" s="1338" t="str" cm="1">
        <f t="array" ref="J978">myRGB(B978,C978,D978)</f>
        <v/>
      </c>
    </row>
    <row r="979" spans="7:10" x14ac:dyDescent="0.2">
      <c r="G979">
        <f t="shared" si="15"/>
        <v>20767</v>
      </c>
      <c r="H979" t="s">
        <v>4634</v>
      </c>
      <c r="I979" t="s">
        <v>4635</v>
      </c>
      <c r="J979" s="1338" t="str" cm="1">
        <f t="array" ref="J979">myRGB(B979,C979,D979)</f>
        <v/>
      </c>
    </row>
    <row r="980" spans="7:10" x14ac:dyDescent="0.2">
      <c r="G980">
        <f t="shared" si="15"/>
        <v>20771</v>
      </c>
      <c r="H980" t="s">
        <v>6228</v>
      </c>
      <c r="I980" t="s">
        <v>6229</v>
      </c>
      <c r="J980" s="1338" t="str" cm="1">
        <f t="array" ref="J980">myRGB(B980,C980,D980)</f>
        <v/>
      </c>
    </row>
    <row r="981" spans="7:10" x14ac:dyDescent="0.2">
      <c r="G981">
        <f t="shared" si="15"/>
        <v>20772</v>
      </c>
      <c r="H981" t="s">
        <v>4990</v>
      </c>
      <c r="I981" t="s">
        <v>4991</v>
      </c>
      <c r="J981" s="1338" t="str" cm="1">
        <f t="array" ref="J981">myRGB(B981,C981,D981)</f>
        <v/>
      </c>
    </row>
    <row r="982" spans="7:10" x14ac:dyDescent="0.2">
      <c r="G982">
        <f t="shared" si="15"/>
        <v>20773</v>
      </c>
      <c r="H982" t="s">
        <v>6475</v>
      </c>
      <c r="I982" t="s">
        <v>6476</v>
      </c>
      <c r="J982" s="1338" t="str" cm="1">
        <f t="array" ref="J982">myRGB(B982,C982,D982)</f>
        <v/>
      </c>
    </row>
    <row r="983" spans="7:10" x14ac:dyDescent="0.2">
      <c r="G983">
        <f t="shared" ref="G983:G1046" si="16">G387+20000</f>
        <v>20774</v>
      </c>
      <c r="H983" t="s">
        <v>5102</v>
      </c>
      <c r="I983" t="s">
        <v>5103</v>
      </c>
      <c r="J983" s="1338" t="str" cm="1">
        <f t="array" ref="J983">myRGB(B983,C983,D983)</f>
        <v/>
      </c>
    </row>
    <row r="984" spans="7:10" x14ac:dyDescent="0.2">
      <c r="G984">
        <f t="shared" si="16"/>
        <v>20776</v>
      </c>
      <c r="H984" t="s">
        <v>6842</v>
      </c>
      <c r="I984" t="s">
        <v>6843</v>
      </c>
      <c r="J984" s="1338" t="str" cm="1">
        <f t="array" ref="J984">myRGB(B984,C984,D984)</f>
        <v/>
      </c>
    </row>
    <row r="985" spans="7:10" x14ac:dyDescent="0.2">
      <c r="G985">
        <f t="shared" si="16"/>
        <v>20778</v>
      </c>
      <c r="H985" t="s">
        <v>4912</v>
      </c>
      <c r="I985" t="s">
        <v>4913</v>
      </c>
      <c r="J985" s="1338" t="str" cm="1">
        <f t="array" ref="J985">myRGB(B985,C985,D985)</f>
        <v/>
      </c>
    </row>
    <row r="986" spans="7:10" x14ac:dyDescent="0.2">
      <c r="G986">
        <f t="shared" si="16"/>
        <v>20780</v>
      </c>
      <c r="H986" t="s">
        <v>5600</v>
      </c>
      <c r="I986" t="s">
        <v>5601</v>
      </c>
      <c r="J986" s="1338" t="str" cm="1">
        <f t="array" ref="J986">myRGB(B986,C986,D986)</f>
        <v/>
      </c>
    </row>
    <row r="987" spans="7:10" x14ac:dyDescent="0.2">
      <c r="G987">
        <f t="shared" si="16"/>
        <v>20781</v>
      </c>
      <c r="H987" t="s">
        <v>6477</v>
      </c>
      <c r="I987" t="s">
        <v>6478</v>
      </c>
      <c r="J987" s="1338" t="str" cm="1">
        <f t="array" ref="J987">myRGB(B987,C987,D987)</f>
        <v/>
      </c>
    </row>
    <row r="988" spans="7:10" x14ac:dyDescent="0.2">
      <c r="G988">
        <f t="shared" si="16"/>
        <v>20783</v>
      </c>
      <c r="H988" t="s">
        <v>5072</v>
      </c>
      <c r="I988" t="s">
        <v>5073</v>
      </c>
      <c r="J988" s="1338" t="str" cm="1">
        <f t="array" ref="J988">myRGB(B988,C988,D988)</f>
        <v/>
      </c>
    </row>
    <row r="989" spans="7:10" x14ac:dyDescent="0.2">
      <c r="G989">
        <f t="shared" si="16"/>
        <v>20784</v>
      </c>
      <c r="H989" t="s">
        <v>6860</v>
      </c>
      <c r="I989" t="s">
        <v>6861</v>
      </c>
      <c r="J989" s="1338" t="str" cm="1">
        <f t="array" ref="J989">myRGB(B989,C989,D989)</f>
        <v/>
      </c>
    </row>
    <row r="990" spans="7:10" x14ac:dyDescent="0.2">
      <c r="G990">
        <f t="shared" si="16"/>
        <v>20786</v>
      </c>
      <c r="H990" t="s">
        <v>5214</v>
      </c>
      <c r="I990" t="s">
        <v>5215</v>
      </c>
      <c r="J990" s="1338" t="str" cm="1">
        <f t="array" ref="J990">myRGB(B990,C990,D990)</f>
        <v/>
      </c>
    </row>
    <row r="991" spans="7:10" x14ac:dyDescent="0.2">
      <c r="G991">
        <f t="shared" si="16"/>
        <v>20788</v>
      </c>
      <c r="H991" t="s">
        <v>5360</v>
      </c>
      <c r="I991" t="s">
        <v>5361</v>
      </c>
      <c r="J991" s="1338" t="str" cm="1">
        <f t="array" ref="J991">myRGB(B991,C991,D991)</f>
        <v/>
      </c>
    </row>
    <row r="992" spans="7:10" x14ac:dyDescent="0.2">
      <c r="G992">
        <f t="shared" si="16"/>
        <v>20791</v>
      </c>
      <c r="H992" t="s">
        <v>4840</v>
      </c>
      <c r="I992" t="s">
        <v>4841</v>
      </c>
      <c r="J992" s="1338" t="str" cm="1">
        <f t="array" ref="J992">myRGB(B992,C992,D992)</f>
        <v/>
      </c>
    </row>
    <row r="993" spans="7:10" x14ac:dyDescent="0.2">
      <c r="G993">
        <f t="shared" si="16"/>
        <v>20794</v>
      </c>
      <c r="H993" t="s">
        <v>6718</v>
      </c>
      <c r="I993" t="s">
        <v>6719</v>
      </c>
      <c r="J993" s="1338" t="str" cm="1">
        <f t="array" ref="J993">myRGB(B993,C993,D993)</f>
        <v/>
      </c>
    </row>
    <row r="994" spans="7:10" x14ac:dyDescent="0.2">
      <c r="G994">
        <f t="shared" si="16"/>
        <v>20795</v>
      </c>
      <c r="H994" t="s">
        <v>6138</v>
      </c>
      <c r="I994" t="s">
        <v>6139</v>
      </c>
      <c r="J994" s="1338" t="str" cm="1">
        <f t="array" ref="J994">myRGB(B994,C994,D994)</f>
        <v/>
      </c>
    </row>
    <row r="995" spans="7:10" x14ac:dyDescent="0.2">
      <c r="G995">
        <f t="shared" si="16"/>
        <v>20797</v>
      </c>
      <c r="H995" t="s">
        <v>6066</v>
      </c>
      <c r="I995" t="s">
        <v>6067</v>
      </c>
      <c r="J995" s="1338" t="str" cm="1">
        <f t="array" ref="J995">myRGB(B995,C995,D995)</f>
        <v/>
      </c>
    </row>
    <row r="996" spans="7:10" x14ac:dyDescent="0.2">
      <c r="G996">
        <f t="shared" si="16"/>
        <v>20798</v>
      </c>
      <c r="H996" t="s">
        <v>6720</v>
      </c>
      <c r="I996" t="s">
        <v>6721</v>
      </c>
      <c r="J996" s="1338" t="str" cm="1">
        <f t="array" ref="J996">myRGB(B996,C996,D996)</f>
        <v/>
      </c>
    </row>
    <row r="997" spans="7:10" x14ac:dyDescent="0.2">
      <c r="G997">
        <f t="shared" si="16"/>
        <v>20800</v>
      </c>
      <c r="H997" t="s">
        <v>5090</v>
      </c>
      <c r="I997" t="s">
        <v>5091</v>
      </c>
      <c r="J997" s="1338" t="str" cm="1">
        <f t="array" ref="J997">myRGB(B997,C997,D997)</f>
        <v/>
      </c>
    </row>
    <row r="998" spans="7:10" x14ac:dyDescent="0.2">
      <c r="G998">
        <f t="shared" si="16"/>
        <v>20802</v>
      </c>
      <c r="H998" t="s">
        <v>7030</v>
      </c>
      <c r="I998" t="s">
        <v>7031</v>
      </c>
      <c r="J998" s="1338" t="str" cm="1">
        <f t="array" ref="J998">myRGB(B998,C998,D998)</f>
        <v/>
      </c>
    </row>
    <row r="999" spans="7:10" x14ac:dyDescent="0.2">
      <c r="G999">
        <f t="shared" si="16"/>
        <v>20803</v>
      </c>
      <c r="H999" t="s">
        <v>5678</v>
      </c>
      <c r="I999" t="s">
        <v>5679</v>
      </c>
      <c r="J999" s="1338" t="str" cm="1">
        <f t="array" ref="J999">myRGB(B999,C999,D999)</f>
        <v/>
      </c>
    </row>
    <row r="1000" spans="7:10" x14ac:dyDescent="0.2">
      <c r="G1000">
        <f t="shared" si="16"/>
        <v>20804</v>
      </c>
      <c r="H1000" t="s">
        <v>6070</v>
      </c>
      <c r="I1000" t="s">
        <v>6071</v>
      </c>
      <c r="J1000" s="1338" t="str" cm="1">
        <f t="array" ref="J1000">myRGB(B1000,C1000,D1000)</f>
        <v/>
      </c>
    </row>
    <row r="1001" spans="7:10" x14ac:dyDescent="0.2">
      <c r="G1001">
        <f t="shared" si="16"/>
        <v>20805</v>
      </c>
      <c r="H1001" t="s">
        <v>4932</v>
      </c>
      <c r="I1001" t="s">
        <v>4933</v>
      </c>
      <c r="J1001" s="1338" t="str" cm="1">
        <f t="array" ref="J1001">myRGB(B1001,C1001,D1001)</f>
        <v/>
      </c>
    </row>
    <row r="1002" spans="7:10" x14ac:dyDescent="0.2">
      <c r="G1002">
        <f t="shared" si="16"/>
        <v>20806</v>
      </c>
      <c r="H1002" t="s">
        <v>7126</v>
      </c>
      <c r="I1002" t="s">
        <v>7187</v>
      </c>
      <c r="J1002" s="1338" t="str" cm="1">
        <f t="array" ref="J1002">myRGB(B1002,C1002,D1002)</f>
        <v/>
      </c>
    </row>
    <row r="1003" spans="7:10" x14ac:dyDescent="0.2">
      <c r="G1003">
        <f t="shared" si="16"/>
        <v>20810</v>
      </c>
      <c r="H1003" t="s">
        <v>4992</v>
      </c>
      <c r="I1003" t="s">
        <v>4993</v>
      </c>
      <c r="J1003" s="1338" t="str" cm="1">
        <f t="array" ref="J1003">myRGB(B1003,C1003,D1003)</f>
        <v/>
      </c>
    </row>
    <row r="1004" spans="7:10" x14ac:dyDescent="0.2">
      <c r="G1004">
        <f t="shared" si="16"/>
        <v>20811</v>
      </c>
      <c r="H1004" t="s">
        <v>6088</v>
      </c>
      <c r="I1004" t="s">
        <v>6089</v>
      </c>
      <c r="J1004" s="1338" t="str" cm="1">
        <f t="array" ref="J1004">myRGB(B1004,C1004,D1004)</f>
        <v/>
      </c>
    </row>
    <row r="1005" spans="7:10" x14ac:dyDescent="0.2">
      <c r="G1005">
        <f t="shared" si="16"/>
        <v>20812</v>
      </c>
      <c r="H1005" t="s">
        <v>6810</v>
      </c>
      <c r="I1005" t="s">
        <v>6811</v>
      </c>
      <c r="J1005" s="1338" t="str" cm="1">
        <f t="array" ref="J1005">myRGB(B1005,C1005,D1005)</f>
        <v/>
      </c>
    </row>
    <row r="1006" spans="7:10" x14ac:dyDescent="0.2">
      <c r="G1006">
        <f t="shared" si="16"/>
        <v>20814</v>
      </c>
      <c r="H1006" t="s">
        <v>5294</v>
      </c>
      <c r="I1006" t="s">
        <v>5295</v>
      </c>
      <c r="J1006" s="1338" t="str" cm="1">
        <f t="array" ref="J1006">myRGB(B1006,C1006,D1006)</f>
        <v/>
      </c>
    </row>
    <row r="1007" spans="7:10" x14ac:dyDescent="0.2">
      <c r="G1007">
        <f t="shared" si="16"/>
        <v>20816</v>
      </c>
      <c r="H1007" t="s">
        <v>4826</v>
      </c>
      <c r="I1007" t="s">
        <v>4827</v>
      </c>
      <c r="J1007" s="1338" t="str" cm="1">
        <f t="array" ref="J1007">myRGB(B1007,C1007,D1007)</f>
        <v/>
      </c>
    </row>
    <row r="1008" spans="7:10" x14ac:dyDescent="0.2">
      <c r="G1008">
        <f t="shared" si="16"/>
        <v>20819</v>
      </c>
      <c r="H1008" t="s">
        <v>4994</v>
      </c>
      <c r="I1008" t="s">
        <v>4995</v>
      </c>
      <c r="J1008" s="1338" t="str" cm="1">
        <f t="array" ref="J1008">myRGB(B1008,C1008,D1008)</f>
        <v/>
      </c>
    </row>
    <row r="1009" spans="7:10" x14ac:dyDescent="0.2">
      <c r="G1009">
        <f t="shared" si="16"/>
        <v>20820</v>
      </c>
      <c r="H1009" t="s">
        <v>6090</v>
      </c>
      <c r="I1009" t="s">
        <v>6091</v>
      </c>
      <c r="J1009" s="1338" t="str" cm="1">
        <f t="array" ref="J1009">myRGB(B1009,C1009,D1009)</f>
        <v/>
      </c>
    </row>
    <row r="1010" spans="7:10" x14ac:dyDescent="0.2">
      <c r="G1010">
        <f t="shared" si="16"/>
        <v>20821</v>
      </c>
      <c r="H1010" t="s">
        <v>7138</v>
      </c>
      <c r="I1010" t="s">
        <v>7199</v>
      </c>
      <c r="J1010" s="1338" t="str" cm="1">
        <f t="array" ref="J1010">myRGB(B1010,C1010,D1010)</f>
        <v/>
      </c>
    </row>
    <row r="1011" spans="7:10" x14ac:dyDescent="0.2">
      <c r="G1011">
        <f t="shared" si="16"/>
        <v>20827</v>
      </c>
      <c r="H1011" t="s">
        <v>5014</v>
      </c>
      <c r="I1011" t="s">
        <v>5015</v>
      </c>
      <c r="J1011" s="1338" t="str" cm="1">
        <f t="array" ref="J1011">myRGB(B1011,C1011,D1011)</f>
        <v/>
      </c>
    </row>
    <row r="1012" spans="7:10" x14ac:dyDescent="0.2">
      <c r="G1012">
        <f t="shared" si="16"/>
        <v>20828</v>
      </c>
      <c r="H1012" t="s">
        <v>6092</v>
      </c>
      <c r="I1012" t="s">
        <v>6093</v>
      </c>
      <c r="J1012" s="1338" t="str" cm="1">
        <f t="array" ref="J1012">myRGB(B1012,C1012,D1012)</f>
        <v/>
      </c>
    </row>
    <row r="1013" spans="7:10" x14ac:dyDescent="0.2">
      <c r="G1013">
        <f t="shared" si="16"/>
        <v>20830</v>
      </c>
      <c r="H1013" t="s">
        <v>5940</v>
      </c>
      <c r="I1013" t="s">
        <v>5941</v>
      </c>
      <c r="J1013" s="1338" t="str" cm="1">
        <f t="array" ref="J1013">myRGB(B1013,C1013,D1013)</f>
        <v/>
      </c>
    </row>
    <row r="1014" spans="7:10" x14ac:dyDescent="0.2">
      <c r="G1014">
        <f t="shared" si="16"/>
        <v>20831</v>
      </c>
      <c r="H1014" t="s">
        <v>5074</v>
      </c>
      <c r="I1014" t="s">
        <v>5075</v>
      </c>
      <c r="J1014" s="1338" t="str" cm="1">
        <f t="array" ref="J1014">myRGB(B1014,C1014,D1014)</f>
        <v/>
      </c>
    </row>
    <row r="1015" spans="7:10" x14ac:dyDescent="0.2">
      <c r="G1015">
        <f t="shared" si="16"/>
        <v>20832</v>
      </c>
      <c r="H1015" t="s">
        <v>6698</v>
      </c>
      <c r="I1015" t="s">
        <v>6699</v>
      </c>
      <c r="J1015" s="1338" t="str" cm="1">
        <f t="array" ref="J1015">myRGB(B1015,C1015,D1015)</f>
        <v/>
      </c>
    </row>
    <row r="1016" spans="7:10" x14ac:dyDescent="0.2">
      <c r="G1016">
        <f t="shared" si="16"/>
        <v>20834</v>
      </c>
      <c r="H1016" t="s">
        <v>6084</v>
      </c>
      <c r="I1016" t="s">
        <v>6085</v>
      </c>
      <c r="J1016" s="1338" t="str" cm="1">
        <f t="array" ref="J1016">myRGB(B1016,C1016,D1016)</f>
        <v/>
      </c>
    </row>
    <row r="1017" spans="7:10" x14ac:dyDescent="0.2">
      <c r="G1017">
        <f t="shared" si="16"/>
        <v>20836</v>
      </c>
      <c r="H1017" t="s">
        <v>5228</v>
      </c>
      <c r="I1017" t="s">
        <v>7227</v>
      </c>
      <c r="J1017" s="1338" t="str" cm="1">
        <f t="array" ref="J1017">myRGB(B1017,C1017,D1017)</f>
        <v/>
      </c>
    </row>
    <row r="1018" spans="7:10" x14ac:dyDescent="0.2">
      <c r="G1018">
        <f t="shared" si="16"/>
        <v>20838</v>
      </c>
      <c r="H1018" t="s">
        <v>7118</v>
      </c>
      <c r="I1018" t="s">
        <v>7179</v>
      </c>
      <c r="J1018" s="1338" t="str" cm="1">
        <f t="array" ref="J1018">myRGB(B1018,C1018,D1018)</f>
        <v/>
      </c>
    </row>
    <row r="1019" spans="7:10" x14ac:dyDescent="0.2">
      <c r="G1019">
        <f t="shared" si="16"/>
        <v>20839</v>
      </c>
      <c r="H1019" t="s">
        <v>6407</v>
      </c>
      <c r="I1019" t="s">
        <v>6408</v>
      </c>
      <c r="J1019" s="1338" t="str" cm="1">
        <f t="array" ref="J1019">myRGB(B1019,C1019,D1019)</f>
        <v/>
      </c>
    </row>
    <row r="1020" spans="7:10" x14ac:dyDescent="0.2">
      <c r="G1020">
        <f t="shared" si="16"/>
        <v>20841</v>
      </c>
      <c r="H1020" t="s">
        <v>6734</v>
      </c>
      <c r="I1020" t="s">
        <v>6735</v>
      </c>
      <c r="J1020" s="1338" t="str" cm="1">
        <f t="array" ref="J1020">myRGB(B1020,C1020,D1020)</f>
        <v/>
      </c>
    </row>
    <row r="1021" spans="7:10" x14ac:dyDescent="0.2">
      <c r="G1021">
        <f t="shared" si="16"/>
        <v>20842</v>
      </c>
      <c r="H1021" t="s">
        <v>6082</v>
      </c>
      <c r="I1021" t="s">
        <v>6083</v>
      </c>
      <c r="J1021" s="1338" t="str" cm="1">
        <f t="array" ref="J1021">myRGB(B1021,C1021,D1021)</f>
        <v/>
      </c>
    </row>
    <row r="1022" spans="7:10" x14ac:dyDescent="0.2">
      <c r="G1022">
        <f t="shared" si="16"/>
        <v>20843</v>
      </c>
      <c r="H1022" t="s">
        <v>5508</v>
      </c>
      <c r="I1022" t="s">
        <v>5509</v>
      </c>
      <c r="J1022" s="1338" t="str" cm="1">
        <f t="array" ref="J1022">myRGB(B1022,C1022,D1022)</f>
        <v/>
      </c>
    </row>
    <row r="1023" spans="7:10" x14ac:dyDescent="0.2">
      <c r="G1023">
        <f t="shared" si="16"/>
        <v>20844</v>
      </c>
      <c r="H1023" t="s">
        <v>4626</v>
      </c>
      <c r="I1023" t="s">
        <v>4627</v>
      </c>
      <c r="J1023" s="1338" t="str" cm="1">
        <f t="array" ref="J1023">myRGB(B1023,C1023,D1023)</f>
        <v/>
      </c>
    </row>
    <row r="1024" spans="7:10" x14ac:dyDescent="0.2">
      <c r="G1024">
        <f t="shared" si="16"/>
        <v>20846</v>
      </c>
      <c r="H1024" t="s">
        <v>6659</v>
      </c>
      <c r="I1024" t="s">
        <v>6660</v>
      </c>
      <c r="J1024" s="1338" t="str" cm="1">
        <f t="array" ref="J1024">myRGB(B1024,C1024,D1024)</f>
        <v/>
      </c>
    </row>
    <row r="1025" spans="7:10" x14ac:dyDescent="0.2">
      <c r="G1025">
        <f t="shared" si="16"/>
        <v>20847</v>
      </c>
      <c r="H1025" t="s">
        <v>4828</v>
      </c>
      <c r="I1025" t="s">
        <v>4829</v>
      </c>
      <c r="J1025" s="1338" t="str" cm="1">
        <f t="array" ref="J1025">myRGB(B1025,C1025,D1025)</f>
        <v/>
      </c>
    </row>
    <row r="1026" spans="7:10" x14ac:dyDescent="0.2">
      <c r="G1026">
        <f t="shared" si="16"/>
        <v>20849</v>
      </c>
      <c r="H1026" t="s">
        <v>4794</v>
      </c>
      <c r="I1026" t="s">
        <v>4795</v>
      </c>
      <c r="J1026" s="1338" t="str" cm="1">
        <f t="array" ref="J1026">myRGB(B1026,C1026,D1026)</f>
        <v/>
      </c>
    </row>
    <row r="1027" spans="7:10" x14ac:dyDescent="0.2">
      <c r="G1027">
        <f t="shared" si="16"/>
        <v>20850</v>
      </c>
      <c r="H1027" t="s">
        <v>6814</v>
      </c>
      <c r="I1027" t="s">
        <v>6815</v>
      </c>
      <c r="J1027" s="1338" t="str" cm="1">
        <f t="array" ref="J1027">myRGB(B1027,C1027,D1027)</f>
        <v/>
      </c>
    </row>
    <row r="1028" spans="7:10" x14ac:dyDescent="0.2">
      <c r="G1028">
        <f t="shared" si="16"/>
        <v>20851</v>
      </c>
      <c r="H1028" t="s">
        <v>6080</v>
      </c>
      <c r="I1028" t="s">
        <v>6081</v>
      </c>
      <c r="J1028" s="1338" t="str" cm="1">
        <f t="array" ref="J1028">myRGB(B1028,C1028,D1028)</f>
        <v/>
      </c>
    </row>
    <row r="1029" spans="7:10" x14ac:dyDescent="0.2">
      <c r="G1029">
        <f t="shared" si="16"/>
        <v>20852</v>
      </c>
      <c r="H1029" t="s">
        <v>6437</v>
      </c>
      <c r="I1029" t="s">
        <v>6438</v>
      </c>
      <c r="J1029" s="1338" t="str" cm="1">
        <f t="array" ref="J1029">myRGB(B1029,C1029,D1029)</f>
        <v/>
      </c>
    </row>
    <row r="1030" spans="7:10" x14ac:dyDescent="0.2">
      <c r="G1030">
        <f t="shared" si="16"/>
        <v>20854</v>
      </c>
      <c r="H1030" t="s">
        <v>7123</v>
      </c>
      <c r="I1030" t="s">
        <v>7184</v>
      </c>
      <c r="J1030" s="1338" t="str" cm="1">
        <f t="array" ref="J1030">myRGB(B1030,C1030,D1030)</f>
        <v/>
      </c>
    </row>
    <row r="1031" spans="7:10" x14ac:dyDescent="0.2">
      <c r="G1031">
        <f t="shared" si="16"/>
        <v>20857</v>
      </c>
      <c r="H1031" t="s">
        <v>4792</v>
      </c>
      <c r="I1031" t="s">
        <v>4793</v>
      </c>
      <c r="J1031" s="1338" t="str" cm="1">
        <f t="array" ref="J1031">myRGB(B1031,C1031,D1031)</f>
        <v/>
      </c>
    </row>
    <row r="1032" spans="7:10" x14ac:dyDescent="0.2">
      <c r="G1032">
        <f t="shared" si="16"/>
        <v>20859</v>
      </c>
      <c r="H1032" t="s">
        <v>6439</v>
      </c>
      <c r="I1032" t="s">
        <v>6440</v>
      </c>
      <c r="J1032" s="1338" t="str" cm="1">
        <f t="array" ref="J1032">myRGB(B1032,C1032,D1032)</f>
        <v/>
      </c>
    </row>
    <row r="1033" spans="7:10" x14ac:dyDescent="0.2">
      <c r="G1033">
        <f t="shared" si="16"/>
        <v>20862</v>
      </c>
      <c r="H1033" t="s">
        <v>4768</v>
      </c>
      <c r="I1033" t="s">
        <v>4769</v>
      </c>
      <c r="J1033" s="1338" t="str" cm="1">
        <f t="array" ref="J1033">myRGB(B1033,C1033,D1033)</f>
        <v/>
      </c>
    </row>
    <row r="1034" spans="7:10" x14ac:dyDescent="0.2">
      <c r="G1034">
        <f t="shared" si="16"/>
        <v>20863</v>
      </c>
      <c r="H1034" t="s">
        <v>6920</v>
      </c>
      <c r="I1034" t="s">
        <v>6921</v>
      </c>
      <c r="J1034" s="1338" t="str" cm="1">
        <f t="array" ref="J1034">myRGB(B1034,C1034,D1034)</f>
        <v/>
      </c>
    </row>
    <row r="1035" spans="7:10" x14ac:dyDescent="0.2">
      <c r="G1035">
        <f t="shared" si="16"/>
        <v>20866</v>
      </c>
      <c r="H1035" t="s">
        <v>6816</v>
      </c>
      <c r="I1035" t="s">
        <v>6817</v>
      </c>
      <c r="J1035" s="1338" t="str" cm="1">
        <f t="array" ref="J1035">myRGB(B1035,C1035,D1035)</f>
        <v/>
      </c>
    </row>
    <row r="1036" spans="7:10" x14ac:dyDescent="0.2">
      <c r="G1036">
        <f t="shared" si="16"/>
        <v>20867</v>
      </c>
      <c r="H1036" t="s">
        <v>6242</v>
      </c>
      <c r="I1036" t="s">
        <v>6243</v>
      </c>
      <c r="J1036" s="1338" t="str" cm="1">
        <f t="array" ref="J1036">myRGB(B1036,C1036,D1036)</f>
        <v/>
      </c>
    </row>
    <row r="1037" spans="7:10" x14ac:dyDescent="0.2">
      <c r="G1037">
        <f t="shared" si="16"/>
        <v>20869</v>
      </c>
      <c r="H1037" t="s">
        <v>4922</v>
      </c>
      <c r="I1037" t="s">
        <v>4923</v>
      </c>
      <c r="J1037" s="1338" t="str" cm="1">
        <f t="array" ref="J1037">myRGB(B1037,C1037,D1037)</f>
        <v/>
      </c>
    </row>
    <row r="1038" spans="7:10" x14ac:dyDescent="0.2">
      <c r="G1038">
        <f t="shared" si="16"/>
        <v>20872</v>
      </c>
      <c r="H1038" t="s">
        <v>6224</v>
      </c>
      <c r="I1038" t="s">
        <v>6225</v>
      </c>
      <c r="J1038" s="1338" t="str" cm="1">
        <f t="array" ref="J1038">myRGB(B1038,C1038,D1038)</f>
        <v/>
      </c>
    </row>
    <row r="1039" spans="7:10" x14ac:dyDescent="0.2">
      <c r="G1039">
        <f t="shared" si="16"/>
        <v>20873</v>
      </c>
      <c r="H1039" t="s">
        <v>4762</v>
      </c>
      <c r="I1039" t="s">
        <v>4763</v>
      </c>
      <c r="J1039" s="1338" t="str" cm="1">
        <f t="array" ref="J1039">myRGB(B1039,C1039,D1039)</f>
        <v/>
      </c>
    </row>
    <row r="1040" spans="7:10" x14ac:dyDescent="0.2">
      <c r="G1040">
        <f t="shared" si="16"/>
        <v>20874</v>
      </c>
      <c r="H1040" t="s">
        <v>6098</v>
      </c>
      <c r="I1040" t="s">
        <v>6099</v>
      </c>
      <c r="J1040" s="1338" t="str" cm="1">
        <f t="array" ref="J1040">myRGB(B1040,C1040,D1040)</f>
        <v/>
      </c>
    </row>
    <row r="1041" spans="7:10" x14ac:dyDescent="0.2">
      <c r="G1041">
        <f t="shared" si="16"/>
        <v>20878</v>
      </c>
      <c r="H1041" t="s">
        <v>4714</v>
      </c>
      <c r="I1041" t="s">
        <v>4715</v>
      </c>
      <c r="J1041" s="1338" t="str" cm="1">
        <f t="array" ref="J1041">myRGB(B1041,C1041,D1041)</f>
        <v/>
      </c>
    </row>
    <row r="1042" spans="7:10" x14ac:dyDescent="0.2">
      <c r="G1042">
        <f t="shared" si="16"/>
        <v>20880</v>
      </c>
      <c r="H1042" t="s">
        <v>6277</v>
      </c>
      <c r="I1042" t="s">
        <v>6278</v>
      </c>
      <c r="J1042" s="1338" t="str" cm="1">
        <f t="array" ref="J1042">myRGB(B1042,C1042,D1042)</f>
        <v/>
      </c>
    </row>
    <row r="1043" spans="7:10" x14ac:dyDescent="0.2">
      <c r="G1043">
        <f t="shared" si="16"/>
        <v>20882</v>
      </c>
      <c r="H1043" t="s">
        <v>4628</v>
      </c>
      <c r="I1043" t="s">
        <v>4629</v>
      </c>
      <c r="J1043" s="1338" t="str" cm="1">
        <f t="array" ref="J1043">myRGB(B1043,C1043,D1043)</f>
        <v/>
      </c>
    </row>
    <row r="1044" spans="7:10" x14ac:dyDescent="0.2">
      <c r="G1044">
        <f t="shared" si="16"/>
        <v>20884</v>
      </c>
      <c r="H1044" t="s">
        <v>6940</v>
      </c>
      <c r="I1044" t="s">
        <v>6941</v>
      </c>
      <c r="J1044" s="1338" t="str" cm="1">
        <f t="array" ref="J1044">myRGB(B1044,C1044,D1044)</f>
        <v/>
      </c>
    </row>
    <row r="1045" spans="7:10" x14ac:dyDescent="0.2">
      <c r="G1045">
        <f t="shared" si="16"/>
        <v>20888</v>
      </c>
      <c r="H1045" t="s">
        <v>7165</v>
      </c>
      <c r="I1045" t="s">
        <v>7226</v>
      </c>
      <c r="J1045" s="1338" t="str" cm="1">
        <f t="array" ref="J1045">myRGB(B1045,C1045,D1045)</f>
        <v/>
      </c>
    </row>
    <row r="1046" spans="7:10" x14ac:dyDescent="0.2">
      <c r="G1046">
        <f t="shared" si="16"/>
        <v>20889</v>
      </c>
      <c r="H1046" t="s">
        <v>4672</v>
      </c>
      <c r="I1046" t="s">
        <v>4673</v>
      </c>
      <c r="J1046" s="1338" t="str" cm="1">
        <f t="array" ref="J1046">myRGB(B1046,C1046,D1046)</f>
        <v/>
      </c>
    </row>
    <row r="1047" spans="7:10" x14ac:dyDescent="0.2">
      <c r="G1047">
        <f t="shared" ref="G1047:G1110" si="17">G451+20000</f>
        <v>20893</v>
      </c>
      <c r="H1047" t="s">
        <v>4770</v>
      </c>
      <c r="I1047" t="s">
        <v>4771</v>
      </c>
      <c r="J1047" s="1338" t="str" cm="1">
        <f t="array" ref="J1047">myRGB(B1047,C1047,D1047)</f>
        <v/>
      </c>
    </row>
    <row r="1048" spans="7:10" x14ac:dyDescent="0.2">
      <c r="G1048">
        <f t="shared" si="17"/>
        <v>20897</v>
      </c>
      <c r="H1048" t="s">
        <v>4786</v>
      </c>
      <c r="I1048" t="s">
        <v>4787</v>
      </c>
      <c r="J1048" s="1338" t="str" cm="1">
        <f t="array" ref="J1048">myRGB(B1048,C1048,D1048)</f>
        <v/>
      </c>
    </row>
    <row r="1049" spans="7:10" x14ac:dyDescent="0.2">
      <c r="G1049">
        <f t="shared" si="17"/>
        <v>20898</v>
      </c>
      <c r="H1049" t="s">
        <v>6283</v>
      </c>
      <c r="I1049" t="s">
        <v>6284</v>
      </c>
      <c r="J1049" s="1338" t="str" cm="1">
        <f t="array" ref="J1049">myRGB(B1049,C1049,D1049)</f>
        <v/>
      </c>
    </row>
    <row r="1050" spans="7:10" x14ac:dyDescent="0.2">
      <c r="G1050">
        <f t="shared" si="17"/>
        <v>20900</v>
      </c>
      <c r="H1050" t="s">
        <v>6682</v>
      </c>
      <c r="I1050" t="s">
        <v>6683</v>
      </c>
      <c r="J1050" s="1338" t="str" cm="1">
        <f t="array" ref="J1050">myRGB(B1050,C1050,D1050)</f>
        <v/>
      </c>
    </row>
    <row r="1051" spans="7:10" x14ac:dyDescent="0.2">
      <c r="G1051">
        <f t="shared" si="17"/>
        <v>20902</v>
      </c>
      <c r="H1051" t="s">
        <v>4924</v>
      </c>
      <c r="I1051" t="s">
        <v>4925</v>
      </c>
      <c r="J1051" s="1338" t="str" cm="1">
        <f t="array" ref="J1051">myRGB(B1051,C1051,D1051)</f>
        <v/>
      </c>
    </row>
    <row r="1052" spans="7:10" x14ac:dyDescent="0.2">
      <c r="G1052">
        <f t="shared" si="17"/>
        <v>20903</v>
      </c>
      <c r="H1052" t="s">
        <v>6353</v>
      </c>
      <c r="I1052" t="s">
        <v>6354</v>
      </c>
      <c r="J1052" s="1338" t="str" cm="1">
        <f t="array" ref="J1052">myRGB(B1052,C1052,D1052)</f>
        <v/>
      </c>
    </row>
    <row r="1053" spans="7:10" x14ac:dyDescent="0.2">
      <c r="G1053">
        <f t="shared" si="17"/>
        <v>20905</v>
      </c>
      <c r="H1053" t="s">
        <v>7135</v>
      </c>
      <c r="I1053" t="s">
        <v>7196</v>
      </c>
      <c r="J1053" s="1338" t="str" cm="1">
        <f t="array" ref="J1053">myRGB(B1053,C1053,D1053)</f>
        <v/>
      </c>
    </row>
    <row r="1054" spans="7:10" x14ac:dyDescent="0.2">
      <c r="G1054">
        <f t="shared" si="17"/>
        <v>20906</v>
      </c>
      <c r="H1054" t="s">
        <v>5104</v>
      </c>
      <c r="I1054" t="s">
        <v>5105</v>
      </c>
      <c r="J1054" s="1338" t="str" cm="1">
        <f t="array" ref="J1054">myRGB(B1054,C1054,D1054)</f>
        <v/>
      </c>
    </row>
    <row r="1055" spans="7:10" x14ac:dyDescent="0.2">
      <c r="G1055">
        <f t="shared" si="17"/>
        <v>20907</v>
      </c>
      <c r="H1055" t="s">
        <v>5860</v>
      </c>
      <c r="I1055" t="s">
        <v>5861</v>
      </c>
      <c r="J1055" s="1338" t="str" cm="1">
        <f t="array" ref="J1055">myRGB(B1055,C1055,D1055)</f>
        <v/>
      </c>
    </row>
    <row r="1056" spans="7:10" x14ac:dyDescent="0.2">
      <c r="G1056">
        <f t="shared" si="17"/>
        <v>20908</v>
      </c>
      <c r="H1056" t="s">
        <v>6944</v>
      </c>
      <c r="I1056" t="s">
        <v>6945</v>
      </c>
      <c r="J1056" s="1338" t="str" cm="1">
        <f t="array" ref="J1056">myRGB(B1056,C1056,D1056)</f>
        <v/>
      </c>
    </row>
    <row r="1057" spans="7:10" x14ac:dyDescent="0.2">
      <c r="G1057">
        <f t="shared" si="17"/>
        <v>20910</v>
      </c>
      <c r="H1057" t="s">
        <v>5048</v>
      </c>
      <c r="I1057" t="s">
        <v>5049</v>
      </c>
      <c r="J1057" s="1338" t="str" cm="1">
        <f t="array" ref="J1057">myRGB(B1057,C1057,D1057)</f>
        <v/>
      </c>
    </row>
    <row r="1058" spans="7:10" x14ac:dyDescent="0.2">
      <c r="G1058">
        <f t="shared" si="17"/>
        <v>20911</v>
      </c>
      <c r="H1058" t="s">
        <v>6704</v>
      </c>
      <c r="I1058" t="s">
        <v>6705</v>
      </c>
      <c r="J1058" s="1338" t="str" cm="1">
        <f t="array" ref="J1058">myRGB(B1058,C1058,D1058)</f>
        <v/>
      </c>
    </row>
    <row r="1059" spans="7:10" x14ac:dyDescent="0.2">
      <c r="G1059">
        <f t="shared" si="17"/>
        <v>20912</v>
      </c>
      <c r="H1059" t="s">
        <v>6501</v>
      </c>
      <c r="I1059" t="s">
        <v>6502</v>
      </c>
      <c r="J1059" s="1338" t="str" cm="1">
        <f t="array" ref="J1059">myRGB(B1059,C1059,D1059)</f>
        <v/>
      </c>
    </row>
    <row r="1060" spans="7:10" x14ac:dyDescent="0.2">
      <c r="G1060">
        <f t="shared" si="17"/>
        <v>20914</v>
      </c>
      <c r="H1060" t="s">
        <v>5954</v>
      </c>
      <c r="I1060" t="s">
        <v>5955</v>
      </c>
      <c r="J1060" s="1338" t="str" cm="1">
        <f t="array" ref="J1060">myRGB(B1060,C1060,D1060)</f>
        <v/>
      </c>
    </row>
    <row r="1061" spans="7:10" x14ac:dyDescent="0.2">
      <c r="G1061">
        <f t="shared" si="17"/>
        <v>20916</v>
      </c>
      <c r="H1061" t="s">
        <v>6688</v>
      </c>
      <c r="I1061" t="s">
        <v>6689</v>
      </c>
      <c r="J1061" s="1338" t="str" cm="1">
        <f t="array" ref="J1061">myRGB(B1061,C1061,D1061)</f>
        <v/>
      </c>
    </row>
    <row r="1062" spans="7:10" x14ac:dyDescent="0.2">
      <c r="G1062">
        <f t="shared" si="17"/>
        <v>20919</v>
      </c>
      <c r="H1062" t="s">
        <v>4982</v>
      </c>
      <c r="I1062" t="s">
        <v>4983</v>
      </c>
      <c r="J1062" s="1338" t="str" cm="1">
        <f t="array" ref="J1062">myRGB(B1062,C1062,D1062)</f>
        <v/>
      </c>
    </row>
    <row r="1063" spans="7:10" x14ac:dyDescent="0.2">
      <c r="G1063">
        <f t="shared" si="17"/>
        <v>20924</v>
      </c>
      <c r="H1063" t="s">
        <v>6864</v>
      </c>
      <c r="I1063" t="s">
        <v>6865</v>
      </c>
      <c r="J1063" s="1338" t="str" cm="1">
        <f t="array" ref="J1063">myRGB(B1063,C1063,D1063)</f>
        <v/>
      </c>
    </row>
    <row r="1064" spans="7:10" x14ac:dyDescent="0.2">
      <c r="G1064">
        <f t="shared" si="17"/>
        <v>20927</v>
      </c>
      <c r="H1064" t="s">
        <v>4984</v>
      </c>
      <c r="I1064" t="s">
        <v>4985</v>
      </c>
      <c r="J1064" s="1338" t="str" cm="1">
        <f t="array" ref="J1064">myRGB(B1064,C1064,D1064)</f>
        <v/>
      </c>
    </row>
    <row r="1065" spans="7:10" x14ac:dyDescent="0.2">
      <c r="G1065">
        <f t="shared" si="17"/>
        <v>20929</v>
      </c>
      <c r="H1065" t="s">
        <v>4674</v>
      </c>
      <c r="I1065" t="s">
        <v>4675</v>
      </c>
      <c r="J1065" s="1338" t="str" cm="1">
        <f t="array" ref="J1065">myRGB(B1065,C1065,D1065)</f>
        <v/>
      </c>
    </row>
    <row r="1066" spans="7:10" x14ac:dyDescent="0.2">
      <c r="G1066">
        <f t="shared" si="17"/>
        <v>20930</v>
      </c>
      <c r="H1066" t="s">
        <v>5864</v>
      </c>
      <c r="I1066" t="s">
        <v>5865</v>
      </c>
      <c r="J1066" s="1338" t="str" cm="1">
        <f t="array" ref="J1066">myRGB(B1066,C1066,D1066)</f>
        <v/>
      </c>
    </row>
    <row r="1067" spans="7:10" x14ac:dyDescent="0.2">
      <c r="G1067">
        <f t="shared" si="17"/>
        <v>20931</v>
      </c>
      <c r="H1067" t="s">
        <v>6285</v>
      </c>
      <c r="I1067" t="s">
        <v>6286</v>
      </c>
      <c r="J1067" s="1338" t="str" cm="1">
        <f t="array" ref="J1067">myRGB(B1067,C1067,D1067)</f>
        <v/>
      </c>
    </row>
    <row r="1068" spans="7:10" x14ac:dyDescent="0.2">
      <c r="G1068">
        <f t="shared" si="17"/>
        <v>20935</v>
      </c>
      <c r="H1068" t="s">
        <v>4978</v>
      </c>
      <c r="I1068" t="s">
        <v>4979</v>
      </c>
      <c r="J1068" s="1338" t="str" cm="1">
        <f t="array" ref="J1068">myRGB(B1068,C1068,D1068)</f>
        <v/>
      </c>
    </row>
    <row r="1069" spans="7:10" x14ac:dyDescent="0.2">
      <c r="G1069">
        <f t="shared" si="17"/>
        <v>20936</v>
      </c>
      <c r="H1069" t="s">
        <v>6553</v>
      </c>
      <c r="I1069" t="s">
        <v>6554</v>
      </c>
      <c r="J1069" s="1338" t="str" cm="1">
        <f t="array" ref="J1069">myRGB(B1069,C1069,D1069)</f>
        <v/>
      </c>
    </row>
    <row r="1070" spans="7:10" x14ac:dyDescent="0.2">
      <c r="G1070">
        <f t="shared" si="17"/>
        <v>20939</v>
      </c>
      <c r="H1070" t="s">
        <v>6403</v>
      </c>
      <c r="I1070" t="s">
        <v>6404</v>
      </c>
      <c r="J1070" s="1338" t="str" cm="1">
        <f t="array" ref="J1070">myRGB(B1070,C1070,D1070)</f>
        <v/>
      </c>
    </row>
    <row r="1071" spans="7:10" x14ac:dyDescent="0.2">
      <c r="G1071">
        <f t="shared" si="17"/>
        <v>20940</v>
      </c>
      <c r="H1071" t="s">
        <v>6946</v>
      </c>
      <c r="I1071" t="s">
        <v>6947</v>
      </c>
      <c r="J1071" s="1338" t="str" cm="1">
        <f t="array" ref="J1071">myRGB(B1071,C1071,D1071)</f>
        <v/>
      </c>
    </row>
    <row r="1072" spans="7:10" x14ac:dyDescent="0.2">
      <c r="G1072">
        <f t="shared" si="17"/>
        <v>20943</v>
      </c>
      <c r="H1072" t="s">
        <v>7114</v>
      </c>
      <c r="I1072" t="s">
        <v>7175</v>
      </c>
      <c r="J1072" s="1338" t="str" cm="1">
        <f t="array" ref="J1072">myRGB(B1072,C1072,D1072)</f>
        <v/>
      </c>
    </row>
    <row r="1073" spans="7:10" x14ac:dyDescent="0.2">
      <c r="G1073">
        <f t="shared" si="17"/>
        <v>20944</v>
      </c>
      <c r="H1073" t="s">
        <v>6561</v>
      </c>
      <c r="I1073" t="s">
        <v>6562</v>
      </c>
      <c r="J1073" s="1338" t="str" cm="1">
        <f t="array" ref="J1073">myRGB(B1073,C1073,D1073)</f>
        <v/>
      </c>
    </row>
    <row r="1074" spans="7:10" x14ac:dyDescent="0.2">
      <c r="G1074">
        <f t="shared" si="17"/>
        <v>20945</v>
      </c>
      <c r="H1074" t="s">
        <v>4732</v>
      </c>
      <c r="I1074" t="s">
        <v>4733</v>
      </c>
      <c r="J1074" s="1338" t="str" cm="1">
        <f t="array" ref="J1074">myRGB(B1074,C1074,D1074)</f>
        <v/>
      </c>
    </row>
    <row r="1075" spans="7:10" x14ac:dyDescent="0.2">
      <c r="G1075">
        <f t="shared" si="17"/>
        <v>20946</v>
      </c>
      <c r="H1075" t="s">
        <v>6046</v>
      </c>
      <c r="I1075" t="s">
        <v>6047</v>
      </c>
      <c r="J1075" s="1338" t="str" cm="1">
        <f t="array" ref="J1075">myRGB(B1075,C1075,D1075)</f>
        <v/>
      </c>
    </row>
    <row r="1076" spans="7:10" x14ac:dyDescent="0.2">
      <c r="G1076">
        <f t="shared" si="17"/>
        <v>20949</v>
      </c>
      <c r="H1076" t="s">
        <v>6668</v>
      </c>
      <c r="I1076" t="s">
        <v>6669</v>
      </c>
      <c r="J1076" s="1338" t="str" cm="1">
        <f t="array" ref="J1076">myRGB(B1076,C1076,D1076)</f>
        <v/>
      </c>
    </row>
    <row r="1077" spans="7:10" x14ac:dyDescent="0.2">
      <c r="G1077">
        <f t="shared" si="17"/>
        <v>20950</v>
      </c>
      <c r="H1077" t="s">
        <v>4716</v>
      </c>
      <c r="I1077" t="s">
        <v>4717</v>
      </c>
      <c r="J1077" s="1338" t="str" cm="1">
        <f t="array" ref="J1077">myRGB(B1077,C1077,D1077)</f>
        <v/>
      </c>
    </row>
    <row r="1078" spans="7:10" x14ac:dyDescent="0.2">
      <c r="G1078">
        <f t="shared" si="17"/>
        <v>20951</v>
      </c>
      <c r="H1078" t="s">
        <v>6569</v>
      </c>
      <c r="I1078" t="s">
        <v>6570</v>
      </c>
      <c r="J1078" s="1338" t="str" cm="1">
        <f t="array" ref="J1078">myRGB(B1078,C1078,D1078)</f>
        <v/>
      </c>
    </row>
    <row r="1079" spans="7:10" x14ac:dyDescent="0.2">
      <c r="G1079">
        <f t="shared" si="17"/>
        <v>20952</v>
      </c>
      <c r="H1079" t="s">
        <v>5580</v>
      </c>
      <c r="I1079" t="s">
        <v>5581</v>
      </c>
      <c r="J1079" s="1338" t="str" cm="1">
        <f t="array" ref="J1079">myRGB(B1079,C1079,D1079)</f>
        <v/>
      </c>
    </row>
    <row r="1080" spans="7:10" x14ac:dyDescent="0.2">
      <c r="G1080">
        <f t="shared" si="17"/>
        <v>20954</v>
      </c>
      <c r="H1080" t="s">
        <v>4830</v>
      </c>
      <c r="I1080" t="s">
        <v>4831</v>
      </c>
      <c r="J1080" s="1338" t="str" cm="1">
        <f t="array" ref="J1080">myRGB(B1080,C1080,D1080)</f>
        <v/>
      </c>
    </row>
    <row r="1081" spans="7:10" x14ac:dyDescent="0.2">
      <c r="G1081">
        <f t="shared" si="17"/>
        <v>20955</v>
      </c>
      <c r="H1081" t="s">
        <v>6425</v>
      </c>
      <c r="I1081" t="s">
        <v>6426</v>
      </c>
      <c r="J1081" s="1338" t="str" cm="1">
        <f t="array" ref="J1081">myRGB(B1081,C1081,D1081)</f>
        <v/>
      </c>
    </row>
    <row r="1082" spans="7:10" x14ac:dyDescent="0.2">
      <c r="G1082">
        <f t="shared" si="17"/>
        <v>20956</v>
      </c>
      <c r="H1082" t="s">
        <v>6844</v>
      </c>
      <c r="I1082" t="s">
        <v>6845</v>
      </c>
      <c r="J1082" s="1338" t="str" cm="1">
        <f t="array" ref="J1082">myRGB(B1082,C1082,D1082)</f>
        <v/>
      </c>
    </row>
    <row r="1083" spans="7:10" x14ac:dyDescent="0.2">
      <c r="G1083">
        <f t="shared" si="17"/>
        <v>20957</v>
      </c>
      <c r="H1083" t="s">
        <v>6577</v>
      </c>
      <c r="I1083" t="s">
        <v>6578</v>
      </c>
      <c r="J1083" s="1338" t="str" cm="1">
        <f t="array" ref="J1083">myRGB(B1083,C1083,D1083)</f>
        <v/>
      </c>
    </row>
    <row r="1084" spans="7:10" x14ac:dyDescent="0.2">
      <c r="G1084">
        <f t="shared" si="17"/>
        <v>20959</v>
      </c>
      <c r="H1084" t="s">
        <v>4848</v>
      </c>
      <c r="I1084" t="s">
        <v>4849</v>
      </c>
      <c r="J1084" s="1338" t="str" cm="1">
        <f t="array" ref="J1084">myRGB(B1084,C1084,D1084)</f>
        <v/>
      </c>
    </row>
    <row r="1085" spans="7:10" x14ac:dyDescent="0.2">
      <c r="G1085">
        <f t="shared" si="17"/>
        <v>20961</v>
      </c>
      <c r="H1085" t="s">
        <v>5304</v>
      </c>
      <c r="I1085" t="s">
        <v>5305</v>
      </c>
      <c r="J1085" s="1338" t="str" cm="1">
        <f t="array" ref="J1085">myRGB(B1085,C1085,D1085)</f>
        <v/>
      </c>
    </row>
    <row r="1086" spans="7:10" x14ac:dyDescent="0.2">
      <c r="G1086">
        <f t="shared" si="17"/>
        <v>20962</v>
      </c>
      <c r="H1086" t="s">
        <v>7115</v>
      </c>
      <c r="I1086" t="s">
        <v>7176</v>
      </c>
      <c r="J1086" s="1338" t="str" cm="1">
        <f t="array" ref="J1086">myRGB(B1086,C1086,D1086)</f>
        <v/>
      </c>
    </row>
    <row r="1087" spans="7:10" x14ac:dyDescent="0.2">
      <c r="G1087">
        <f t="shared" si="17"/>
        <v>20963</v>
      </c>
      <c r="H1087" t="s">
        <v>6427</v>
      </c>
      <c r="I1087" t="s">
        <v>6428</v>
      </c>
      <c r="J1087" s="1338" t="str" cm="1">
        <f t="array" ref="J1087">myRGB(B1087,C1087,D1087)</f>
        <v/>
      </c>
    </row>
    <row r="1088" spans="7:10" x14ac:dyDescent="0.2">
      <c r="G1088">
        <f t="shared" si="17"/>
        <v>20964</v>
      </c>
      <c r="H1088" t="s">
        <v>6848</v>
      </c>
      <c r="I1088" t="s">
        <v>6849</v>
      </c>
      <c r="J1088" s="1338" t="str" cm="1">
        <f t="array" ref="J1088">myRGB(B1088,C1088,D1088)</f>
        <v/>
      </c>
    </row>
    <row r="1089" spans="7:10" x14ac:dyDescent="0.2">
      <c r="G1089">
        <f t="shared" si="17"/>
        <v>20965</v>
      </c>
      <c r="H1089" t="s">
        <v>7155</v>
      </c>
      <c r="I1089" t="s">
        <v>7216</v>
      </c>
      <c r="J1089" s="1338" t="str" cm="1">
        <f t="array" ref="J1089">myRGB(B1089,C1089,D1089)</f>
        <v/>
      </c>
    </row>
    <row r="1090" spans="7:10" x14ac:dyDescent="0.2">
      <c r="G1090">
        <f t="shared" si="17"/>
        <v>20966</v>
      </c>
      <c r="H1090" t="s">
        <v>5582</v>
      </c>
      <c r="I1090" t="s">
        <v>5583</v>
      </c>
      <c r="J1090" s="1338" t="str" cm="1">
        <f t="array" ref="J1090">myRGB(B1090,C1090,D1090)</f>
        <v/>
      </c>
    </row>
    <row r="1091" spans="7:10" x14ac:dyDescent="0.2">
      <c r="G1091">
        <f t="shared" si="17"/>
        <v>20968</v>
      </c>
      <c r="H1091" t="s">
        <v>6585</v>
      </c>
      <c r="I1091" t="s">
        <v>6586</v>
      </c>
      <c r="J1091" s="1338" t="str" cm="1">
        <f t="array" ref="J1091">myRGB(B1091,C1091,D1091)</f>
        <v/>
      </c>
    </row>
    <row r="1092" spans="7:10" x14ac:dyDescent="0.2">
      <c r="G1092">
        <f t="shared" si="17"/>
        <v>20969</v>
      </c>
      <c r="H1092" t="s">
        <v>5056</v>
      </c>
      <c r="I1092" t="s">
        <v>5057</v>
      </c>
      <c r="J1092" s="1338" t="str" cm="1">
        <f t="array" ref="J1092">myRGB(B1092,C1092,D1092)</f>
        <v/>
      </c>
    </row>
    <row r="1093" spans="7:10" x14ac:dyDescent="0.2">
      <c r="G1093">
        <f t="shared" si="17"/>
        <v>20970</v>
      </c>
      <c r="H1093" t="s">
        <v>6443</v>
      </c>
      <c r="I1093" t="s">
        <v>6444</v>
      </c>
      <c r="J1093" s="1338" t="str" cm="1">
        <f t="array" ref="J1093">myRGB(B1093,C1093,D1093)</f>
        <v/>
      </c>
    </row>
    <row r="1094" spans="7:10" x14ac:dyDescent="0.2">
      <c r="G1094">
        <f t="shared" si="17"/>
        <v>20971</v>
      </c>
      <c r="H1094" t="s">
        <v>6852</v>
      </c>
      <c r="I1094" t="s">
        <v>6853</v>
      </c>
      <c r="J1094" s="1338" t="str" cm="1">
        <f t="array" ref="J1094">myRGB(B1094,C1094,D1094)</f>
        <v/>
      </c>
    </row>
    <row r="1095" spans="7:10" x14ac:dyDescent="0.2">
      <c r="G1095">
        <f t="shared" si="17"/>
        <v>20973</v>
      </c>
      <c r="H1095" t="s">
        <v>7137</v>
      </c>
      <c r="I1095" t="s">
        <v>7198</v>
      </c>
      <c r="J1095" s="1338" t="str" cm="1">
        <f t="array" ref="J1095">myRGB(B1095,C1095,D1095)</f>
        <v/>
      </c>
    </row>
    <row r="1096" spans="7:10" x14ac:dyDescent="0.2">
      <c r="G1096">
        <f t="shared" si="17"/>
        <v>20974</v>
      </c>
      <c r="H1096" t="s">
        <v>4718</v>
      </c>
      <c r="I1096" t="s">
        <v>4719</v>
      </c>
      <c r="J1096" s="1338" t="str" cm="1">
        <f t="array" ref="J1096">myRGB(B1096,C1096,D1096)</f>
        <v/>
      </c>
    </row>
    <row r="1097" spans="7:10" x14ac:dyDescent="0.2">
      <c r="G1097">
        <f t="shared" si="17"/>
        <v>20975</v>
      </c>
      <c r="H1097" t="s">
        <v>6174</v>
      </c>
      <c r="I1097" t="s">
        <v>6175</v>
      </c>
      <c r="J1097" s="1338" t="str" cm="1">
        <f t="array" ref="J1097">myRGB(B1097,C1097,D1097)</f>
        <v/>
      </c>
    </row>
    <row r="1098" spans="7:10" x14ac:dyDescent="0.2">
      <c r="G1098">
        <f t="shared" si="17"/>
        <v>20976</v>
      </c>
      <c r="H1098" t="s">
        <v>6511</v>
      </c>
      <c r="I1098" t="s">
        <v>6512</v>
      </c>
      <c r="J1098" s="1338" t="str" cm="1">
        <f t="array" ref="J1098">myRGB(B1098,C1098,D1098)</f>
        <v/>
      </c>
    </row>
    <row r="1099" spans="7:10" x14ac:dyDescent="0.2">
      <c r="G1099">
        <f t="shared" si="17"/>
        <v>20977</v>
      </c>
      <c r="H1099" t="s">
        <v>5230</v>
      </c>
      <c r="I1099" t="s">
        <v>7230</v>
      </c>
      <c r="J1099" s="1338" t="str" cm="1">
        <f t="array" ref="J1099">myRGB(B1099,C1099,D1099)</f>
        <v/>
      </c>
    </row>
    <row r="1100" spans="7:10" x14ac:dyDescent="0.2">
      <c r="G1100">
        <f t="shared" si="17"/>
        <v>20978</v>
      </c>
      <c r="H1100" t="s">
        <v>6445</v>
      </c>
      <c r="I1100" t="s">
        <v>6446</v>
      </c>
      <c r="J1100" s="1338" t="str" cm="1">
        <f t="array" ref="J1100">myRGB(B1100,C1100,D1100)</f>
        <v/>
      </c>
    </row>
    <row r="1101" spans="7:10" x14ac:dyDescent="0.2">
      <c r="G1101">
        <f t="shared" si="17"/>
        <v>20980</v>
      </c>
      <c r="H1101" t="s">
        <v>6022</v>
      </c>
      <c r="I1101" t="s">
        <v>6023</v>
      </c>
      <c r="J1101" s="1338" t="str" cm="1">
        <f t="array" ref="J1101">myRGB(B1101,C1101,D1101)</f>
        <v/>
      </c>
    </row>
    <row r="1102" spans="7:10" x14ac:dyDescent="0.2">
      <c r="G1102">
        <f t="shared" si="17"/>
        <v>20981</v>
      </c>
      <c r="H1102" t="s">
        <v>4678</v>
      </c>
      <c r="I1102" t="s">
        <v>4679</v>
      </c>
      <c r="J1102" s="1338" t="str" cm="1">
        <f t="array" ref="J1102">myRGB(B1102,C1102,D1102)</f>
        <v/>
      </c>
    </row>
    <row r="1103" spans="7:10" x14ac:dyDescent="0.2">
      <c r="G1103">
        <f t="shared" si="17"/>
        <v>20982</v>
      </c>
      <c r="H1103" t="s">
        <v>5452</v>
      </c>
      <c r="I1103" t="s">
        <v>5453</v>
      </c>
      <c r="J1103" s="1338" t="str" cm="1">
        <f t="array" ref="J1103">myRGB(B1103,C1103,D1103)</f>
        <v/>
      </c>
    </row>
    <row r="1104" spans="7:10" x14ac:dyDescent="0.2">
      <c r="G1104">
        <f t="shared" si="17"/>
        <v>20984</v>
      </c>
      <c r="H1104" t="s">
        <v>6519</v>
      </c>
      <c r="I1104" t="s">
        <v>6520</v>
      </c>
      <c r="J1104" s="1338" t="str" cm="1">
        <f t="array" ref="J1104">myRGB(B1104,C1104,D1104)</f>
        <v/>
      </c>
    </row>
    <row r="1105" spans="7:10" x14ac:dyDescent="0.2">
      <c r="G1105">
        <f t="shared" si="17"/>
        <v>20986</v>
      </c>
      <c r="H1105" t="s">
        <v>6858</v>
      </c>
      <c r="I1105" t="s">
        <v>6859</v>
      </c>
      <c r="J1105" s="1338" t="str" cm="1">
        <f t="array" ref="J1105">myRGB(B1105,C1105,D1105)</f>
        <v/>
      </c>
    </row>
    <row r="1106" spans="7:10" x14ac:dyDescent="0.2">
      <c r="G1106">
        <f t="shared" si="17"/>
        <v>20988</v>
      </c>
      <c r="H1106" t="s">
        <v>5229</v>
      </c>
      <c r="I1106" t="s">
        <v>7229</v>
      </c>
      <c r="J1106" s="1338" t="str" cm="1">
        <f t="array" ref="J1106">myRGB(B1106,C1106,D1106)</f>
        <v/>
      </c>
    </row>
    <row r="1107" spans="7:10" x14ac:dyDescent="0.2">
      <c r="G1107">
        <f t="shared" si="17"/>
        <v>20989</v>
      </c>
      <c r="H1107" t="s">
        <v>6655</v>
      </c>
      <c r="I1107" t="s">
        <v>6656</v>
      </c>
      <c r="J1107" s="1338" t="str" cm="1">
        <f t="array" ref="J1107">myRGB(B1107,C1107,D1107)</f>
        <v/>
      </c>
    </row>
    <row r="1108" spans="7:10" x14ac:dyDescent="0.2">
      <c r="G1108">
        <f t="shared" si="17"/>
        <v>20990</v>
      </c>
      <c r="H1108" t="s">
        <v>4850</v>
      </c>
      <c r="I1108" t="s">
        <v>4851</v>
      </c>
      <c r="J1108" s="1338" t="str" cm="1">
        <f t="array" ref="J1108">myRGB(B1108,C1108,D1108)</f>
        <v/>
      </c>
    </row>
    <row r="1109" spans="7:10" x14ac:dyDescent="0.2">
      <c r="G1109">
        <f t="shared" si="17"/>
        <v>20996</v>
      </c>
      <c r="H1109" t="s">
        <v>5068</v>
      </c>
      <c r="I1109" t="s">
        <v>5069</v>
      </c>
      <c r="J1109" s="1338" t="str" cm="1">
        <f t="array" ref="J1109">myRGB(B1109,C1109,D1109)</f>
        <v/>
      </c>
    </row>
    <row r="1110" spans="7:10" x14ac:dyDescent="0.2">
      <c r="G1110">
        <f t="shared" si="17"/>
        <v>20997</v>
      </c>
      <c r="H1110" t="s">
        <v>4590</v>
      </c>
      <c r="I1110" t="s">
        <v>4590</v>
      </c>
      <c r="J1110" s="1338" t="str" cm="1">
        <f t="array" ref="J1110">myRGB(B1110,C1110,D1110)</f>
        <v/>
      </c>
    </row>
    <row r="1111" spans="7:10" x14ac:dyDescent="0.2">
      <c r="G1111">
        <f t="shared" ref="G1111:G1174" si="18">G515+20000</f>
        <v>20998</v>
      </c>
      <c r="H1111" t="s">
        <v>5614</v>
      </c>
      <c r="I1111" t="s">
        <v>5615</v>
      </c>
      <c r="J1111" s="1338" t="str" cm="1">
        <f t="array" ref="J1111">myRGB(B1111,C1111,D1111)</f>
        <v/>
      </c>
    </row>
    <row r="1112" spans="7:10" x14ac:dyDescent="0.2">
      <c r="G1112">
        <f t="shared" si="18"/>
        <v>21004</v>
      </c>
      <c r="H1112" t="s">
        <v>6024</v>
      </c>
      <c r="I1112" t="s">
        <v>6025</v>
      </c>
      <c r="J1112" s="1338" t="str" cm="1">
        <f t="array" ref="J1112">myRGB(B1112,C1112,D1112)</f>
        <v/>
      </c>
    </row>
    <row r="1113" spans="7:10" x14ac:dyDescent="0.2">
      <c r="G1113">
        <f t="shared" si="18"/>
        <v>21005</v>
      </c>
      <c r="H1113" t="s">
        <v>4832</v>
      </c>
      <c r="I1113" t="s">
        <v>4833</v>
      </c>
      <c r="J1113" s="1338" t="str" cm="1">
        <f t="array" ref="J1113">myRGB(B1113,C1113,D1113)</f>
        <v/>
      </c>
    </row>
    <row r="1114" spans="7:10" x14ac:dyDescent="0.2">
      <c r="G1114">
        <f t="shared" si="18"/>
        <v>21006</v>
      </c>
      <c r="H1114" t="s">
        <v>4738</v>
      </c>
      <c r="I1114" t="s">
        <v>4739</v>
      </c>
      <c r="J1114" s="1338" t="str" cm="1">
        <f t="array" ref="J1114">myRGB(B1114,C1114,D1114)</f>
        <v/>
      </c>
    </row>
    <row r="1115" spans="7:10" x14ac:dyDescent="0.2">
      <c r="G1115">
        <f t="shared" si="18"/>
        <v>21007</v>
      </c>
      <c r="H1115" t="s">
        <v>6595</v>
      </c>
      <c r="I1115" t="s">
        <v>6596</v>
      </c>
      <c r="J1115" s="1338" t="str" cm="1">
        <f t="array" ref="J1115">myRGB(B1115,C1115,D1115)</f>
        <v/>
      </c>
    </row>
    <row r="1116" spans="7:10" x14ac:dyDescent="0.2">
      <c r="G1116">
        <f t="shared" si="18"/>
        <v>21009</v>
      </c>
      <c r="H1116" t="s">
        <v>6663</v>
      </c>
      <c r="I1116" t="s">
        <v>6663</v>
      </c>
      <c r="J1116" s="1338" t="str" cm="1">
        <f t="array" ref="J1116">myRGB(B1116,C1116,D1116)</f>
        <v/>
      </c>
    </row>
    <row r="1117" spans="7:10" x14ac:dyDescent="0.2">
      <c r="G1117">
        <f t="shared" si="18"/>
        <v>21010</v>
      </c>
      <c r="H1117" t="s">
        <v>4788</v>
      </c>
      <c r="I1117" t="s">
        <v>4789</v>
      </c>
      <c r="J1117" s="1338" t="str" cm="1">
        <f t="array" ref="J1117">myRGB(B1117,C1117,D1117)</f>
        <v/>
      </c>
    </row>
    <row r="1118" spans="7:10" x14ac:dyDescent="0.2">
      <c r="G1118">
        <f t="shared" si="18"/>
        <v>21015</v>
      </c>
      <c r="H1118" t="s">
        <v>4980</v>
      </c>
      <c r="I1118" t="s">
        <v>4981</v>
      </c>
      <c r="J1118" s="1338" t="str" cm="1">
        <f t="array" ref="J1118">myRGB(B1118,C1118,D1118)</f>
        <v/>
      </c>
    </row>
    <row r="1119" spans="7:10" x14ac:dyDescent="0.2">
      <c r="G1119">
        <f t="shared" si="18"/>
        <v>21016</v>
      </c>
      <c r="H1119" t="s">
        <v>6672</v>
      </c>
      <c r="I1119" t="s">
        <v>6673</v>
      </c>
      <c r="J1119" s="1338" t="str" cm="1">
        <f t="array" ref="J1119">myRGB(B1119,C1119,D1119)</f>
        <v/>
      </c>
    </row>
    <row r="1120" spans="7:10" x14ac:dyDescent="0.2">
      <c r="G1120">
        <f t="shared" si="18"/>
        <v>21020</v>
      </c>
      <c r="H1120" t="s">
        <v>5800</v>
      </c>
      <c r="I1120" t="s">
        <v>5801</v>
      </c>
      <c r="J1120" s="1338" t="str" cm="1">
        <f t="array" ref="J1120">myRGB(B1120,C1120,D1120)</f>
        <v/>
      </c>
    </row>
    <row r="1121" spans="7:10" x14ac:dyDescent="0.2">
      <c r="G1121">
        <f t="shared" si="18"/>
        <v>21021</v>
      </c>
      <c r="H1121" t="s">
        <v>4636</v>
      </c>
      <c r="I1121" t="s">
        <v>4637</v>
      </c>
      <c r="J1121" s="1338" t="str" cm="1">
        <f t="array" ref="J1121">myRGB(B1121,C1121,D1121)</f>
        <v/>
      </c>
    </row>
    <row r="1122" spans="7:10" x14ac:dyDescent="0.2">
      <c r="G1122">
        <f t="shared" si="18"/>
        <v>21022</v>
      </c>
      <c r="H1122" t="s">
        <v>5682</v>
      </c>
      <c r="I1122" t="s">
        <v>5683</v>
      </c>
      <c r="J1122" s="1338" t="str" cm="1">
        <f t="array" ref="J1122">myRGB(B1122,C1122,D1122)</f>
        <v/>
      </c>
    </row>
    <row r="1123" spans="7:10" x14ac:dyDescent="0.2">
      <c r="G1123">
        <f t="shared" si="18"/>
        <v>21023</v>
      </c>
      <c r="H1123" t="s">
        <v>4852</v>
      </c>
      <c r="I1123" t="s">
        <v>4853</v>
      </c>
      <c r="J1123" s="1338" t="str" cm="1">
        <f t="array" ref="J1123">myRGB(B1123,C1123,D1123)</f>
        <v/>
      </c>
    </row>
    <row r="1124" spans="7:10" x14ac:dyDescent="0.2">
      <c r="G1124">
        <f t="shared" si="18"/>
        <v>21025</v>
      </c>
      <c r="H1124" t="s">
        <v>6621</v>
      </c>
      <c r="I1124" t="s">
        <v>6622</v>
      </c>
      <c r="J1124" s="1338" t="str" cm="1">
        <f t="array" ref="J1124">myRGB(B1124,C1124,D1124)</f>
        <v/>
      </c>
    </row>
    <row r="1125" spans="7:10" x14ac:dyDescent="0.2">
      <c r="G1125">
        <f t="shared" si="18"/>
        <v>21026</v>
      </c>
      <c r="H1125" t="s">
        <v>4734</v>
      </c>
      <c r="I1125" t="s">
        <v>4735</v>
      </c>
      <c r="J1125" s="1338" t="str" cm="1">
        <f t="array" ref="J1125">myRGB(B1125,C1125,D1125)</f>
        <v/>
      </c>
    </row>
    <row r="1126" spans="7:10" x14ac:dyDescent="0.2">
      <c r="G1126">
        <f t="shared" si="18"/>
        <v>21029</v>
      </c>
      <c r="H1126" t="s">
        <v>5802</v>
      </c>
      <c r="I1126" t="s">
        <v>5803</v>
      </c>
      <c r="J1126" s="1338" t="str" cm="1">
        <f t="array" ref="J1126">myRGB(B1126,C1126,D1126)</f>
        <v/>
      </c>
    </row>
    <row r="1127" spans="7:10" x14ac:dyDescent="0.2">
      <c r="G1127">
        <f t="shared" si="18"/>
        <v>21030</v>
      </c>
      <c r="H1127" t="s">
        <v>4702</v>
      </c>
      <c r="I1127" t="s">
        <v>4703</v>
      </c>
      <c r="J1127" s="1338" t="str" cm="1">
        <f t="array" ref="J1127">myRGB(B1127,C1127,D1127)</f>
        <v/>
      </c>
    </row>
    <row r="1128" spans="7:10" x14ac:dyDescent="0.2">
      <c r="G1128">
        <f t="shared" si="18"/>
        <v>21031</v>
      </c>
      <c r="H1128" t="s">
        <v>5684</v>
      </c>
      <c r="I1128" t="s">
        <v>5685</v>
      </c>
      <c r="J1128" s="1338" t="str" cm="1">
        <f t="array" ref="J1128">myRGB(B1128,C1128,D1128)</f>
        <v/>
      </c>
    </row>
    <row r="1129" spans="7:10" x14ac:dyDescent="0.2">
      <c r="G1129">
        <f t="shared" si="18"/>
        <v>21033</v>
      </c>
      <c r="H1129" t="s">
        <v>6629</v>
      </c>
      <c r="I1129" t="s">
        <v>6630</v>
      </c>
      <c r="J1129" s="1338" t="str" cm="1">
        <f t="array" ref="J1129">myRGB(B1129,C1129,D1129)</f>
        <v/>
      </c>
    </row>
    <row r="1130" spans="7:10" x14ac:dyDescent="0.2">
      <c r="G1130">
        <f t="shared" si="18"/>
        <v>21035</v>
      </c>
      <c r="H1130" t="s">
        <v>4764</v>
      </c>
      <c r="I1130" t="s">
        <v>4765</v>
      </c>
      <c r="J1130" s="1338" t="str" cm="1">
        <f t="array" ref="J1130">myRGB(B1130,C1130,D1130)</f>
        <v/>
      </c>
    </row>
    <row r="1131" spans="7:10" x14ac:dyDescent="0.2">
      <c r="G1131">
        <f t="shared" si="18"/>
        <v>21037</v>
      </c>
      <c r="H1131" t="s">
        <v>5516</v>
      </c>
      <c r="I1131" t="s">
        <v>5517</v>
      </c>
      <c r="J1131" s="1338" t="str" cm="1">
        <f t="array" ref="J1131">myRGB(B1131,C1131,D1131)</f>
        <v/>
      </c>
    </row>
    <row r="1132" spans="7:10" x14ac:dyDescent="0.2">
      <c r="G1132">
        <f t="shared" si="18"/>
        <v>21038</v>
      </c>
      <c r="H1132" t="s">
        <v>4684</v>
      </c>
      <c r="I1132" t="s">
        <v>4685</v>
      </c>
      <c r="J1132" s="1338" t="str" cm="1">
        <f t="array" ref="J1132">myRGB(B1132,C1132,D1132)</f>
        <v/>
      </c>
    </row>
    <row r="1133" spans="7:10" x14ac:dyDescent="0.2">
      <c r="G1133">
        <f t="shared" si="18"/>
        <v>21039</v>
      </c>
      <c r="H1133" t="s">
        <v>6351</v>
      </c>
      <c r="I1133" t="s">
        <v>6352</v>
      </c>
      <c r="J1133" s="1338" t="str" cm="1">
        <f t="array" ref="J1133">myRGB(B1133,C1133,D1133)</f>
        <v/>
      </c>
    </row>
    <row r="1134" spans="7:10" x14ac:dyDescent="0.2">
      <c r="G1134">
        <f t="shared" si="18"/>
        <v>21041</v>
      </c>
      <c r="H1134" t="s">
        <v>6637</v>
      </c>
      <c r="I1134" t="s">
        <v>6638</v>
      </c>
      <c r="J1134" s="1338" t="str" cm="1">
        <f t="array" ref="J1134">myRGB(B1134,C1134,D1134)</f>
        <v/>
      </c>
    </row>
    <row r="1135" spans="7:10" x14ac:dyDescent="0.2">
      <c r="G1135">
        <f t="shared" si="18"/>
        <v>21043</v>
      </c>
      <c r="H1135" t="s">
        <v>6918</v>
      </c>
      <c r="I1135" t="s">
        <v>6919</v>
      </c>
      <c r="J1135" s="1338" t="str" cm="1">
        <f t="array" ref="J1135">myRGB(B1135,C1135,D1135)</f>
        <v/>
      </c>
    </row>
    <row r="1136" spans="7:10" x14ac:dyDescent="0.2">
      <c r="G1136">
        <f t="shared" si="18"/>
        <v>21044</v>
      </c>
      <c r="H1136" t="s">
        <v>5774</v>
      </c>
      <c r="I1136" t="s">
        <v>5775</v>
      </c>
      <c r="J1136" s="1338" t="str" cm="1">
        <f t="array" ref="J1136">myRGB(B1136,C1136,D1136)</f>
        <v/>
      </c>
    </row>
    <row r="1137" spans="7:10" x14ac:dyDescent="0.2">
      <c r="G1137">
        <f t="shared" si="18"/>
        <v>21045</v>
      </c>
      <c r="H1137" t="s">
        <v>5231</v>
      </c>
      <c r="I1137" t="s">
        <v>7231</v>
      </c>
      <c r="J1137" s="1338" t="str" cm="1">
        <f t="array" ref="J1137">myRGB(B1137,C1137,D1137)</f>
        <v/>
      </c>
    </row>
    <row r="1138" spans="7:10" x14ac:dyDescent="0.2">
      <c r="G1138">
        <f t="shared" si="18"/>
        <v>21046</v>
      </c>
      <c r="H1138" t="s">
        <v>4890</v>
      </c>
      <c r="I1138" t="s">
        <v>4891</v>
      </c>
      <c r="J1138" s="1338" t="str" cm="1">
        <f t="array" ref="J1138">myRGB(B1138,C1138,D1138)</f>
        <v/>
      </c>
    </row>
    <row r="1139" spans="7:10" x14ac:dyDescent="0.2">
      <c r="G1139">
        <f t="shared" si="18"/>
        <v>21047</v>
      </c>
      <c r="H1139" t="s">
        <v>4680</v>
      </c>
      <c r="I1139" t="s">
        <v>4681</v>
      </c>
      <c r="J1139" s="1338" t="str" cm="1">
        <f t="array" ref="J1139">myRGB(B1139,C1139,D1139)</f>
        <v/>
      </c>
    </row>
    <row r="1140" spans="7:10" x14ac:dyDescent="0.2">
      <c r="G1140">
        <f t="shared" si="18"/>
        <v>21048</v>
      </c>
      <c r="H1140" t="s">
        <v>6411</v>
      </c>
      <c r="I1140" t="s">
        <v>6412</v>
      </c>
      <c r="J1140" s="1338" t="str" cm="1">
        <f t="array" ref="J1140">myRGB(B1140,C1140,D1140)</f>
        <v/>
      </c>
    </row>
    <row r="1141" spans="7:10" x14ac:dyDescent="0.2">
      <c r="G1141">
        <f t="shared" si="18"/>
        <v>21049</v>
      </c>
      <c r="H1141" t="s">
        <v>6645</v>
      </c>
      <c r="I1141" t="s">
        <v>6646</v>
      </c>
      <c r="J1141" s="1338" t="str" cm="1">
        <f t="array" ref="J1141">myRGB(B1141,C1141,D1141)</f>
        <v/>
      </c>
    </row>
    <row r="1142" spans="7:10" x14ac:dyDescent="0.2">
      <c r="G1142">
        <f t="shared" si="18"/>
        <v>21052</v>
      </c>
      <c r="H1142" t="s">
        <v>6196</v>
      </c>
      <c r="I1142" t="s">
        <v>6197</v>
      </c>
      <c r="J1142" s="1338" t="str" cm="1">
        <f t="array" ref="J1142">myRGB(B1142,C1142,D1142)</f>
        <v/>
      </c>
    </row>
    <row r="1143" spans="7:10" x14ac:dyDescent="0.2">
      <c r="G1143">
        <f t="shared" si="18"/>
        <v>21054</v>
      </c>
      <c r="H1143" t="s">
        <v>5016</v>
      </c>
      <c r="I1143" t="s">
        <v>5017</v>
      </c>
      <c r="J1143" s="1338" t="str" cm="1">
        <f t="array" ref="J1143">myRGB(B1143,C1143,D1143)</f>
        <v/>
      </c>
    </row>
    <row r="1144" spans="7:10" x14ac:dyDescent="0.2">
      <c r="G1144">
        <f t="shared" si="18"/>
        <v>21056</v>
      </c>
      <c r="H1144" t="s">
        <v>6605</v>
      </c>
      <c r="I1144" t="s">
        <v>6606</v>
      </c>
      <c r="J1144" s="1338" t="str" cm="1">
        <f t="array" ref="J1144">myRGB(B1144,C1144,D1144)</f>
        <v/>
      </c>
    </row>
    <row r="1145" spans="7:10" x14ac:dyDescent="0.2">
      <c r="G1145">
        <f t="shared" si="18"/>
        <v>21058</v>
      </c>
      <c r="H1145" t="s">
        <v>4790</v>
      </c>
      <c r="I1145" t="s">
        <v>4791</v>
      </c>
      <c r="J1145" s="1338" t="str" cm="1">
        <f t="array" ref="J1145">myRGB(B1145,C1145,D1145)</f>
        <v/>
      </c>
    </row>
    <row r="1146" spans="7:10" x14ac:dyDescent="0.2">
      <c r="G1146">
        <f t="shared" si="18"/>
        <v>21060</v>
      </c>
      <c r="H1146" t="s">
        <v>6916</v>
      </c>
      <c r="I1146" t="s">
        <v>6917</v>
      </c>
      <c r="J1146" s="1338" t="str" cm="1">
        <f t="array" ref="J1146">myRGB(B1146,C1146,D1146)</f>
        <v/>
      </c>
    </row>
    <row r="1147" spans="7:10" x14ac:dyDescent="0.2">
      <c r="G1147">
        <f t="shared" si="18"/>
        <v>21061</v>
      </c>
      <c r="H1147" t="s">
        <v>6160</v>
      </c>
      <c r="I1147" t="s">
        <v>6161</v>
      </c>
      <c r="J1147" s="1338" t="str" cm="1">
        <f t="array" ref="J1147">myRGB(B1147,C1147,D1147)</f>
        <v/>
      </c>
    </row>
    <row r="1148" spans="7:10" x14ac:dyDescent="0.2">
      <c r="G1148">
        <f t="shared" si="18"/>
        <v>21062</v>
      </c>
      <c r="H1148" t="s">
        <v>4686</v>
      </c>
      <c r="I1148" t="s">
        <v>4687</v>
      </c>
      <c r="J1148" s="1338" t="str" cm="1">
        <f t="array" ref="J1148">myRGB(B1148,C1148,D1148)</f>
        <v/>
      </c>
    </row>
    <row r="1149" spans="7:10" x14ac:dyDescent="0.2">
      <c r="G1149">
        <f t="shared" si="18"/>
        <v>21064</v>
      </c>
      <c r="H1149" t="s">
        <v>6613</v>
      </c>
      <c r="I1149" t="s">
        <v>6614</v>
      </c>
      <c r="J1149" s="1338" t="str" cm="1">
        <f t="array" ref="J1149">myRGB(B1149,C1149,D1149)</f>
        <v/>
      </c>
    </row>
    <row r="1150" spans="7:10" x14ac:dyDescent="0.2">
      <c r="G1150">
        <f t="shared" si="18"/>
        <v>21066</v>
      </c>
      <c r="H1150" t="s">
        <v>7136</v>
      </c>
      <c r="I1150" t="s">
        <v>7197</v>
      </c>
      <c r="J1150" s="1338" t="str" cm="1">
        <f t="array" ref="J1150">myRGB(B1150,C1150,D1150)</f>
        <v/>
      </c>
    </row>
    <row r="1151" spans="7:10" x14ac:dyDescent="0.2">
      <c r="G1151">
        <f t="shared" si="18"/>
        <v>21069</v>
      </c>
      <c r="H1151" t="s">
        <v>6457</v>
      </c>
      <c r="I1151" t="s">
        <v>6458</v>
      </c>
      <c r="J1151" s="1338" t="str" cm="1">
        <f t="array" ref="J1151">myRGB(B1151,C1151,D1151)</f>
        <v/>
      </c>
    </row>
    <row r="1152" spans="7:10" x14ac:dyDescent="0.2">
      <c r="G1152">
        <f t="shared" si="18"/>
        <v>21070</v>
      </c>
      <c r="H1152" t="s">
        <v>4682</v>
      </c>
      <c r="I1152" t="s">
        <v>4683</v>
      </c>
      <c r="J1152" s="1338" t="str" cm="1">
        <f t="array" ref="J1152">myRGB(B1152,C1152,D1152)</f>
        <v/>
      </c>
    </row>
    <row r="1153" spans="7:10" x14ac:dyDescent="0.2">
      <c r="G1153">
        <f t="shared" si="18"/>
        <v>21072</v>
      </c>
      <c r="H1153" t="s">
        <v>5780</v>
      </c>
      <c r="I1153" t="s">
        <v>5781</v>
      </c>
      <c r="J1153" s="1338" t="str" cm="1">
        <f t="array" ref="J1153">myRGB(B1153,C1153,D1153)</f>
        <v/>
      </c>
    </row>
    <row r="1154" spans="7:10" x14ac:dyDescent="0.2">
      <c r="G1154">
        <f t="shared" si="18"/>
        <v>21074</v>
      </c>
      <c r="H1154" t="s">
        <v>4872</v>
      </c>
      <c r="I1154" t="s">
        <v>4873</v>
      </c>
      <c r="J1154" s="1338" t="str" cm="1">
        <f t="array" ref="J1154">myRGB(B1154,C1154,D1154)</f>
        <v/>
      </c>
    </row>
    <row r="1155" spans="7:10" x14ac:dyDescent="0.2">
      <c r="G1155">
        <f t="shared" si="18"/>
        <v>21077</v>
      </c>
      <c r="H1155" t="s">
        <v>5842</v>
      </c>
      <c r="I1155" t="s">
        <v>5843</v>
      </c>
      <c r="J1155" s="1338" t="str" cm="1">
        <f t="array" ref="J1155">myRGB(B1155,C1155,D1155)</f>
        <v/>
      </c>
    </row>
    <row r="1156" spans="7:10" x14ac:dyDescent="0.2">
      <c r="G1156">
        <f t="shared" si="18"/>
        <v>21079</v>
      </c>
      <c r="H1156" t="s">
        <v>5782</v>
      </c>
      <c r="I1156" t="s">
        <v>5783</v>
      </c>
      <c r="J1156" s="1338" t="str" cm="1">
        <f t="array" ref="J1156">myRGB(B1156,C1156,D1156)</f>
        <v/>
      </c>
    </row>
    <row r="1157" spans="7:10" x14ac:dyDescent="0.2">
      <c r="G1157">
        <f t="shared" si="18"/>
        <v>21081</v>
      </c>
      <c r="H1157" t="s">
        <v>5018</v>
      </c>
      <c r="I1157" t="s">
        <v>5019</v>
      </c>
      <c r="J1157" s="1338" t="str" cm="1">
        <f t="array" ref="J1157">myRGB(B1157,C1157,D1157)</f>
        <v/>
      </c>
    </row>
    <row r="1158" spans="7:10" x14ac:dyDescent="0.2">
      <c r="G1158">
        <f t="shared" si="18"/>
        <v>21084</v>
      </c>
      <c r="H1158" t="s">
        <v>5524</v>
      </c>
      <c r="I1158" t="s">
        <v>5525</v>
      </c>
      <c r="J1158" s="1338" t="str" cm="1">
        <f t="array" ref="J1158">myRGB(B1158,C1158,D1158)</f>
        <v/>
      </c>
    </row>
    <row r="1159" spans="7:10" x14ac:dyDescent="0.2">
      <c r="G1159">
        <f t="shared" si="18"/>
        <v>21085</v>
      </c>
      <c r="H1159" t="s">
        <v>4638</v>
      </c>
      <c r="I1159" t="s">
        <v>4639</v>
      </c>
      <c r="J1159" s="1338" t="str" cm="1">
        <f t="array" ref="J1159">myRGB(B1159,C1159,D1159)</f>
        <v/>
      </c>
    </row>
    <row r="1160" spans="7:10" x14ac:dyDescent="0.2">
      <c r="G1160">
        <f t="shared" si="18"/>
        <v>21086</v>
      </c>
      <c r="H1160" t="s">
        <v>4740</v>
      </c>
      <c r="I1160" t="s">
        <v>4741</v>
      </c>
      <c r="J1160" s="1338" t="str" cm="1">
        <f t="array" ref="J1160">myRGB(B1160,C1160,D1160)</f>
        <v/>
      </c>
    </row>
    <row r="1161" spans="7:10" x14ac:dyDescent="0.2">
      <c r="G1161">
        <f t="shared" si="18"/>
        <v>21088</v>
      </c>
      <c r="H1161" t="s">
        <v>5784</v>
      </c>
      <c r="I1161" t="s">
        <v>5785</v>
      </c>
      <c r="J1161" s="1338" t="str" cm="1">
        <f t="array" ref="J1161">myRGB(B1161,C1161,D1161)</f>
        <v/>
      </c>
    </row>
    <row r="1162" spans="7:10" x14ac:dyDescent="0.2">
      <c r="G1162">
        <f t="shared" si="18"/>
        <v>21089</v>
      </c>
      <c r="H1162" t="s">
        <v>5380</v>
      </c>
      <c r="I1162" t="s">
        <v>5381</v>
      </c>
      <c r="J1162" s="1338" t="str" cm="1">
        <f t="array" ref="J1162">myRGB(B1162,C1162,D1162)</f>
        <v/>
      </c>
    </row>
    <row r="1163" spans="7:10" x14ac:dyDescent="0.2">
      <c r="G1163">
        <f t="shared" si="18"/>
        <v>21090</v>
      </c>
      <c r="H1163" t="s">
        <v>4766</v>
      </c>
      <c r="I1163" t="s">
        <v>4767</v>
      </c>
      <c r="J1163" s="1338" t="str" cm="1">
        <f t="array" ref="J1163">myRGB(B1163,C1163,D1163)</f>
        <v/>
      </c>
    </row>
    <row r="1164" spans="7:10" x14ac:dyDescent="0.2">
      <c r="G1164">
        <f t="shared" si="18"/>
        <v>21091</v>
      </c>
      <c r="H1164" t="s">
        <v>6545</v>
      </c>
      <c r="I1164" t="s">
        <v>6546</v>
      </c>
      <c r="J1164" s="1338" t="str" cm="1">
        <f t="array" ref="J1164">myRGB(B1164,C1164,D1164)</f>
        <v/>
      </c>
    </row>
    <row r="1165" spans="7:10" x14ac:dyDescent="0.2">
      <c r="G1165">
        <f t="shared" si="18"/>
        <v>21092</v>
      </c>
      <c r="H1165" t="s">
        <v>6884</v>
      </c>
      <c r="I1165" t="s">
        <v>6885</v>
      </c>
      <c r="J1165" s="1338" t="str" cm="1">
        <f t="array" ref="J1165">myRGB(B1165,C1165,D1165)</f>
        <v/>
      </c>
    </row>
    <row r="1166" spans="7:10" x14ac:dyDescent="0.2">
      <c r="G1166">
        <f t="shared" si="18"/>
        <v>21093</v>
      </c>
      <c r="H1166" t="s">
        <v>6287</v>
      </c>
      <c r="I1166" t="s">
        <v>6288</v>
      </c>
      <c r="J1166" s="1338" t="str" cm="1">
        <f t="array" ref="J1166">myRGB(B1166,C1166,D1166)</f>
        <v/>
      </c>
    </row>
    <row r="1167" spans="7:10" x14ac:dyDescent="0.2">
      <c r="G1167">
        <f t="shared" si="18"/>
        <v>21094</v>
      </c>
      <c r="H1167" t="s">
        <v>4704</v>
      </c>
      <c r="I1167" t="s">
        <v>4705</v>
      </c>
      <c r="J1167" s="1338" t="str" cm="1">
        <f t="array" ref="J1167">myRGB(B1167,C1167,D1167)</f>
        <v/>
      </c>
    </row>
    <row r="1168" spans="7:10" x14ac:dyDescent="0.2">
      <c r="G1168">
        <f t="shared" si="18"/>
        <v>21096</v>
      </c>
      <c r="H1168" t="s">
        <v>5816</v>
      </c>
      <c r="I1168" t="s">
        <v>5817</v>
      </c>
      <c r="J1168" s="1338" t="str" cm="1">
        <f t="array" ref="J1168">myRGB(B1168,C1168,D1168)</f>
        <v/>
      </c>
    </row>
    <row r="1169" spans="7:10" x14ac:dyDescent="0.2">
      <c r="G1169">
        <f t="shared" si="18"/>
        <v>21097</v>
      </c>
      <c r="H1169" t="s">
        <v>5892</v>
      </c>
      <c r="I1169" t="s">
        <v>5893</v>
      </c>
      <c r="J1169" s="1338" t="str" cm="1">
        <f t="array" ref="J1169">myRGB(B1169,C1169,D1169)</f>
        <v/>
      </c>
    </row>
    <row r="1170" spans="7:10" x14ac:dyDescent="0.2">
      <c r="G1170">
        <f t="shared" si="18"/>
        <v>21098</v>
      </c>
      <c r="H1170" t="s">
        <v>6433</v>
      </c>
      <c r="I1170" t="s">
        <v>6434</v>
      </c>
      <c r="J1170" s="1338" t="str" cm="1">
        <f t="array" ref="J1170">myRGB(B1170,C1170,D1170)</f>
        <v/>
      </c>
    </row>
    <row r="1171" spans="7:10" x14ac:dyDescent="0.2">
      <c r="G1171">
        <f t="shared" si="18"/>
        <v>21101</v>
      </c>
      <c r="H1171" t="s">
        <v>5070</v>
      </c>
      <c r="I1171" t="s">
        <v>5071</v>
      </c>
      <c r="J1171" s="1338" t="str" cm="1">
        <f t="array" ref="J1171">myRGB(B1171,C1171,D1171)</f>
        <v/>
      </c>
    </row>
    <row r="1172" spans="7:10" x14ac:dyDescent="0.2">
      <c r="G1172">
        <f t="shared" si="18"/>
        <v>21102</v>
      </c>
      <c r="H1172" t="s">
        <v>4720</v>
      </c>
      <c r="I1172" t="s">
        <v>4721</v>
      </c>
      <c r="J1172" s="1338" t="str" cm="1">
        <f t="array" ref="J1172">myRGB(B1172,C1172,D1172)</f>
        <v/>
      </c>
    </row>
    <row r="1173" spans="7:10" x14ac:dyDescent="0.2">
      <c r="G1173">
        <f t="shared" si="18"/>
        <v>21104</v>
      </c>
      <c r="H1173" t="s">
        <v>5818</v>
      </c>
      <c r="I1173" t="s">
        <v>5819</v>
      </c>
      <c r="J1173" s="1338" t="str" cm="1">
        <f t="array" ref="J1173">myRGB(B1173,C1173,D1173)</f>
        <v/>
      </c>
    </row>
    <row r="1174" spans="7:10" x14ac:dyDescent="0.2">
      <c r="G1174">
        <f t="shared" si="18"/>
        <v>21105</v>
      </c>
      <c r="H1174" t="s">
        <v>5660</v>
      </c>
      <c r="I1174" t="s">
        <v>5661</v>
      </c>
      <c r="J1174" s="1338" t="str" cm="1">
        <f t="array" ref="J1174">myRGB(B1174,C1174,D1174)</f>
        <v/>
      </c>
    </row>
    <row r="1175" spans="7:10" x14ac:dyDescent="0.2">
      <c r="G1175">
        <f t="shared" ref="G1175:G1193" si="19">G579+20000</f>
        <v>21106</v>
      </c>
      <c r="H1175" t="s">
        <v>7128</v>
      </c>
      <c r="I1175" t="s">
        <v>7189</v>
      </c>
      <c r="J1175" s="1338" t="str" cm="1">
        <f t="array" ref="J1175">myRGB(B1175,C1175,D1175)</f>
        <v/>
      </c>
    </row>
    <row r="1176" spans="7:10" x14ac:dyDescent="0.2">
      <c r="G1176">
        <f t="shared" si="19"/>
        <v>21107</v>
      </c>
      <c r="H1176" t="s">
        <v>6435</v>
      </c>
      <c r="I1176" t="s">
        <v>6436</v>
      </c>
      <c r="J1176" s="1338" t="str" cm="1">
        <f t="array" ref="J1176">myRGB(B1176,C1176,D1176)</f>
        <v/>
      </c>
    </row>
    <row r="1177" spans="7:10" x14ac:dyDescent="0.2">
      <c r="G1177">
        <f t="shared" si="19"/>
        <v>21108</v>
      </c>
      <c r="H1177" t="s">
        <v>6850</v>
      </c>
      <c r="I1177" t="s">
        <v>6851</v>
      </c>
      <c r="J1177" s="1338" t="str" cm="1">
        <f t="array" ref="J1177">myRGB(B1177,C1177,D1177)</f>
        <v/>
      </c>
    </row>
    <row r="1178" spans="7:10" x14ac:dyDescent="0.2">
      <c r="G1178">
        <f t="shared" si="19"/>
        <v>21109</v>
      </c>
      <c r="H1178" t="s">
        <v>5956</v>
      </c>
      <c r="I1178" t="s">
        <v>5957</v>
      </c>
      <c r="J1178" s="1338" t="str" cm="1">
        <f t="array" ref="J1178">myRGB(B1178,C1178,D1178)</f>
        <v/>
      </c>
    </row>
    <row r="1179" spans="7:10" x14ac:dyDescent="0.2">
      <c r="G1179">
        <f t="shared" si="19"/>
        <v>21111</v>
      </c>
      <c r="H1179" t="s">
        <v>4742</v>
      </c>
      <c r="I1179" t="s">
        <v>4743</v>
      </c>
      <c r="J1179" s="1338" t="str" cm="1">
        <f t="array" ref="J1179">myRGB(B1179,C1179,D1179)</f>
        <v/>
      </c>
    </row>
    <row r="1180" spans="7:10" x14ac:dyDescent="0.2">
      <c r="G1180">
        <f t="shared" si="19"/>
        <v>21113</v>
      </c>
      <c r="H1180" t="s">
        <v>5824</v>
      </c>
      <c r="I1180" t="s">
        <v>5825</v>
      </c>
      <c r="J1180" s="1338" t="str" cm="1">
        <f t="array" ref="J1180">myRGB(B1180,C1180,D1180)</f>
        <v/>
      </c>
    </row>
    <row r="1181" spans="7:10" x14ac:dyDescent="0.2">
      <c r="G1181">
        <f t="shared" si="19"/>
        <v>21114</v>
      </c>
      <c r="H1181" t="s">
        <v>4874</v>
      </c>
      <c r="I1181" t="s">
        <v>4875</v>
      </c>
      <c r="J1181" s="1338" t="str" cm="1">
        <f t="array" ref="J1181">myRGB(B1181,C1181,D1181)</f>
        <v/>
      </c>
    </row>
    <row r="1182" spans="7:10" x14ac:dyDescent="0.2">
      <c r="G1182">
        <f t="shared" si="19"/>
        <v>21116</v>
      </c>
      <c r="H1182" t="s">
        <v>6724</v>
      </c>
      <c r="I1182" t="s">
        <v>6725</v>
      </c>
      <c r="J1182" s="1338" t="str" cm="1">
        <f t="array" ref="J1182">myRGB(B1182,C1182,D1182)</f>
        <v/>
      </c>
    </row>
    <row r="1183" spans="7:10" x14ac:dyDescent="0.2">
      <c r="G1183">
        <f t="shared" si="19"/>
        <v>21120</v>
      </c>
      <c r="H1183" t="s">
        <v>5822</v>
      </c>
      <c r="I1183" t="s">
        <v>5823</v>
      </c>
      <c r="J1183" s="1338" t="str" cm="1">
        <f t="array" ref="J1183">myRGB(B1183,C1183,D1183)</f>
        <v/>
      </c>
    </row>
    <row r="1184" spans="7:10" x14ac:dyDescent="0.2">
      <c r="G1184">
        <f t="shared" si="19"/>
        <v>21121</v>
      </c>
      <c r="H1184" t="s">
        <v>5462</v>
      </c>
      <c r="I1184" t="s">
        <v>5463</v>
      </c>
      <c r="J1184" s="1338" t="str" cm="1">
        <f t="array" ref="J1184">myRGB(B1184,C1184,D1184)</f>
        <v/>
      </c>
    </row>
    <row r="1185" spans="7:10" x14ac:dyDescent="0.2">
      <c r="G1185">
        <f t="shared" si="19"/>
        <v>21123</v>
      </c>
      <c r="H1185" t="s">
        <v>6820</v>
      </c>
      <c r="I1185" t="s">
        <v>6821</v>
      </c>
      <c r="J1185" s="1338" t="str" cm="1">
        <f t="array" ref="J1185">myRGB(B1185,C1185,D1185)</f>
        <v/>
      </c>
    </row>
    <row r="1186" spans="7:10" x14ac:dyDescent="0.2">
      <c r="G1186">
        <f t="shared" si="19"/>
        <v>21125</v>
      </c>
      <c r="H1186" t="s">
        <v>5058</v>
      </c>
      <c r="I1186" t="s">
        <v>5059</v>
      </c>
      <c r="J1186" s="1338" t="str" cm="1">
        <f t="array" ref="J1186">myRGB(B1186,C1186,D1186)</f>
        <v/>
      </c>
    </row>
    <row r="1187" spans="7:10" x14ac:dyDescent="0.2">
      <c r="G1187">
        <f t="shared" si="19"/>
        <v>21126</v>
      </c>
      <c r="H1187" t="s">
        <v>6010</v>
      </c>
      <c r="I1187" t="s">
        <v>6011</v>
      </c>
      <c r="J1187" s="1338" t="str" cm="1">
        <f t="array" ref="J1187">myRGB(B1187,C1187,D1187)</f>
        <v/>
      </c>
    </row>
    <row r="1188" spans="7:10" x14ac:dyDescent="0.2">
      <c r="G1188">
        <f t="shared" si="19"/>
        <v>21127</v>
      </c>
      <c r="H1188" t="s">
        <v>7164</v>
      </c>
      <c r="I1188" t="s">
        <v>7225</v>
      </c>
      <c r="J1188" s="1338" t="str" cm="1">
        <f t="array" ref="J1188">myRGB(B1188,C1188,D1188)</f>
        <v/>
      </c>
    </row>
    <row r="1189" spans="7:10" x14ac:dyDescent="0.2">
      <c r="G1189">
        <f t="shared" si="19"/>
        <v>21128</v>
      </c>
      <c r="H1189" t="s">
        <v>4706</v>
      </c>
      <c r="I1189" t="s">
        <v>4707</v>
      </c>
      <c r="J1189" s="1338" t="str" cm="1">
        <f t="array" ref="J1189">myRGB(B1189,C1189,D1189)</f>
        <v/>
      </c>
    </row>
    <row r="1190" spans="7:10" x14ac:dyDescent="0.2">
      <c r="G1190">
        <f t="shared" si="19"/>
        <v>21139</v>
      </c>
      <c r="H1190" t="s">
        <v>5322</v>
      </c>
      <c r="I1190" t="s">
        <v>5323</v>
      </c>
      <c r="J1190" s="1338" t="str" cm="1">
        <f t="array" ref="J1190">myRGB(B1190,C1190,D1190)</f>
        <v/>
      </c>
    </row>
    <row r="1191" spans="7:10" x14ac:dyDescent="0.2">
      <c r="G1191">
        <f t="shared" si="19"/>
        <v>21140</v>
      </c>
      <c r="H1191" t="s">
        <v>6072</v>
      </c>
      <c r="I1191" t="s">
        <v>6073</v>
      </c>
      <c r="J1191" s="1338" t="str" cm="1">
        <f t="array" ref="J1191">myRGB(B1191,C1191,D1191)</f>
        <v/>
      </c>
    </row>
    <row r="1192" spans="7:10" x14ac:dyDescent="0.2">
      <c r="G1192">
        <f t="shared" si="19"/>
        <v>21141</v>
      </c>
      <c r="H1192" t="s">
        <v>5420</v>
      </c>
      <c r="I1192" t="s">
        <v>5421</v>
      </c>
      <c r="J1192" s="1338" t="str" cm="1">
        <f t="array" ref="J1192">myRGB(B1192,C1192,D1192)</f>
        <v/>
      </c>
    </row>
    <row r="1193" spans="7:10" x14ac:dyDescent="0.2">
      <c r="G1193">
        <f t="shared" si="19"/>
        <v>21142</v>
      </c>
      <c r="H1193" t="s">
        <v>5422</v>
      </c>
      <c r="I1193" t="s">
        <v>5423</v>
      </c>
      <c r="J1193" s="1338" t="str" cm="1">
        <f t="array" ref="J1193">myRGB(B1193,C1193,D1193)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RGB for ABA</vt:lpstr>
      <vt:lpstr>RGB for ABA v2</vt:lpstr>
      <vt:lpstr>mmc2 w RGB </vt:lpstr>
      <vt:lpstr>mmc2 w RGB  IDPathSort</vt:lpstr>
      <vt:lpstr>FSL CorrectedGubraAtlas IDsRGBs</vt:lpstr>
      <vt:lpstr>ITKsnap CorrGubraAtlas IDsRBG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2022-02-08T22:21:09Z</dcterms:created>
  <dcterms:modified xsi:type="dcterms:W3CDTF">2022-08-29T20:22:30Z</dcterms:modified>
</cp:coreProperties>
</file>